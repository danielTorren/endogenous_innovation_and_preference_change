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" sheetId="1" r:id="rId4"/>
    <sheet state="visible" name="outputs" sheetId="2" r:id="rId5"/>
    <sheet state="visible" name="EV Data" sheetId="3" r:id="rId6"/>
    <sheet state="visible" name="Electricity emissions" sheetId="4" r:id="rId7"/>
    <sheet state="visible" name="Gasoline and electricity" sheetId="5" r:id="rId8"/>
    <sheet state="visible" name="Car costs" sheetId="6" r:id="rId9"/>
    <sheet state="visible" name="PPI" sheetId="7" r:id="rId10"/>
  </sheets>
  <definedNames>
    <definedName hidden="1" localSheetId="0" name="_xlnm._FilterDatabase">US!$F$81:$G$394</definedName>
  </definedNames>
  <calcPr/>
  <extLst>
    <ext uri="GoogleSheetsCustomDataVersion2">
      <go:sheetsCustomData xmlns:go="http://customooxmlschemas.google.com/" r:id="rId11" roundtripDataChecksum="QiNVjTouLQbsQ0vEBLsmuBAjDc5VLiwDPnASn8Asg6g="/>
    </ext>
  </extLst>
</workbook>
</file>

<file path=xl/sharedStrings.xml><?xml version="1.0" encoding="utf-8"?>
<sst xmlns="http://schemas.openxmlformats.org/spreadsheetml/2006/main" count="13865" uniqueCount="2893">
  <si>
    <t>TIMELINE</t>
  </si>
  <si>
    <t>2000-2030</t>
  </si>
  <si>
    <t>COUNTRY</t>
  </si>
  <si>
    <t>USA</t>
  </si>
  <si>
    <t>Notation</t>
  </si>
  <si>
    <t>Parameter Description</t>
  </si>
  <si>
    <t>Unit of Measure</t>
  </si>
  <si>
    <t>Max_Value</t>
  </si>
  <si>
    <t>Min_Value</t>
  </si>
  <si>
    <t>Distribution</t>
  </si>
  <si>
    <t>Source/Justification</t>
  </si>
  <si>
    <t>C_m (ICE)</t>
  </si>
  <si>
    <t>ICE unit production costs</t>
  </si>
  <si>
    <t>Dollars / car</t>
  </si>
  <si>
    <t>NK</t>
  </si>
  <si>
    <t>In Grieco et al. (2024) we see that prices (of non-luxury cars) range from 15k to 50k from 1980 to 2020, while mark-ups range from 10 to 50%. This range of costs is consistent with that observation, allwoing for a 10% deviation due to further innovation.</t>
  </si>
  <si>
    <t>C_m (EV)</t>
  </si>
  <si>
    <t>EV unit production costs</t>
  </si>
  <si>
    <t>No reason to assume it is different for Evs.</t>
  </si>
  <si>
    <t>C_m (RPT)</t>
  </si>
  <si>
    <t>Monthly maintainance cost of rural public transport (rural areas within a district)</t>
  </si>
  <si>
    <t>Dollars / month</t>
  </si>
  <si>
    <t>We could use multiple cities and rural circles and initialise to the case of the US; then make costs proportional to area population.</t>
  </si>
  <si>
    <t>Federal Support of Public Transportation Operating Expenses and https://www.apta.com/research-technical-resources/transit-statistics/public-transportation-fact-book/</t>
  </si>
  <si>
    <t>C_m (UPT)</t>
  </si>
  <si>
    <t>Monthly maintainance cost of urban public transport (of a city)</t>
  </si>
  <si>
    <t>c_m (gasoline)</t>
  </si>
  <si>
    <t>Gasoline cost per Kilowatt Hour</t>
  </si>
  <si>
    <t>$ / KwH</t>
  </si>
  <si>
    <t>Single value per fuel type</t>
  </si>
  <si>
    <t>https://www.eia.gov/petroleum/gasdiesel/</t>
  </si>
  <si>
    <t>c_m (electricity)</t>
  </si>
  <si>
    <t>Electricity cost (retail) per Kilowatt Hour</t>
  </si>
  <si>
    <t>https://fred.stlouisfed.org/series/APU000072610</t>
  </si>
  <si>
    <t>d^-_i</t>
  </si>
  <si>
    <t>Minimum distance requirement</t>
  </si>
  <si>
    <t>Miles / month</t>
  </si>
  <si>
    <t>Matching the income sensitvity distribution (https://www.urban.org/features/unequal-commute) -&gt; Should give an average within the range (150-175)</t>
  </si>
  <si>
    <t>The 2017 National Household Travel Survey reports an average of 175 to 150 vehicle miles traveled weekly for work and shopping; it also reports inequality on the work/residence mismatch, so we account for it by replicating the distribution</t>
  </si>
  <si>
    <t>d^G_z (urban)</t>
  </si>
  <si>
    <t>Travelled distance of urban public transportation</t>
  </si>
  <si>
    <t>https://www.transit.dot.gov/ntd/data-product/monthly-module-raw-data-release</t>
  </si>
  <si>
    <t>d^G_z (rural)</t>
  </si>
  <si>
    <t>Travelled distance of rural public transportation</t>
  </si>
  <si>
    <t>E_m (EV)</t>
  </si>
  <si>
    <t>Technology production emissions (EV)</t>
  </si>
  <si>
    <t>Kilograms  of CO2 / car</t>
  </si>
  <si>
    <t>Single value for the entire NK, these are just scenarios of GHG minerals</t>
  </si>
  <si>
    <t>https://www.iea.org/data-and-statistics/charts/comparative-life-cycle-greenhouse-gas-emissions-of-a-mid-size-bev-and-ice-vehicle</t>
  </si>
  <si>
    <t>E_m (ICE)</t>
  </si>
  <si>
    <t>Technology production emissions (ICE)</t>
  </si>
  <si>
    <t>e_m (gasoline)</t>
  </si>
  <si>
    <t>Fuel emissions per KWh</t>
  </si>
  <si>
    <t>Kilograms of CO2 / KWh</t>
  </si>
  <si>
    <t>https://www.epa.gov/greenvehicles/greenhouse-gas-emissions-typical-passenger-vehicle</t>
  </si>
  <si>
    <t>e_m (electricity)</t>
  </si>
  <si>
    <t>Electricity emsissions per KWh</t>
  </si>
  <si>
    <t>https://www.epa.gov/egrid/summary-data</t>
  </si>
  <si>
    <t>O_i (rural)</t>
  </si>
  <si>
    <t>Individual place of residence</t>
  </si>
  <si>
    <t>Binary (0=rural, 1=urban)</t>
  </si>
  <si>
    <t>Single value per origin type</t>
  </si>
  <si>
    <t>https://www.census.gov/newsroom/press-releases/2022/urban-rural-populations.html</t>
  </si>
  <si>
    <t>O_i (urban)</t>
  </si>
  <si>
    <t>P^G_z</t>
  </si>
  <si>
    <t>Monthly ticket fare of public transportation z (urban)</t>
  </si>
  <si>
    <t>Dolars / month</t>
  </si>
  <si>
    <t>APTA Annual Public Transportation Fact Book</t>
  </si>
  <si>
    <t>Monthly ticket fare of public transportation z (rural)</t>
  </si>
  <si>
    <t>Q_m</t>
  </si>
  <si>
    <t>Vehicle quality</t>
  </si>
  <si>
    <t>Utility / kilometre</t>
  </si>
  <si>
    <t>(if beta is 0 then you dont care about price, price is all relative) CALIBRATE S.T. SOMEONE WITH BETA=0 and GAMMA=0 would be willing to pay 50 to 100k for a new car</t>
  </si>
  <si>
    <t>This has to be calibrated in such way that a person with no carbon or price sensitivity should be willing to pay around 80-50k for a new car (average price of a high-range non-luxury car)</t>
  </si>
  <si>
    <t>r</t>
  </si>
  <si>
    <t>Discount rate</t>
  </si>
  <si>
    <t>Percent</t>
  </si>
  <si>
    <t>We can just follow the trend of the 1-year Treasury bond</t>
  </si>
  <si>
    <t>https://fred.stlouisfed.org/series/DGS1/#0</t>
  </si>
  <si>
    <t>What is the idea behind this discount rate?</t>
  </si>
  <si>
    <t>T^+</t>
  </si>
  <si>
    <t>Time limit for unsold used cars</t>
  </si>
  <si>
    <t>Months</t>
  </si>
  <si>
    <t>Just pick-up a value</t>
  </si>
  <si>
    <t>NADA (National Automobile Dealers Association) reports average used car inventory holding time of 52 days https://www.nada.org/media/4694/download?inline</t>
  </si>
  <si>
    <t>α</t>
  </si>
  <si>
    <t>Utility scale of returns to distance travelled</t>
  </si>
  <si>
    <t>Scale</t>
  </si>
  <si>
    <t>INDIRECT CALIBRATION</t>
  </si>
  <si>
    <t>Global param</t>
  </si>
  <si>
    <t>β_i</t>
  </si>
  <si>
    <t>Individual price sensitivity</t>
  </si>
  <si>
    <t>Utility / Monetary units</t>
  </si>
  <si>
    <t>Try to match income distribution for this distribution</t>
  </si>
  <si>
    <t>β_s</t>
  </si>
  <si>
    <t>Segment price sensitivity</t>
  </si>
  <si>
    <t>In-segment average</t>
  </si>
  <si>
    <t>β̂</t>
  </si>
  <si>
    <t>High income threshold</t>
  </si>
  <si>
    <t>Set at the equivalent of what is considered the high-income tier</t>
  </si>
  <si>
    <t>γ_i</t>
  </si>
  <si>
    <t>Individual environmental awareness</t>
  </si>
  <si>
    <t>Utility / Kilograms of CO2</t>
  </si>
  <si>
    <t>γ_s</t>
  </si>
  <si>
    <t>Segment environmental awareness</t>
  </si>
  <si>
    <t>γ̂</t>
  </si>
  <si>
    <t>Environmental awareness threshold</t>
  </si>
  <si>
    <t>Set at average</t>
  </si>
  <si>
    <t>δ_z</t>
  </si>
  <si>
    <t>Depreciation rate</t>
  </si>
  <si>
    <t>CALIBRATE TO MATCH VEHICLE AGE</t>
  </si>
  <si>
    <t>η</t>
  </si>
  <si>
    <t>Time sensitivity</t>
  </si>
  <si>
    <t>Utility / Hours</t>
  </si>
  <si>
    <t>ι</t>
  </si>
  <si>
    <t>Probability of successful innovation</t>
  </si>
  <si>
    <t>κ</t>
  </si>
  <si>
    <t>Intensity of competition</t>
  </si>
  <si>
    <t>INDIRECT CALIBRATION, or maybe just get from the discrete choice models out there</t>
  </si>
  <si>
    <t>λ</t>
  </si>
  <si>
    <t>Rate of exploitation in firm search</t>
  </si>
  <si>
    <t>Copy from papers on managerial sciences about optimal rates of exploration/exploitation</t>
  </si>
  <si>
    <t>μ</t>
  </si>
  <si>
    <t>Used car dealer mark-up (This is the discount on the original price not the markup)</t>
  </si>
  <si>
    <t>ν_i</t>
  </si>
  <si>
    <t>Average time spent travelling</t>
  </si>
  <si>
    <t>Hours / Kilometre</t>
  </si>
  <si>
    <t>???</t>
  </si>
  <si>
    <t>ρ_{f,z}</t>
  </si>
  <si>
    <t>Attribute f correlation w.r.t attribute f=0</t>
  </si>
  <si>
    <t>[-1,1]</t>
  </si>
  <si>
    <t>[1,.5,0]</t>
  </si>
  <si>
    <t>χ_i</t>
  </si>
  <si>
    <t>Adoption threshold</t>
  </si>
  <si>
    <t>Get from that nice paper</t>
  </si>
  <si>
    <t>ω_m</t>
  </si>
  <si>
    <t>Fuel efficiency (EV) (should be in km)</t>
  </si>
  <si>
    <t>km / KWh</t>
  </si>
  <si>
    <t>https://www.fueleconomy.gov/feg/PowerSearch.do?action=Cars&amp;vtype=Electric&amp;srchtyp=evSelect&amp;rowLimit=50&amp;sortBy=Comb&amp;year1=2006&amp;year2=2011&amp;mclass=Small%20Cars,Coupes,Sports/Sporty%20Cars,Hatchbacks,Family%20Sedans,Upscale%20Sedans,Luxury%20Sedans,Sport%20Utility%20Vehicles&amp;range=&amp;drive=</t>
  </si>
  <si>
    <t>Fuel efficiency (ICE) (should be in km)</t>
  </si>
  <si>
    <t>km/ KWh</t>
  </si>
  <si>
    <r>
      <rPr>
        <rFont val="Arial"/>
        <color rgb="FF0563C1"/>
        <u/>
      </rPr>
      <t>https://afdc.energy.gov/data/10305</t>
    </r>
    <r>
      <rPr>
        <rFont val="Arial"/>
        <color rgb="FF000000"/>
        <u/>
      </rPr>
      <t xml:space="preserve"> (THIS IS MPG DATA BUT CAN BE CONVERTED TO Km/kWhr, assume that EVs dont contribute to fleet significantly)</t>
    </r>
  </si>
  <si>
    <t xml:space="preserve">inflation metric </t>
  </si>
  <si>
    <t>$</t>
  </si>
  <si>
    <t>density of connections urban</t>
  </si>
  <si>
    <t>density of connections between urban and rural</t>
  </si>
  <si>
    <t>population ratio urban versus rural</t>
  </si>
  <si>
    <t>EV Innovation/Production</t>
  </si>
  <si>
    <t>(Starting after)</t>
  </si>
  <si>
    <t>KwH/Galon</t>
  </si>
  <si>
    <t>MPGE Metric</t>
  </si>
  <si>
    <t>Galon/KwH</t>
  </si>
  <si>
    <t>DAN : Comments and data that dont directly fit in but i thought might be useful for direct or indirect calibration</t>
  </si>
  <si>
    <t xml:space="preserve">i found this online(kg/mhw): 0.263 </t>
  </si>
  <si>
    <t>https://www.volker-quaschning.de/datserv/CO2-spez/index_e.php</t>
  </si>
  <si>
    <t>miles/gallon(need to multply by (km/miles = 0.625)*(gallon/kWhr = 0.02967)) = 0.0185ish</t>
  </si>
  <si>
    <t>https://www.bts.gov/content/average-fuel-efficiency-us-light-duty-vehicles</t>
  </si>
  <si>
    <t xml:space="preserve">CAFE Data, its a policy. This can be used i think for all cars? We can match this data roughly. its not just the ICE car, its a harmonic mean of the fleet of cars produced i think. </t>
  </si>
  <si>
    <t>paper sets out scope for improvement in ICE cars efficiency</t>
  </si>
  <si>
    <t>https://www.sciencedirect.com/science/article/pii/S2666691X20300063</t>
  </si>
  <si>
    <t>Veza et al 2023</t>
  </si>
  <si>
    <t>EVs possess the lowest maintenance costs among the evaluated vehicles at only 0.00419 USD/km. This is for indonesia and a small sample size but if we wanted to we could add this in.</t>
  </si>
  <si>
    <t>Grey literature but may be useful</t>
  </si>
  <si>
    <t>TCO is dominated by initial cost of vehicle</t>
  </si>
  <si>
    <t>https://nickelinstitute.org/media/8d993d0fd3dfd5b/tco-north-american-automotive-final.pdf</t>
  </si>
  <si>
    <t>Greene et al 2014</t>
  </si>
  <si>
    <t>LAVE-trans model of transition to EV for california, uses 16% innovators and 84 percent majority, use the 16% as the value of what percentage of society has 0 threshold</t>
  </si>
  <si>
    <t>California EV mandate policy</t>
  </si>
  <si>
    <t>2035 all sales are EVs</t>
  </si>
  <si>
    <t>https://ww2.arb.ca.gov/news/california-moves-accelerate-100-new-zero-emission-vehicle-sales-2035</t>
  </si>
  <si>
    <t>A lot of state level data, may be useful but from 2017</t>
  </si>
  <si>
    <t>https://theicct.org/wp-content/uploads/2021/06/Transition_EV_US_Cities_20180724.pdf</t>
  </si>
  <si>
    <t>Public transport data, more from the energy perspective, but data on users number</t>
  </si>
  <si>
    <t>https://www.energy.ca.gov/data-reports/energy-almanac/transportation-energy/public-transit-california</t>
  </si>
  <si>
    <t>public transort usage by californians at about 5%, but varies significatly depending on where it is. 30+% in san fran but 9% in LA</t>
  </si>
  <si>
    <t>https://www.homearea.com/rankings/place-in-ca/percent_using_public_transportation/#:~:text=The%20California%20percent%20using%20public,fallen%201.2%25%20from%205.1%25.</t>
  </si>
  <si>
    <t>comparing the emissions per kilometer of different cars(first eu second australia)</t>
  </si>
  <si>
    <t>https://www.transportenvironment.org/articles/how-clean-are-electric-cars</t>
  </si>
  <si>
    <t>https://electricvehiclecouncil.com.au/lifecycle-emissions-calculator/</t>
  </si>
  <si>
    <t>Zahabi et al 2014</t>
  </si>
  <si>
    <t>Hybrids 20-28% more efficient in fuel economy than gasoline cars</t>
  </si>
  <si>
    <t>https://www.sciencedirect.com/science/article/pii/S1361920914000923</t>
  </si>
  <si>
    <t>Hao et al 2020</t>
  </si>
  <si>
    <t xml:space="preserve">15.2 KWh/100km for EV taxi </t>
  </si>
  <si>
    <t>california ICE data emissions intensity and BEV popultation!! AND THE ELECTRICITY INTENSITY EMISSIONS!!</t>
  </si>
  <si>
    <t>https://ww2.arb.ca.gov/sites/default/files/2024-09/nc-2000_2022_ghg_inventory_trends.pdf</t>
  </si>
  <si>
    <t>gasoline price california</t>
  </si>
  <si>
    <t>https://www.eia.gov/dnav/pet/hist/LeafHandler.ashx?n=PET&amp;s=EMM_EPM0_PTE_SCA_DPG&amp;f=M</t>
  </si>
  <si>
    <t>electricity price california</t>
  </si>
  <si>
    <t>https://fred.stlouisfed.org/series/APUS49B72610#0</t>
  </si>
  <si>
    <t>california income distribution disribution</t>
  </si>
  <si>
    <t>https://data.census.gov/table/ACSST5Y2022.S1901?q=california%20income&amp;moe=false</t>
  </si>
  <si>
    <t xml:space="preserve">CPI california </t>
  </si>
  <si>
    <t>https://dof.ca.gov/forecasting/economics/economic-indicators/inflation/</t>
  </si>
  <si>
    <t>Carbon price from cap and trade california. Not sure if this covers production emissions. It definitely covers electricity and fuel</t>
  </si>
  <si>
    <t>https://ww2.arb.ca.gov/our-work/programs/cap-and-trade-program/program-data/cap-and-trade-program-data-dashboard</t>
  </si>
  <si>
    <t>emissions intensity california monthly</t>
  </si>
  <si>
    <t>https://ember-energy.org/data/us-electricity-data-explorer/</t>
  </si>
  <si>
    <t>EV sales count</t>
  </si>
  <si>
    <t>https://www.energy.ca.gov/files/zev-and-infrastructure-stats-data</t>
  </si>
  <si>
    <t>Ev range evolution</t>
  </si>
  <si>
    <t>https://www.iea.org/data-and-statistics/charts/evolution-of-average-range-of-electric-vehicles-by-powertrain-2010-2021</t>
  </si>
  <si>
    <t>Data on commuite times in THE BAY AREA, use to parameterise nu! or justify the relations</t>
  </si>
  <si>
    <t>https://vitalsigns.mtc.ca.gov/indicators/commute-time</t>
  </si>
  <si>
    <t>ERROR(Cali-CIty)</t>
  </si>
  <si>
    <t>Average error</t>
  </si>
  <si>
    <t>Data on commute times in LA, but no speeds</t>
  </si>
  <si>
    <t>https://www.ppic.org/wp-content/uploads/content/pubs/cacounts/CC_206EBCC.pdf</t>
  </si>
  <si>
    <t>Subsidy/tax rebate for EVS</t>
  </si>
  <si>
    <t>https://fueleconomy.gov/feg/tax2023.shtml</t>
  </si>
  <si>
    <t>7500 dollars</t>
  </si>
  <si>
    <t>https://www.irs.gov/irb/2009-48_IRB</t>
  </si>
  <si>
    <t>https://cleanvehiclerebate.org/en/rebate-statistics</t>
  </si>
  <si>
    <t>https://www.fueleconomy.gov/feg/tax2023.shtml</t>
  </si>
  <si>
    <t>https://www.ladwp.com/residential-services/programs-and-rebates-residential/electric-vehicles/used-electric-vehicle-rebate-program</t>
  </si>
  <si>
    <t>Urban versus rural california</t>
  </si>
  <si>
    <t>https://www.ppic.org/publication/rural-california/</t>
  </si>
  <si>
    <t>https://www.fueleconomy.gov/feg/taxused.shtml</t>
  </si>
  <si>
    <t xml:space="preserve">beta use income inequality </t>
  </si>
  <si>
    <t>quintile data from 2019-2020</t>
  </si>
  <si>
    <t>https://www.bls.gov/cex/tables/geographic/mean/cu-state-ca-income-quintiles-before-taxes-2-year-average-2020.htm</t>
  </si>
  <si>
    <t>https://www.eia.gov/opendata/browser/electricity/retail-sales?frequency=monthly&amp;data=price;&amp;facets=stateid;sectorid;&amp;stateid=CA;&amp;sectorid=RES;&amp;start=2001-01&amp;end=2024-09&amp;sortColumn=period;&amp;sortDirection=desc;</t>
  </si>
  <si>
    <t>Future calibrations:</t>
  </si>
  <si>
    <t>Emissiosn intensity of california</t>
  </si>
  <si>
    <t>https://iopscience.iop.org/article/10.1088/1748-9326/abb7ad/data</t>
  </si>
  <si>
    <t>Gubert 2020</t>
  </si>
  <si>
    <t>Total emissions</t>
  </si>
  <si>
    <t>Ev uptake</t>
  </si>
  <si>
    <t>Km/Mile</t>
  </si>
  <si>
    <t>Output variable</t>
  </si>
  <si>
    <t>Source/Justificaiton</t>
  </si>
  <si>
    <t>Transit Ridership (I don't know the measure)</t>
  </si>
  <si>
    <t>1,311,824,696.00</t>
  </si>
  <si>
    <t>1,346,517,005.00</t>
  </si>
  <si>
    <t>1,377,987,092.00</t>
  </si>
  <si>
    <t>1,327,293,349.00</t>
  </si>
  <si>
    <t>1,294,728,947.00</t>
  </si>
  <si>
    <t>1,357,675,691.00</t>
  </si>
  <si>
    <t>1,406,095,938.00</t>
  </si>
  <si>
    <t>1,441,805,116.00</t>
  </si>
  <si>
    <t>1,459,165,411.00</t>
  </si>
  <si>
    <t>1,474,373,826.00</t>
  </si>
  <si>
    <t>1,403,504,000.00</t>
  </si>
  <si>
    <t>1,386,899,775.00</t>
  </si>
  <si>
    <t>1,418,917,723.00</t>
  </si>
  <si>
    <t>1,441,811,356.00</t>
  </si>
  <si>
    <t>1,458,600,707.00</t>
  </si>
  <si>
    <t>1,435,297,360.00</t>
  </si>
  <si>
    <t>1,398,152,646.00</t>
  </si>
  <si>
    <t>1,324,436,440.00</t>
  </si>
  <si>
    <t>1,293,074,046.00</t>
  </si>
  <si>
    <t>1,267,399,653.00</t>
  </si>
  <si>
    <t>1,000,292,915.00</t>
  </si>
  <si>
    <t>489,444,294.00</t>
  </si>
  <si>
    <t>705,670,207.00</t>
  </si>
  <si>
    <t>https://www.bts.gov/browse-statistical-products-and-data/state-transportation-statistics/state-highway-travel</t>
  </si>
  <si>
    <t>Highway use of gasoline (thousand gallons)</t>
  </si>
  <si>
    <t>14,378,254.00</t>
  </si>
  <si>
    <t>14,691,753.00</t>
  </si>
  <si>
    <t>15,385,840.00</t>
  </si>
  <si>
    <t>15,358,354.00</t>
  </si>
  <si>
    <t>15,579,476.00</t>
  </si>
  <si>
    <t>15,614,464.00</t>
  </si>
  <si>
    <t>15,509,940.00</t>
  </si>
  <si>
    <t>15,402,164.00</t>
  </si>
  <si>
    <t>14,787,997.00</t>
  </si>
  <si>
    <t>14,575,049.00</t>
  </si>
  <si>
    <t>14,555,037.00</t>
  </si>
  <si>
    <t>14,276,055.00</t>
  </si>
  <si>
    <t>14,221,198.00</t>
  </si>
  <si>
    <t>14,201,939.00</t>
  </si>
  <si>
    <t>14,660,111.00</t>
  </si>
  <si>
    <t>14,188,342.00</t>
  </si>
  <si>
    <t>14,540,213.00</t>
  </si>
  <si>
    <t>14,613,569.00</t>
  </si>
  <si>
    <t>14,536,101.00</t>
  </si>
  <si>
    <t>14,432,583.00</t>
  </si>
  <si>
    <t>11,487,227.00</t>
  </si>
  <si>
    <t>12,812,146.00</t>
  </si>
  <si>
    <t>12,516,732.00</t>
  </si>
  <si>
    <t>Highway vehicle-miles traveled (millions)</t>
  </si>
  <si>
    <t>306,649.00</t>
  </si>
  <si>
    <t>310,575.00</t>
  </si>
  <si>
    <t>320,942.00</t>
  </si>
  <si>
    <t>323,592.00</t>
  </si>
  <si>
    <t>328,917.00</t>
  </si>
  <si>
    <t>329,267.00</t>
  </si>
  <si>
    <t>327,478.00</t>
  </si>
  <si>
    <t>328,312.00</t>
  </si>
  <si>
    <t>327,286.00</t>
  </si>
  <si>
    <t>324,486.00</t>
  </si>
  <si>
    <t>322,849.40</t>
  </si>
  <si>
    <t>320,783.91</t>
  </si>
  <si>
    <t>326,271.65</t>
  </si>
  <si>
    <t>329,534.13</t>
  </si>
  <si>
    <t>332,857.20</t>
  </si>
  <si>
    <t>335,538.56</t>
  </si>
  <si>
    <t>340,115.00</t>
  </si>
  <si>
    <t>343,862.11</t>
  </si>
  <si>
    <t>348,795.71</t>
  </si>
  <si>
    <t>340,836.25</t>
  </si>
  <si>
    <t>299,811.68</t>
  </si>
  <si>
    <t>310,822.73</t>
  </si>
  <si>
    <t>315,243.57</t>
  </si>
  <si>
    <t>Vehicles</t>
  </si>
  <si>
    <t>27,697,920.00</t>
  </si>
  <si>
    <t>28,780,060.00</t>
  </si>
  <si>
    <t>29,618,610.00</t>
  </si>
  <si>
    <t>30,248,070.00</t>
  </si>
  <si>
    <t>31,399,600.00</t>
  </si>
  <si>
    <t>32,487,480.00</t>
  </si>
  <si>
    <t>33,182,060.00</t>
  </si>
  <si>
    <t>33,935,390.00</t>
  </si>
  <si>
    <t>33,483,060.00</t>
  </si>
  <si>
    <t>34,433,210.00</t>
  </si>
  <si>
    <t>31,014,130.00</t>
  </si>
  <si>
    <t>29,176,700.00</t>
  </si>
  <si>
    <t>27,702,150.00</t>
  </si>
  <si>
    <t>28,074,980.00</t>
  </si>
  <si>
    <t>28,686,650.00</t>
  </si>
  <si>
    <t>29,424,012.00</t>
  </si>
  <si>
    <t>30,221,033.00</t>
  </si>
  <si>
    <t>30,795,141.00</t>
  </si>
  <si>
    <t>31,022,328.00</t>
  </si>
  <si>
    <t>31,247,270.05</t>
  </si>
  <si>
    <t>30,398,249.00</t>
  </si>
  <si>
    <t>31,349,073.00</t>
  </si>
  <si>
    <t>31,119,113.00</t>
  </si>
  <si>
    <t>Licensed drivers</t>
  </si>
  <si>
    <t>21,243,939.00</t>
  </si>
  <si>
    <t>21,623,793.00</t>
  </si>
  <si>
    <t>22,394,800.00</t>
  </si>
  <si>
    <t>22,657,288.00</t>
  </si>
  <si>
    <t>22,761,088.00</t>
  </si>
  <si>
    <t>22,895,965.00</t>
  </si>
  <si>
    <t>23,021,279.00</t>
  </si>
  <si>
    <t>23,467,452.00</t>
  </si>
  <si>
    <t>23,697,667.00</t>
  </si>
  <si>
    <t>23,680,643.00</t>
  </si>
  <si>
    <t>23,753,441.00</t>
  </si>
  <si>
    <t>23,856,600.00</t>
  </si>
  <si>
    <t>24,200,997.00</t>
  </si>
  <si>
    <t>24,390,236.00</t>
  </si>
  <si>
    <t>24,813,346.00</t>
  </si>
  <si>
    <t>25,532,920.00</t>
  </si>
  <si>
    <t>26,199,436.00</t>
  </si>
  <si>
    <t>26,777,132.00</t>
  </si>
  <si>
    <t>27,039,400.00</t>
  </si>
  <si>
    <t>27,213,650.00</t>
  </si>
  <si>
    <t>27,005,302.00</t>
  </si>
  <si>
    <t>27,112,595.00</t>
  </si>
  <si>
    <t>27,632,103.00</t>
  </si>
  <si>
    <t>Vehicle-to-driver ratio</t>
  </si>
  <si>
    <t>Ridership per vehicle</t>
  </si>
  <si>
    <t>Gasoline per vehicle (gallons)</t>
  </si>
  <si>
    <t>Distance per vehicle (miles)</t>
  </si>
  <si>
    <t>Distance per vehicle (km/Month)</t>
  </si>
  <si>
    <t>img href</t>
  </si>
  <si>
    <t>img src</t>
  </si>
  <si>
    <t>model</t>
  </si>
  <si>
    <t>current</t>
  </si>
  <si>
    <t>title-wrap</t>
  </si>
  <si>
    <t>battery</t>
  </si>
  <si>
    <t>price-range</t>
  </si>
  <si>
    <t>roofrack</t>
  </si>
  <si>
    <t>3-phase</t>
  </si>
  <si>
    <t>plug-type2-ccs</t>
  </si>
  <si>
    <t>shape-sedan</t>
  </si>
  <si>
    <t>icons-row-1</t>
  </si>
  <si>
    <t>heatpump</t>
  </si>
  <si>
    <t>tow-hitch</t>
  </si>
  <si>
    <t>towweight</t>
  </si>
  <si>
    <t>safety</t>
  </si>
  <si>
    <t>icons-row-2</t>
  </si>
  <si>
    <t>icons-row-2 2</t>
  </si>
  <si>
    <t>icons-row-2 3</t>
  </si>
  <si>
    <t>icons-row-2 4</t>
  </si>
  <si>
    <t>tag</t>
  </si>
  <si>
    <t>acceleration</t>
  </si>
  <si>
    <t>tag 2</t>
  </si>
  <si>
    <t>topspeed</t>
  </si>
  <si>
    <t>tag 3</t>
  </si>
  <si>
    <t>erange_real</t>
  </si>
  <si>
    <t>tag 4</t>
  </si>
  <si>
    <t>efficiency</t>
  </si>
  <si>
    <t>tag 5</t>
  </si>
  <si>
    <t>fastcharge_speed_print</t>
  </si>
  <si>
    <t>fastcharge_speed</t>
  </si>
  <si>
    <t>country_de</t>
  </si>
  <si>
    <t>country_nl</t>
  </si>
  <si>
    <t>country_uk</t>
  </si>
  <si>
    <t>pricefilter</t>
  </si>
  <si>
    <t>pricesort</t>
  </si>
  <si>
    <t>date_from</t>
  </si>
  <si>
    <t>rank</t>
  </si>
  <si>
    <t>id</t>
  </si>
  <si>
    <t>v2xl</t>
  </si>
  <si>
    <t>icons-row-2 5</t>
  </si>
  <si>
    <t>size-c</t>
  </si>
  <si>
    <t>shape-hatchback</t>
  </si>
  <si>
    <t>size-b</t>
  </si>
  <si>
    <t>Efficiency</t>
  </si>
  <si>
    <t>km/kWh</t>
  </si>
  <si>
    <t>Top Speed</t>
  </si>
  <si>
    <t>Range</t>
  </si>
  <si>
    <t>Acceleration</t>
  </si>
  <si>
    <t>https://ev-database.org/compare/efficiency-electric-vehicle-most-efficient#sort:path~type~order=.efficiency~number~asc|rs-price:prev~next=10000~100000|rs-range:prev~next=0~1000|rs-fastcharge:prev~next=0~1500|rs-acceleration:prev~next=2~23|rs-topspeed:prev~next=110~350|rs-battery:prev~next=10~200|rs-towweight:prev~next=0~2500|rs-eff:prev~next=100~350|rs-safety:prev~next=-1~5|paging:currentPage=8|paging:number=50</t>
  </si>
  <si>
    <t>https://ev-database.org/car/1991/Tesla-Model-3</t>
  </si>
  <si>
    <t>https://ev-database.org/img/auto/Tesla_Model_3_2024/Tesla_Model_3_2024-01-thumb.jpg</t>
  </si>
  <si>
    <t>Model 3</t>
  </si>
  <si>
    <t>Available to order since September 2023</t>
  </si>
  <si>
    <t>kWh useable battery
 *|
 /km of range</t>
  </si>
  <si>
    <t>57.5</t>
  </si>
  <si>
    <t>Roofbox possible</t>
  </si>
  <si>
    <t>3-Phase Charging</t>
  </si>
  <si>
    <t>Type 2 CCS</t>
  </si>
  <si>
    <t>Sedan</t>
  </si>
  <si>
    <t>Heatpump</t>
  </si>
  <si>
    <t>Towbar possible</t>
  </si>
  <si>
    <t>V2</t>
  </si>
  <si>
    <t>L</t>
  </si>
  <si>
    <t>H</t>
  </si>
  <si>
    <t>G</t>
  </si>
  <si>
    <t>0 - 100</t>
  </si>
  <si>
    <t>6.1 sec</t>
  </si>
  <si>
    <t>201 km/h</t>
  </si>
  <si>
    <t>420 km</t>
  </si>
  <si>
    <t>137 Wh/km</t>
  </si>
  <si>
    <t>Fastcharge</t>
  </si>
  <si>
    <t>730 km/h</t>
  </si>
  <si>
    <t>£39,990</t>
  </si>
  <si>
    <t>1.69E+09</t>
  </si>
  <si>
    <t>7.30</t>
  </si>
  <si>
    <t>https://ev-database.org/car/3034/Tesla-Model-3-Long-Range-RWD</t>
  </si>
  <si>
    <t>Model 3 Long Range RWD</t>
  </si>
  <si>
    <t>Available to order since October 2024</t>
  </si>
  <si>
    <t>kWh useable battery
 *|
 /km of range*</t>
  </si>
  <si>
    <t>5.2 sec</t>
  </si>
  <si>
    <t>Range*</t>
  </si>
  <si>
    <t>545 km</t>
  </si>
  <si>
    <t>Efficiency*</t>
  </si>
  <si>
    <t>138 Wh/km</t>
  </si>
  <si>
    <t>840 km/h</t>
  </si>
  <si>
    <t>£44,990</t>
  </si>
  <si>
    <t>1.73E+09</t>
  </si>
  <si>
    <t>7.25</t>
  </si>
  <si>
    <t>https://ev-database.org/car/1992/Tesla-Model-3-Long-Range-Dual-Motor</t>
  </si>
  <si>
    <t>Model 3 Long Range Dual Motor</t>
  </si>
  <si>
    <t>4.4 sec</t>
  </si>
  <si>
    <t>525 km</t>
  </si>
  <si>
    <t>143 Wh/km</t>
  </si>
  <si>
    <t>810 km/h</t>
  </si>
  <si>
    <t>£49,990</t>
  </si>
  <si>
    <t>6.99</t>
  </si>
  <si>
    <t>https://ev-database.org/car/1717/Hyundai-IONIQ-6-Standard-Range-2WD</t>
  </si>
  <si>
    <t>https://ev-database.org/img/auto/Hyundai_IONIQ6_2022/Hyundai_IONIQ6_2022-01-thumb.jpg</t>
  </si>
  <si>
    <t>IONIQ 6 Standard Range 2WD</t>
  </si>
  <si>
    <t>Available to order since January 2023</t>
  </si>
  <si>
    <t>8.8 sec</t>
  </si>
  <si>
    <t>185 km/h</t>
  </si>
  <si>
    <t>335 km</t>
  </si>
  <si>
    <t>149 Wh/km</t>
  </si>
  <si>
    <t>780 km/h</t>
  </si>
  <si>
    <t>N/A</t>
  </si>
  <si>
    <t>1.67E+09</t>
  </si>
  <si>
    <t>V2XL</t>
  </si>
  <si>
    <t>6.71</t>
  </si>
  <si>
    <t>https://ev-database.org/car/1718/Hyundai-IONIQ-6-Long-Range-2WD</t>
  </si>
  <si>
    <t>IONIQ 6 Long Range 2WD</t>
  </si>
  <si>
    <t>Available to order since December 2022</t>
  </si>
  <si>
    <t>7.4 sec</t>
  </si>
  <si>
    <t>495 km</t>
  </si>
  <si>
    <t>1290 km/h</t>
  </si>
  <si>
    <t>£47,040</t>
  </si>
  <si>
    <t>https://ev-database.org/car/3050/Citroen-e-C4-X-54-kWh</t>
  </si>
  <si>
    <t>https://ev-database.org/img/auto/Citroen_e-C4_X_2024/Citroen_e-C4_X_2024-01-thumb.jpg</t>
  </si>
  <si>
    <t>e-C4 X 54 kWh</t>
  </si>
  <si>
    <t>kWh useable battery
 |
 /km of range*</t>
  </si>
  <si>
    <t>50.8</t>
  </si>
  <si>
    <t>10.1 sec</t>
  </si>
  <si>
    <t>150 km/h</t>
  </si>
  <si>
    <t>340 km</t>
  </si>
  <si>
    <t>490 km/h</t>
  </si>
  <si>
    <t>C</t>
  </si>
  <si>
    <t>https://ev-database.org/car/2126/Dacia-Spring-Electric-45</t>
  </si>
  <si>
    <t>https://ev-database.org/img/auto/Dacia_Spring_Electric_2024/Dacia_Spring_Electric_2024-01-thumb.jpg</t>
  </si>
  <si>
    <t>Spring Electric 45</t>
  </si>
  <si>
    <t>Available to order since April 2024</t>
  </si>
  <si>
    <t>0 - 100*</t>
  </si>
  <si>
    <t>19.1 sec</t>
  </si>
  <si>
    <t>125 km/h</t>
  </si>
  <si>
    <t>165 km</t>
  </si>
  <si>
    <t>152 Wh/km</t>
  </si>
  <si>
    <t>180 km/h</t>
  </si>
  <si>
    <t>£14,995</t>
  </si>
  <si>
    <t>1.71E+09</t>
  </si>
  <si>
    <t>Hatchback</t>
  </si>
  <si>
    <t>6.58</t>
  </si>
  <si>
    <t>https://ev-database.org/car/3048/Citroen-e-C4-54-kWh</t>
  </si>
  <si>
    <t>https://ev-database.org/img/auto/Citroen_e-C4_2024/Citroen_e-C4_2024-01-thumb.jpg</t>
  </si>
  <si>
    <t>e-C4 54 kWh</t>
  </si>
  <si>
    <t>10.0 sec</t>
  </si>
  <si>
    <t>480 km/h</t>
  </si>
  <si>
    <t>https://ev-database.org/car/1942/Opel-Corsa-Electric-51-kWh</t>
  </si>
  <si>
    <t>https://ev-database.org/img/auto/Opel_Corsa_Electric_2023/Opel_Corsa_Electric_2023-01-thumb.jpg</t>
  </si>
  <si>
    <t>Corsa Electric 51 kWh</t>
  </si>
  <si>
    <t>Available to order since July 2023</t>
  </si>
  <si>
    <t>48.1</t>
  </si>
  <si>
    <t>8.1 sec</t>
  </si>
  <si>
    <t>315 km</t>
  </si>
  <si>
    <t>153 Wh/km</t>
  </si>
  <si>
    <t>£35,475</t>
  </si>
  <si>
    <t>B</t>
  </si>
  <si>
    <t>6.54</t>
  </si>
  <si>
    <t>https://ev-database.org/car/2188/Tesla-Model-3-Performance</t>
  </si>
  <si>
    <t>https://ev-database.org/img/auto/Tesla_Model_3_Performance_2024/Tesla_Model_3_Performance_2024-01-thumb.jpg</t>
  </si>
  <si>
    <t>Model 3 Performance</t>
  </si>
  <si>
    <t>3.2 sec</t>
  </si>
  <si>
    <t>262 km/h</t>
  </si>
  <si>
    <t>490 km</t>
  </si>
  <si>
    <t>Fastcharge*</t>
  </si>
  <si>
    <t>760 km/h</t>
  </si>
  <si>
    <t>£59,990</t>
  </si>
  <si>
    <t>https://ev-database.org/car/3035/Dongfeng-Box-314-kWh</t>
  </si>
  <si>
    <t>https://ev-database.org/img/auto/Dongfeng_Box/Dongfeng_Box-01-thumb.jpg</t>
  </si>
  <si>
    <t>Box 31.4 kWh</t>
  </si>
  <si>
    <t>12.5 sec</t>
  </si>
  <si>
    <t>140 km/h</t>
  </si>
  <si>
    <t>190 km</t>
  </si>
  <si>
    <t>1.75E+09</t>
  </si>
  <si>
    <t>https://ev-database.org/car/1536/Renault-Megane-E-Tech-EV40-130hp</t>
  </si>
  <si>
    <t>https://ev-database.org/img/auto/Renault_Megane_ETech/Renault_Megane_ETech-01-thumb.jpg</t>
  </si>
  <si>
    <t>Megane E-Tech EV40 130hp</t>
  </si>
  <si>
    <t>Available to order since April 2022</t>
  </si>
  <si>
    <t>260 km</t>
  </si>
  <si>
    <t>154 Wh/km</t>
  </si>
  <si>
    <t>340 km/h</t>
  </si>
  <si>
    <t>1.65E+09</t>
  </si>
  <si>
    <t>6.49</t>
  </si>
  <si>
    <t>https://ev-database.org/car/1938/Citroen-e-C4-54-kWh</t>
  </si>
  <si>
    <t>https://ev-database.org/img/auto/Citroen_e-C4/Citroen_e-C4-01-thumb.jpg</t>
  </si>
  <si>
    <t>Available to order since June 2023</t>
  </si>
  <si>
    <t>9.2 sec</t>
  </si>
  <si>
    <t>Top Speed*</t>
  </si>
  <si>
    <t>330 km</t>
  </si>
  <si>
    <t>470 km/h</t>
  </si>
  <si>
    <t>£35,800</t>
  </si>
  <si>
    <t>https://ev-database.org/car/1939/Citroen-e-C4-X-54-kWh</t>
  </si>
  <si>
    <t>https://ev-database.org/img/auto/Citroen_e-C4_X/Citroen_e-C4_X-01-thumb.jpg</t>
  </si>
  <si>
    <t>Available to order since February 2023</t>
  </si>
  <si>
    <t>kWh useable battery
 |
 /km of range</t>
  </si>
  <si>
    <t>9.3 sec</t>
  </si>
  <si>
    <t>1.68E+09</t>
  </si>
  <si>
    <t>https://ev-database.org/car/1949/Peugeot-e-208-51-kWh</t>
  </si>
  <si>
    <t>https://ev-database.org/img/auto/Peugeot_e-208_2024/Peugeot_e-208_2024-01-thumb.jpg</t>
  </si>
  <si>
    <t>e-208 51 kWh</t>
  </si>
  <si>
    <t>Available to order since August 2023</t>
  </si>
  <si>
    <t>8.2 sec</t>
  </si>
  <si>
    <t>310 km</t>
  </si>
  <si>
    <t>155 Wh/km</t>
  </si>
  <si>
    <t>£32,400</t>
  </si>
  <si>
    <t>6.45</t>
  </si>
  <si>
    <t>https://ev-database.org/car/2117/Lancia-Ypsilon</t>
  </si>
  <si>
    <t>https://ev-database.org/img/auto/Lancia_Ypsilon/Lancia_Ypsilon-01-thumb.jpg</t>
  </si>
  <si>
    <t>Ypsilon</t>
  </si>
  <si>
    <t>Available to order since June 2024</t>
  </si>
  <si>
    <t>* €40,000</t>
  </si>
  <si>
    <t>1.72E+09</t>
  </si>
  <si>
    <t>https://ev-database.org/car/3039/Leapmotor-T03</t>
  </si>
  <si>
    <t>https://ev-database.org/img/auto/Leapmotor_T03/Leapmotor_T03-01-thumb.jpg</t>
  </si>
  <si>
    <t>T03</t>
  </si>
  <si>
    <t>37.3</t>
  </si>
  <si>
    <t>12.7 sec</t>
  </si>
  <si>
    <t>130 km/h</t>
  </si>
  <si>
    <t>240 km</t>
  </si>
  <si>
    <t>£15,995</t>
  </si>
  <si>
    <t>https://ev-database.org/car/3066/Peugeot-e-408-58-kWh</t>
  </si>
  <si>
    <t>https://ev-database.org/img/auto/Peugeot_e-408_2024/Peugeot_e-408_2024-01-thumb.jpg</t>
  </si>
  <si>
    <t>e-408 58 kWh</t>
  </si>
  <si>
    <t>58.2</t>
  </si>
  <si>
    <t>7.2 sec</t>
  </si>
  <si>
    <t>160 km/h</t>
  </si>
  <si>
    <t>375 km</t>
  </si>
  <si>
    <t>420 km/h</t>
  </si>
  <si>
    <t>https://ev-database.org/car/2127/Dacia-Spring-Electric-65</t>
  </si>
  <si>
    <t>Spring Electric 65</t>
  </si>
  <si>
    <t>13.7 sec</t>
  </si>
  <si>
    <t>160 km</t>
  </si>
  <si>
    <t>156 Wh/km</t>
  </si>
  <si>
    <t>170 km/h</t>
  </si>
  <si>
    <t>6.41</t>
  </si>
  <si>
    <t>https://ev-database.org/car/2198/BMW-i4-eDrive35</t>
  </si>
  <si>
    <t>https://ev-database.org/img/auto/BMW_i4_2024/BMW_i4_2024-01-thumb.jpg</t>
  </si>
  <si>
    <t>i4 eDrive35</t>
  </si>
  <si>
    <t>67.1</t>
  </si>
  <si>
    <t>Liftback</t>
  </si>
  <si>
    <t>6.0 sec</t>
  </si>
  <si>
    <t>190 km/h</t>
  </si>
  <si>
    <t>430 km</t>
  </si>
  <si>
    <t>580 km/h</t>
  </si>
  <si>
    <t>£51,270</t>
  </si>
  <si>
    <t>https://ev-database.org/car/2230/Hyundai-INSTER-Standard-Range</t>
  </si>
  <si>
    <t>https://ev-database.org/img/auto/Hyundai_Inster_2025/Hyundai_Inster_2025-01-thumb.jpg</t>
  </si>
  <si>
    <t>INSTER Standard Range</t>
  </si>
  <si>
    <t>11.7 sec</t>
  </si>
  <si>
    <t>250 km</t>
  </si>
  <si>
    <t>360 km/h</t>
  </si>
  <si>
    <t>* €24,000</t>
  </si>
  <si>
    <t>£23,495</t>
  </si>
  <si>
    <t>https://ev-database.org/car/2231/Hyundai-INSTER-Long-Range</t>
  </si>
  <si>
    <t>INSTER Long Range</t>
  </si>
  <si>
    <t>10.6 sec</t>
  </si>
  <si>
    <t>295 km</t>
  </si>
  <si>
    <t>* €27,000</t>
  </si>
  <si>
    <t>£25,045</t>
  </si>
  <si>
    <t>https://ev-database.org/car/3053/Audi-A6-Sportback-e-tron</t>
  </si>
  <si>
    <t>https://ev-database.org/img/auto/Audi_A6_Sportback_etron_2024/Audi_A6_Sportback_etron_2024-01-thumb.jpg</t>
  </si>
  <si>
    <t>A6 Sportback e-tron</t>
  </si>
  <si>
    <t>75.8</t>
  </si>
  <si>
    <t>210 km/h</t>
  </si>
  <si>
    <t>485 km</t>
  </si>
  <si>
    <t>920 km/h</t>
  </si>
  <si>
    <t>https://ev-database.org/car/1941/Opel-Corsa-Electric-50-kWh</t>
  </si>
  <si>
    <t>Corsa Electric 50 kWh</t>
  </si>
  <si>
    <t>46.3</t>
  </si>
  <si>
    <t>8.7 sec</t>
  </si>
  <si>
    <t>157 Wh/km</t>
  </si>
  <si>
    <t>£32,445</t>
  </si>
  <si>
    <t>6.37</t>
  </si>
  <si>
    <t>https://ev-database.org/car/2133/Renault-5-E-Tech-40kWh-95hp</t>
  </si>
  <si>
    <t>https://ev-database.org/img/auto/Renault_5_ETech/Renault_5_ETech-01-thumb.jpg</t>
  </si>
  <si>
    <t>5 E-Tech 40kWh 95hp</t>
  </si>
  <si>
    <t>255 km</t>
  </si>
  <si>
    <t>-</t>
  </si>
  <si>
    <t>* €25,000</t>
  </si>
  <si>
    <t>* £22,000</t>
  </si>
  <si>
    <t>https://ev-database.org/car/2134/Renault-5-E-Tech-40kWh-120hp</t>
  </si>
  <si>
    <t>5 E-Tech 40kWh 120hp</t>
  </si>
  <si>
    <t>Available to order since November 2024</t>
  </si>
  <si>
    <t>9.0 sec</t>
  </si>
  <si>
    <t>330 km/h</t>
  </si>
  <si>
    <t>£22,995</t>
  </si>
  <si>
    <t>https://ev-database.org/car/3036/Dongfeng-Box-423-kWh</t>
  </si>
  <si>
    <t>Box 42.3 kWh</t>
  </si>
  <si>
    <t>240 km/h</t>
  </si>
  <si>
    <t>https://ev-database.org/car/3049/Citroen-e-C4-X</t>
  </si>
  <si>
    <t>e-C4 X</t>
  </si>
  <si>
    <t>10.8 sec</t>
  </si>
  <si>
    <t>https://ev-database.org/car/1327/Fiat-500e-Hatchback-24-kWh</t>
  </si>
  <si>
    <t>https://ev-database.org/img/auto/Fiat_500e_Hatchback_2020/Fiat_500e_Hatchback_2020-01-thumb.jpg</t>
  </si>
  <si>
    <t>500e Hatchback 24 kWh</t>
  </si>
  <si>
    <t>Available to order since November 2020</t>
  </si>
  <si>
    <t>135 km/h</t>
  </si>
  <si>
    <t>135 km</t>
  </si>
  <si>
    <t>158 Wh/km</t>
  </si>
  <si>
    <t>230 km/h</t>
  </si>
  <si>
    <t>£24,995</t>
  </si>
  <si>
    <t>1.6E+09</t>
  </si>
  <si>
    <t>6.33</t>
  </si>
  <si>
    <t>https://ev-database.org/car/1521/Renault-Megane-E-Tech-EV60-220hp</t>
  </si>
  <si>
    <t>Megane E-Tech EV60 220hp</t>
  </si>
  <si>
    <t>380 km</t>
  </si>
  <si>
    <t>530 km/h</t>
  </si>
  <si>
    <t>£36,995</t>
  </si>
  <si>
    <t>https://ev-database.org/car/1588/Renault-Megane-E-Tech-EV60-130hp</t>
  </si>
  <si>
    <t>Megane E-Tech EV60 130hp</t>
  </si>
  <si>
    <t>10.5 sec</t>
  </si>
  <si>
    <t>https://ev-database.org/car/1726/Fiat-500e-3plus1-24-kWh</t>
  </si>
  <si>
    <t>https://ev-database.org/img/auto/Fiat_500e_3plus1_2020/Fiat_500e_3plus1_2020-01-thumb.jpg</t>
  </si>
  <si>
    <t>500e 3+1 24 kWh</t>
  </si>
  <si>
    <t>Available to order since July 2022</t>
  </si>
  <si>
    <t>1.66E+09</t>
  </si>
  <si>
    <t>https://ev-database.org/car/1727/Fiat-500e-Cabrio-24-kWh</t>
  </si>
  <si>
    <t>https://ev-database.org/img/auto/Fiat_500e_Convertible_2020/Fiat_500e_Convertible_2020-01-thumb.jpg</t>
  </si>
  <si>
    <t>500e Cabrio 24 kWh</t>
  </si>
  <si>
    <t>https://ev-database.org/car/2199/BMW-i4-eDrive40</t>
  </si>
  <si>
    <t>i4 eDrive40</t>
  </si>
  <si>
    <t>81.3</t>
  </si>
  <si>
    <t>5.6 sec</t>
  </si>
  <si>
    <t>515 km</t>
  </si>
  <si>
    <t>800 km/h</t>
  </si>
  <si>
    <t>£59,365</t>
  </si>
  <si>
    <t>https://ev-database.org/car/2270/Audi-A6-Sportback-e-tron-performance</t>
  </si>
  <si>
    <t>A6 Sportback e-tron performance</t>
  </si>
  <si>
    <t>Available to order since September 2024</t>
  </si>
  <si>
    <t>94.9</t>
  </si>
  <si>
    <t>5.4 sec</t>
  </si>
  <si>
    <t>600 km</t>
  </si>
  <si>
    <t>1200 km/h</t>
  </si>
  <si>
    <t>£69,900</t>
  </si>
  <si>
    <t>https://ev-database.org/car/1285/Fiat-500e-Hatchback-42-kWh</t>
  </si>
  <si>
    <t>500e Hatchback 42 kWh</t>
  </si>
  <si>
    <t>235 km</t>
  </si>
  <si>
    <t>159 Wh/km</t>
  </si>
  <si>
    <t>390 km/h</t>
  </si>
  <si>
    <t>£27,995</t>
  </si>
  <si>
    <t>6.29</t>
  </si>
  <si>
    <t>https://ev-database.org/car/1317/Lucid-Air-Touring</t>
  </si>
  <si>
    <t>https://ev-database.org/img/auto/Lucid_Air/Lucid_Air-01-thumb.jpg</t>
  </si>
  <si>
    <t>Air Touring</t>
  </si>
  <si>
    <t>Available to order since May 2023</t>
  </si>
  <si>
    <t>250 km/h</t>
  </si>
  <si>
    <t>580 km</t>
  </si>
  <si>
    <t>970 km/h</t>
  </si>
  <si>
    <t>https://ev-database.org/car/1328/Fiat-500e-3plus1-42-kWh</t>
  </si>
  <si>
    <t>500e 3+1 42 kWh</t>
  </si>
  <si>
    <t>https://ev-database.org/car/1792/Opel-Astra-Electric</t>
  </si>
  <si>
    <t>https://ev-database.org/img/auto/Opel_Astra_Electric/Opel_Astra_Electric-01-thumb.jpg</t>
  </si>
  <si>
    <t>Astra Electric</t>
  </si>
  <si>
    <t>320 km</t>
  </si>
  <si>
    <t>510 km/h</t>
  </si>
  <si>
    <t>£37,795</t>
  </si>
  <si>
    <t>https://ev-database.org/car/2184/Alfa-Romeo-Junior-Elettrica-54-kWh</t>
  </si>
  <si>
    <t>https://ev-database.org/img/auto/Alfa_Romeo_Junior/Alfa_Romeo_Junior-01-thumb.jpg</t>
  </si>
  <si>
    <t>Junior Elettrica 54 kWh</t>
  </si>
  <si>
    <t>£33,895</t>
  </si>
  <si>
    <t>https://ev-database.org/car/1587/Citroen-e-C4</t>
  </si>
  <si>
    <t>e-C4</t>
  </si>
  <si>
    <t>Available to order since November 2021</t>
  </si>
  <si>
    <t>9.7 sec</t>
  </si>
  <si>
    <t>290 km</t>
  </si>
  <si>
    <t>160 Wh/km</t>
  </si>
  <si>
    <t>460 km/h</t>
  </si>
  <si>
    <t>£31,960</t>
  </si>
  <si>
    <t>1.64E+09</t>
  </si>
  <si>
    <t>6.25</t>
  </si>
  <si>
    <t>https://ev-database.org/car/1948/Peugeot-e-208-50-kWh</t>
  </si>
  <si>
    <t>e-208 50 kWh</t>
  </si>
  <si>
    <t>£32,650</t>
  </si>
  <si>
    <t>https://ev-database.org/car/2024/Skoda-Enyaq-Coupe-85</t>
  </si>
  <si>
    <t>https://ev-database.org/img/auto/Skoda_Enyaq_Coupe_iV_2022/Skoda_Enyaq_Coupe_iV_2022-01-thumb.jpg</t>
  </si>
  <si>
    <t>Enyaq Coupe 85</t>
  </si>
  <si>
    <t>6.7 sec</t>
  </si>
  <si>
    <t>480 km</t>
  </si>
  <si>
    <t>720 km/h</t>
  </si>
  <si>
    <t>£46,440</t>
  </si>
  <si>
    <t>https://ev-database.org/car/3047/Citroen-e-C4</t>
  </si>
  <si>
    <t>https://ev-database.org/car/3055/Audi-A6-Avant-e-tron</t>
  </si>
  <si>
    <t>https://ev-database.org/img/auto/Audi_A6_Avant_etron_2024/Audi_A6_Avant_etron_2024-01-thumb.jpg</t>
  </si>
  <si>
    <t>A6 Avant e-tron</t>
  </si>
  <si>
    <t>475 km</t>
  </si>
  <si>
    <t>900 km/h</t>
  </si>
  <si>
    <t>https://ev-database.org/car/1275/Fiat-500e-Cabrio-42-kWh</t>
  </si>
  <si>
    <t>500e Cabrio 42 kWh</t>
  </si>
  <si>
    <t>230 km</t>
  </si>
  <si>
    <t>162 Wh/km</t>
  </si>
  <si>
    <t>380 km/h</t>
  </si>
  <si>
    <t>£30,995</t>
  </si>
  <si>
    <t>6.17</t>
  </si>
  <si>
    <t>https://ev-database.org/car/1706/Citroen-e-C4-X</t>
  </si>
  <si>
    <t>Available to order since November 2022</t>
  </si>
  <si>
    <t>285 km</t>
  </si>
  <si>
    <t>https://ev-database.org/car/1839/Volkswagen-ID7-Pro</t>
  </si>
  <si>
    <t>https://ev-database.org/img/auto/Volkswagen_ID7/Volkswagen_ID7-01-thumb.jpg</t>
  </si>
  <si>
    <t>ID.7 Pro</t>
  </si>
  <si>
    <t>6.5 sec</t>
  </si>
  <si>
    <t>£51,550</t>
  </si>
  <si>
    <t>https://ev-database.org/car/2025/Skoda-Enyaq-Coupe-85x</t>
  </si>
  <si>
    <t>Enyaq Coupe 85x</t>
  </si>
  <si>
    <t>6.6 sec</t>
  </si>
  <si>
    <t>710 km/h</t>
  </si>
  <si>
    <t>£50,305</t>
  </si>
  <si>
    <t>https://ev-database.org/car/3052/Audi-A6-Sportback-e-tron-quattro</t>
  </si>
  <si>
    <t>A6 Sportback e-tron quattro</t>
  </si>
  <si>
    <t>4.7 sec</t>
  </si>
  <si>
    <t>585 km</t>
  </si>
  <si>
    <t>1170 km/h</t>
  </si>
  <si>
    <t>https://ev-database.org/car/1997/Mini-Cooper-E</t>
  </si>
  <si>
    <t>https://ev-database.org/img/auto/Mini_Cooper_Electric_2024/Mini_Cooper_Electric_2024-01-thumb.jpg</t>
  </si>
  <si>
    <t>Cooper E</t>
  </si>
  <si>
    <t>Available to order since December 2023</t>
  </si>
  <si>
    <t>36.6</t>
  </si>
  <si>
    <t>7.3 sec</t>
  </si>
  <si>
    <t>225 km</t>
  </si>
  <si>
    <t>163 Wh/km</t>
  </si>
  <si>
    <t>350 km/h</t>
  </si>
  <si>
    <t>£30,000</t>
  </si>
  <si>
    <t>1.7E+09</t>
  </si>
  <si>
    <t>6.13</t>
  </si>
  <si>
    <t>https://ev-database.org/car/2116/Lucid-Air-Pure-RWD</t>
  </si>
  <si>
    <t>Air Pure RWD</t>
  </si>
  <si>
    <t>Available to order since February 2024</t>
  </si>
  <si>
    <t>200 km/h</t>
  </si>
  <si>
    <t>565 km</t>
  </si>
  <si>
    <t>940 km/h</t>
  </si>
  <si>
    <t>https://ev-database.org/car/2135/Renault-5-E-Tech-52kWh-150hp</t>
  </si>
  <si>
    <t>5 E-Tech 52kWh 150hp</t>
  </si>
  <si>
    <t>8.0 sec</t>
  </si>
  <si>
    <t>400 km/h</t>
  </si>
  <si>
    <t>£26,995</t>
  </si>
  <si>
    <t>https://ev-database.org/car/2214/Volkswagen-ID3-Pure</t>
  </si>
  <si>
    <t>https://ev-database.org/img/auto/Volkswagen_ID3_2024/Volkswagen_ID3_2024-01-thumb.jpg</t>
  </si>
  <si>
    <t>ID.3 Pure</t>
  </si>
  <si>
    <t>Available to order since May 2024</t>
  </si>
  <si>
    <t>https://ev-database.org/car/1743/Tesla-Model-Y</t>
  </si>
  <si>
    <t>https://ev-database.org/img/auto/Tesla_Model_Y/Tesla_Model_Y-01-thumb.jpg</t>
  </si>
  <si>
    <t>Model Y</t>
  </si>
  <si>
    <t>6.9 sec</t>
  </si>
  <si>
    <t>217 km/h</t>
  </si>
  <si>
    <t>350 km</t>
  </si>
  <si>
    <t>164 Wh/km</t>
  </si>
  <si>
    <t>https://ev-database.org/car/1793/Opel-Astra-Sports-Tourer-Electric</t>
  </si>
  <si>
    <t>https://ev-database.org/img/auto/Opel_Astra_Sports_Tourer_Electric/Opel_Astra_Sports_Tourer_Electric-01-thumb.jpg</t>
  </si>
  <si>
    <t>Astra Sports Tourer Electric</t>
  </si>
  <si>
    <t>Available to order since October 2023</t>
  </si>
  <si>
    <t>500 km/h</t>
  </si>
  <si>
    <t>£39,995</t>
  </si>
  <si>
    <t>https://ev-database.org/car/1816/Jeep-Avenger-Electric</t>
  </si>
  <si>
    <t>https://ev-database.org/img/auto/Jeep_Avenger/Jeep_Avenger-01-thumb.jpg</t>
  </si>
  <si>
    <t>Avenger Electric</t>
  </si>
  <si>
    <t>£34,800</t>
  </si>
  <si>
    <t>https://ev-database.org/car/1829/Hyundai-Kona-Electric-48-kWh</t>
  </si>
  <si>
    <t>https://ev-database.org/img/auto/Hyundai_Kona_Electric_2024/Hyundai_Kona_Electric_2024-01-thumb.jpg</t>
  </si>
  <si>
    <t>Kona Electric 48 kWh</t>
  </si>
  <si>
    <t>48.4</t>
  </si>
  <si>
    <t>280 km/h</t>
  </si>
  <si>
    <t>£34,995</t>
  </si>
  <si>
    <t>https://ev-database.org/car/1840/Volkswagen-ID7-Pro-S</t>
  </si>
  <si>
    <t>ID.7 Pro S</t>
  </si>
  <si>
    <t>£55,450</t>
  </si>
  <si>
    <t>https://ev-database.org/car/1945/Fiat-600e</t>
  </si>
  <si>
    <t>https://ev-database.org/img/auto/Fiat_600e/Fiat_600e-01-thumb.jpg</t>
  </si>
  <si>
    <t>600e</t>
  </si>
  <si>
    <t>£32,995</t>
  </si>
  <si>
    <t>https://ev-database.org/car/1974/Tesla-Model-Y</t>
  </si>
  <si>
    <t>https://ev-database.org/car/1998/Mini-Cooper-SE</t>
  </si>
  <si>
    <t>Cooper SE</t>
  </si>
  <si>
    <t>Available to order since November 2023</t>
  </si>
  <si>
    <t>49.2</t>
  </si>
  <si>
    <t>300 km</t>
  </si>
  <si>
    <t>430 km/h</t>
  </si>
  <si>
    <t>£34,500</t>
  </si>
  <si>
    <t>https://ev-database.org/car/2097/BMW-iX2-eDrive20</t>
  </si>
  <si>
    <t>https://ev-database.org/img/auto/BMW_iX2_2024/BMW_iX2_2024-01-thumb.jpg</t>
  </si>
  <si>
    <t>iX2 eDrive20</t>
  </si>
  <si>
    <t>Available to order since January 2024</t>
  </si>
  <si>
    <t>64.7</t>
  </si>
  <si>
    <t>8.6 sec</t>
  </si>
  <si>
    <t>395 km</t>
  </si>
  <si>
    <t>£51,615</t>
  </si>
  <si>
    <t>https://ev-database.org/car/2118/Volkswagen-ID7-Tourer-Pro</t>
  </si>
  <si>
    <t>https://ev-database.org/img/auto/Volkswagen_ID7_Tourer/Volkswagen_ID7_Tourer-01-thumb.jpg</t>
  </si>
  <si>
    <t>ID.7 Tourer Pro</t>
  </si>
  <si>
    <t>Available to order since March 2024</t>
  </si>
  <si>
    <t>470 km</t>
  </si>
  <si>
    <t>£52,240</t>
  </si>
  <si>
    <t>https://ev-database.org/car/2185/Alfa-Romeo-Junior-Elettrica-54-kWh-Veloce</t>
  </si>
  <si>
    <t>Junior Elettrica 54 kWh Veloce</t>
  </si>
  <si>
    <t>£42,295</t>
  </si>
  <si>
    <t>https://ev-database.org/car/2213/Volkswagen-ID3-Pro</t>
  </si>
  <si>
    <t>ID.3 Pro</t>
  </si>
  <si>
    <t>7.6 sec</t>
  </si>
  <si>
    <t>360 km</t>
  </si>
  <si>
    <t>600 km/h</t>
  </si>
  <si>
    <t>£35,700</t>
  </si>
  <si>
    <t>https://ev-database.org/car/2225/Polestar-2-Standard-Range-Single-Motor</t>
  </si>
  <si>
    <t>https://ev-database.org/img/auto/Polestar_2_2024/Polestar_2_2024-01-thumb.jpg</t>
  </si>
  <si>
    <t>2 Standard Range Single Motor</t>
  </si>
  <si>
    <t>6.4 sec</t>
  </si>
  <si>
    <t>205 km/h</t>
  </si>
  <si>
    <t>415 km</t>
  </si>
  <si>
    <t>640 km/h</t>
  </si>
  <si>
    <t>£44,950</t>
  </si>
  <si>
    <t>https://ev-database.org/car/2233/CUPRA-Born-170-kW---59-kWh</t>
  </si>
  <si>
    <t>https://ev-database.org/img/auto/Cupra_el-Born/Cupra_el-Born-01-thumb.jpg</t>
  </si>
  <si>
    <t>Born 170 kW - 59 kWh</t>
  </si>
  <si>
    <t>630 km/h</t>
  </si>
  <si>
    <t>£35,495</t>
  </si>
  <si>
    <t>https://ev-database.org/car/1404/Tesla-Model-S-Dual-Motor</t>
  </si>
  <si>
    <t>https://ev-database.org/img/auto/Tesla_Model_S_2021/Tesla_Model_S_2021-01-thumb.jpg</t>
  </si>
  <si>
    <t>Model S Dual Motor</t>
  </si>
  <si>
    <t>575 km</t>
  </si>
  <si>
    <t>165 Wh/km</t>
  </si>
  <si>
    <t>* £85,000</t>
  </si>
  <si>
    <t>https://ev-database.org/car/2119/Volkswagen-ID7-Tourer-Pro-S</t>
  </si>
  <si>
    <t>ID.7 Tourer Pro S</t>
  </si>
  <si>
    <t>520 km</t>
  </si>
  <si>
    <t>£56,140</t>
  </si>
  <si>
    <t>https://ev-database.org/car/2186/Tesla-Model-Y-Long-Range-RWD</t>
  </si>
  <si>
    <t>Model Y Long Range RWD</t>
  </si>
  <si>
    <t>5.9 sec</t>
  </si>
  <si>
    <t>455 km</t>
  </si>
  <si>
    <t>700 km/h</t>
  </si>
  <si>
    <t>£46,990</t>
  </si>
  <si>
    <t>https://ev-database.org/car/3031/Skoda-Elroq-50</t>
  </si>
  <si>
    <t>https://ev-database.org/img/auto/Skoda_Elroq_2024/Skoda_Elroq_2024-01-thumb.jpg</t>
  </si>
  <si>
    <t>Elroq 50</t>
  </si>
  <si>
    <t>£31,500</t>
  </si>
  <si>
    <t>https://ev-database.org/car/1656/Nissan-Leaf</t>
  </si>
  <si>
    <t>https://ev-database.org/img/auto/Nissan_Leaf_2022/Nissan_Leaf_2022-01-thumb.jpg</t>
  </si>
  <si>
    <t>Leaf</t>
  </si>
  <si>
    <t>Available to order since March 2022</t>
  </si>
  <si>
    <t>7.9 sec</t>
  </si>
  <si>
    <t>144 km/h</t>
  </si>
  <si>
    <t>166 Wh/km</t>
  </si>
  <si>
    <t>£28,495</t>
  </si>
  <si>
    <t>https://ev-database.org/car/1996/BMW-iX1-eDrive20</t>
  </si>
  <si>
    <t>https://ev-database.org/img/auto/BMW_iX1_2022/BMW_iX1_2022-01-thumb.jpg</t>
  </si>
  <si>
    <t>iX1 eDrive20</t>
  </si>
  <si>
    <t>8.3 sec</t>
  </si>
  <si>
    <t>390 km</t>
  </si>
  <si>
    <t>520 km/h</t>
  </si>
  <si>
    <t>£45,465</t>
  </si>
  <si>
    <t>https://ev-database.org/car/2098/Porsche-Taycan</t>
  </si>
  <si>
    <t>https://ev-database.org/img/auto/Porsche_Taycan_2024/Porsche_Taycan_2024-01-thumb.jpg</t>
  </si>
  <si>
    <t>Taycan</t>
  </si>
  <si>
    <t>82.3</t>
  </si>
  <si>
    <t>4.8 sec</t>
  </si>
  <si>
    <t>1090 km/h</t>
  </si>
  <si>
    <t>£86,500</t>
  </si>
  <si>
    <t>https://ev-database.org/car/2200/BMW-i4-xDrive40</t>
  </si>
  <si>
    <t>i4 xDrive40</t>
  </si>
  <si>
    <t>5.1 sec</t>
  </si>
  <si>
    <t>* £63,000</t>
  </si>
  <si>
    <t>https://ev-database.org/car/2226/Polestar-2-Long-Range-Single-Motor</t>
  </si>
  <si>
    <t>2 Long Range Single Motor</t>
  </si>
  <si>
    <t>6.2 sec</t>
  </si>
  <si>
    <t>£48,950</t>
  </si>
  <si>
    <t>https://ev-database.org/car/1821/XPENG-P7-RWD-Long-Range</t>
  </si>
  <si>
    <t>https://ev-database.org/img/auto/XPENG_P7/XPENG_P7-01-thumb.jpg</t>
  </si>
  <si>
    <t>P7 RWD Long Range</t>
  </si>
  <si>
    <t>82.7</t>
  </si>
  <si>
    <t>167 Wh/km</t>
  </si>
  <si>
    <t>5.99</t>
  </si>
  <si>
    <t>https://ev-database.org/car/2026/Skoda-Enyaq-Coupe-RS</t>
  </si>
  <si>
    <t>https://ev-database.org/img/auto/Skoda_Enyaq_Coupe_RS_iV_2022/Skoda_Enyaq_Coupe_RS_iV_2022-01-thumb.jpg</t>
  </si>
  <si>
    <t>Enyaq Coupe RS</t>
  </si>
  <si>
    <t>5.5 sec</t>
  </si>
  <si>
    <t>460 km</t>
  </si>
  <si>
    <t>690 km/h</t>
  </si>
  <si>
    <t>£54,820</t>
  </si>
  <si>
    <t>https://ev-database.org/car/2190/Mini-Aceman-E</t>
  </si>
  <si>
    <t>https://ev-database.org/img/auto/Mini_Aceman_Electric_2024/Mini_Aceman_Electric_2024-01-thumb.jpg</t>
  </si>
  <si>
    <t>Aceman E</t>
  </si>
  <si>
    <t>38.5</t>
  </si>
  <si>
    <t>£31,800</t>
  </si>
  <si>
    <t>https://ev-database.org/car/2234/CUPRA-Born-170-kW---77-kWh</t>
  </si>
  <si>
    <t>Born 170 kW - 77 kWh</t>
  </si>
  <si>
    <t>7.0 sec</t>
  </si>
  <si>
    <t>£41,795</t>
  </si>
  <si>
    <t>https://ev-database.org/car/1316/Lucid-Air-Grand-Touring</t>
  </si>
  <si>
    <t>Air Grand Touring</t>
  </si>
  <si>
    <t>3.0 sec</t>
  </si>
  <si>
    <t>270 km/h</t>
  </si>
  <si>
    <t>665 km</t>
  </si>
  <si>
    <t>168 Wh/km</t>
  </si>
  <si>
    <t>1030 km/h</t>
  </si>
  <si>
    <t>5.95</t>
  </si>
  <si>
    <t>https://ev-database.org/car/1666/Kia-Niro-EV</t>
  </si>
  <si>
    <t>https://ev-database.org/img/auto/Kia-NiroEV-2022/Kia-NiroEV-2022-01-thumb.jpg</t>
  </si>
  <si>
    <t>Niro EV</t>
  </si>
  <si>
    <t>Available to order since June 2022</t>
  </si>
  <si>
    <t>64.8</t>
  </si>
  <si>
    <t>7.8 sec</t>
  </si>
  <si>
    <t>167 km/h</t>
  </si>
  <si>
    <t>385 km</t>
  </si>
  <si>
    <t>£37,295</t>
  </si>
  <si>
    <t>https://ev-database.org/car/1719/Hyundai-IONIQ-6-Long-Range-AWD</t>
  </si>
  <si>
    <t>IONIQ 6 Long Range AWD</t>
  </si>
  <si>
    <t>440 km</t>
  </si>
  <si>
    <t>1150 km/h</t>
  </si>
  <si>
    <t>£50,540</t>
  </si>
  <si>
    <t>https://ev-database.org/car/1830/Hyundai-Kona-Electric-65-kWh</t>
  </si>
  <si>
    <t>Kona Electric 65 kWh</t>
  </si>
  <si>
    <t>65.4</t>
  </si>
  <si>
    <t>£38,595</t>
  </si>
  <si>
    <t>https://ev-database.org/car/1903/Abarth-500e-Hatchback</t>
  </si>
  <si>
    <t>https://ev-database.org/img/auto/Abarth_500e_Hatchback/Abarth_500e_Hatchback-01-thumb.jpg</t>
  </si>
  <si>
    <t>500e Hatchback</t>
  </si>
  <si>
    <t>37.8</t>
  </si>
  <si>
    <t>155 km/h</t>
  </si>
  <si>
    <t>370 km/h</t>
  </si>
  <si>
    <t>£34,195</t>
  </si>
  <si>
    <t>https://ev-database.org/car/1904/Abarth-500e-Convertible</t>
  </si>
  <si>
    <t>https://ev-database.org/img/auto/Abarth_500e_Convertible/Abarth_500e_Convertible-01-thumb.jpg</t>
  </si>
  <si>
    <t>500e Convertible</t>
  </si>
  <si>
    <t>£37,195</t>
  </si>
  <si>
    <t>https://ev-database.org/car/1984/Mercedes-Benz-EQA-250</t>
  </si>
  <si>
    <t>https://ev-database.org/img/auto/Mercedes_EQA_2024/Mercedes_EQA_2024-01-thumb.jpg</t>
  </si>
  <si>
    <t>EQA 250</t>
  </si>
  <si>
    <t>66.5</t>
  </si>
  <si>
    <t>570 km/h</t>
  </si>
  <si>
    <t>https://ev-database.org/car/1985/Mercedes-Benz-EQA-250plus</t>
  </si>
  <si>
    <t>EQA 250+</t>
  </si>
  <si>
    <t>70.5</t>
  </si>
  <si>
    <t>£49,750</t>
  </si>
  <si>
    <t>https://ev-database.org/car/2040/BMW-iX2-xDrive30</t>
  </si>
  <si>
    <t>iX2 xDrive30</t>
  </si>
  <si>
    <t>£57,445</t>
  </si>
  <si>
    <t>https://ev-database.org/car/2100/Porsche-Taycan-4S</t>
  </si>
  <si>
    <t>Taycan 4S</t>
  </si>
  <si>
    <t>3.7 sec</t>
  </si>
  <si>
    <t>1080 km/h</t>
  </si>
  <si>
    <t>£95,900</t>
  </si>
  <si>
    <t>https://ev-database.org/car/2240/Ford-Capri-Standard-Range-RWD</t>
  </si>
  <si>
    <t>https://ev-database.org/img/auto/Ford_Capri_2024/Ford_Capri_2024-01-thumb.jpg</t>
  </si>
  <si>
    <t>Capri Standard Range RWD</t>
  </si>
  <si>
    <t>£45,875</t>
  </si>
  <si>
    <t>https://ev-database.org/car/2250/Skoda-Enyaq-50</t>
  </si>
  <si>
    <t>https://ev-database.org/img/auto/Skoda_Enyaq_iV_2020/Skoda_Enyaq_iV_2020-01-thumb.jpg</t>
  </si>
  <si>
    <t>Enyaq 50</t>
  </si>
  <si>
    <t>9.1 sec</t>
  </si>
  <si>
    <t>£36,970</t>
  </si>
  <si>
    <t>https://ev-database.org/car/2251/Fiat-Grande-Panda</t>
  </si>
  <si>
    <t>https://ev-database.org/img/auto/Fiat_Grande_Panda_2024/Fiat_Grande_Panda_2024-01-thumb.jpg</t>
  </si>
  <si>
    <t>Grande Panda</t>
  </si>
  <si>
    <t>43.8</t>
  </si>
  <si>
    <t>11.0 sec</t>
  </si>
  <si>
    <t>132 km/h</t>
  </si>
  <si>
    <t>https://ev-database.org/car/2268/Alpine-A290-Electric-180-hp</t>
  </si>
  <si>
    <t>https://ev-database.org/img/auto/Alpine_A290_2024/Alpine_A290_2024-01-thumb.jpg</t>
  </si>
  <si>
    <t>A290 Electric 180 hp</t>
  </si>
  <si>
    <t>Available to order since July 2024</t>
  </si>
  <si>
    <t>* £33,000</t>
  </si>
  <si>
    <t>https://ev-database.org/car/2272/Audi-A6-Avant-e-tron-performance</t>
  </si>
  <si>
    <t>A6 Avant e-tron performance</t>
  </si>
  <si>
    <t>1130 km/h</t>
  </si>
  <si>
    <t>£71,700</t>
  </si>
  <si>
    <t>https://ev-database.org/car/3060/Porsche-Taycan-4</t>
  </si>
  <si>
    <t>Taycan 4</t>
  </si>
  <si>
    <t>4.6 sec</t>
  </si>
  <si>
    <t>https://ev-database.org/car/1619/Tesla-Model-Y-Long-Range-Dual-Motor</t>
  </si>
  <si>
    <t>Model Y Long Range Dual Motor</t>
  </si>
  <si>
    <t>Available to order since February 2022</t>
  </si>
  <si>
    <t>5.0 sec</t>
  </si>
  <si>
    <t>445 km</t>
  </si>
  <si>
    <t>169 Wh/km</t>
  </si>
  <si>
    <t>£51,990</t>
  </si>
  <si>
    <t>5.92</t>
  </si>
  <si>
    <t>https://ev-database.org/car/1707/MG-MG4-Electric-51-kWh</t>
  </si>
  <si>
    <t>https://ev-database.org/img/auto/MG_MG4_Electric_2022/MG_MG4_Electric_2022-01-thumb.jpg</t>
  </si>
  <si>
    <t>MG4 Electric 51 kWh</t>
  </si>
  <si>
    <t>Available to order since October 2022</t>
  </si>
  <si>
    <t>7.7 sec</t>
  </si>
  <si>
    <t>https://ev-database.org/car/1744/Peugeot-e-308</t>
  </si>
  <si>
    <t>https://ev-database.org/img/auto/Peugeot_e-308/Peugeot_e-308-01-thumb.jpg</t>
  </si>
  <si>
    <t>e-308</t>
  </si>
  <si>
    <t>Available to order since April 2023</t>
  </si>
  <si>
    <t>9.8 sec</t>
  </si>
  <si>
    <t>450 km/h</t>
  </si>
  <si>
    <t>£42,025</t>
  </si>
  <si>
    <t>https://ev-database.org/car/1745/Peugeot-e-308-SW</t>
  </si>
  <si>
    <t>https://ev-database.org/img/auto/Peugeot_e-308_SW/Peugeot_e-308_SW-01-thumb.jpg</t>
  </si>
  <si>
    <t>e-308 SW</t>
  </si>
  <si>
    <t>£41,250</t>
  </si>
  <si>
    <t>https://ev-database.org/car/1791/DS-3-E-Tense</t>
  </si>
  <si>
    <t>https://ev-database.org/img/auto/DS_3_2023/DS_3_2023-01-thumb.jpg</t>
  </si>
  <si>
    <t>3 E-Tense</t>
  </si>
  <si>
    <t>£37,200</t>
  </si>
  <si>
    <t>https://ev-database.org/car/1917/BYD-DOLPHIN-449-kWh-Active</t>
  </si>
  <si>
    <t>https://ev-database.org/img/auto/BYD_DOLPHIN/BYD_DOLPHIN-01-thumb.jpg</t>
  </si>
  <si>
    <t>DOLPHIN 44.9 kWh Active</t>
  </si>
  <si>
    <t>44.9</t>
  </si>
  <si>
    <t>12.3 sec</t>
  </si>
  <si>
    <t>265 km</t>
  </si>
  <si>
    <t>* €28,000</t>
  </si>
  <si>
    <t>£26,195</t>
  </si>
  <si>
    <t>https://ev-database.org/car/1947/Peugeot-e-2008-54-kWh</t>
  </si>
  <si>
    <t>https://ev-database.org/img/auto/Peugeot_e-2008_2024/Peugeot_e-2008_2024-01-thumb.jpg</t>
  </si>
  <si>
    <t>e-2008 54 kWh</t>
  </si>
  <si>
    <t>£37,300</t>
  </si>
  <si>
    <t>https://ev-database.org/car/2031/Volkswagen-ID5-Pro</t>
  </si>
  <si>
    <t>https://ev-database.org/img/auto/Volkswagen_ID5_2024/Volkswagen_ID5_2024-01-thumb.jpg</t>
  </si>
  <si>
    <t>ID.5 Pro</t>
  </si>
  <si>
    <t>680 km/h</t>
  </si>
  <si>
    <t>£50,940</t>
  </si>
  <si>
    <t>https://ev-database.org/car/2039/Citroen-e-C3</t>
  </si>
  <si>
    <t>https://ev-database.org/img/auto/Citroen_e-C3/Citroen_e-C3-01-thumb.jpg</t>
  </si>
  <si>
    <t>e-C3</t>
  </si>
  <si>
    <t>11.5 sec</t>
  </si>
  <si>
    <t>£21,990</t>
  </si>
  <si>
    <t>https://ev-database.org/car/2099/Porsche-Taycan-Plus</t>
  </si>
  <si>
    <t>Taycan Plus</t>
  </si>
  <si>
    <t>1340 km/h</t>
  </si>
  <si>
    <t>£90,954</t>
  </si>
  <si>
    <t>https://ev-database.org/car/2211/Kia-EV3-Standard-Range</t>
  </si>
  <si>
    <t>https://ev-database.org/img/auto/Kia_EV3_2025/Kia_EV3_2025-01-thumb.jpg</t>
  </si>
  <si>
    <t>EV3 Standard Range</t>
  </si>
  <si>
    <t>7.5 sec</t>
  </si>
  <si>
    <t>325 km</t>
  </si>
  <si>
    <t>https://ev-database.org/car/1405/Tesla-Model-S-Plaid</t>
  </si>
  <si>
    <t>Model S Plaid</t>
  </si>
  <si>
    <t>2.3 sec</t>
  </si>
  <si>
    <t>282 km/h</t>
  </si>
  <si>
    <t>560 km</t>
  </si>
  <si>
    <t>170 Wh/km</t>
  </si>
  <si>
    <t>* £100,000</t>
  </si>
  <si>
    <t>5.88</t>
  </si>
  <si>
    <t>https://ev-database.org/car/1701/BMW-iX1-xDrive30</t>
  </si>
  <si>
    <t>iX1 xDrive30</t>
  </si>
  <si>
    <t>£47,465</t>
  </si>
  <si>
    <t>https://ev-database.org/car/1988/Mercedes-Benz-EQB-250plus</t>
  </si>
  <si>
    <t>https://ev-database.org/img/auto/Mercedes_EQB_2024/Mercedes_EQB_2024-01-thumb.jpg</t>
  </si>
  <si>
    <t>EQB 250+</t>
  </si>
  <si>
    <t>8.9 sec</t>
  </si>
  <si>
    <t>£52,800</t>
  </si>
  <si>
    <t>https://ev-database.org/car/1994/Mini-Countryman-E</t>
  </si>
  <si>
    <t>https://ev-database.org/img/auto/Mini_Countryman_2024/Mini_Countryman_2024-01-thumb.jpg</t>
  </si>
  <si>
    <t>Countryman E</t>
  </si>
  <si>
    <t>64.6</t>
  </si>
  <si>
    <t>£42,080</t>
  </si>
  <si>
    <t>https://ev-database.org/car/2128/CUPRA-Born-VZ</t>
  </si>
  <si>
    <t>https://ev-database.org/img/auto/Cupra_el-Born_Veloz/Cupra_el-Born_Veloz-01-thumb.jpg</t>
  </si>
  <si>
    <t>Born VZ</t>
  </si>
  <si>
    <t>465 km</t>
  </si>
  <si>
    <t>750 km/h</t>
  </si>
  <si>
    <t>£44,625</t>
  </si>
  <si>
    <t>https://ev-database.org/car/2191/Mini-Aceman-SE</t>
  </si>
  <si>
    <t>Aceman SE</t>
  </si>
  <si>
    <t>7.1 sec</t>
  </si>
  <si>
    <t>£36,300</t>
  </si>
  <si>
    <t>https://ev-database.org/car/2204/Mercedes-Benz-EQE-300</t>
  </si>
  <si>
    <t>https://ev-database.org/img/auto/Mercedes_EQE/Mercedes_EQE-01-thumb.jpg</t>
  </si>
  <si>
    <t>EQE 300</t>
  </si>
  <si>
    <t>660 km/h</t>
  </si>
  <si>
    <t>https://ev-database.org/car/2269/Alpine-A290-Electric-220-hp</t>
  </si>
  <si>
    <t>A290 Electric 220 hp</t>
  </si>
  <si>
    <t>305 km</t>
  </si>
  <si>
    <t>* £36,000</t>
  </si>
  <si>
    <t>https://ev-database.org/car/3058/Mini-Cooper-JCW</t>
  </si>
  <si>
    <t>https://ev-database.org/img/auto/Mini_Cooper_Electric_JCW_2024/Mini_Cooper_Electric_JCW_2024-01-thumb.jpg</t>
  </si>
  <si>
    <t>Cooper JCW</t>
  </si>
  <si>
    <t>£39,000</t>
  </si>
  <si>
    <t>https://ev-database.org/car/1474/MG-MG5-Electric-Long-Range</t>
  </si>
  <si>
    <t>https://ev-database.org/img/auto/MG_MG5_Electric_2021/MG_MG5_Electric_2021-01-thumb.jpg</t>
  </si>
  <si>
    <t>MG5 Electric Long Range</t>
  </si>
  <si>
    <t>57.4</t>
  </si>
  <si>
    <t>171 Wh/km</t>
  </si>
  <si>
    <t>5.85</t>
  </si>
  <si>
    <t>https://ev-database.org/car/1708/MG-MG4-Electric-64-kWh</t>
  </si>
  <si>
    <t>MG4 Electric 64 kWh</t>
  </si>
  <si>
    <t>61.7</t>
  </si>
  <si>
    <t>£29,495</t>
  </si>
  <si>
    <t>https://ev-database.org/car/1766/Aiways-U6</t>
  </si>
  <si>
    <t>https://ev-database.org/img/auto/Aiways_U6/Aiways_U6-01-thumb.jpg</t>
  </si>
  <si>
    <t>U6</t>
  </si>
  <si>
    <t>https://ev-database.org/car/1946/Peugeot-e-2008-50-kWh</t>
  </si>
  <si>
    <t>e-2008 50 kWh</t>
  </si>
  <si>
    <t>9.9 sec</t>
  </si>
  <si>
    <t>270 km</t>
  </si>
  <si>
    <t>£32,300</t>
  </si>
  <si>
    <t>https://ev-database.org/car/2020/Skoda-Enyaq-85</t>
  </si>
  <si>
    <t>Enyaq 85</t>
  </si>
  <si>
    <t>450 km</t>
  </si>
  <si>
    <t>670 km/h</t>
  </si>
  <si>
    <t>£44,540</t>
  </si>
  <si>
    <t>https://ev-database.org/car/2193/Mercedes-Benz-EQS-450plus</t>
  </si>
  <si>
    <t>https://ev-database.org/img/auto/Mercedes_EQS_2024/Mercedes_EQS_2024-01-thumb.jpg</t>
  </si>
  <si>
    <t>EQS 450+</t>
  </si>
  <si>
    <t>690 km</t>
  </si>
  <si>
    <t>870 km/h</t>
  </si>
  <si>
    <t>£112,610</t>
  </si>
  <si>
    <t>https://ev-database.org/car/2210/Volkswagen-ID3-Pro-S</t>
  </si>
  <si>
    <t>ID.3 Pro S</t>
  </si>
  <si>
    <t>£39,190</t>
  </si>
  <si>
    <t>https://ev-database.org/car/2212/Kia-EV3-Long-Range</t>
  </si>
  <si>
    <t>EV3 Long Range</t>
  </si>
  <si>
    <t>£35,995</t>
  </si>
  <si>
    <t>https://ev-database.org/car/2241/Ford-Capri-Extended-Range-RWD</t>
  </si>
  <si>
    <t>Capri Extended Range RWD</t>
  </si>
  <si>
    <t>£48,075</t>
  </si>
  <si>
    <t>https://ev-database.org/car/3032/Skoda-Elroq-60</t>
  </si>
  <si>
    <t>Elroq 60</t>
  </si>
  <si>
    <t>8.5 sec</t>
  </si>
  <si>
    <t>345 km</t>
  </si>
  <si>
    <t>https://ev-database.org/car/3033/Skoda-Elroq-85</t>
  </si>
  <si>
    <t>Elroq 85</t>
  </si>
  <si>
    <t>£38,650</t>
  </si>
  <si>
    <t>https://ev-database.org/car/2001/BYD-SEAL-825-kWh-RWD-Design</t>
  </si>
  <si>
    <t>https://ev-database.org/img/auto/BYD_SEAL/BYD_SEAL-01-thumb.jpg</t>
  </si>
  <si>
    <t>SEAL 82.5 kWh RWD Design</t>
  </si>
  <si>
    <t>82.5</t>
  </si>
  <si>
    <t>172 Wh/km</t>
  </si>
  <si>
    <t>£45,695</t>
  </si>
  <si>
    <t>5.81</t>
  </si>
  <si>
    <t>https://ev-database.org/car/2101/Porsche-Taycan-4S-Plus</t>
  </si>
  <si>
    <t>Taycan 4S Plus</t>
  </si>
  <si>
    <t>1310 km/h</t>
  </si>
  <si>
    <t>£100,196</t>
  </si>
  <si>
    <t>https://ev-database.org/car/2152/Volkswagen-ID3-GTX</t>
  </si>
  <si>
    <t>https://ev-database.org/img/auto/Volkswagen_ID3_GTX_2024/Volkswagen_ID3_GTX_2024-01-thumb.jpg</t>
  </si>
  <si>
    <t>ID.3 GTX</t>
  </si>
  <si>
    <t>740 km/h</t>
  </si>
  <si>
    <t>* £43,000</t>
  </si>
  <si>
    <t>https://ev-database.org/car/2153/Volkswagen-ID3-GTX-Performance</t>
  </si>
  <si>
    <t>https://ev-database.org/img/auto/Volkswagen_ID3_GTX_Performance_2024/Volkswagen_ID3_GTX_Performance_2024-01-thumb.jpg</t>
  </si>
  <si>
    <t>ID.3 GTX Performance</t>
  </si>
  <si>
    <t>Available to order since August 2024</t>
  </si>
  <si>
    <t>£46,225</t>
  </si>
  <si>
    <t>https://ev-database.org/car/3061/Porsche-Taycan-4-Plus</t>
  </si>
  <si>
    <t>Taycan 4 Plus</t>
  </si>
  <si>
    <t>https://ev-database.org/car/1749/Kia-e-Soul-64-kWh</t>
  </si>
  <si>
    <t>https://ev-database.org/img/auto/Kia_e-Soul_2023/Kia_e-Soul_2023-01-thumb.jpg</t>
  </si>
  <si>
    <t>e-Soul 64 kWh</t>
  </si>
  <si>
    <t>Available to order since September 2022</t>
  </si>
  <si>
    <t>370 km</t>
  </si>
  <si>
    <t>173 Wh/km</t>
  </si>
  <si>
    <t>5.78</t>
  </si>
  <si>
    <t>https://ev-database.org/car/1906/BMW-i5-eDrive40-Sedan</t>
  </si>
  <si>
    <t>https://ev-database.org/img/auto/BMW_i5_eDrive40_Sedan/BMW_i5_eDrive40_Sedan-01-thumb.jpg</t>
  </si>
  <si>
    <t>i5 eDrive40 Sedan</t>
  </si>
  <si>
    <t>81.2</t>
  </si>
  <si>
    <t>193 km/h</t>
  </si>
  <si>
    <t>£74,105</t>
  </si>
  <si>
    <t>https://ev-database.org/car/1918/BYD-DOLPHIN-449-kWh-Boost</t>
  </si>
  <si>
    <t>DOLPHIN 44.9 kWh Boost</t>
  </si>
  <si>
    <t>* €30,000</t>
  </si>
  <si>
    <t>£27,195</t>
  </si>
  <si>
    <t>https://ev-database.org/car/1919/BYD-DOLPHIN-604-kWh</t>
  </si>
  <si>
    <t>DOLPHIN 60.4 kWh</t>
  </si>
  <si>
    <t>60.5</t>
  </si>
  <si>
    <t>£30,195</t>
  </si>
  <si>
    <t>https://ev-database.org/car/1971/CUPRA-Tavascan-Endurance</t>
  </si>
  <si>
    <t>https://ev-database.org/img/auto/CUPRA_Tavascan_2024/CUPRA_Tavascan_2024-01-thumb.jpg</t>
  </si>
  <si>
    <t>Tavascan Endurance</t>
  </si>
  <si>
    <t>6.8 sec</t>
  </si>
  <si>
    <t>£47,340</t>
  </si>
  <si>
    <t>https://ev-database.org/car/2028/Volkswagen-ID4-Pro</t>
  </si>
  <si>
    <t>https://ev-database.org/img/auto/Volkswagen_ID4_2024/Volkswagen_ID4_2024-01-thumb.jpg</t>
  </si>
  <si>
    <t>ID.4 Pro</t>
  </si>
  <si>
    <t>£46,035</t>
  </si>
  <si>
    <t>https://ev-database.org/car/2167/Ford-Explorer-Standard-Range-RWD</t>
  </si>
  <si>
    <t>https://ev-database.org/img/auto/Ford_Explorer_2024/Ford_Explorer_2024-01-thumb.jpg</t>
  </si>
  <si>
    <t>Explorer Standard Range RWD</t>
  </si>
  <si>
    <t>£39,875</t>
  </si>
  <si>
    <t>https://ev-database.org/car/2202/MG-Cyberster-Trophy</t>
  </si>
  <si>
    <t>https://ev-database.org/img/auto/MG_Cyberster/MG_Cyberster-01-thumb.jpg</t>
  </si>
  <si>
    <t>Cyberster Trophy</t>
  </si>
  <si>
    <t>74.4</t>
  </si>
  <si>
    <t>195 km/h</t>
  </si>
  <si>
    <t>* €65,000</t>
  </si>
  <si>
    <t>£54,995</t>
  </si>
  <si>
    <t>https://ev-database.org/car/2205/Mercedes-Benz-EQE-350plus</t>
  </si>
  <si>
    <t>EQE 350+</t>
  </si>
  <si>
    <t>555 km</t>
  </si>
  <si>
    <t>770 km/h</t>
  </si>
  <si>
    <t>£68,360</t>
  </si>
  <si>
    <t>https://ev-database.org/car/2249/Audi-Q4-Sportback-e-tron-35</t>
  </si>
  <si>
    <t>https://ev-database.org/img/auto/Audi_Q4_e-tron_Sportback_2021/Audi_Q4_e-tron_Sportback_2021-01-thumb.jpg</t>
  </si>
  <si>
    <t>Q4 Sportback e-tron 35</t>
  </si>
  <si>
    <t>https://ev-database.org/car/2271/Audi-S6-Sportback-e-tron</t>
  </si>
  <si>
    <t>https://ev-database.org/img/auto/Audi_S6_Sportback_etron_2024/Audi_S6_Sportback_etron_2024-01-thumb.jpg</t>
  </si>
  <si>
    <t>S6 Sportback e-tron</t>
  </si>
  <si>
    <t>3.9 sec</t>
  </si>
  <si>
    <t>550 km</t>
  </si>
  <si>
    <t>1100 km/h</t>
  </si>
  <si>
    <t>£97,500</t>
  </si>
  <si>
    <t>https://ev-database.org/car/1183/Tesla-Model-Y-Performance</t>
  </si>
  <si>
    <t>Model Y Performance</t>
  </si>
  <si>
    <t>3.8 sec</t>
  </si>
  <si>
    <t>174 Wh/km</t>
  </si>
  <si>
    <t>5.75</t>
  </si>
  <si>
    <t>https://ev-database.org/car/1646/MG-MG5-Electric-Standard-Range</t>
  </si>
  <si>
    <t>MG5 Electric Standard Range</t>
  </si>
  <si>
    <t>320 km/h</t>
  </si>
  <si>
    <t>https://ev-database.org/car/1657/Nissan-Leaf-eplus</t>
  </si>
  <si>
    <t>Leaf e+</t>
  </si>
  <si>
    <t>157 km/h</t>
  </si>
  <si>
    <t>https://ev-database.org/car/2092/GWM-ORA-03-63-kWh</t>
  </si>
  <si>
    <t>https://ev-database.org/img/auto/ORA_Funky_Cat_2022/ORA_Funky_Cat_2022-01-thumb.jpg</t>
  </si>
  <si>
    <t>ORA 03 63 kWh</t>
  </si>
  <si>
    <t>59.3</t>
  </si>
  <si>
    <t>290 km/h</t>
  </si>
  <si>
    <t>https://ev-database.org/car/2227/Polestar-2-Long-Range-Dual-Motor</t>
  </si>
  <si>
    <t>2 Long Range Dual Motor</t>
  </si>
  <si>
    <t>4.5 sec</t>
  </si>
  <si>
    <t>£52,950</t>
  </si>
  <si>
    <t>https://ev-database.org/car/2235/Hyundai-IONIQ-5-63-kWh-RWD</t>
  </si>
  <si>
    <t>https://ev-database.org/img/auto/Hyundai_IONIQ5_2024/Hyundai_IONIQ5_2024-01-thumb.jpg</t>
  </si>
  <si>
    <t>IONIQ 5 63 kWh RWD</t>
  </si>
  <si>
    <t>£39,900</t>
  </si>
  <si>
    <t>https://ev-database.org/car/1973/MG-MG4-Electric-77-kWh</t>
  </si>
  <si>
    <t>MG4 Electric 77 kWh</t>
  </si>
  <si>
    <t>425 km</t>
  </si>
  <si>
    <t>175 Wh/km</t>
  </si>
  <si>
    <t>590 km/h</t>
  </si>
  <si>
    <t>£36,495</t>
  </si>
  <si>
    <t>5.71</t>
  </si>
  <si>
    <t>https://ev-database.org/car/1999/Smart-3-Proplus</t>
  </si>
  <si>
    <t>https://ev-database.org/img/auto/Smart_3_2024/Smart_3_2024-01-thumb.jpg</t>
  </si>
  <si>
    <t>#3 Pro+</t>
  </si>
  <si>
    <t>5.8 sec</t>
  </si>
  <si>
    <t>355 km</t>
  </si>
  <si>
    <t>550 km/h</t>
  </si>
  <si>
    <t>£36,950</t>
  </si>
  <si>
    <t>https://ev-database.org/car/2021/Skoda-Enyaq-85x</t>
  </si>
  <si>
    <t>Enyaq 85x</t>
  </si>
  <si>
    <t>£48,605</t>
  </si>
  <si>
    <t>https://ev-database.org/car/2054/Smart-3-Premium</t>
  </si>
  <si>
    <t>#3 Premium</t>
  </si>
  <si>
    <t>£40,450</t>
  </si>
  <si>
    <t>https://ev-database.org/car/2091/GWM-ORA-03-48-kWh</t>
  </si>
  <si>
    <t>ORA 03 48 kWh</t>
  </si>
  <si>
    <t>45.4</t>
  </si>
  <si>
    <t>£31,995</t>
  </si>
  <si>
    <t>https://ev-database.org/car/3027/Lexus-RZ-300e</t>
  </si>
  <si>
    <t>https://ev-database.org/img/auto/Lexus_RZ_450e/Lexus_RZ_450e-01-thumb.jpg</t>
  </si>
  <si>
    <t>RZ 300e</t>
  </si>
  <si>
    <t>365 km</t>
  </si>
  <si>
    <t>540 km/h</t>
  </si>
  <si>
    <t>https://ev-database.org/car/1680/Mazda-MX-30</t>
  </si>
  <si>
    <t>https://ev-database.org/img/auto/Mazda_MX-30/Mazda_MX-30-01-thumb.jpg</t>
  </si>
  <si>
    <t>MX-30</t>
  </si>
  <si>
    <t>Available to order since May 2022</t>
  </si>
  <si>
    <t>170 km</t>
  </si>
  <si>
    <t>176 Wh/km</t>
  </si>
  <si>
    <t>£31,250</t>
  </si>
  <si>
    <t>5.68</t>
  </si>
  <si>
    <t>https://ev-database.org/car/2068/Renault-Scenic-E-Tech-EV60-170hp</t>
  </si>
  <si>
    <t>https://ev-database.org/img/auto/Renault_Scenic_ETech/Renault_Scenic_ETech-01-thumb.jpg</t>
  </si>
  <si>
    <t>Scenic E-Tech EV60 170hp</t>
  </si>
  <si>
    <t>£37,495</t>
  </si>
  <si>
    <t>https://ev-database.org/car/2206/Mercedes-Benz-EQE-350-4MATIC</t>
  </si>
  <si>
    <t>EQE 350 4MATIC</t>
  </si>
  <si>
    <t>90.6</t>
  </si>
  <si>
    <t>6.3 sec</t>
  </si>
  <si>
    <t>https://ev-database.org/car/2224/Citroen-e-C3-Aircross</t>
  </si>
  <si>
    <t>https://ev-database.org/img/auto/Citroen_e-C3_Aircross/Citroen_e-C3_Aircross-01-thumb.jpg</t>
  </si>
  <si>
    <t>e-C3 Aircross</t>
  </si>
  <si>
    <t>12.9 sec</t>
  </si>
  <si>
    <t>145 km/h</t>
  </si>
  <si>
    <t>* £24,500</t>
  </si>
  <si>
    <t>https://ev-database.org/car/2228/Polestar-2-Long-Range-Performance</t>
  </si>
  <si>
    <t>2 Long Range Performance</t>
  </si>
  <si>
    <t>4.2 sec</t>
  </si>
  <si>
    <t>£57,950</t>
  </si>
  <si>
    <t>https://ev-database.org/car/2238/Opel-Frontera-44-kWh</t>
  </si>
  <si>
    <t>https://ev-database.org/img/auto/Opel_Frontera_2024/Opel_Frontera_2024-01-thumb.jpg</t>
  </si>
  <si>
    <t>Frontera 44 kWh</t>
  </si>
  <si>
    <t>12.1 sec</t>
  </si>
  <si>
    <t>https://ev-database.org/car/3045/LynkCo-02</t>
  </si>
  <si>
    <t>https://ev-database.org/img/auto/LynkCo_02_2024/LynkCo_02_2024-01-thumb.jpg</t>
  </si>
  <si>
    <t>https://ev-database.org/car/3059/Mini-Aceman-JCW</t>
  </si>
  <si>
    <t>https://ev-database.org/img/auto/Mini_Aceman_Electric_JCW_2024/Mini_Aceman_Electric_JCW_2024-01-thumb.jpg</t>
  </si>
  <si>
    <t>Aceman JCW</t>
  </si>
  <si>
    <t>280 km</t>
  </si>
  <si>
    <t>£40,800</t>
  </si>
  <si>
    <t>https://ev-database.org/car/1480/Kia-EV6-Standard-Range-2WD</t>
  </si>
  <si>
    <t>https://ev-database.org/img/auto/Kia_EV6_2021/Kia_EV6_2021-01-thumb.jpg</t>
  </si>
  <si>
    <t>EV6 Standard Range 2WD</t>
  </si>
  <si>
    <t>Available to order since October 2021</t>
  </si>
  <si>
    <t>177 Wh/km</t>
  </si>
  <si>
    <t>1.63E+09</t>
  </si>
  <si>
    <t>5.65</t>
  </si>
  <si>
    <t>https://ev-database.org/car/1751/NIO-ET7-Standard-Range</t>
  </si>
  <si>
    <t>https://ev-database.org/img/auto/NIO_ET7/NIO_ET7-01-thumb.jpg</t>
  </si>
  <si>
    <t>ET7 Standard Range</t>
  </si>
  <si>
    <t>73.5</t>
  </si>
  <si>
    <t>https://ev-database.org/car/1995/Mini-Countryman-SE-ALL4</t>
  </si>
  <si>
    <t>Countryman SE ALL4</t>
  </si>
  <si>
    <t>£47,180</t>
  </si>
  <si>
    <t>https://ev-database.org/car/2016/Audi-Q4-Sportback-e-tron-45</t>
  </si>
  <si>
    <t>Q4 Sportback e-tron 45</t>
  </si>
  <si>
    <t>435 km</t>
  </si>
  <si>
    <t>650 km/h</t>
  </si>
  <si>
    <t>£52,245</t>
  </si>
  <si>
    <t>https://ev-database.org/car/2022/Skoda-Enyaq-RS</t>
  </si>
  <si>
    <t>Enyaq RS</t>
  </si>
  <si>
    <t>£53,120</t>
  </si>
  <si>
    <t>https://ev-database.org/car/2029/Volkswagen-ID4-Pro-4MOTION</t>
  </si>
  <si>
    <t>ID.4 Pro 4MOTION</t>
  </si>
  <si>
    <t>£46,080</t>
  </si>
  <si>
    <t>https://ev-database.org/car/2052/Smart-3-Pro</t>
  </si>
  <si>
    <t>#3 Pro</t>
  </si>
  <si>
    <t>£32,950</t>
  </si>
  <si>
    <t>https://ev-database.org/car/2216/Volkswagen-ID7-GTX</t>
  </si>
  <si>
    <t>https://ev-database.org/img/auto/Volkswagen_ID7_GTX/Volkswagen_ID7_GTX-01-thumb.jpg</t>
  </si>
  <si>
    <t>ID.7 GTX</t>
  </si>
  <si>
    <t>£61,980</t>
  </si>
  <si>
    <t>https://ev-database.org/car/3046/Omoda-E5</t>
  </si>
  <si>
    <t>https://ev-database.org/img/auto/Omoda_E5_2024/Omoda_E5_2024-01-thumb.jpg</t>
  </si>
  <si>
    <t>E5</t>
  </si>
  <si>
    <t>172 km/h</t>
  </si>
  <si>
    <t>£33,055</t>
  </si>
  <si>
    <t>https://ev-database.org/car/3054/Audi-A6-Avant-e-tron-quattro</t>
  </si>
  <si>
    <t>A6 Avant e-tron quattro</t>
  </si>
  <si>
    <t>535 km</t>
  </si>
  <si>
    <t>1070 km/h</t>
  </si>
  <si>
    <t>https://ev-database.org/car/1752/NIO-ET7-Long-Range</t>
  </si>
  <si>
    <t>ET7 Long Range</t>
  </si>
  <si>
    <t>505 km</t>
  </si>
  <si>
    <t>178 Wh/km</t>
  </si>
  <si>
    <t>5.62</t>
  </si>
  <si>
    <t>https://ev-database.org/car/1909/Volvo-EX30-Single-Motor</t>
  </si>
  <si>
    <t>https://ev-database.org/img/auto/Volvo_EX30_2024/Volvo_EX30_2024-01-thumb.jpg</t>
  </si>
  <si>
    <t>EX30 Single Motor</t>
  </si>
  <si>
    <t>5.7 sec</t>
  </si>
  <si>
    <t>275 km</t>
  </si>
  <si>
    <t>£32,850</t>
  </si>
  <si>
    <t>https://ev-database.org/car/1910/Volvo-EX30-Single-Motor-ER</t>
  </si>
  <si>
    <t>EX30 Single Motor ER</t>
  </si>
  <si>
    <t>5.3 sec</t>
  </si>
  <si>
    <t>£37,050</t>
  </si>
  <si>
    <t>https://ev-database.org/car/2096/BMW-i5-xDrive40-Sedan</t>
  </si>
  <si>
    <t>i5 xDrive40 Sedan</t>
  </si>
  <si>
    <t>215 km/h</t>
  </si>
  <si>
    <t>https://ev-database.org/car/2114/BMW-i5-eDrive40-Touring</t>
  </si>
  <si>
    <t>https://ev-database.org/img/auto/BMW_i5_eDrive40_Touring/BMW_i5_eDrive40_Touring-01-thumb.jpg</t>
  </si>
  <si>
    <t>i5 eDrive40 Touring</t>
  </si>
  <si>
    <t>£69,945</t>
  </si>
  <si>
    <t>https://ev-database.org/car/2181/XPENG-G6-RWD-Standard-Range</t>
  </si>
  <si>
    <t>https://ev-database.org/img/auto/XPENG_G6/XPENG_G6-01-thumb.jpg</t>
  </si>
  <si>
    <t>G6 RWD Standard Range</t>
  </si>
  <si>
    <t>https://ev-database.org/car/2219/Audi-e-tron-GT-S</t>
  </si>
  <si>
    <t>https://ev-database.org/img/auto/Audi_e-tron_GT_S_2025/Audi_e-tron_GT_S_2025-01-thumb.jpg</t>
  </si>
  <si>
    <t>e-tron GT S</t>
  </si>
  <si>
    <t>3.4 sec</t>
  </si>
  <si>
    <t>245 km/h</t>
  </si>
  <si>
    <t>1270 km/h</t>
  </si>
  <si>
    <t>£107,730</t>
  </si>
  <si>
    <t>https://ev-database.org/car/2236/Hyundai-IONIQ-5-84-kWh-RWD</t>
  </si>
  <si>
    <t>IONIQ 5 84 kWh RWD</t>
  </si>
  <si>
    <t>1110 km/h</t>
  </si>
  <si>
    <t>£43,400</t>
  </si>
  <si>
    <t>https://ev-database.org/car/2242/Ford-Capri-Extended-Range-AWD</t>
  </si>
  <si>
    <t>Capri Extended Range AWD</t>
  </si>
  <si>
    <t>£56,175</t>
  </si>
  <si>
    <t>https://ev-database.org/car/3051/Opel-Mokka-Electric</t>
  </si>
  <si>
    <t>https://ev-database.org/img/auto/Opel_Mokka_Electric_2024/Opel_Mokka_Electric_2024-01-thumb.jpg</t>
  </si>
  <si>
    <t>Mokka Electric</t>
  </si>
  <si>
    <t>£33,245</t>
  </si>
  <si>
    <t>https://ev-database.org/car/1786/NIO-ET5-Standard-Range</t>
  </si>
  <si>
    <t>https://ev-database.org/img/auto/NIO_ET5/NIO_ET5-01-thumb.jpg</t>
  </si>
  <si>
    <t>ET5 Standard Range</t>
  </si>
  <si>
    <t>4.0 sec</t>
  </si>
  <si>
    <t>410 km</t>
  </si>
  <si>
    <t>179 Wh/km</t>
  </si>
  <si>
    <t>5.59</t>
  </si>
  <si>
    <t>https://ev-database.org/car/1933/Zeekr-001-Long-Range-RWD</t>
  </si>
  <si>
    <t>https://ev-database.org/img/auto/Zeekr_001_2023/Zeekr_001_2023-01-thumb.jpg</t>
  </si>
  <si>
    <t>001 Long Range RWD</t>
  </si>
  <si>
    <t>https://ev-database.org/car/2033/Volkswagen-ID5-GTX</t>
  </si>
  <si>
    <t>https://ev-database.org/img/auto/Volkswagen_ID5_GTX_2024/Volkswagen_ID5_GTX_2024-01-thumb.jpg</t>
  </si>
  <si>
    <t>ID.5 GTX</t>
  </si>
  <si>
    <t>£55,365</t>
  </si>
  <si>
    <t>https://ev-database.org/car/2104/Porsche-Taycan-Sport-Turismo</t>
  </si>
  <si>
    <t>https://ev-database.org/img/auto/Porsche_Taycan_Sport_Turismo_2024/Porsche_Taycan_Sport_Turismo_2024-01-thumb.jpg</t>
  </si>
  <si>
    <t>Taycan Sport Turismo</t>
  </si>
  <si>
    <t>1010 km/h</t>
  </si>
  <si>
    <t>£87,300</t>
  </si>
  <si>
    <t>https://ev-database.org/car/2158/Volkswagen-ID7-Tourer-GTX</t>
  </si>
  <si>
    <t>https://ev-database.org/img/auto/Volkswagen_ID7_Tourer_GTX/Volkswagen_ID7_Tourer_GTX-01-thumb.jpg</t>
  </si>
  <si>
    <t>ID.7 Tourer GTX</t>
  </si>
  <si>
    <t>£62,670</t>
  </si>
  <si>
    <t>https://ev-database.org/car/2168/Ford-Explorer-Extended-Range-RWD</t>
  </si>
  <si>
    <t>Explorer Extended Range RWD</t>
  </si>
  <si>
    <t>https://ev-database.org/car/2194/Mercedes-Benz-EQS-450-4MATIC</t>
  </si>
  <si>
    <t>EQS 450 4MATIC</t>
  </si>
  <si>
    <t>660 km</t>
  </si>
  <si>
    <t>https://ev-database.org/car/2207/Mercedes-Benz-EQE-500-4MATIC</t>
  </si>
  <si>
    <t>EQE 500 4MATIC</t>
  </si>
  <si>
    <t>£80,610</t>
  </si>
  <si>
    <t>https://ev-database.org/car/3030/Kia-EV6-Standard-Range-2WD</t>
  </si>
  <si>
    <t>https://ev-database.org/img/auto/Kia_EV6_2024/Kia_EV6_2024-01-thumb.jpg</t>
  </si>
  <si>
    <t>https://ev-database.org/car/1481/Kia-EV6-Long-Range-2WD</t>
  </si>
  <si>
    <t>EV6 Long Range 2WD</t>
  </si>
  <si>
    <t>180 Wh/km</t>
  </si>
  <si>
    <t>5.56</t>
  </si>
  <si>
    <t>https://ev-database.org/car/1784/BYD-HAN</t>
  </si>
  <si>
    <t>https://ev-database.org/img/auto/BYD_HAN/BYD_HAN-01-thumb.jpg</t>
  </si>
  <si>
    <t>HAN</t>
  </si>
  <si>
    <t>Available to order since March 2023</t>
  </si>
  <si>
    <t>85.4</t>
  </si>
  <si>
    <t>https://ev-database.org/car/1787/NIO-ET5-Long-Range</t>
  </si>
  <si>
    <t>ET5 Long Range</t>
  </si>
  <si>
    <t>500 km</t>
  </si>
  <si>
    <t>https://ev-database.org/car/1822/XPENG-P7-AWD-Performance</t>
  </si>
  <si>
    <t>P7 AWD Performance</t>
  </si>
  <si>
    <t>4.1 sec</t>
  </si>
  <si>
    <t>https://ev-database.org/car/1936/Zeekr-X-Long-Range-RWD</t>
  </si>
  <si>
    <t>https://ev-database.org/img/auto/Zeekr_X_2023/Zeekr_X_2023-01-thumb.jpg</t>
  </si>
  <si>
    <t>X Long Range RWD</t>
  </si>
  <si>
    <t>https://ev-database.org/car/1972/CUPRA-Tavascan-VZ</t>
  </si>
  <si>
    <t>Tavascan VZ</t>
  </si>
  <si>
    <t>181 Wh/km</t>
  </si>
  <si>
    <t>£55,935</t>
  </si>
  <si>
    <t>5.52</t>
  </si>
  <si>
    <t>https://ev-database.org/car/2069/Renault-Scenic-E-Tech-EV87-220hp</t>
  </si>
  <si>
    <t>Scenic E-Tech EV87 220hp</t>
  </si>
  <si>
    <t>£40,995</t>
  </si>
  <si>
    <t>https://ev-database.org/car/2102/Porsche-Taycan-Turbo</t>
  </si>
  <si>
    <t>Taycan Turbo</t>
  </si>
  <si>
    <t>2.7 sec</t>
  </si>
  <si>
    <t>260 km/h</t>
  </si>
  <si>
    <t>1240 km/h</t>
  </si>
  <si>
    <t>£134,100</t>
  </si>
  <si>
    <t>https://ev-database.org/car/2201/BMW-i4-M50</t>
  </si>
  <si>
    <t>https://ev-database.org/img/auto/BMW_i4_M50_2024/BMW_i4_M50_2024-01-thumb.jpg</t>
  </si>
  <si>
    <t>i4 M50</t>
  </si>
  <si>
    <t>225 km/h</t>
  </si>
  <si>
    <t>£72,375</t>
  </si>
  <si>
    <t>https://ev-database.org/car/2273/Audi-S6-Avant-e-tron</t>
  </si>
  <si>
    <t>https://ev-database.org/img/auto/Audi_S6_Avant_etron_2024/Audi_S6_Avant_etron_2024-01-thumb.jpg</t>
  </si>
  <si>
    <t>S6 Avant e-tron</t>
  </si>
  <si>
    <t>1050 km/h</t>
  </si>
  <si>
    <t>£99,300</t>
  </si>
  <si>
    <t>https://ev-database.org/car/3056/Abarth-600e-Turismo</t>
  </si>
  <si>
    <t>https://ev-database.org/img/auto/Abarth_600e/Abarth_600e-01-thumb.jpg</t>
  </si>
  <si>
    <t>600e Turismo</t>
  </si>
  <si>
    <t>* £37,000</t>
  </si>
  <si>
    <t>https://ev-database.org/car/3057/Abarth-600e-Scorpionissima</t>
  </si>
  <si>
    <t>https://ev-database.org/img/auto/Abarth_600e_Scorpionissima/Abarth_600e_Scorpionissima-01-thumb.jpg</t>
  </si>
  <si>
    <t>600e Scorpionissima</t>
  </si>
  <si>
    <t>* £42,000</t>
  </si>
  <si>
    <t>https://ev-database.org/car/3062/Porsche-Taycan-GTS</t>
  </si>
  <si>
    <t>https://ev-database.org/img/auto/Porsche_Taycan_GTS_2024/Porsche_Taycan_GTS_2024-01-thumb.jpg</t>
  </si>
  <si>
    <t>Taycan GTS</t>
  </si>
  <si>
    <t>3.3 sec</t>
  </si>
  <si>
    <t>£117,500</t>
  </si>
  <si>
    <t>https://ev-database.org/car/1823/XPENG-P7-Wing-Edition</t>
  </si>
  <si>
    <t>P7 Wing Edition</t>
  </si>
  <si>
    <t>182 Wh/km</t>
  </si>
  <si>
    <t>5.49</t>
  </si>
  <si>
    <t>https://ev-database.org/car/2027/Volkswagen-ID4-Pure</t>
  </si>
  <si>
    <t>ID.4 Pure</t>
  </si>
  <si>
    <t>https://ev-database.org/car/2093/GWM-ORA-03-GT</t>
  </si>
  <si>
    <t>ORA 03 GT</t>
  </si>
  <si>
    <t>https://ev-database.org/car/2182/XPENG-G6-RWD-Long-Range</t>
  </si>
  <si>
    <t>G6 RWD Long Range</t>
  </si>
  <si>
    <t>87.5</t>
  </si>
  <si>
    <t>960 km/h</t>
  </si>
  <si>
    <t>https://ev-database.org/car/2237/Hyundai-IONIQ-5-84-kWh-AWD</t>
  </si>
  <si>
    <t>IONIQ 5 84 kWh AWD</t>
  </si>
  <si>
    <t>£50,900</t>
  </si>
  <si>
    <t>https://ev-database.org/car/2248/Audi-Q4-e-tron-35</t>
  </si>
  <si>
    <t>https://ev-database.org/img/auto/Audi_Q4_e-tron_2021/Audi_Q4_e-tron_2021-01-thumb.jpg</t>
  </si>
  <si>
    <t>Q4 e-tron 35</t>
  </si>
  <si>
    <t>https://ev-database.org/car/3028/Kia-EV6-Long-Range-2WD</t>
  </si>
  <si>
    <t>£45,575</t>
  </si>
  <si>
    <t>https://ev-database.org/car/1564/Toyota-bZ4X-FWD</t>
  </si>
  <si>
    <t>https://ev-database.org/img/auto/Toyota_bZ4X/Toyota_bZ4X-01-thumb.jpg</t>
  </si>
  <si>
    <t>bZ4X FWD</t>
  </si>
  <si>
    <t>183 Wh/km</t>
  </si>
  <si>
    <t>£42,860</t>
  </si>
  <si>
    <t>5.46</t>
  </si>
  <si>
    <t>https://ev-database.org/car/1677/Lexus-RZ-450e</t>
  </si>
  <si>
    <t>RZ 450e</t>
  </si>
  <si>
    <t>£58,145</t>
  </si>
  <si>
    <t>https://ev-database.org/car/1782/BYD-ATTO-3</t>
  </si>
  <si>
    <t>https://ev-database.org/img/auto/BYD_ATTO_3/BYD_ATTO_3-01-thumb.jpg</t>
  </si>
  <si>
    <t>ATTO 3</t>
  </si>
  <si>
    <t>Available to order since August 2022</t>
  </si>
  <si>
    <t>https://ev-database.org/car/2013/Audi-Q4-e-tron-45</t>
  </si>
  <si>
    <t>Q4 e-tron 45</t>
  </si>
  <si>
    <t>£50,745</t>
  </si>
  <si>
    <t>https://ev-database.org/car/2030/Volkswagen-ID4-GTX</t>
  </si>
  <si>
    <t>https://ev-database.org/img/auto/Volkswagen_ID4_GTX_2024/Volkswagen_ID4_GTX_2024-01-thumb.jpg</t>
  </si>
  <si>
    <t>ID.4 GTX</t>
  </si>
  <si>
    <t>£53,865</t>
  </si>
  <si>
    <t>https://ev-database.org/car/2105/Porsche-Taycan-Plus-Sport-Turismo</t>
  </si>
  <si>
    <t>Taycan Plus Sport Turismo</t>
  </si>
  <si>
    <t>530 km</t>
  </si>
  <si>
    <t>1230 km/h</t>
  </si>
  <si>
    <t>£91,754</t>
  </si>
  <si>
    <t>https://ev-database.org/car/2195/Mercedes-Benz-EQS-500-4MATIC</t>
  </si>
  <si>
    <t>EQS 500 4MATIC</t>
  </si>
  <si>
    <t>4.9 sec</t>
  </si>
  <si>
    <t>645 km</t>
  </si>
  <si>
    <t>820 km/h</t>
  </si>
  <si>
    <t>https://ev-database.org/car/1915/NIO-ET5-Touring-Standard-Range</t>
  </si>
  <si>
    <t>https://ev-database.org/img/auto/NIO_ET5_Touring/NIO_ET5_Touring-01-thumb.jpg</t>
  </si>
  <si>
    <t>ET5 Touring Standard Range</t>
  </si>
  <si>
    <t>400 km</t>
  </si>
  <si>
    <t>184 Wh/km</t>
  </si>
  <si>
    <t>560 km/h</t>
  </si>
  <si>
    <t>5.43</t>
  </si>
  <si>
    <t>https://ev-database.org/car/2169/Ford-Explorer-Extended-Range-AWD</t>
  </si>
  <si>
    <t>Explorer Extended Range AWD</t>
  </si>
  <si>
    <t>£53,975</t>
  </si>
  <si>
    <t>https://ev-database.org/car/2183/XPENG-G6-AWD-Performance</t>
  </si>
  <si>
    <t>G6 AWD Performance</t>
  </si>
  <si>
    <t>950 km/h</t>
  </si>
  <si>
    <t>https://ev-database.org/car/2196/Mercedes-Benz-EQS-580-4MATIC</t>
  </si>
  <si>
    <t>EQS 580 4MATIC</t>
  </si>
  <si>
    <t>640 km</t>
  </si>
  <si>
    <t>https://ev-database.org/car/2245/GWM-ORA-07-Pure</t>
  </si>
  <si>
    <t>https://ev-database.org/img/auto/GWM_ORA_07/GWM_ORA_07-01-thumb.jpg</t>
  </si>
  <si>
    <t>ORA 07 Pure</t>
  </si>
  <si>
    <t>64.3</t>
  </si>
  <si>
    <t>https://ev-database.org/car/2246/GWM-ORA-07-Pro</t>
  </si>
  <si>
    <t>ORA 07 Pro</t>
  </si>
  <si>
    <t>https://ev-database.org/car/1482/Kia-EV6-Long-Range-AWD</t>
  </si>
  <si>
    <t>EV6 Long Range AWD</t>
  </si>
  <si>
    <t>185 Wh/km</t>
  </si>
  <si>
    <t>5.41</t>
  </si>
  <si>
    <t>https://ev-database.org/car/1540/MG-ZS-EV-Standard-Range</t>
  </si>
  <si>
    <t>https://ev-database.org/img/auto/MG_ZS_EV_2022/MG_ZS_EV_2022-01-thumb.jpg</t>
  </si>
  <si>
    <t>ZS EV Standard Range</t>
  </si>
  <si>
    <t>175 km/h</t>
  </si>
  <si>
    <t>£30,495</t>
  </si>
  <si>
    <t>https://ev-database.org/car/1541/MG-ZS-EV-Long-Range</t>
  </si>
  <si>
    <t>ZS EV Long Range</t>
  </si>
  <si>
    <t>68.3</t>
  </si>
  <si>
    <t>8.4 sec</t>
  </si>
  <si>
    <t>https://ev-database.org/car/1667/Smart-1-Proplus</t>
  </si>
  <si>
    <t>https://ev-database.org/img/auto/Smart_1_2023/Smart_1_2023-01-thumb.jpg</t>
  </si>
  <si>
    <t>#1 Pro+</t>
  </si>
  <si>
    <t>£35,950</t>
  </si>
  <si>
    <t>https://ev-database.org/car/1940/Honda-eNy1</t>
  </si>
  <si>
    <t>https://ev-database.org/img/auto/Honda_e:Ny1/Honda_e:Ny1-01-thumb.jpg</t>
  </si>
  <si>
    <t>e:Ny1</t>
  </si>
  <si>
    <t>61.9</t>
  </si>
  <si>
    <t>300 km/h</t>
  </si>
  <si>
    <t>https://ev-database.org/car/2000/Smart-3-Brabus</t>
  </si>
  <si>
    <t>https://ev-database.org/img/auto/Smart_3_Brabus_2024/Smart_3_Brabus_2024-01-thumb.jpg</t>
  </si>
  <si>
    <t>#3 Brabus</t>
  </si>
  <si>
    <t>£45,450</t>
  </si>
  <si>
    <t>https://ev-database.org/car/2002/BYD-SEAL-825-kWh-AWD-Excellence</t>
  </si>
  <si>
    <t>SEAL 82.5 kWh AWD Excellence</t>
  </si>
  <si>
    <t>£48,695</t>
  </si>
  <si>
    <t>https://ev-database.org/car/2053/Smart-1-Premium</t>
  </si>
  <si>
    <t>#1 Premium</t>
  </si>
  <si>
    <t>£38,950</t>
  </si>
  <si>
    <t>https://ev-database.org/car/2103/Porsche-Taycan-Turbo-S</t>
  </si>
  <si>
    <t>Taycan Turbo S</t>
  </si>
  <si>
    <t>2.4 sec</t>
  </si>
  <si>
    <t>1220 km/h</t>
  </si>
  <si>
    <t>£161,400</t>
  </si>
  <si>
    <t>https://ev-database.org/car/2218/Smart-1-Pureplus</t>
  </si>
  <si>
    <t>#1 Pure+</t>
  </si>
  <si>
    <t>https://ev-database.org/car/2220/Audi-e-tron-GT-RS</t>
  </si>
  <si>
    <t>https://ev-database.org/img/auto/Audi_e-tron_GT_RS_2025/Audi_e-tron_GT_RS_2025-01-thumb.jpg</t>
  </si>
  <si>
    <t>e-tron GT RS</t>
  </si>
  <si>
    <t>2.8 sec</t>
  </si>
  <si>
    <t>£126,330</t>
  </si>
  <si>
    <t>https://ev-database.org/car/2221/Audi-e-tron-GT-RS-performance</t>
  </si>
  <si>
    <t>https://ev-database.org/img/auto/Audi_e-tron_GT_RS_Performance_2025/Audi_e-tron_GT_RS_Performance_2025-01-thumb.jpg</t>
  </si>
  <si>
    <t>e-tron GT RS performance</t>
  </si>
  <si>
    <t>2.5 sec</t>
  </si>
  <si>
    <t>£142,830</t>
  </si>
  <si>
    <t>https://ev-database.org/car/3041/Audi-Q6-e-tron-Sportback</t>
  </si>
  <si>
    <t>https://ev-database.org/img/auto/Audi_Q6_etron_Sportback_2024/Audi_Q6_etron_Sportback_2024-01-thumb.jpg</t>
  </si>
  <si>
    <t>Q6 e-tron Sportback</t>
  </si>
  <si>
    <t>* €67,950</t>
  </si>
  <si>
    <t>* £61,975</t>
  </si>
  <si>
    <t>1.74E+09</t>
  </si>
  <si>
    <t>https://ev-database.org/car/1565/Toyota-bZ4X-AWD</t>
  </si>
  <si>
    <t>bZ4X AWD</t>
  </si>
  <si>
    <t>186 Wh/km</t>
  </si>
  <si>
    <t>£47,810</t>
  </si>
  <si>
    <t>5.38</t>
  </si>
  <si>
    <t>https://ev-database.org/car/1916/NIO-ET5-Touring-Long-Range</t>
  </si>
  <si>
    <t>ET5 Touring Long Range</t>
  </si>
  <si>
    <t>https://ev-database.org/car/1937/Zeekr-X-Privilege-AWD</t>
  </si>
  <si>
    <t>X Privilege AWD</t>
  </si>
  <si>
    <t>https://ev-database.org/car/2018/Audi-Q4-Sportback-e-tron-55-quattro</t>
  </si>
  <si>
    <t>Q4 Sportback e-tron 55 quattro</t>
  </si>
  <si>
    <t>620 km/h</t>
  </si>
  <si>
    <t>£58,625</t>
  </si>
  <si>
    <t>https://ev-database.org/car/2083/Porsche-Macan-Electric</t>
  </si>
  <si>
    <t>https://ev-database.org/img/auto/Porsche_Macan_Electric_2024/Porsche_Macan_Electric_2024-01-thumb.jpg</t>
  </si>
  <si>
    <t>Macan Electric</t>
  </si>
  <si>
    <t>220 km/h</t>
  </si>
  <si>
    <t>510 km</t>
  </si>
  <si>
    <t>1020 km/h</t>
  </si>
  <si>
    <t>£67,200</t>
  </si>
  <si>
    <t>https://ev-database.org/car/2123/Volvo-EC40-Single-Motor</t>
  </si>
  <si>
    <t>https://ev-database.org/img/auto/Volvo_EC40_2025/Volvo_EC40_2025-01-thumb.jpg</t>
  </si>
  <si>
    <t>EC40 Single Motor</t>
  </si>
  <si>
    <t>£52,555</t>
  </si>
  <si>
    <t>https://ev-database.org/car/2203/MG-Cyberster-GT</t>
  </si>
  <si>
    <t>Cyberster GT</t>
  </si>
  <si>
    <t>* €70,000</t>
  </si>
  <si>
    <t>£59,995</t>
  </si>
  <si>
    <t>https://ev-database.org/car/3029/Kia-EV6-Long-Range-AWD</t>
  </si>
  <si>
    <t>1060 km/h</t>
  </si>
  <si>
    <t>£52,075</t>
  </si>
  <si>
    <t>https://ev-database.org/car/3042/Audi-Q6-e-tron-Sportback-performance</t>
  </si>
  <si>
    <t>Q6 e-tron Sportback performance</t>
  </si>
  <si>
    <t>* €73,950</t>
  </si>
  <si>
    <t>* £65,475</t>
  </si>
  <si>
    <t>https://ev-database.org/car/2106/Porsche-Taycan-4S-Sport-Turismo</t>
  </si>
  <si>
    <t>Taycan 4S Sport Turismo</t>
  </si>
  <si>
    <t>187 Wh/km</t>
  </si>
  <si>
    <t>£96,700</t>
  </si>
  <si>
    <t>5.35</t>
  </si>
  <si>
    <t>https://ev-database.org/car/1301/Nissan-Ariya-63kWh</t>
  </si>
  <si>
    <t>https://ev-database.org/img/auto/Nissan_Ariya/Nissan_Ariya-01-thumb.jpg</t>
  </si>
  <si>
    <t>Ariya 63kWh</t>
  </si>
  <si>
    <t>188 Wh/km</t>
  </si>
  <si>
    <t>£39,645</t>
  </si>
  <si>
    <t>5.32</t>
  </si>
  <si>
    <t>https://ev-database.org/car/1703/Genesis-G80-Electrified-Luxury</t>
  </si>
  <si>
    <t>https://ev-database.org/img/auto/Genesis_G80/Genesis_G80-01-thumb.jpg</t>
  </si>
  <si>
    <t>G80 Electrified Luxury</t>
  </si>
  <si>
    <t>880 km/h</t>
  </si>
  <si>
    <t>£69,805</t>
  </si>
  <si>
    <t>https://ev-database.org/car/1934/Zeekr-001-Performance-AWD</t>
  </si>
  <si>
    <t>001 Performance AWD</t>
  </si>
  <si>
    <t>https://ev-database.org/car/1943/Lexus-UX-300e</t>
  </si>
  <si>
    <t>https://ev-database.org/img/auto/Lexus_UX_300e_Electric_2023/Lexus_UX_300e_Electric_2023-01-thumb.jpg</t>
  </si>
  <si>
    <t>UX 300e</t>
  </si>
  <si>
    <t>£40,795</t>
  </si>
  <si>
    <t>https://ev-database.org/car/2017/Audi-Q4-Sportback-e-tron-45-quattro</t>
  </si>
  <si>
    <t>Q4 Sportback e-tron 45 quattro</t>
  </si>
  <si>
    <t>610 km/h</t>
  </si>
  <si>
    <t>£53,675</t>
  </si>
  <si>
    <t>https://ev-database.org/car/2041/Smart-1-Pro</t>
  </si>
  <si>
    <t>#1 Pro</t>
  </si>
  <si>
    <t>£31,950</t>
  </si>
  <si>
    <t>https://ev-database.org/car/2124/Volvo-EC40-Single-Motor-ER</t>
  </si>
  <si>
    <t>EC40 Single Motor ER</t>
  </si>
  <si>
    <t>£54,305</t>
  </si>
  <si>
    <t>https://ev-database.org/car/2217/Smart-1-Pure</t>
  </si>
  <si>
    <t>#1 Pure</t>
  </si>
  <si>
    <t>https://ev-database.org/car/2277/Ford-Mustang-Mach-E-SR-RWD</t>
  </si>
  <si>
    <t>https://ev-database.org/img/auto/Ford_Mustang_Mach-E/Ford_Mustang_Mach-E-01-thumb.jpg</t>
  </si>
  <si>
    <t>Mustang Mach-E SR RWD</t>
  </si>
  <si>
    <t>72.6</t>
  </si>
  <si>
    <t>189 Wh/km</t>
  </si>
  <si>
    <t>£50,830</t>
  </si>
  <si>
    <t>5.29</t>
  </si>
  <si>
    <t>https://ev-database.org/car/1647/Genesis-GV60-Premium</t>
  </si>
  <si>
    <t>https://ev-database.org/img/auto/Genesis_GV60/Genesis_GV60-01-thumb.jpg</t>
  </si>
  <si>
    <t>GV60 Premium</t>
  </si>
  <si>
    <t>190 Wh/km</t>
  </si>
  <si>
    <t>£53,905</t>
  </si>
  <si>
    <t>5.26</t>
  </si>
  <si>
    <t>https://ev-database.org/car/1678/Aiways-U5</t>
  </si>
  <si>
    <t>https://ev-database.org/img/auto/Aiways_U5/Aiways_U5-01-thumb.jpg</t>
  </si>
  <si>
    <t>U5</t>
  </si>
  <si>
    <t>https://ev-database.org/car/1841/Polestar-4-Long-Range-Single-Motor</t>
  </si>
  <si>
    <t>https://ev-database.org/img/auto/Polestar_4_2024/Polestar_4_2024-01-thumb.jpg</t>
  </si>
  <si>
    <t>4 Long Range Single Motor</t>
  </si>
  <si>
    <t>https://ev-database.org/car/1935/Zeekr-001-Privilege-AWD</t>
  </si>
  <si>
    <t>001 Privilege AWD</t>
  </si>
  <si>
    <t>https://ev-database.org/car/1986/Mercedes-Benz-EQA-300-4MATIC</t>
  </si>
  <si>
    <t>EQA 300 4MATIC</t>
  </si>
  <si>
    <t>£53,010</t>
  </si>
  <si>
    <t>https://ev-database.org/car/1987/Mercedes-Benz-EQA-350-4MATIC</t>
  </si>
  <si>
    <t>EQA 350 4MATIC</t>
  </si>
  <si>
    <t>£54,510</t>
  </si>
  <si>
    <t>https://ev-database.org/car/2107/Porsche-Taycan-4S-Plus-Sport-Turismo</t>
  </si>
  <si>
    <t>Taycan 4S Plus Sport Turismo</t>
  </si>
  <si>
    <t>1190 km/h</t>
  </si>
  <si>
    <t>£100,996</t>
  </si>
  <si>
    <t>https://ev-database.org/car/2110/Porsche-Taycan-4-Cross-Turismo</t>
  </si>
  <si>
    <t>https://ev-database.org/img/auto/Porsche_Taycan_Cross_Turismo_2024/Porsche_Taycan_Cross_Turismo_2024-01-thumb.jpg</t>
  </si>
  <si>
    <t>Taycan 4 Cross Turismo</t>
  </si>
  <si>
    <t>£96,800</t>
  </si>
  <si>
    <t>https://ev-database.org/car/2111/Porsche-Taycan-4S-Cross-Turismo</t>
  </si>
  <si>
    <t>Taycan 4S Cross Turismo</t>
  </si>
  <si>
    <t>£100,400</t>
  </si>
  <si>
    <t>https://ev-database.org/car/2141/Lotus-Emeya</t>
  </si>
  <si>
    <t>https://ev-database.org/img/auto/Lotus_Emeya/Lotus_Emeya-01-thumb.jpg</t>
  </si>
  <si>
    <t>Emeya</t>
  </si>
  <si>
    <t>98.9</t>
  </si>
  <si>
    <t>1210 km/h</t>
  </si>
  <si>
    <t>£96,255</t>
  </si>
  <si>
    <t>https://ev-database.org/car/2142/Lotus-Emeya-S</t>
  </si>
  <si>
    <t>Emeya S</t>
  </si>
  <si>
    <t>£108,755</t>
  </si>
  <si>
    <t>https://ev-database.org/car/2278/Ford-Mustang-Mach-E-ER-RWD</t>
  </si>
  <si>
    <t>Mustang Mach-E ER RWD</t>
  </si>
  <si>
    <t>£59,830</t>
  </si>
  <si>
    <t>https://ev-database.org/car/3043/Audi-Q6-e-tron-Sportback-quattro</t>
  </si>
  <si>
    <t>Q6 e-tron Sportback quattro</t>
  </si>
  <si>
    <t>1000 km/h</t>
  </si>
  <si>
    <t>* €79,950</t>
  </si>
  <si>
    <t>* £70,975</t>
  </si>
  <si>
    <t>https://ev-database.org/car/1748/Smart-1-Brabus</t>
  </si>
  <si>
    <t>https://ev-database.org/img/auto/Smart_1_Brabus_2023/Smart_1_Brabus_2023-01-thumb.jpg</t>
  </si>
  <si>
    <t>#1 Brabus</t>
  </si>
  <si>
    <t>191 Wh/km</t>
  </si>
  <si>
    <t>£43,450</t>
  </si>
  <si>
    <t>5.24</t>
  </si>
  <si>
    <t>https://ev-database.org/car/1911/Volvo-EX30-Twin-Motor-Performance</t>
  </si>
  <si>
    <t>EX30 Twin Motor Performance</t>
  </si>
  <si>
    <t>3.6 sec</t>
  </si>
  <si>
    <t>£42,350</t>
  </si>
  <si>
    <t>https://ev-database.org/car/1920/Smart-1-Pulse</t>
  </si>
  <si>
    <t>#1 Pulse</t>
  </si>
  <si>
    <t>https://ev-database.org/car/1524/MG-Marvel-R</t>
  </si>
  <si>
    <t>https://ev-database.org/img/auto/MG_Marvel_R_2021/MG_Marvel_R_2021-01-thumb.jpg</t>
  </si>
  <si>
    <t>Marvel R</t>
  </si>
  <si>
    <t>192 Wh/km</t>
  </si>
  <si>
    <t>5.21</t>
  </si>
  <si>
    <t>https://ev-database.org/car/1824/XPENG-G9-RWD-Standard-Range</t>
  </si>
  <si>
    <t>https://ev-database.org/img/auto/XPENG_G9/XPENG_G9-01-thumb.jpg</t>
  </si>
  <si>
    <t>G9 RWD Standard Range</t>
  </si>
  <si>
    <t>830 km/h</t>
  </si>
  <si>
    <t>https://ev-database.org/car/2003/Peugeot-e-3008-73-kWh</t>
  </si>
  <si>
    <t>https://ev-database.org/img/auto/Peugeot_e-3008_2024/Peugeot_e-3008_2024-01-thumb.jpg</t>
  </si>
  <si>
    <t>e-3008 73 kWh</t>
  </si>
  <si>
    <t>440 km/h</t>
  </si>
  <si>
    <t>£45,950</t>
  </si>
  <si>
    <t>https://ev-database.org/car/2004/Peugeot-e-3008-73-kWh-Dual-Motor</t>
  </si>
  <si>
    <t>e-3008 73 kWh Dual Motor</t>
  </si>
  <si>
    <t>* €50,000</t>
  </si>
  <si>
    <t>* €48,000</t>
  </si>
  <si>
    <t>* £47,000</t>
  </si>
  <si>
    <t>https://ev-database.org/car/2108/Porsche-Taycan-Turbo-Sport-Turismo</t>
  </si>
  <si>
    <t>Taycan Turbo Sport Turismo</t>
  </si>
  <si>
    <t>£134,800</t>
  </si>
  <si>
    <t>https://ev-database.org/car/2109/Porsche-Taycan-Turbo-S-Sport-Turismo</t>
  </si>
  <si>
    <t>Taycan Turbo S Sport Turismo</t>
  </si>
  <si>
    <t>£162,100</t>
  </si>
  <si>
    <t>https://ev-database.org/car/2281/Audi-Q6-e-tron</t>
  </si>
  <si>
    <t>https://ev-database.org/img/auto/Audi_Q6_etron_2024/Audi_Q6_etron_2024-01-thumb.jpg</t>
  </si>
  <si>
    <t>Q6 e-tron</t>
  </si>
  <si>
    <t>£59,975</t>
  </si>
  <si>
    <t>https://ev-database.org/car/3044/Audi-SQ6-e-tron-Sportback</t>
  </si>
  <si>
    <t>https://ev-database.org/img/auto/Audi_SQ6_etron_Sportback_2024/Audi_SQ6_etron_Sportback_2024-01-thumb.jpg</t>
  </si>
  <si>
    <t>SQ6 e-tron Sportback</t>
  </si>
  <si>
    <t>4.3 sec</t>
  </si>
  <si>
    <t>990 km/h</t>
  </si>
  <si>
    <t>* €103,400</t>
  </si>
  <si>
    <t>* £94,950</t>
  </si>
  <si>
    <t>https://ev-database.org/car/3063/Porsche-Taycan-GTS-Sport-Turismo</t>
  </si>
  <si>
    <t>https://ev-database.org/img/auto/Porsche_Taycan_GTS_Sport_Turismo_2024/Porsche_Taycan_GTS_Sport_Turismo_2024-01-thumb.jpg</t>
  </si>
  <si>
    <t>Taycan GTS Sport Turismo</t>
  </si>
  <si>
    <t>£118,300</t>
  </si>
  <si>
    <t>https://ev-database.org/car/1302/Nissan-Ariya-87kWh</t>
  </si>
  <si>
    <t>Ariya 87kWh</t>
  </si>
  <si>
    <t>193 Wh/km</t>
  </si>
  <si>
    <t>£44,645</t>
  </si>
  <si>
    <t>5.18</t>
  </si>
  <si>
    <t>https://ev-database.org/car/1589/SsangYong-Korando-e-Motion</t>
  </si>
  <si>
    <t>https://ev-database.org/img/auto/SsangYong_Korando_e-Motion/SsangYong_Korando_e-Motion-01-thumb.jpg</t>
  </si>
  <si>
    <t>Korando e-Motion</t>
  </si>
  <si>
    <t>156 km/h</t>
  </si>
  <si>
    <t>https://ev-database.org/car/1907/BMW-i5-M60-xDrive-Sedan</t>
  </si>
  <si>
    <t>https://ev-database.org/img/auto/BMW_i5_M60_xDrive_Sedan/BMW_i5_M60_xDrive_Sedan-01-thumb.jpg</t>
  </si>
  <si>
    <t>i5 M60 xDrive Sedan</t>
  </si>
  <si>
    <t>£97,745</t>
  </si>
  <si>
    <t>https://ev-database.org/car/1944/MG-MG4-Electric-XPOWER</t>
  </si>
  <si>
    <t>https://ev-database.org/img/auto/MG_MG4_Electric_XPOWER_2023/MG_MG4_Electric_XPOWER_2023-01-thumb.jpg</t>
  </si>
  <si>
    <t>MG4 Electric XPOWER</t>
  </si>
  <si>
    <t>https://ev-database.org/car/1989/Mercedes-Benz-EQB-300-4MATIC</t>
  </si>
  <si>
    <t>EQB 300 4MATIC</t>
  </si>
  <si>
    <t>£55,310</t>
  </si>
  <si>
    <t>https://ev-database.org/car/1990/Mercedes-Benz-EQB-350-4MATIC</t>
  </si>
  <si>
    <t>EQB 350 4MATIC</t>
  </si>
  <si>
    <t>£56,810</t>
  </si>
  <si>
    <t>https://ev-database.org/car/1825/XPENG-G9-RWD-Long-Range</t>
  </si>
  <si>
    <t>G9 RWD Long Range</t>
  </si>
  <si>
    <t>93.1</t>
  </si>
  <si>
    <t>194 Wh/km</t>
  </si>
  <si>
    <t>1120 km/h</t>
  </si>
  <si>
    <t>5.15</t>
  </si>
  <si>
    <t>https://ev-database.org/car/1842/Polestar-4-Long-Range-Dual-Motor</t>
  </si>
  <si>
    <t>4 Long Range Dual Motor</t>
  </si>
  <si>
    <t>£66,990</t>
  </si>
  <si>
    <t>https://ev-database.org/car/2005/Peugeot-e-3008-97-kWh-Long-Range</t>
  </si>
  <si>
    <t>e-3008 97 kWh Long Range</t>
  </si>
  <si>
    <t>96.9</t>
  </si>
  <si>
    <t>£48,650</t>
  </si>
  <si>
    <t>https://ev-database.org/car/2120/Volvo-EX40-Single-Motor</t>
  </si>
  <si>
    <t>https://ev-database.org/img/auto/Volvo_EX40_2025/Volvo_EX40_2025-01-thumb.jpg</t>
  </si>
  <si>
    <t>EX40 Single Motor</t>
  </si>
  <si>
    <t>£45,955</t>
  </si>
  <si>
    <t>https://ev-database.org/car/2215/Audi-Q6-e-tron-performance</t>
  </si>
  <si>
    <t>Q6 e-tron performance</t>
  </si>
  <si>
    <t>930 km/h</t>
  </si>
  <si>
    <t>£63,475</t>
  </si>
  <si>
    <t>https://ev-database.org/car/2247/GWM-ORA-07-GT</t>
  </si>
  <si>
    <t>ORA 07 GT</t>
  </si>
  <si>
    <t>83.5</t>
  </si>
  <si>
    <t>https://ev-database.org/car/1648/Genesis-GV60-Sport</t>
  </si>
  <si>
    <t>GV60 Sport</t>
  </si>
  <si>
    <t>195 Wh/km</t>
  </si>
  <si>
    <t>£58,365</t>
  </si>
  <si>
    <t>5.13</t>
  </si>
  <si>
    <t>https://ev-database.org/car/2014/Audi-Q4-e-tron-45-quattro</t>
  </si>
  <si>
    <t>Q4 e-tron 45 quattro</t>
  </si>
  <si>
    <t>£52,175</t>
  </si>
  <si>
    <t>https://ev-database.org/car/2015/Audi-Q4-e-tron-55-quattro</t>
  </si>
  <si>
    <t>Q4 e-tron 55 quattro</t>
  </si>
  <si>
    <t>£57,125</t>
  </si>
  <si>
    <t>https://ev-database.org/car/2189/KGM-Torres-EVX</t>
  </si>
  <si>
    <t>https://ev-database.org/img/auto/KGM_Torres_EVX/KGM_Torres_EVX-01-thumb.jpg</t>
  </si>
  <si>
    <t>Torres EVX</t>
  </si>
  <si>
    <t>£44,495</t>
  </si>
  <si>
    <t>https://ev-database.org/car/1407/Tesla-Model-X-Dual-Motor</t>
  </si>
  <si>
    <t>https://ev-database.org/img/auto/Tesla_Model_X_2021/Tesla_Model_X_2021-01-thumb.jpg</t>
  </si>
  <si>
    <t>Model X Dual Motor</t>
  </si>
  <si>
    <t>196 Wh/km</t>
  </si>
  <si>
    <t>* £105,000</t>
  </si>
  <si>
    <t>https://ev-database.org/car/1905/BMW-i7-eDrive50</t>
  </si>
  <si>
    <t>https://ev-database.org/img/auto/BMW_i7_2022/BMW_i7_2022-01-thumb.jpg</t>
  </si>
  <si>
    <t>i7 eDrive50</t>
  </si>
  <si>
    <t>101.7</t>
  </si>
  <si>
    <t>£100,205</t>
  </si>
  <si>
    <t>https://ev-database.org/car/2084/Porsche-Macan-4-Electric</t>
  </si>
  <si>
    <t>https://ev-database.org/img/auto/Porsche_Macan_4_2024/Porsche_Macan_4_2024-01-thumb.jpg</t>
  </si>
  <si>
    <t>Macan 4 Electric</t>
  </si>
  <si>
    <t>£69,800</t>
  </si>
  <si>
    <t>https://ev-database.org/car/2112/Porsche-Taycan-Turbo-Cross-Turismo</t>
  </si>
  <si>
    <t>Taycan Turbo Cross Turismo</t>
  </si>
  <si>
    <t>£135,200</t>
  </si>
  <si>
    <t>https://ev-database.org/car/2115/BMW-i5-M60-xDrive-Touring</t>
  </si>
  <si>
    <t>https://ev-database.org/img/auto/BMW_i5_M60_xDrive_Touring/BMW_i5_M60_xDrive_Touring-01-thumb.jpg</t>
  </si>
  <si>
    <t>i5 M60 xDrive Touring</t>
  </si>
  <si>
    <t>£99,995</t>
  </si>
  <si>
    <t>https://ev-database.org/car/2244/Porsche-Macan-4S-Electric</t>
  </si>
  <si>
    <t>https://ev-database.org/img/auto/Porsche_Macan_4S_2024/Porsche_Macan_4S_2024-01-thumb.jpg</t>
  </si>
  <si>
    <t>Macan 4S Electric</t>
  </si>
  <si>
    <t>£75,400</t>
  </si>
  <si>
    <t>https://ev-database.org/car/1472/BMW-iX-xDrive40</t>
  </si>
  <si>
    <t>https://ev-database.org/img/auto/BMW_iX_2022/BMW_iX_2022-01-thumb.jpg</t>
  </si>
  <si>
    <t>iX xDrive40</t>
  </si>
  <si>
    <t>197 Wh/km</t>
  </si>
  <si>
    <t>£69,905</t>
  </si>
  <si>
    <t>https://ev-database.org/car/2149/Peugeot-e-5008-73-kWh</t>
  </si>
  <si>
    <t>https://ev-database.org/img/auto/Peugeot_e-5008_2024/Peugeot_e-5008_2024-01-thumb.jpg</t>
  </si>
  <si>
    <t>e-5008 73 kWh</t>
  </si>
  <si>
    <t>https://ev-database.org/car/3040/Leapmotor-C10</t>
  </si>
  <si>
    <t>https://ev-database.org/img/auto/Leapmotor_C10/Leapmotor_C10-01-thumb.jpg</t>
  </si>
  <si>
    <t>C10</t>
  </si>
  <si>
    <t>£36,500</t>
  </si>
  <si>
    <t>https://ev-database.org/car/1803/Maserati-GranTurismo-Folgore</t>
  </si>
  <si>
    <t>https://ev-database.org/img/auto/Maserati_GranTurismo_Folgore/Maserati_GranTurismo_Folgore-01-thumb.jpg</t>
  </si>
  <si>
    <t>GranTurismo Folgore</t>
  </si>
  <si>
    <t>325 km/h</t>
  </si>
  <si>
    <t>198 Wh/km</t>
  </si>
  <si>
    <t>£179,950</t>
  </si>
  <si>
    <t>https://ev-database.org/car/2121/Volvo-EX40-Single-Motor-ER</t>
  </si>
  <si>
    <t>EX40 Single Motor ER</t>
  </si>
  <si>
    <t>£47,705</t>
  </si>
  <si>
    <t>https://ev-database.org/car/2125/Volvo-EC40-Twin-Motor-Performance</t>
  </si>
  <si>
    <t>EC40 Twin Motor Performance</t>
  </si>
  <si>
    <t>https://ev-database.org/car/2137/Volvo-EC40-Twin-Motor</t>
  </si>
  <si>
    <t>EC40 Twin Motor</t>
  </si>
  <si>
    <t>£57,805</t>
  </si>
  <si>
    <t>https://ev-database.org/car/2146/Audi-Q6-e-tron-quattro</t>
  </si>
  <si>
    <t>Q6 e-tron quattro</t>
  </si>
  <si>
    <t>£68,975</t>
  </si>
  <si>
    <t>https://ev-database.org/car/1676/BMW-i7-xDrive60</t>
  </si>
  <si>
    <t>i7 xDrive60</t>
  </si>
  <si>
    <t>199 Wh/km</t>
  </si>
  <si>
    <t>£113,970</t>
  </si>
  <si>
    <t>https://ev-database.org/car/2094/BYD-SEAL-U-718-kWh-Comfort</t>
  </si>
  <si>
    <t>https://ev-database.org/img/auto/BYD_SEAL_U/BYD_SEAL_U-01-thumb.jpg</t>
  </si>
  <si>
    <t>SEAL U 71.8 kWh Comfort</t>
  </si>
  <si>
    <t>71.8</t>
  </si>
  <si>
    <t>https://ev-database.org/car/1475/MG-Marvel-R-Performance</t>
  </si>
  <si>
    <t>Marvel R Performance</t>
  </si>
  <si>
    <t>200 Wh/km</t>
  </si>
  <si>
    <t>5.00</t>
  </si>
  <si>
    <t>https://ev-database.org/car/1567/Subaru-Solterra-AWD</t>
  </si>
  <si>
    <t>https://ev-database.org/img/auto/Subaru_Solterra/Subaru_Solterra-01-thumb.jpg</t>
  </si>
  <si>
    <t>Solterra AWD</t>
  </si>
  <si>
    <t>£49,995</t>
  </si>
  <si>
    <t>https://ev-database.org/car/1771/Audi-Q8-e-tron-Sportback-50-quattro</t>
  </si>
  <si>
    <t>https://ev-database.org/img/auto/Audi_Q8-etron-sportback-2023/Audi_Q8-etron-sportback-2023-01-thumb.jpg</t>
  </si>
  <si>
    <t>Q8 e-tron Sportback 50 quattro</t>
  </si>
  <si>
    <t>£73,215</t>
  </si>
  <si>
    <t>https://ev-database.org/car/1826/XPENG-G9-AWD-Performance</t>
  </si>
  <si>
    <t>G9 AWD Performance</t>
  </si>
  <si>
    <t>https://ev-database.org/car/1908/Mercedes-Benz-EQT-200-Standard</t>
  </si>
  <si>
    <t>https://ev-database.org/img/auto/Mercedes_EQT_2023/Mercedes_EQT_2023-01-thumb.jpg</t>
  </si>
  <si>
    <t>EQT 200 Standard</t>
  </si>
  <si>
    <t>12.6 sec</t>
  </si>
  <si>
    <t>https://ev-database.org/car/2042/Nissan-Townstar-EV-Passenger</t>
  </si>
  <si>
    <t>https://ev-database.org/img/auto/Nissan_Townstar_2023/Nissan_Townstar_2023-01-thumb.jpg</t>
  </si>
  <si>
    <t>Townstar EV Passenger</t>
  </si>
  <si>
    <t>https://ev-database.org/car/2113/Porsche-Taycan-Turbo-S-Cross-Turismo</t>
  </si>
  <si>
    <t>Taycan Turbo S Cross Turismo</t>
  </si>
  <si>
    <t>£162,500</t>
  </si>
  <si>
    <t>https://ev-database.org/car/2150/Peugeot-e-5008-73-kWh-Dual-Motor</t>
  </si>
  <si>
    <t>e-5008 73 kWh Dual Motor</t>
  </si>
  <si>
    <t>* €55,000</t>
  </si>
  <si>
    <t>* £50,000</t>
  </si>
  <si>
    <t>https://ev-database.org/car/2151/Peugeot-e-5008-97-kWh-Long-Range</t>
  </si>
  <si>
    <t>e-5008 97 kWh Long Range</t>
  </si>
  <si>
    <t>9.6 sec</t>
  </si>
  <si>
    <t>* £52,000</t>
  </si>
  <si>
    <t>https://ev-database.org/car/3037/Opel-Grandland-73-kWh</t>
  </si>
  <si>
    <t>https://ev-database.org/img/auto/Opel_Grandland_2024/Opel_Grandland_2024-01-thumb.jpg</t>
  </si>
  <si>
    <t>Grandland 73 kWh</t>
  </si>
  <si>
    <t>https://ev-database.org/car/3038/Opel-Grandland-82-kWh</t>
  </si>
  <si>
    <t>Grandland 82 kWh</t>
  </si>
  <si>
    <t>82.2</t>
  </si>
  <si>
    <t>https://ev-database.org/car/1921/NIO-EL6-Standard-Range</t>
  </si>
  <si>
    <t>https://ev-database.org/img/auto/NIO_EL6/NIO_EL6-01-thumb.jpg</t>
  </si>
  <si>
    <t>EL6 Standard Range</t>
  </si>
  <si>
    <t>201 Wh/km</t>
  </si>
  <si>
    <t>4.98</t>
  </si>
  <si>
    <t>https://ev-database.org/car/2045/Mercedes-Benz-EQE-SUV-300</t>
  </si>
  <si>
    <t>https://ev-database.org/img/auto/Mercedes_EQE_SUV/Mercedes_EQE_SUV-01-thumb.jpg</t>
  </si>
  <si>
    <t>EQE SUV 300</t>
  </si>
  <si>
    <t>https://ev-database.org/car/2208/Mercedes-Benz-EQE-AMG-43-4MATIC</t>
  </si>
  <si>
    <t>https://ev-database.org/img/auto/Mercedes_EQE_AMG_43/Mercedes_EQE_AMG_43-01-thumb.jpg</t>
  </si>
  <si>
    <t>EQE AMG 43 4MATIC</t>
  </si>
  <si>
    <t>https://ev-database.org/car/2209/Mercedes-Benz-EQE-AMG-53-4MATICplus</t>
  </si>
  <si>
    <t>https://ev-database.org/img/auto/Mercedes_EQE_AMG_53/Mercedes_EQE_AMG_53-01-thumb.jpg</t>
  </si>
  <si>
    <t>EQE AMG 53 4MATIC+</t>
  </si>
  <si>
    <t>3.5 sec</t>
  </si>
  <si>
    <t>£105,860</t>
  </si>
  <si>
    <t>https://ev-database.org/car/2222/NIO-EL8-Standard-Range</t>
  </si>
  <si>
    <t>https://ev-database.org/img/auto/NIO_EL8/NIO_EL8-01-thumb.jpg</t>
  </si>
  <si>
    <t>EL8 Standard Range</t>
  </si>
  <si>
    <t>https://ev-database.org/car/1772/Audi-Q8-e-tron-Sportback-55-quattro</t>
  </si>
  <si>
    <t>Q8 e-tron Sportback 55 quattro</t>
  </si>
  <si>
    <t>202 Wh/km</t>
  </si>
  <si>
    <t>£83,215</t>
  </si>
  <si>
    <t>4.95</t>
  </si>
  <si>
    <t>https://ev-database.org/car/2046/Mercedes-Benz-EQE-SUV-350plus</t>
  </si>
  <si>
    <t>EQE SUV 350+</t>
  </si>
  <si>
    <t>£75,495</t>
  </si>
  <si>
    <t>https://ev-database.org/car/2085/Porsche-Macan-Turbo-Electric</t>
  </si>
  <si>
    <t>https://ev-database.org/img/auto/Porsche_Macan_Turbo_2024/Porsche_Macan_Turbo_2024-01-thumb.jpg</t>
  </si>
  <si>
    <t>Macan Turbo Electric</t>
  </si>
  <si>
    <t>£95,000</t>
  </si>
  <si>
    <t>https://ev-database.org/car/2147/Audi-SQ6-e-tron</t>
  </si>
  <si>
    <t>https://ev-database.org/img/auto/Audi_SQ6_etron_2024/Audi_SQ6_etron_2024-01-thumb.jpg</t>
  </si>
  <si>
    <t>SQ6 e-tron</t>
  </si>
  <si>
    <t>£92,950</t>
  </si>
  <si>
    <t>https://ev-database.org/car/2197/Mercedes-Benz-EQS-AMG-53-4MATICplus</t>
  </si>
  <si>
    <t>EQS AMG 53 4MATIC+</t>
  </si>
  <si>
    <t>£161,860</t>
  </si>
  <si>
    <t>https://ev-database.org/car/1649/Genesis-GV60-Sport-Plus</t>
  </si>
  <si>
    <t>GV60 Sport Plus</t>
  </si>
  <si>
    <t>235 km/h</t>
  </si>
  <si>
    <t>203 Wh/km</t>
  </si>
  <si>
    <t>£67,505</t>
  </si>
  <si>
    <t>4.93</t>
  </si>
  <si>
    <t>https://ev-database.org/car/1408/Tesla-Model-X-Plaid</t>
  </si>
  <si>
    <t>Model X Plaid</t>
  </si>
  <si>
    <t>204 Wh/km</t>
  </si>
  <si>
    <t>* £120,000</t>
  </si>
  <si>
    <t>4.90</t>
  </si>
  <si>
    <t>https://ev-database.org/car/2144/Porsche-Taycan-Turbo-GT</t>
  </si>
  <si>
    <t>https://ev-database.org/img/auto/Porsche_Taycan_Turbo_GT_2024/Porsche_Taycan_Turbo_GT_2024-01-thumb.jpg</t>
  </si>
  <si>
    <t>Taycan Turbo GT</t>
  </si>
  <si>
    <t>£186,300</t>
  </si>
  <si>
    <t>https://ev-database.org/car/2145/Porsche-Taycan-Turbo-GT-Weissach</t>
  </si>
  <si>
    <t>https://ev-database.org/img/auto/Porsche_Taycan_Turbo_GT_Weissach_2024/Porsche_Taycan_Turbo_GT_Weissach_2024-01-thumb.jpg</t>
  </si>
  <si>
    <t>Taycan Turbo GT Weissach</t>
  </si>
  <si>
    <t>2.2 sec</t>
  </si>
  <si>
    <t>305 km/h</t>
  </si>
  <si>
    <t>https://ev-database.org/car/1802/Renault-Kangoo-E-Tech-Electric</t>
  </si>
  <si>
    <t>https://ev-database.org/img/auto/Renault_Kangoo_E-Tech_Electric/Renault_Kangoo_E-Tech_Electric-01-thumb.jpg</t>
  </si>
  <si>
    <t>Kangoo E-Tech Electric</t>
  </si>
  <si>
    <t>220 km</t>
  </si>
  <si>
    <t>205 Wh/km</t>
  </si>
  <si>
    <t>4.88</t>
  </si>
  <si>
    <t>https://ev-database.org/car/2044/Hyundai-IONIQ-5-N</t>
  </si>
  <si>
    <t>https://ev-database.org/img/auto/Hyundai_IONIQ5_N_2024/Hyundai_IONIQ5_N_2024-01-thumb.jpg</t>
  </si>
  <si>
    <t>IONIQ 5 N</t>
  </si>
  <si>
    <t>£65,000</t>
  </si>
  <si>
    <t>https://ev-database.org/car/2067/BYD-SEAL-U-87-kWh-Design</t>
  </si>
  <si>
    <t>SEAL U 87 kWh Design</t>
  </si>
  <si>
    <t>https://ev-database.org/car/2136/Volvo-EX40-Twin-Motor</t>
  </si>
  <si>
    <t>EX40 Twin Motor</t>
  </si>
  <si>
    <t>https://ev-database.org/car/2223/NIO-EL8-Long-Range</t>
  </si>
  <si>
    <t>EL8 Long Range</t>
  </si>
  <si>
    <t>https://ev-database.org/car/2239/Mercedes-Benz-EQT-200-Long</t>
  </si>
  <si>
    <t>EQT 200 Long</t>
  </si>
  <si>
    <t>13.3 sec</t>
  </si>
  <si>
    <t>https://ev-database.org/car/1471/Kia-EV6-GT</t>
  </si>
  <si>
    <t>https://ev-database.org/img/auto/Kia_EV6_GT_2021/Kia_EV6_GT_2021-01-thumb.jpg</t>
  </si>
  <si>
    <t>EV6 GT</t>
  </si>
  <si>
    <t>206 Wh/km</t>
  </si>
  <si>
    <t>4.85</t>
  </si>
  <si>
    <t>https://ev-database.org/car/1833/Kia-EV9-761-kWh-RWD</t>
  </si>
  <si>
    <t>https://ev-database.org/img/auto/Kia_EV9_2023/Kia_EV9_2023-01-thumb.jpg</t>
  </si>
  <si>
    <t>EV9 76.1 kWh RWD</t>
  </si>
  <si>
    <t>https://ev-database.org/car/3064/Skywell-BE11-Standard-Range</t>
  </si>
  <si>
    <t>https://ev-database.org/img/auto/Skywell_BE11_2024/Skywell_BE11_2024-01-thumb.jpg</t>
  </si>
  <si>
    <t>BE11 Standard Range</t>
  </si>
  <si>
    <t>https://ev-database.org/car/1788/NIO-EL7-Standard-Range</t>
  </si>
  <si>
    <t>https://ev-database.org/img/auto/NIO_EL7/NIO_EL7-01-thumb.jpg</t>
  </si>
  <si>
    <t>EL7 Standard Range</t>
  </si>
  <si>
    <t>207 Wh/km</t>
  </si>
  <si>
    <t>4.83</t>
  </si>
  <si>
    <t>https://ev-database.org/car/1922/NIO-EL6-Long-Range</t>
  </si>
  <si>
    <t>EL6 Long Range</t>
  </si>
  <si>
    <t>https://ev-database.org/car/2276/Ford-Mustang-Mach-E-SR-AWD</t>
  </si>
  <si>
    <t>Mustang Mach-E SR AWD</t>
  </si>
  <si>
    <t>https://ev-database.org/car/2279/Ford-Mustang-Mach-E-ER-AWD</t>
  </si>
  <si>
    <t>Mustang Mach-E ER AWD</t>
  </si>
  <si>
    <t>£65,405</t>
  </si>
  <si>
    <t>https://ev-database.org/car/1473/BMW-iX-xDrive50</t>
  </si>
  <si>
    <t>iX xDrive50</t>
  </si>
  <si>
    <t>105.2</t>
  </si>
  <si>
    <t>208 Wh/km</t>
  </si>
  <si>
    <t>£102,755</t>
  </si>
  <si>
    <t>4.81</t>
  </si>
  <si>
    <t>https://ev-database.org/car/1838/BMW-i7-M70-xDrive</t>
  </si>
  <si>
    <t>https://ev-database.org/img/auto/BMW_i7_M70_2023/BMW_i7_M70_2023-01-thumb.jpg</t>
  </si>
  <si>
    <t>i7 M70 xDrive</t>
  </si>
  <si>
    <t>£163,315</t>
  </si>
  <si>
    <t>https://ev-database.org/car/1975/Elaris-BEO-86-kWh</t>
  </si>
  <si>
    <t>https://ev-database.org/img/auto/Elaris_BEO_2023/Elaris_BEO_2023-01-thumb.jpg</t>
  </si>
  <si>
    <t>BEO 86 kWh</t>
  </si>
  <si>
    <t>9.5 sec</t>
  </si>
  <si>
    <t>https://ev-database.org/car/2047/Mercedes-Benz-EQE-SUV-350-4MATIC</t>
  </si>
  <si>
    <t>EQE SUV 350 4MATIC</t>
  </si>
  <si>
    <t>£79,940</t>
  </si>
  <si>
    <t>https://ev-database.org/car/2049/Voyah-Free-106-kWh</t>
  </si>
  <si>
    <t>https://ev-database.org/img/auto/Voyah_Free/Voyah_Free-01-thumb.jpg</t>
  </si>
  <si>
    <t>Free 106 kWh</t>
  </si>
  <si>
    <t>https://ev-database.org/car/2122/Volvo-EX40-Twin-Motor-Performance</t>
  </si>
  <si>
    <t>EX40 Twin Motor Performance</t>
  </si>
  <si>
    <t>https://ev-database.org/car/3065/Skywell-BE11-Long-Range</t>
  </si>
  <si>
    <t>BE11 Long Range</t>
  </si>
  <si>
    <t>https://ev-database.org/car/1769/Audi-Q8-e-tron-50-quattro</t>
  </si>
  <si>
    <t>https://ev-database.org/img/auto/Audi_Q8-etron-2023/Audi_Q8-etron-2023-01-thumb.jpg</t>
  </si>
  <si>
    <t>Q8 e-tron 50 quattro</t>
  </si>
  <si>
    <t>209 Wh/km</t>
  </si>
  <si>
    <t>£70,715</t>
  </si>
  <si>
    <t>4.78</t>
  </si>
  <si>
    <t>https://ev-database.org/car/1789/NIO-EL7-Long-Range</t>
  </si>
  <si>
    <t>EL7 Long Range</t>
  </si>
  <si>
    <t>https://ev-database.org/car/1770/Audi-Q8-e-tron-55-quattro</t>
  </si>
  <si>
    <t>Q8 e-tron 55 quattro</t>
  </si>
  <si>
    <t>210 Wh/km</t>
  </si>
  <si>
    <t>£80,715</t>
  </si>
  <si>
    <t>4.76</t>
  </si>
  <si>
    <t>https://ev-database.org/car/2187/Maserati-GranCabrio-Folgore</t>
  </si>
  <si>
    <t>https://ev-database.org/img/auto/Maserati_GranCabrio_Folgore/Maserati_GranCabrio_Folgore-01-thumb.jpg</t>
  </si>
  <si>
    <t>GranCabrio Folgore</t>
  </si>
  <si>
    <t>£185,610</t>
  </si>
  <si>
    <t>https://ev-database.org/car/1725/Genesis-GV70-Electrified-Sport</t>
  </si>
  <si>
    <t>https://ev-database.org/img/auto/Genesis_GV70/Genesis_GV70-01-thumb.jpg</t>
  </si>
  <si>
    <t>GV70 Electrified Sport</t>
  </si>
  <si>
    <t>211 Wh/km</t>
  </si>
  <si>
    <t>860 km/h</t>
  </si>
  <si>
    <t>£65,105</t>
  </si>
  <si>
    <t>4.74</t>
  </si>
  <si>
    <t>https://ev-database.org/car/2048/Mercedes-Benz-EQE-SUV-500-4MATIC</t>
  </si>
  <si>
    <t>EQE SUV 500 4MATIC</t>
  </si>
  <si>
    <t>£90,505</t>
  </si>
  <si>
    <t>https://ev-database.org/car/1763/Mercedes-Benz-EQE-SUV-AMG-43-4MATIC</t>
  </si>
  <si>
    <t>https://ev-database.org/img/auto/Mercedes_EQE_AMG_SUV/Mercedes_EQE_AMG_SUV-01-thumb.jpg</t>
  </si>
  <si>
    <t>EQE SUV AMG 43 4MATIC</t>
  </si>
  <si>
    <t>213 Wh/km</t>
  </si>
  <si>
    <t>4.69</t>
  </si>
  <si>
    <t>https://ev-database.org/car/1834/Kia-EV9-998-kWh-RWD</t>
  </si>
  <si>
    <t>EV9 99.8 kWh RWD</t>
  </si>
  <si>
    <t>9.4 sec</t>
  </si>
  <si>
    <t>850 km/h</t>
  </si>
  <si>
    <t>£64,995</t>
  </si>
  <si>
    <t>https://ev-database.org/car/2143/Lotus-Emeya-R</t>
  </si>
  <si>
    <t>Emeya R</t>
  </si>
  <si>
    <t>256 km/h</t>
  </si>
  <si>
    <t>£131,255</t>
  </si>
  <si>
    <t>https://ev-database.org/car/2159/Citroen-e-Berlingo-M-50-kWh</t>
  </si>
  <si>
    <t>https://ev-database.org/img/auto/Citroen_e-Berlingo-2024/Citroen_e-Berlingo-2024-01-thumb.jpg</t>
  </si>
  <si>
    <t>e-Berlingo M 50 kWh</t>
  </si>
  <si>
    <t>£30,990</t>
  </si>
  <si>
    <t>https://ev-database.org/car/2161/Opel-Combo-e-Life-50-kWh</t>
  </si>
  <si>
    <t>https://ev-database.org/img/auto/Opel_Combo-e_Life_2024/Opel_Combo-e_Life_2024-01-thumb.jpg</t>
  </si>
  <si>
    <t>Combo-e Life 50 kWh</t>
  </si>
  <si>
    <t>11.3 sec</t>
  </si>
  <si>
    <t>£32,180</t>
  </si>
  <si>
    <t>https://ev-database.org/car/2163/Peugeot-e-Rifter-M-50-kWh</t>
  </si>
  <si>
    <t>https://ev-database.org/img/auto/Peugeot_e-Rifter_2024/Peugeot_e-Rifter_2024-01-thumb.jpg</t>
  </si>
  <si>
    <t>e-Rifter M 50 kWh</t>
  </si>
  <si>
    <t>£32,230</t>
  </si>
  <si>
    <t>https://ev-database.org/car/2165/Toyota-Proace-City-Verso-Electric-L1-50-kWh</t>
  </si>
  <si>
    <t>https://ev-database.org/img/auto/Toyota_Proace_City_Verso_Electric_2024/Toyota_Proace_City_Verso_Electric_2024-01-thumb.jpg</t>
  </si>
  <si>
    <t>Proace City Verso Electric L1 50 kWh</t>
  </si>
  <si>
    <t>£31,849</t>
  </si>
  <si>
    <t>https://ev-database.org/car/2229/Polestar-3-Long-Range-Single-motor</t>
  </si>
  <si>
    <t>https://ev-database.org/img/auto/Polestar_3/Polestar_3-01-thumb.jpg</t>
  </si>
  <si>
    <t>3 Long Range Single motor</t>
  </si>
  <si>
    <t>214 Wh/km</t>
  </si>
  <si>
    <t>4.67</t>
  </si>
  <si>
    <t>https://ev-database.org/car/2280/Ford-Mustang-Mach-E-GT</t>
  </si>
  <si>
    <t>Mustang Mach-E GT</t>
  </si>
  <si>
    <t>£74,540</t>
  </si>
  <si>
    <t>https://ev-database.org/car/3067/Hyundai-IONIQ-9-Long-Range-RWD</t>
  </si>
  <si>
    <t>https://ev-database.org/img/auto/Hyundai_IONIQ9_2024/Hyundai_IONIQ9_2024-01-thumb.jpg</t>
  </si>
  <si>
    <t>IONIQ 9 Long Range RWD</t>
  </si>
  <si>
    <t>* €69,000</t>
  </si>
  <si>
    <t>* €67,000</t>
  </si>
  <si>
    <t>* £61,000</t>
  </si>
  <si>
    <t>1.76E+09</t>
  </si>
  <si>
    <t>https://ev-database.org/car/1304/Nissan-Ariya-e-4ORCE-87kWh---225-kW</t>
  </si>
  <si>
    <t>Ariya e-4ORCE 87kWh - 225 kW</t>
  </si>
  <si>
    <t>405 km</t>
  </si>
  <si>
    <t>215 Wh/km</t>
  </si>
  <si>
    <t>£50,845</t>
  </si>
  <si>
    <t>4.65</t>
  </si>
  <si>
    <t>https://ev-database.org/car/1305/Nissan-Ariya-e-4ORCE-87kWh---290-kW</t>
  </si>
  <si>
    <t>Ariya e-4ORCE 87kWh - 290 kW</t>
  </si>
  <si>
    <t>£59,025</t>
  </si>
  <si>
    <t>https://ev-database.org/car/1764/Mercedes-Benz-EQE-SUV-AMG-53-4MATICplus</t>
  </si>
  <si>
    <t>EQE SUV AMG 53 4MATIC+</t>
  </si>
  <si>
    <t>216 Wh/km</t>
  </si>
  <si>
    <t>£114,995</t>
  </si>
  <si>
    <t>4.63</t>
  </si>
  <si>
    <t>https://ev-database.org/car/1590/BMW-iX-M60</t>
  </si>
  <si>
    <t>iX M60</t>
  </si>
  <si>
    <t>217 Wh/km</t>
  </si>
  <si>
    <t>£122,775</t>
  </si>
  <si>
    <t>4.61</t>
  </si>
  <si>
    <t>https://ev-database.org/car/1807/VinFast-VF-8-Eco-Extended-Range</t>
  </si>
  <si>
    <t>https://ev-database.org/img/auto/VinFast_VF_8/VinFast_VF_8-01-thumb.jpg</t>
  </si>
  <si>
    <t>VF 8 Eco Extended Range</t>
  </si>
  <si>
    <t>87.7</t>
  </si>
  <si>
    <t>https://ev-database.org/car/2160/Citroen-e-Berlingo-XL-50-kWh</t>
  </si>
  <si>
    <t>e-Berlingo XL 50 kWh</t>
  </si>
  <si>
    <t>£31,890</t>
  </si>
  <si>
    <t>https://ev-database.org/car/2162/Opel-Combo-e-Life-XL-50-kWh</t>
  </si>
  <si>
    <t>Combo-e Life XL 50 kWh</t>
  </si>
  <si>
    <t>£33,080</t>
  </si>
  <si>
    <t>https://ev-database.org/car/2164/Peugeot-e-Rifter-XL-50-kWh</t>
  </si>
  <si>
    <t>e-Rifter XL 50 kWh</t>
  </si>
  <si>
    <t>£33,130</t>
  </si>
  <si>
    <t>https://ev-database.org/car/2166/Toyota-Proace-City-Verso-Electric-L2-50-kWh</t>
  </si>
  <si>
    <t>Proace City Verso Electric L2 50 kWh</t>
  </si>
  <si>
    <t>£33,129</t>
  </si>
  <si>
    <t>https://ev-database.org/car/1765/Rolls-Royce-Spectre</t>
  </si>
  <si>
    <t>https://ev-database.org/img/auto/Rolls-Royce-Spectre/Rolls-Royce-Spectre-01-thumb.jpg</t>
  </si>
  <si>
    <t>Spectre</t>
  </si>
  <si>
    <t>219 Wh/km</t>
  </si>
  <si>
    <t>£330,000</t>
  </si>
  <si>
    <t>4.57</t>
  </si>
  <si>
    <t>https://ev-database.org/car/1809/VinFast-VF-8-Plus-Extended-Range</t>
  </si>
  <si>
    <t>VF 8 Plus Extended Range</t>
  </si>
  <si>
    <t>https://ev-database.org/car/2087/Mercedes-Benz-EQS-SUV-450plus</t>
  </si>
  <si>
    <t>https://ev-database.org/img/auto/Mercedes_EQS_SUV_2022/Mercedes_EQS_SUV_2022-01-thumb.jpg</t>
  </si>
  <si>
    <t>EQS SUV 450+</t>
  </si>
  <si>
    <t>540 km</t>
  </si>
  <si>
    <t>https://ev-database.org/car/2232/Volkswagen-ID-Buzz-NWB-Pro</t>
  </si>
  <si>
    <t>https://ev-database.org/img/auto/Volkswagen_ID_Buzz/Volkswagen_ID_Buzz-01-thumb.jpg</t>
  </si>
  <si>
    <t>ID. Buzz NWB Pro</t>
  </si>
  <si>
    <t>£59,035</t>
  </si>
  <si>
    <t>https://ev-database.org/car/1767/Lotus-Eletre</t>
  </si>
  <si>
    <t>https://ev-database.org/img/auto/Lotus_Eletre/Lotus_Eletre-01-thumb.jpg</t>
  </si>
  <si>
    <t>Eletre</t>
  </si>
  <si>
    <t>220 Wh/km</t>
  </si>
  <si>
    <t>£90,805</t>
  </si>
  <si>
    <t>4.55</t>
  </si>
  <si>
    <t>https://ev-database.org/car/1950/Volvo-EX90-Single-Motor</t>
  </si>
  <si>
    <t>https://ev-database.org/img/auto/Volvo_EX90/Volvo_EX90-01-thumb.jpg</t>
  </si>
  <si>
    <t>EX90 Single Motor</t>
  </si>
  <si>
    <t>https://ev-database.org/car/1758/Polestar-3-Long-Range-Dual-motor</t>
  </si>
  <si>
    <t>3 Long Range Dual motor</t>
  </si>
  <si>
    <t>221 Wh/km</t>
  </si>
  <si>
    <t>£75,900</t>
  </si>
  <si>
    <t>4.52</t>
  </si>
  <si>
    <t>https://ev-database.org/car/1774/Audi-SQ8-e-tron-Sportback</t>
  </si>
  <si>
    <t>https://ev-database.org/img/auto/Audi_SQ8-Sportback-etron-2023/Audi_SQ8-Sportback-etron-2023-01-thumb.jpg</t>
  </si>
  <si>
    <t>SQ8 e-tron Sportback</t>
  </si>
  <si>
    <t>£101,315</t>
  </si>
  <si>
    <t>https://ev-database.org/car/1835/Kia-EV9-998-kWh-AWD</t>
  </si>
  <si>
    <t>EV9 99.8 kWh AWD</t>
  </si>
  <si>
    <t>https://ev-database.org/car/3068/Hyundai-IONIQ-9-Long-Range-AWD</t>
  </si>
  <si>
    <t>IONIQ 9 Long Range AWD</t>
  </si>
  <si>
    <t>* €73,000</t>
  </si>
  <si>
    <t>* £65,000</t>
  </si>
  <si>
    <t>https://ev-database.org/car/2243/Cadillac-Lyriq-600-E4</t>
  </si>
  <si>
    <t>https://ev-database.org/img/auto/Cadillac_Lyriq/Cadillac_Lyriq-01-thumb.jpg</t>
  </si>
  <si>
    <t>Lyriq 600 E4</t>
  </si>
  <si>
    <t>222 Wh/km</t>
  </si>
  <si>
    <t>4.50</t>
  </si>
  <si>
    <t>https://ev-database.org/car/2275/Ford-Mustang-Mach-E-Rally</t>
  </si>
  <si>
    <t>https://ev-database.org/img/auto/Ford_Mustang_Mach-E_Rally/Ford_Mustang_Mach-E_Rally-01-thumb.jpg</t>
  </si>
  <si>
    <t>Mustang Mach-E Rally</t>
  </si>
  <si>
    <t>£76,790</t>
  </si>
  <si>
    <t>https://ev-database.org/car/1812/Jaguar-I-Pace-EV400</t>
  </si>
  <si>
    <t>https://ev-database.org/img/auto/Jaguar_I-Pace-2024/Jaguar_I-Pace-2024-01-thumb.jpg</t>
  </si>
  <si>
    <t>I-Pace EV400</t>
  </si>
  <si>
    <t>84.7</t>
  </si>
  <si>
    <t>223 Wh/km</t>
  </si>
  <si>
    <t>£69,995</t>
  </si>
  <si>
    <t>4.48</t>
  </si>
  <si>
    <t>https://ev-database.org/car/2088/Mercedes-Benz-EQS-SUV-450-4MATIC</t>
  </si>
  <si>
    <t>EQS SUV 450 4MATIC</t>
  </si>
  <si>
    <t>£129,470</t>
  </si>
  <si>
    <t>https://ev-database.org/car/2089/Mercedes-Benz-EQS-SUV-500-4MATIC</t>
  </si>
  <si>
    <t>EQS SUV 500 4MATIC</t>
  </si>
  <si>
    <t>https://ev-database.org/car/2090/Mercedes-Benz-EQS-SUV-580-4MATIC</t>
  </si>
  <si>
    <t>EQS SUV 580 4MATIC</t>
  </si>
  <si>
    <t>£139,470</t>
  </si>
  <si>
    <t>https://ev-database.org/car/1993/Kia-EV9-998-kWh-AWD-GT-Line</t>
  </si>
  <si>
    <t>https://ev-database.org/img/auto/Kia_EV9_GTLine_2023/Kia_EV9_GTLine_2023-01-thumb.jpg</t>
  </si>
  <si>
    <t>EV9 99.8 kWh AWD GT-Line</t>
  </si>
  <si>
    <t>226 Wh/km</t>
  </si>
  <si>
    <t>£73,245</t>
  </si>
  <si>
    <t>4.42</t>
  </si>
  <si>
    <t>https://ev-database.org/car/3069/Hyundai-IONIQ-9-Performance-AWD</t>
  </si>
  <si>
    <t>IONIQ 9 Performance AWD</t>
  </si>
  <si>
    <t>* €79,000</t>
  </si>
  <si>
    <t>* €75,000</t>
  </si>
  <si>
    <t>* £70,000</t>
  </si>
  <si>
    <t>https://ev-database.org/car/2066/Lotus-Eletre-S</t>
  </si>
  <si>
    <t>Eletre S</t>
  </si>
  <si>
    <t>227 Wh/km</t>
  </si>
  <si>
    <t>£105,805</t>
  </si>
  <si>
    <t>4.41</t>
  </si>
  <si>
    <t>https://ev-database.org/car/1759/Polestar-3-Long-Range-Performance</t>
  </si>
  <si>
    <t>3 Long Range Performance</t>
  </si>
  <si>
    <t>228 Wh/km</t>
  </si>
  <si>
    <t>£81,500</t>
  </si>
  <si>
    <t>4.39</t>
  </si>
  <si>
    <t>https://ev-database.org/car/1775/Volvo-EX90-Twin-Motor</t>
  </si>
  <si>
    <t>EX90 Twin Motor</t>
  </si>
  <si>
    <t>230 Wh/km</t>
  </si>
  <si>
    <t>4.35</t>
  </si>
  <si>
    <t>https://ev-database.org/car/1837/Maxus-MIFA-9</t>
  </si>
  <si>
    <t>https://ev-database.org/img/auto/Maxus_MIFA_9/Maxus_MIFA_9-01-thumb.jpg</t>
  </si>
  <si>
    <t>MIFA 9</t>
  </si>
  <si>
    <t>£65,290</t>
  </si>
  <si>
    <t>https://ev-database.org/car/2154/Volkswagen-ID-Buzz-LWB-Pro</t>
  </si>
  <si>
    <t>https://ev-database.org/img/auto/Volkswagen_ID_Buzz_LWB/Volkswagen_ID_Buzz_LWB-01-thumb.jpg</t>
  </si>
  <si>
    <t>ID. Buzz LWB Pro</t>
  </si>
  <si>
    <t>232 Wh/km</t>
  </si>
  <si>
    <t>£59,395</t>
  </si>
  <si>
    <t>4.31</t>
  </si>
  <si>
    <t>https://ev-database.org/car/1773/Audi-SQ8-e-tron</t>
  </si>
  <si>
    <t>https://ev-database.org/img/auto/Audi_SQ8-etron-2023/Audi_SQ8-etron-2023-01-thumb.jpg</t>
  </si>
  <si>
    <t>SQ8 e-tron</t>
  </si>
  <si>
    <t>233 Wh/km</t>
  </si>
  <si>
    <t>£98,815</t>
  </si>
  <si>
    <t>4.29</t>
  </si>
  <si>
    <t>https://ev-database.org/car/2156/Volkswagen-ID-Buzz-NWB-GTX</t>
  </si>
  <si>
    <t>https://ev-database.org/img/auto/Volkswagen_ID_Buzz_GTX/Volkswagen_ID_Buzz_GTX-01-thumb.jpg</t>
  </si>
  <si>
    <t>ID. Buzz NWB GTX</t>
  </si>
  <si>
    <t>236 Wh/km</t>
  </si>
  <si>
    <t>£67,435</t>
  </si>
  <si>
    <t>4.24</t>
  </si>
  <si>
    <t>https://ev-database.org/car/1811/VinFast-VF-9-Extended-Range</t>
  </si>
  <si>
    <t>https://ev-database.org/img/auto/VinFast_VF_9/VinFast_VF_9-01-thumb.jpg</t>
  </si>
  <si>
    <t>VF 9 Extended Range</t>
  </si>
  <si>
    <t>237 Wh/km</t>
  </si>
  <si>
    <t>4.22</t>
  </si>
  <si>
    <t>https://ev-database.org/car/2095/BYD-TANG-Flagship</t>
  </si>
  <si>
    <t>https://ev-database.org/img/auto/BYD_TANG_2024/BYD_TANG_2024-01-thumb.jpg</t>
  </si>
  <si>
    <t>TANG Flagship</t>
  </si>
  <si>
    <t>108.8</t>
  </si>
  <si>
    <t>* €68,000</t>
  </si>
  <si>
    <t>https://ev-database.org/car/1776/Volvo-EX90-Twin-Motor-Performance</t>
  </si>
  <si>
    <t>EX90 Twin Motor Performance</t>
  </si>
  <si>
    <t>238 Wh/km</t>
  </si>
  <si>
    <t>£100,555</t>
  </si>
  <si>
    <t>4.20</t>
  </si>
  <si>
    <t>https://ev-database.org/car/1843/Maserati-Grecale-Folgore</t>
  </si>
  <si>
    <t>https://ev-database.org/img/auto/Maserati_Grecale_Folgore/Maserati_Grecale_Folgore-01-thumb.jpg</t>
  </si>
  <si>
    <t>Grecale Folgore</t>
  </si>
  <si>
    <t>£109,905</t>
  </si>
  <si>
    <t>https://ev-database.org/car/1746/Hongqi-E-HS9-84-kWh</t>
  </si>
  <si>
    <t>https://ev-database.org/img/auto/Hongqi_E-HS9/Hongqi_E-HS9-01-thumb.jpg</t>
  </si>
  <si>
    <t>E-HS9 84 kWh</t>
  </si>
  <si>
    <t>76.5</t>
  </si>
  <si>
    <t>239 Wh/km</t>
  </si>
  <si>
    <t>4.18</t>
  </si>
  <si>
    <t>https://ev-database.org/car/1768/Lotus-Eletre-R</t>
  </si>
  <si>
    <t>Eletre R</t>
  </si>
  <si>
    <t>2.9 sec</t>
  </si>
  <si>
    <t>240 Wh/km</t>
  </si>
  <si>
    <t>£121,305</t>
  </si>
  <si>
    <t>4.17</t>
  </si>
  <si>
    <t>https://ev-database.org/car/2086/Mercedes-Benz-EQS-SUV-Maybach-680</t>
  </si>
  <si>
    <t>https://ev-database.org/img/auto/Mercedes_Maybach_EQS_SUV_2024/Mercedes_Maybach_EQS_SUV_2024-01-thumb.jpg</t>
  </si>
  <si>
    <t>EQS SUV Maybach 680</t>
  </si>
  <si>
    <t>241 Wh/km</t>
  </si>
  <si>
    <t>£200,860</t>
  </si>
  <si>
    <t>4.15</t>
  </si>
  <si>
    <t>https://ev-database.org/car/2157/Volkswagen-ID-Buzz-LWB-GTX-</t>
  </si>
  <si>
    <t>ID. Buzz LWB GTX</t>
  </si>
  <si>
    <t>242 Wh/km</t>
  </si>
  <si>
    <t>£67,795</t>
  </si>
  <si>
    <t>4.13</t>
  </si>
  <si>
    <t>https://ev-database.org/car/1747/Hongqi-E-HS9-99-kWh</t>
  </si>
  <si>
    <t>E-HS9 99 kWh</t>
  </si>
  <si>
    <t>243 Wh/km</t>
  </si>
  <si>
    <t>https://ev-database.org/car/2050/Hongqi-E-HS9-120-kWh</t>
  </si>
  <si>
    <t>E-HS9 120 kWh</t>
  </si>
  <si>
    <t>https://ev-database.org/car/2252/Citroen-e-SpaceTourer-M-50-kWh</t>
  </si>
  <si>
    <t>https://ev-database.org/img/auto/Citroen_e-SpaceTourer_2024/Citroen_e-SpaceTourer_2024-01-thumb.jpg</t>
  </si>
  <si>
    <t>e-SpaceTourer M 50 kWh</t>
  </si>
  <si>
    <t>180 km</t>
  </si>
  <si>
    <t>257 Wh/km</t>
  </si>
  <si>
    <t>£38,135</t>
  </si>
  <si>
    <t>3.89</t>
  </si>
  <si>
    <t>https://ev-database.org/car/2253/Citroen-e-SpaceTourer-XL-50-kWh</t>
  </si>
  <si>
    <t>e-SpaceTourer XL 50 kWh</t>
  </si>
  <si>
    <t>£39,035</t>
  </si>
  <si>
    <t>https://ev-database.org/car/2256/Peugeot-e-Traveller-L2-50-kWh</t>
  </si>
  <si>
    <t>https://ev-database.org/img/auto/Peugeot_e-Traveller_2024/Peugeot_e-Traveller_2024-01-thumb.jpg</t>
  </si>
  <si>
    <t>e-Traveller L2 50 kWh</t>
  </si>
  <si>
    <t>https://ev-database.org/car/2257/Peugeot-e-Traveller-L3-50-kWh</t>
  </si>
  <si>
    <t>e-Traveller L3 50 kWh</t>
  </si>
  <si>
    <t>https://ev-database.org/car/2260/Opel-Zafira-e-Life-L2-50-kWh</t>
  </si>
  <si>
    <t>https://ev-database.org/img/auto/Opel_Zafira-e_Life_2024/Opel_Zafira-e_Life_2024-01-thumb.jpg</t>
  </si>
  <si>
    <t>Zafira-e Life L2 50 kWh</t>
  </si>
  <si>
    <t>https://ev-database.org/car/2261/Opel-Zafira-e-Life-L3-50-kWh</t>
  </si>
  <si>
    <t>Zafira-e Life L3 50 kWh</t>
  </si>
  <si>
    <t>https://ev-database.org/car/2264/Toyota-PROACE-Verso-M-50-kWh</t>
  </si>
  <si>
    <t>https://ev-database.org/img/auto/Toyota_PROACE_Verso_2024/Toyota_PROACE_Verso_2024-01-thumb.jpg</t>
  </si>
  <si>
    <t>PROACE Verso M 50 kWh</t>
  </si>
  <si>
    <t>https://ev-database.org/car/2254/Citroen-e-SpaceTourer-M-75-kWh</t>
  </si>
  <si>
    <t>e-SpaceTourer M 75 kWh</t>
  </si>
  <si>
    <t>14.2 sec</t>
  </si>
  <si>
    <t>262 Wh/km</t>
  </si>
  <si>
    <t>£43,535</t>
  </si>
  <si>
    <t>3.82</t>
  </si>
  <si>
    <t>https://ev-database.org/car/2255/Citroen-e-SpaceTourer-XL-75-kWh</t>
  </si>
  <si>
    <t>e-SpaceTourer XL 75 kWh</t>
  </si>
  <si>
    <t>£44,435</t>
  </si>
  <si>
    <t>https://ev-database.org/car/2258/Peugeot-e-Traveller-L2-75-kWh</t>
  </si>
  <si>
    <t>e-Traveller L2 75 kWh</t>
  </si>
  <si>
    <t>£48,995</t>
  </si>
  <si>
    <t>https://ev-database.org/car/2259/Peugeot-e-Traveller-L3-75-kWh</t>
  </si>
  <si>
    <t>e-Traveller L3 75 kWh</t>
  </si>
  <si>
    <t>£49,895</t>
  </si>
  <si>
    <t>https://ev-database.org/car/2262/Opel-Zafira-e-Life-L2-75-kWh</t>
  </si>
  <si>
    <t>Zafira-e Life L2 75 kWh</t>
  </si>
  <si>
    <t>£50,195</t>
  </si>
  <si>
    <t>https://ev-database.org/car/2263/Opel-Zafira-e-Life-L3-75-kWh</t>
  </si>
  <si>
    <t>Zafira-e Life L3 75 kWh</t>
  </si>
  <si>
    <t>£51,095</t>
  </si>
  <si>
    <t>https://ev-database.org/car/2266/Toyota-PROACE-Verso-M-75-kWh</t>
  </si>
  <si>
    <t>PROACE Verso M 75 kWh</t>
  </si>
  <si>
    <t>£45,769</t>
  </si>
  <si>
    <t>https://ev-database.org/car/2267/Toyota-PROACE-Verso-L-75-kWh</t>
  </si>
  <si>
    <t>PROACE Verso L 75 kWh</t>
  </si>
  <si>
    <t>£46,477</t>
  </si>
  <si>
    <t>https://ev-database.org/car/2138/Mercedes-Benz-eVito-Tourer-Long-60-kWh</t>
  </si>
  <si>
    <t>https://ev-database.org/img/auto/Mercedes_eVito_2024/Mercedes_eVito_2024-01-thumb.jpg</t>
  </si>
  <si>
    <t>eVito Tourer Long 60 kWh</t>
  </si>
  <si>
    <t>12.0 sec</t>
  </si>
  <si>
    <t>273 Wh/km</t>
  </si>
  <si>
    <t>3.66</t>
  </si>
  <si>
    <t>https://ev-database.org/car/2129/Mercedes-Benz-EQV-250-Long</t>
  </si>
  <si>
    <t>https://ev-database.org/img/auto/Mercedes_EQV_2024/Mercedes_EQV_2024-01-thumb.jpg</t>
  </si>
  <si>
    <t>EQV 250 Long</t>
  </si>
  <si>
    <t>215 km</t>
  </si>
  <si>
    <t>279 Wh/km</t>
  </si>
  <si>
    <t>3.58</t>
  </si>
  <si>
    <t>https://ev-database.org/car/2139/Mercedes-Benz-eVito-Tourer-Extra-Long-60-kWh</t>
  </si>
  <si>
    <t>eVito Tourer Extra-Long 60 kWh</t>
  </si>
  <si>
    <t>https://ev-database.org/car/2140/Mercedes-Benz-eVito-Tourer-Long-90-kWh</t>
  </si>
  <si>
    <t>eVito Tourer Long 90 kWh</t>
  </si>
  <si>
    <t>281 Wh/km</t>
  </si>
  <si>
    <t>3.56</t>
  </si>
  <si>
    <t>https://ev-database.org/car/2130/Mercedes-Benz-EQV-250-Extra-Long</t>
  </si>
  <si>
    <t>EQV 250 Extra-Long</t>
  </si>
  <si>
    <t>210 km</t>
  </si>
  <si>
    <t>286 Wh/km</t>
  </si>
  <si>
    <t>3.50</t>
  </si>
  <si>
    <t>https://ev-database.org/car/2131/Mercedes-Benz-EQV-300-Long</t>
  </si>
  <si>
    <t>EQV 300 Long</t>
  </si>
  <si>
    <t>£92,255</t>
  </si>
  <si>
    <t>https://ev-database.org/car/2274/Mercedes-Benz-EQV-300-Extra-Long</t>
  </si>
  <si>
    <t>EQV 300 Extra-Long</t>
  </si>
  <si>
    <t>12.2 sec</t>
  </si>
  <si>
    <t>£93,955</t>
  </si>
  <si>
    <t>https://ev-database.org/car/2192/Mercedes-Benz-G-580</t>
  </si>
  <si>
    <t>https://ev-database.org/img/auto/Mercedes_G-Class/Mercedes_G-Class-01-thumb.jpg</t>
  </si>
  <si>
    <t>G 580</t>
  </si>
  <si>
    <t>322 Wh/km</t>
  </si>
  <si>
    <t>£180,860</t>
  </si>
  <si>
    <t>1. Subregion Output Emission Rates (eGRID2022)</t>
  </si>
  <si>
    <t>2. Subregion Resource Mix (eGRID2022)</t>
  </si>
  <si>
    <t>eGRID subregion acronym</t>
  </si>
  <si>
    <t>eGRID subregion name</t>
  </si>
  <si>
    <t>Total output emission rates</t>
  </si>
  <si>
    <t>Non-baseload output emission rates</t>
  </si>
  <si>
    <t>Grid Gross Loss (%)</t>
  </si>
  <si>
    <t>Nameplate Capacity (MW)</t>
  </si>
  <si>
    <t>Net Generation (MWh)</t>
  </si>
  <si>
    <t>Generation Resource Mix (percent)*</t>
  </si>
  <si>
    <t>lb/MWh</t>
  </si>
  <si>
    <t>Coal</t>
  </si>
  <si>
    <t>Oil</t>
  </si>
  <si>
    <t>Gas</t>
  </si>
  <si>
    <t>Other Fossil</t>
  </si>
  <si>
    <t>Nuclear</t>
  </si>
  <si>
    <t>Hydro</t>
  </si>
  <si>
    <t>Biomass</t>
  </si>
  <si>
    <t>Wind</t>
  </si>
  <si>
    <t>Solar</t>
  </si>
  <si>
    <t>Geo- thermal</t>
  </si>
  <si>
    <t>Other unknown/ purchased fuel</t>
  </si>
  <si>
    <t>CO2</t>
  </si>
  <si>
    <t>CH4</t>
  </si>
  <si>
    <t>N2O</t>
  </si>
  <si>
    <t>CO2e</t>
  </si>
  <si>
    <t>Annual NOX</t>
  </si>
  <si>
    <t>Ozone Season NOX</t>
  </si>
  <si>
    <t>SO2</t>
  </si>
  <si>
    <t>AKGD</t>
  </si>
  <si>
    <t>ASCC Alaska Grid</t>
  </si>
  <si>
    <t>5,016,815</t>
  </si>
  <si>
    <t>14.5%</t>
  </si>
  <si>
    <t>8.8%</t>
  </si>
  <si>
    <t>62.3%</t>
  </si>
  <si>
    <t>0.0%</t>
  </si>
  <si>
    <t>11.5%</t>
  </si>
  <si>
    <t>0.8%</t>
  </si>
  <si>
    <t>2.1%</t>
  </si>
  <si>
    <t>1,052.1</t>
  </si>
  <si>
    <t>1,057.8</t>
  </si>
  <si>
    <t>1,224.5</t>
  </si>
  <si>
    <t>1,232.5</t>
  </si>
  <si>
    <t>7.0</t>
  </si>
  <si>
    <t>5.0%</t>
  </si>
  <si>
    <t>AKMS</t>
  </si>
  <si>
    <t>ASCC Miscellaneous</t>
  </si>
  <si>
    <t>1,677,313</t>
  </si>
  <si>
    <t>24.1%</t>
  </si>
  <si>
    <t>6.3%</t>
  </si>
  <si>
    <t>67.7%</t>
  </si>
  <si>
    <t>2.0%</t>
  </si>
  <si>
    <t>495.8</t>
  </si>
  <si>
    <t>497.6</t>
  </si>
  <si>
    <t>1,587.9</t>
  </si>
  <si>
    <t>1,593.3</t>
  </si>
  <si>
    <t>AZNM</t>
  </si>
  <si>
    <t>WECC Southwest</t>
  </si>
  <si>
    <t>170,369,549</t>
  </si>
  <si>
    <t>15.7%</t>
  </si>
  <si>
    <t>44.3%</t>
  </si>
  <si>
    <t>18.7%</t>
  </si>
  <si>
    <t>3.1%</t>
  </si>
  <si>
    <t>0.3%</t>
  </si>
  <si>
    <t>7.4%</t>
  </si>
  <si>
    <t>7.0%</t>
  </si>
  <si>
    <t>3.4%</t>
  </si>
  <si>
    <t>776.0</t>
  </si>
  <si>
    <t>779.4</t>
  </si>
  <si>
    <t>0.4</t>
  </si>
  <si>
    <t>1,205.2</t>
  </si>
  <si>
    <t>1,209.5</t>
  </si>
  <si>
    <t>0.7</t>
  </si>
  <si>
    <t>5.1%</t>
  </si>
  <si>
    <t>CAMX</t>
  </si>
  <si>
    <t>WECC California</t>
  </si>
  <si>
    <t>209,353,986</t>
  </si>
  <si>
    <t>2.7%</t>
  </si>
  <si>
    <t>0.1%</t>
  </si>
  <si>
    <t>46.2%</t>
  </si>
  <si>
    <t>8.4%</t>
  </si>
  <si>
    <t>7.9%</t>
  </si>
  <si>
    <t>2.4%</t>
  </si>
  <si>
    <t>7.2%</t>
  </si>
  <si>
    <t>20.4%</t>
  </si>
  <si>
    <t>3.9%</t>
  </si>
  <si>
    <t>497.4</t>
  </si>
  <si>
    <t>499.3</t>
  </si>
  <si>
    <t>0.5</t>
  </si>
  <si>
    <t>1,055.0</t>
  </si>
  <si>
    <t>1,058.0</t>
  </si>
  <si>
    <t>0.8</t>
  </si>
  <si>
    <t>ERCT</t>
  </si>
  <si>
    <t>ERCOT All</t>
  </si>
  <si>
    <t>458,259,386</t>
  </si>
  <si>
    <t>15.5%</t>
  </si>
  <si>
    <t>46.8%</t>
  </si>
  <si>
    <t>0.4%</t>
  </si>
  <si>
    <t>9.1%</t>
  </si>
  <si>
    <t>0.2%</t>
  </si>
  <si>
    <t>23.0%</t>
  </si>
  <si>
    <t>4.7%</t>
  </si>
  <si>
    <t>771.1</t>
  </si>
  <si>
    <t>774.3</t>
  </si>
  <si>
    <t>1,194.9</t>
  </si>
  <si>
    <t>1,199.2</t>
  </si>
  <si>
    <t>0.9</t>
  </si>
  <si>
    <t>FRCC</t>
  </si>
  <si>
    <t>FRCC All</t>
  </si>
  <si>
    <t>250,233,811</t>
  </si>
  <si>
    <t>6.1%</t>
  </si>
  <si>
    <t>0.5%</t>
  </si>
  <si>
    <t>74.4%</t>
  </si>
  <si>
    <t>0.6%</t>
  </si>
  <si>
    <t>12.3%</t>
  </si>
  <si>
    <t>1.4%</t>
  </si>
  <si>
    <t>4.3%</t>
  </si>
  <si>
    <t>813.8</t>
  </si>
  <si>
    <t>816.9</t>
  </si>
  <si>
    <t>0.3</t>
  </si>
  <si>
    <t>1,044.4</t>
  </si>
  <si>
    <t>1,048.0</t>
  </si>
  <si>
    <t>HIMS</t>
  </si>
  <si>
    <t>HICC Miscellaneous</t>
  </si>
  <si>
    <t>2,708,213</t>
  </si>
  <si>
    <t>64.4%</t>
  </si>
  <si>
    <t>4.1%</t>
  </si>
  <si>
    <t>3.6%</t>
  </si>
  <si>
    <t>12.6%</t>
  </si>
  <si>
    <t>5.5%</t>
  </si>
  <si>
    <t>7.7%</t>
  </si>
  <si>
    <t>1,155.5</t>
  </si>
  <si>
    <t>1,163.1</t>
  </si>
  <si>
    <t>1,619.2</t>
  </si>
  <si>
    <t>1,629.6</t>
  </si>
  <si>
    <t>5.4%</t>
  </si>
  <si>
    <t>HIOA</t>
  </si>
  <si>
    <t>HICC Oahu</t>
  </si>
  <si>
    <t>6,595,979</t>
  </si>
  <si>
    <t>9.8%</t>
  </si>
  <si>
    <t>74.5%</t>
  </si>
  <si>
    <t>3.8%</t>
  </si>
  <si>
    <t>1,575.4</t>
  </si>
  <si>
    <t>1,586.9</t>
  </si>
  <si>
    <t>1,810.3</t>
  </si>
  <si>
    <t>1,822.9</t>
  </si>
  <si>
    <t>MROE</t>
  </si>
  <si>
    <t>MRO East</t>
  </si>
  <si>
    <t>22,864,489</t>
  </si>
  <si>
    <t>45.8%</t>
  </si>
  <si>
    <t>0.7%</t>
  </si>
  <si>
    <t>37.8%</t>
  </si>
  <si>
    <t>4.8%</t>
  </si>
  <si>
    <t>3.7%</t>
  </si>
  <si>
    <t>3.2%</t>
  </si>
  <si>
    <t>1,479.6</t>
  </si>
  <si>
    <t>1,488.7</t>
  </si>
  <si>
    <t>1.0</t>
  </si>
  <si>
    <t>1,672.9</t>
  </si>
  <si>
    <t>1,682.8</t>
  </si>
  <si>
    <t>MROW</t>
  </si>
  <si>
    <t>MRO West</t>
  </si>
  <si>
    <t>251,623,837</t>
  </si>
  <si>
    <t>38.0%</t>
  </si>
  <si>
    <t>8.3%</t>
  </si>
  <si>
    <t>8.1%</t>
  </si>
  <si>
    <t>39.8%</t>
  </si>
  <si>
    <t>1.0%</t>
  </si>
  <si>
    <t>936.5</t>
  </si>
  <si>
    <t>943.4</t>
  </si>
  <si>
    <t>1,794.7</t>
  </si>
  <si>
    <t>1,807.0</t>
  </si>
  <si>
    <t>NEWE</t>
  </si>
  <si>
    <t>NPCC New England</t>
  </si>
  <si>
    <t>105,455,877</t>
  </si>
  <si>
    <t>1.8%</t>
  </si>
  <si>
    <t>52.7%</t>
  </si>
  <si>
    <t>1.6%</t>
  </si>
  <si>
    <t>26.0%</t>
  </si>
  <si>
    <t>5.9%</t>
  </si>
  <si>
    <t>4.5%</t>
  </si>
  <si>
    <t>3.3%</t>
  </si>
  <si>
    <t>536.4</t>
  </si>
  <si>
    <t>540.5</t>
  </si>
  <si>
    <t>923.3</t>
  </si>
  <si>
    <t>928.1</t>
  </si>
  <si>
    <t>NWPP</t>
  </si>
  <si>
    <t>WECC Northwest</t>
  </si>
  <si>
    <t>290,045,161</t>
  </si>
  <si>
    <t>18.2%</t>
  </si>
  <si>
    <t>18.9%</t>
  </si>
  <si>
    <t>44.0%</t>
  </si>
  <si>
    <t>10.8%</t>
  </si>
  <si>
    <t>2.5%</t>
  </si>
  <si>
    <t>602.1</t>
  </si>
  <si>
    <t>605.9</t>
  </si>
  <si>
    <t>1,515.7</t>
  </si>
  <si>
    <t>1,524.7</t>
  </si>
  <si>
    <t>NYCW</t>
  </si>
  <si>
    <t>NPCC NYC/Westchester</t>
  </si>
  <si>
    <t>32,721,381</t>
  </si>
  <si>
    <t>2.3%</t>
  </si>
  <si>
    <t>96.6%</t>
  </si>
  <si>
    <t>885.2</t>
  </si>
  <si>
    <t>886.6</t>
  </si>
  <si>
    <t>0.2</t>
  </si>
  <si>
    <t>971.8</t>
  </si>
  <si>
    <t>973.0</t>
  </si>
  <si>
    <t>NYLI</t>
  </si>
  <si>
    <t>NPCC Long Island</t>
  </si>
  <si>
    <t>10,828,139</t>
  </si>
  <si>
    <t>6.4%</t>
  </si>
  <si>
    <t>82.7%</t>
  </si>
  <si>
    <t>1,200.7</t>
  </si>
  <si>
    <t>1,209.3</t>
  </si>
  <si>
    <t>1,316.7</t>
  </si>
  <si>
    <t>1,319.1</t>
  </si>
  <si>
    <t>NYUP</t>
  </si>
  <si>
    <t>NPCC Upstate NY</t>
  </si>
  <si>
    <t>87,177,697</t>
  </si>
  <si>
    <t>29.2%</t>
  </si>
  <si>
    <t>30.8%</t>
  </si>
  <si>
    <t>30.9%</t>
  </si>
  <si>
    <t>1.5%</t>
  </si>
  <si>
    <t>5.2%</t>
  </si>
  <si>
    <t>274.6</t>
  </si>
  <si>
    <t>275.4</t>
  </si>
  <si>
    <t>0.1</t>
  </si>
  <si>
    <t>920.1</t>
  </si>
  <si>
    <t>922.5</t>
  </si>
  <si>
    <t>PRMS</t>
  </si>
  <si>
    <t>Puerto Rico Miscellaneous</t>
  </si>
  <si>
    <t>17,762,020</t>
  </si>
  <si>
    <t>16.7%</t>
  </si>
  <si>
    <t>48.6%</t>
  </si>
  <si>
    <t>32.3%</t>
  </si>
  <si>
    <t>0.9%</t>
  </si>
  <si>
    <t>1,593.5</t>
  </si>
  <si>
    <t>1,599.9</t>
  </si>
  <si>
    <t>1,670.9</t>
  </si>
  <si>
    <t>1,676.7</t>
  </si>
  <si>
    <t>RFCE</t>
  </si>
  <si>
    <t>RFC East</t>
  </si>
  <si>
    <t>289,058,252</t>
  </si>
  <si>
    <t>50.2%</t>
  </si>
  <si>
    <t>36.2%</t>
  </si>
  <si>
    <t>1.1%</t>
  </si>
  <si>
    <t>657.4</t>
  </si>
  <si>
    <t>660.3</t>
  </si>
  <si>
    <t>1,278.7</t>
  </si>
  <si>
    <t>1,285.1</t>
  </si>
  <si>
    <t>0.6</t>
  </si>
  <si>
    <t>RFCM</t>
  </si>
  <si>
    <t>RFC Michigan</t>
  </si>
  <si>
    <t>93,807,524</t>
  </si>
  <si>
    <t>36.6%</t>
  </si>
  <si>
    <t>38.5%</t>
  </si>
  <si>
    <t>10.0%</t>
  </si>
  <si>
    <t>9.4%</t>
  </si>
  <si>
    <t>1,216.4</t>
  </si>
  <si>
    <t>1,224.2</t>
  </si>
  <si>
    <t>1,597.3</t>
  </si>
  <si>
    <t>1,607.4</t>
  </si>
  <si>
    <t>RFCW</t>
  </si>
  <si>
    <t>RFC West</t>
  </si>
  <si>
    <t>535,522,392</t>
  </si>
  <si>
    <t>31.4%</t>
  </si>
  <si>
    <t>32.0%</t>
  </si>
  <si>
    <t>27.6%</t>
  </si>
  <si>
    <t>6.0%</t>
  </si>
  <si>
    <t>1,000.1</t>
  </si>
  <si>
    <t>1,005.9</t>
  </si>
  <si>
    <t>1,843.6</t>
  </si>
  <si>
    <t>1,855.7</t>
  </si>
  <si>
    <t>RMPA</t>
  </si>
  <si>
    <t>WECC Rockies</t>
  </si>
  <si>
    <t>67,125,368</t>
  </si>
  <si>
    <t>23.6%</t>
  </si>
  <si>
    <t>27.5%</t>
  </si>
  <si>
    <t>3.5%</t>
  </si>
  <si>
    <t>1,124.9</t>
  </si>
  <si>
    <t>1,131.7</t>
  </si>
  <si>
    <t>1,676.4</t>
  </si>
  <si>
    <t>1,685.1</t>
  </si>
  <si>
    <t>SPNO</t>
  </si>
  <si>
    <t>SPP North</t>
  </si>
  <si>
    <t>78,559,613</t>
  </si>
  <si>
    <t>37.1%</t>
  </si>
  <si>
    <t>10.9%</t>
  </si>
  <si>
    <t>11.4%</t>
  </si>
  <si>
    <t>40.3%</t>
  </si>
  <si>
    <t>952.6</t>
  </si>
  <si>
    <t>959.4</t>
  </si>
  <si>
    <t>1,943.0</t>
  </si>
  <si>
    <t>1,956.5</t>
  </si>
  <si>
    <t>SPSO</t>
  </si>
  <si>
    <t>SPP South</t>
  </si>
  <si>
    <t>155,729,281</t>
  </si>
  <si>
    <t>23.4%</t>
  </si>
  <si>
    <t>1.2%</t>
  </si>
  <si>
    <t>38.8%</t>
  </si>
  <si>
    <t>970.4</t>
  </si>
  <si>
    <t>975.3</t>
  </si>
  <si>
    <t>1,528.2</t>
  </si>
  <si>
    <t>1,535.2</t>
  </si>
  <si>
    <t>SRMV</t>
  </si>
  <si>
    <t>SERC Mississippi Valley</t>
  </si>
  <si>
    <t>183,054,493</t>
  </si>
  <si>
    <t>10.5%</t>
  </si>
  <si>
    <t>63.4%</t>
  </si>
  <si>
    <t>21.4%</t>
  </si>
  <si>
    <t>801.0</t>
  </si>
  <si>
    <t>803.7</t>
  </si>
  <si>
    <t>1,220.7</t>
  </si>
  <si>
    <t>1,225.6</t>
  </si>
  <si>
    <t>SRMW</t>
  </si>
  <si>
    <t>SERC Midwest</t>
  </si>
  <si>
    <t>118,737,335</t>
  </si>
  <si>
    <t>59.1%</t>
  </si>
  <si>
    <t>11.8%</t>
  </si>
  <si>
    <t>15.2%</t>
  </si>
  <si>
    <t>1.3%</t>
  </si>
  <si>
    <t>1,369.9</t>
  </si>
  <si>
    <t>1,380.2</t>
  </si>
  <si>
    <t>1,808.6</t>
  </si>
  <si>
    <t>1,821.2</t>
  </si>
  <si>
    <t>SRSO</t>
  </si>
  <si>
    <t>SERC South</t>
  </si>
  <si>
    <t>257,187,544</t>
  </si>
  <si>
    <t>17.7%</t>
  </si>
  <si>
    <t>53.8%</t>
  </si>
  <si>
    <t>18.3%</t>
  </si>
  <si>
    <t>2.9%</t>
  </si>
  <si>
    <t>893.3</t>
  </si>
  <si>
    <t>897.7</t>
  </si>
  <si>
    <t>1,354.8</t>
  </si>
  <si>
    <t>1,361.1</t>
  </si>
  <si>
    <t>SRTV</t>
  </si>
  <si>
    <t>SERC Tennessee Valley</t>
  </si>
  <si>
    <t>214,916,301</t>
  </si>
  <si>
    <t>30.4%</t>
  </si>
  <si>
    <t>30.2%</t>
  </si>
  <si>
    <t>8.7%</t>
  </si>
  <si>
    <t>933.1</t>
  </si>
  <si>
    <t>938.6</t>
  </si>
  <si>
    <t>1,671.0</t>
  </si>
  <si>
    <t>1,681.3</t>
  </si>
  <si>
    <t>SRVC</t>
  </si>
  <si>
    <t>SERC Virginia/Carolina</t>
  </si>
  <si>
    <t>323,748,776</t>
  </si>
  <si>
    <t>11.0%</t>
  </si>
  <si>
    <t>40.2%</t>
  </si>
  <si>
    <t>38.7%</t>
  </si>
  <si>
    <t>623.0</t>
  </si>
  <si>
    <t>625.9</t>
  </si>
  <si>
    <t>1,308.8</t>
  </si>
  <si>
    <t>1,315.1</t>
  </si>
  <si>
    <t>U.S.</t>
  </si>
  <si>
    <t>1,281,209</t>
  </si>
  <si>
    <t>4,240,140,533</t>
  </si>
  <si>
    <t>19.7%</t>
  </si>
  <si>
    <t>10.2%</t>
  </si>
  <si>
    <t>823.1</t>
  </si>
  <si>
    <t>827.5</t>
  </si>
  <si>
    <t>1,405.3</t>
  </si>
  <si>
    <t>1,412.5</t>
  </si>
  <si>
    <t>*percentages may not sum to 100 due to rounding</t>
  </si>
  <si>
    <t>1 lb/MWh = (0.45359237 Kg) / (1,000 KWh) = 0.00045359237 Kg/KWh</t>
  </si>
  <si>
    <t>CO2 Ib / MWh</t>
  </si>
  <si>
    <t>CO2 Kg / KWh</t>
  </si>
  <si>
    <t>THIS IS WAY TOO HIGH</t>
  </si>
  <si>
    <t>Date</t>
  </si>
  <si>
    <t>Month</t>
  </si>
  <si>
    <t>Year</t>
  </si>
  <si>
    <t>Weekly U.S. Regular Conventional Retail Gasoline Prices  (Dollars per Gallon)</t>
  </si>
  <si>
    <t>Monthly U.S. Regular Conventional Retail Gasoline Prices  (Dollars per Gallon)</t>
  </si>
  <si>
    <t>Date(simple)</t>
  </si>
  <si>
    <t>DATE</t>
  </si>
  <si>
    <t>Average Price: Electricity per Kilowatt-Hour in U.S. City Average</t>
  </si>
  <si>
    <t>.</t>
  </si>
  <si>
    <t>Material</t>
  </si>
  <si>
    <t>Category</t>
  </si>
  <si>
    <t>Quantity</t>
  </si>
  <si>
    <t>Minimum</t>
  </si>
  <si>
    <t>Maximum</t>
  </si>
  <si>
    <t>Car Type</t>
  </si>
  <si>
    <t>Steel</t>
  </si>
  <si>
    <t>Metals and Metal Products</t>
  </si>
  <si>
    <t>900-1,100 kg</t>
  </si>
  <si>
    <t>Non-Luxury ICE Car</t>
  </si>
  <si>
    <t>Aluminum</t>
  </si>
  <si>
    <t>80-120 kg</t>
  </si>
  <si>
    <t>Copper</t>
  </si>
  <si>
    <t>20-30 kg</t>
  </si>
  <si>
    <t>Plastics/Polymers</t>
  </si>
  <si>
    <t>Rubber and Plastic Products</t>
  </si>
  <si>
    <t>150-200 kg</t>
  </si>
  <si>
    <t>Rubber</t>
  </si>
  <si>
    <t>50-75 kg</t>
  </si>
  <si>
    <t>Glass</t>
  </si>
  <si>
    <t>Nonmetallic Mineral Products</t>
  </si>
  <si>
    <t>50-60 kg</t>
  </si>
  <si>
    <t>Lead</t>
  </si>
  <si>
    <t>10-15 kg</t>
  </si>
  <si>
    <t>Magnesium</t>
  </si>
  <si>
    <t>5-10 kg</t>
  </si>
  <si>
    <t>Zinc</t>
  </si>
  <si>
    <t>2-5 kg</t>
  </si>
  <si>
    <t>1,200+ kg</t>
  </si>
  <si>
    <t>Luxury ICE Car</t>
  </si>
  <si>
    <t>200+ kg</t>
  </si>
  <si>
    <t>50-70 kg</t>
  </si>
  <si>
    <t>70-90 kg</t>
  </si>
  <si>
    <t>Leather</t>
  </si>
  <si>
    <t>Hides, Skins, Leather, and Related Products</t>
  </si>
  <si>
    <t>30-50 m²</t>
  </si>
  <si>
    <t>Platinum/Palladium</t>
  </si>
  <si>
    <t>Minimal</t>
  </si>
  <si>
    <t>700-900 kg</t>
  </si>
  <si>
    <t>Non-Luxury EV</t>
  </si>
  <si>
    <t>60-80 kg</t>
  </si>
  <si>
    <t>200-250 kg</t>
  </si>
  <si>
    <t>Lithium</t>
  </si>
  <si>
    <t>Chemicals and Allied Products</t>
  </si>
  <si>
    <t>8-12 kg</t>
  </si>
  <si>
    <t>Nickel</t>
  </si>
  <si>
    <t>25-30 kg</t>
  </si>
  <si>
    <t>Cobalt</t>
  </si>
  <si>
    <t>Manganese</t>
  </si>
  <si>
    <t>5-7 kg</t>
  </si>
  <si>
    <t>Graphite</t>
  </si>
  <si>
    <t>30-50 kg</t>
  </si>
  <si>
    <t>Luxury EV</t>
  </si>
  <si>
    <t>250-300 kg</t>
  </si>
  <si>
    <t>60-70 kg</t>
  </si>
  <si>
    <t>12-15 kg</t>
  </si>
  <si>
    <t>40-50 kg</t>
  </si>
  <si>
    <t>Rare Earths</t>
  </si>
  <si>
    <t>Textile Products and Apparel</t>
  </si>
  <si>
    <t>Electrical Machinery and Equipment</t>
  </si>
  <si>
    <t>Producer Price Index by Commodity: Transportation Equipment: Passenger Cars and Chassis</t>
  </si>
  <si>
    <t>Fuels and Related Products and Power: Gasoline</t>
  </si>
  <si>
    <t>Fuels and Related Products and Power: No. 2 Diesel Fuel</t>
  </si>
  <si>
    <t>Fuels and Related Products and Power: Industrial Electric Power</t>
  </si>
  <si>
    <t>Electric Power Distribution: Transportation Electric Power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</si>
</sst>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[$$-409]* #,##0.00_ ;_-[$$-409]* \-#,##0.00\ ;_-[$$-409]* &quot;-&quot;??_ ;_-@_ "/>
    <numFmt numFmtId="165" formatCode="d/m"/>
    <numFmt numFmtId="166" formatCode="yyyy-mm-dd"/>
    <numFmt numFmtId="167" formatCode="yyyy-mm"/>
    <numFmt numFmtId="168" formatCode="yyyy-m"/>
    <numFmt numFmtId="169" formatCode="&quot;€&quot;#,##0"/>
    <numFmt numFmtId="170" formatCode="&quot;€&quot;#,##0.00"/>
    <numFmt numFmtId="171" formatCode="d.m"/>
    <numFmt numFmtId="172" formatCode="dd.mm"/>
  </numFmts>
  <fonts count="23">
    <font>
      <sz val="10.0"/>
      <color theme="1"/>
      <name val="Bahnschrift"/>
      <scheme val="minor"/>
    </font>
    <font>
      <color theme="1"/>
      <name val="Bahnschrift"/>
      <scheme val="minor"/>
    </font>
    <font>
      <sz val="10.0"/>
      <color theme="1"/>
      <name val="Bahnschrift"/>
    </font>
    <font>
      <color theme="1"/>
      <name val="Arial"/>
    </font>
    <font>
      <u/>
      <color rgb="FF0563C1"/>
      <name val="Arial"/>
    </font>
    <font>
      <u/>
      <sz val="10.0"/>
      <color rgb="FF0563C1"/>
      <name val="Arial"/>
    </font>
    <font>
      <u/>
      <color rgb="FF0000FF"/>
    </font>
    <font>
      <u/>
      <color rgb="FF0000FF"/>
      <name val="Arial"/>
    </font>
    <font>
      <b/>
      <color theme="1"/>
      <name val="Arial"/>
    </font>
    <font>
      <sz val="11.0"/>
      <color rgb="FF202124"/>
      <name val="&quot;Google Sans&quot;"/>
    </font>
    <font>
      <color rgb="FF000000"/>
      <name val="Bahnschrift"/>
    </font>
    <font>
      <color rgb="FF000000"/>
      <name val="Arial"/>
    </font>
    <font>
      <u/>
      <color rgb="FF000000"/>
      <name val="Bahnschrift"/>
    </font>
    <font>
      <u/>
      <color rgb="FF0000FF"/>
      <name val="Arial"/>
    </font>
    <font>
      <b/>
      <color theme="1"/>
      <name val="Bahnschrift"/>
      <scheme val="minor"/>
    </font>
    <font>
      <b/>
      <sz val="12.0"/>
      <color rgb="FF000000"/>
      <name val="Arial"/>
    </font>
    <font/>
    <font>
      <b/>
      <sz val="9.0"/>
      <color rgb="FF000000"/>
      <name val="Arial"/>
    </font>
    <font>
      <sz val="9.0"/>
      <color rgb="FF000000"/>
      <name val="Arial"/>
    </font>
    <font>
      <sz val="8.0"/>
      <color rgb="FF000000"/>
      <name val="Arial"/>
    </font>
    <font>
      <sz val="11.0"/>
      <color rgb="FF1F1F1F"/>
      <name val="&quot;Google Sans&quot;"/>
    </font>
    <font>
      <b/>
      <sz val="10.0"/>
      <color theme="1"/>
      <name val="Arial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F2DCDB"/>
        <bgColor rgb="FFF2DCDB"/>
      </patternFill>
    </fill>
    <fill>
      <patternFill patternType="solid">
        <fgColor rgb="FFFDE9D9"/>
        <bgColor rgb="FFFDE9D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2" fontId="1" numFmtId="0" xfId="0" applyFill="1" applyFont="1"/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9" numFmtId="3" xfId="0" applyAlignment="1" applyFill="1" applyFont="1" applyNumberFormat="1">
      <alignment horizontal="left" readingOrder="0"/>
    </xf>
    <xf borderId="0" fillId="0" fontId="3" numFmtId="3" xfId="0" applyAlignment="1" applyFont="1" applyNumberForma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2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1" numFmtId="167" xfId="0" applyAlignment="1" applyFont="1" applyNumberForma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167" xfId="0" applyAlignment="1" applyFont="1" applyNumberForma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0" numFmtId="168" xfId="0" applyAlignment="1" applyFont="1" applyNumberFormat="1">
      <alignment readingOrder="0" shrinkToFit="0" vertical="bottom" wrapText="0"/>
    </xf>
    <xf borderId="0" fillId="0" fontId="1" numFmtId="10" xfId="0" applyFont="1" applyNumberFormat="1"/>
    <xf borderId="0" fillId="0" fontId="14" numFmtId="0" xfId="0" applyFont="1"/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10" numFmtId="0" xfId="0" applyAlignment="1" applyFont="1">
      <alignment readingOrder="0" vertical="bottom"/>
    </xf>
    <xf borderId="0" fillId="0" fontId="10" numFmtId="169" xfId="0" applyAlignment="1" applyFont="1" applyNumberFormat="1">
      <alignment horizontal="right" readingOrder="0" shrinkToFit="0" vertical="bottom" wrapText="0"/>
    </xf>
    <xf borderId="0" fillId="0" fontId="10" numFmtId="170" xfId="0" applyAlignment="1" applyFont="1" applyNumberFormat="1">
      <alignment horizontal="right" readingOrder="0" shrinkToFit="0" vertical="bottom" wrapText="0"/>
    </xf>
    <xf borderId="0" fillId="0" fontId="10" numFmtId="171" xfId="0" applyAlignment="1" applyFont="1" applyNumberFormat="1">
      <alignment horizontal="right" readingOrder="0" shrinkToFit="0" vertical="bottom" wrapText="0"/>
    </xf>
    <xf borderId="0" fillId="0" fontId="10" numFmtId="172" xfId="0" applyAlignment="1" applyFont="1" applyNumberFormat="1">
      <alignment horizontal="right" readingOrder="0" shrinkToFit="0" vertical="bottom" wrapText="0"/>
    </xf>
    <xf borderId="1" fillId="0" fontId="15" numFmtId="0" xfId="0" applyAlignment="1" applyBorder="1" applyFont="1">
      <alignment horizontal="center" readingOrder="0"/>
    </xf>
    <xf borderId="2" fillId="0" fontId="16" numFmtId="0" xfId="0" applyBorder="1" applyFont="1"/>
    <xf borderId="3" fillId="0" fontId="16" numFmtId="0" xfId="0" applyBorder="1" applyFont="1"/>
    <xf borderId="4" fillId="4" fontId="17" numFmtId="0" xfId="0" applyAlignment="1" applyBorder="1" applyFill="1" applyFont="1">
      <alignment horizontal="center" readingOrder="0"/>
    </xf>
    <xf borderId="5" fillId="5" fontId="17" numFmtId="0" xfId="0" applyAlignment="1" applyBorder="1" applyFill="1" applyFont="1">
      <alignment horizontal="center" readingOrder="0"/>
    </xf>
    <xf borderId="5" fillId="0" fontId="16" numFmtId="0" xfId="0" applyBorder="1" applyFont="1"/>
    <xf borderId="6" fillId="6" fontId="17" numFmtId="0" xfId="0" applyAlignment="1" applyBorder="1" applyFill="1" applyFont="1">
      <alignment horizontal="center" readingOrder="0"/>
    </xf>
    <xf borderId="7" fillId="0" fontId="16" numFmtId="0" xfId="0" applyBorder="1" applyFont="1"/>
    <xf borderId="4" fillId="7" fontId="17" numFmtId="0" xfId="0" applyAlignment="1" applyBorder="1" applyFill="1" applyFont="1">
      <alignment horizontal="center" readingOrder="0"/>
    </xf>
    <xf borderId="2" fillId="8" fontId="17" numFmtId="0" xfId="0" applyAlignment="1" applyBorder="1" applyFill="1" applyFont="1">
      <alignment horizontal="center" readingOrder="0"/>
    </xf>
    <xf borderId="4" fillId="0" fontId="16" numFmtId="0" xfId="0" applyBorder="1" applyFont="1"/>
    <xf borderId="8" fillId="5" fontId="17" numFmtId="0" xfId="0" applyAlignment="1" applyBorder="1" applyFont="1">
      <alignment horizontal="center" readingOrder="0"/>
    </xf>
    <xf borderId="8" fillId="0" fontId="16" numFmtId="0" xfId="0" applyBorder="1" applyFont="1"/>
    <xf borderId="9" fillId="6" fontId="17" numFmtId="0" xfId="0" applyAlignment="1" applyBorder="1" applyFont="1">
      <alignment horizontal="center" readingOrder="0"/>
    </xf>
    <xf borderId="10" fillId="0" fontId="16" numFmtId="0" xfId="0" applyBorder="1" applyFont="1"/>
    <xf borderId="11" fillId="0" fontId="16" numFmtId="0" xfId="0" applyBorder="1" applyFont="1"/>
    <xf borderId="10" fillId="8" fontId="17" numFmtId="0" xfId="0" applyAlignment="1" applyBorder="1" applyFont="1">
      <alignment horizontal="center" readingOrder="0"/>
    </xf>
    <xf borderId="10" fillId="5" fontId="17" numFmtId="0" xfId="0" applyAlignment="1" applyBorder="1" applyFont="1">
      <alignment horizontal="center" readingOrder="0"/>
    </xf>
    <xf borderId="10" fillId="6" fontId="17" numFmtId="0" xfId="0" applyAlignment="1" applyBorder="1" applyFont="1">
      <alignment horizontal="center" readingOrder="0"/>
    </xf>
    <xf borderId="11" fillId="0" fontId="18" numFmtId="0" xfId="0" applyAlignment="1" applyBorder="1" applyFont="1">
      <alignment readingOrder="0" shrinkToFit="0" vertical="bottom" wrapText="0"/>
    </xf>
    <xf borderId="10" fillId="0" fontId="18" numFmtId="0" xfId="0" applyAlignment="1" applyBorder="1" applyFont="1">
      <alignment readingOrder="0" shrinkToFit="0" vertical="bottom" wrapText="0"/>
    </xf>
    <xf borderId="10" fillId="0" fontId="18" numFmtId="0" xfId="0" applyAlignment="1" applyBorder="1" applyFont="1">
      <alignment horizontal="right" readingOrder="0" shrinkToFit="0" vertical="bottom" wrapText="0"/>
    </xf>
    <xf borderId="10" fillId="0" fontId="18" numFmtId="3" xfId="0" applyAlignment="1" applyBorder="1" applyFont="1" applyNumberFormat="1">
      <alignment horizontal="right" readingOrder="0" shrinkToFit="0" vertical="bottom" wrapText="0"/>
    </xf>
    <xf borderId="10" fillId="0" fontId="18" numFmtId="171" xfId="0" applyAlignment="1" applyBorder="1" applyFont="1" applyNumberFormat="1">
      <alignment horizontal="right"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12" fillId="0" fontId="18" numFmtId="0" xfId="0" applyAlignment="1" applyBorder="1" applyFont="1">
      <alignment readingOrder="0" shrinkToFit="0" vertical="bottom" wrapText="0"/>
    </xf>
    <xf borderId="12" fillId="0" fontId="18" numFmtId="0" xfId="0" applyAlignment="1" applyBorder="1" applyFont="1">
      <alignment horizontal="right" readingOrder="0" shrinkToFit="0" vertical="bottom" wrapText="0"/>
    </xf>
    <xf borderId="12" fillId="0" fontId="18" numFmtId="3" xfId="0" applyAlignment="1" applyBorder="1" applyFont="1" applyNumberFormat="1">
      <alignment horizontal="right" readingOrder="0" shrinkToFit="0" vertical="bottom" wrapText="0"/>
    </xf>
    <xf borderId="1" fillId="0" fontId="17" numFmtId="0" xfId="0" applyAlignment="1" applyBorder="1" applyFont="1">
      <alignment readingOrder="0" shrinkToFit="0" vertical="bottom" wrapText="0"/>
    </xf>
    <xf borderId="3" fillId="0" fontId="17" numFmtId="0" xfId="0" applyAlignment="1" applyBorder="1" applyFont="1">
      <alignment horizontal="right" readingOrder="0" shrinkToFit="0" vertical="bottom" wrapText="0"/>
    </xf>
    <xf borderId="3" fillId="0" fontId="17" numFmtId="3" xfId="0" applyAlignment="1" applyBorder="1" applyFont="1" applyNumberFormat="1">
      <alignment horizontal="right" readingOrder="0" shrinkToFit="0" vertical="bottom" wrapText="0"/>
    </xf>
    <xf borderId="9" fillId="0" fontId="18" numFmtId="0" xfId="0" applyAlignment="1" applyBorder="1" applyFont="1">
      <alignment readingOrder="0" shrinkToFit="0" vertical="bottom" wrapText="0"/>
    </xf>
    <xf borderId="8" fillId="0" fontId="18" numFmtId="0" xfId="0" applyAlignment="1" applyBorder="1" applyFont="1">
      <alignment shrinkToFit="0" vertical="bottom" wrapText="0"/>
    </xf>
    <xf borderId="8" fillId="0" fontId="19" numFmtId="0" xfId="0" applyAlignment="1" applyBorder="1" applyFont="1">
      <alignment shrinkToFit="0" vertical="bottom" wrapText="0"/>
    </xf>
    <xf borderId="10" fillId="0" fontId="19" numFmtId="0" xfId="0" applyAlignment="1" applyBorder="1" applyFont="1">
      <alignment shrinkToFit="0" vertical="bottom" wrapText="0"/>
    </xf>
    <xf borderId="0" fillId="3" fontId="20" numFmtId="3" xfId="0" applyAlignment="1" applyFont="1" applyNumberFormat="1">
      <alignment readingOrder="0"/>
    </xf>
    <xf borderId="0" fillId="0" fontId="21" numFmtId="0" xfId="0" applyAlignment="1" applyFont="1">
      <alignment horizontal="center"/>
    </xf>
    <xf borderId="0" fillId="0" fontId="21" numFmtId="0" xfId="0" applyFont="1"/>
    <xf borderId="0" fillId="0" fontId="2" numFmtId="0" xfId="0" applyFont="1"/>
    <xf borderId="0" fillId="0" fontId="2" numFmtId="1" xfId="0" applyFont="1" applyNumberFormat="1"/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 per vehicle (km/Month)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outputs!$A$17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outputs!$B$17:$X$17</c:f>
              <c:numCache/>
            </c:numRef>
          </c:val>
          <c:smooth val="0"/>
        </c:ser>
        <c:axId val="973284272"/>
        <c:axId val="704956864"/>
      </c:lineChart>
      <c:catAx>
        <c:axId val="973284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956864"/>
      </c:catAx>
      <c:valAx>
        <c:axId val="704956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per vehicle (km/Month)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2842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2371725</xdr:colOff>
      <xdr:row>32</xdr:row>
      <xdr:rowOff>133350</xdr:rowOff>
    </xdr:from>
    <xdr:ext cx="5810250" cy="3600450"/>
    <xdr:graphicFrame>
      <xdr:nvGraphicFramePr>
        <xdr:cNvPr id="1389060541" name="Chart 1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Bahnschrift"/>
        <a:ea typeface="Bahnschrift"/>
        <a:cs typeface="Bahnschrift"/>
      </a:majorFont>
      <a:minorFont>
        <a:latin typeface="Bahnschrift"/>
        <a:ea typeface="Bahnschrift"/>
        <a:cs typeface="Bahnschrift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ueleconomy.gov/feg/taxused.shtml" TargetMode="External"/><Relationship Id="rId20" Type="http://schemas.openxmlformats.org/officeDocument/2006/relationships/hyperlink" Target="https://www.transportenvironment.org/articles/how-clean-are-electric-cars" TargetMode="External"/><Relationship Id="rId42" Type="http://schemas.openxmlformats.org/officeDocument/2006/relationships/hyperlink" Target="https://www.eia.gov/opendata/browser/electricity/retail-sales?frequency=monthly&amp;data=price;&amp;facets=stateid;sectorid;&amp;stateid=CA;&amp;sectorid=RES;&amp;start=2001-01&amp;end=2024-09&amp;sortColumn=period;&amp;sortDirection=desc;" TargetMode="External"/><Relationship Id="rId41" Type="http://schemas.openxmlformats.org/officeDocument/2006/relationships/hyperlink" Target="https://www.bls.gov/cex/tables/geographic/mean/cu-state-ca-income-quintiles-before-taxes-2-year-average-2020.htm" TargetMode="External"/><Relationship Id="rId22" Type="http://schemas.openxmlformats.org/officeDocument/2006/relationships/hyperlink" Target="https://www.sciencedirect.com/science/article/pii/S1361920914000923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electricvehiclecouncil.com.au/lifecycle-emissions-calculator/" TargetMode="External"/><Relationship Id="rId43" Type="http://schemas.openxmlformats.org/officeDocument/2006/relationships/hyperlink" Target="https://iopscience.iop.org/article/10.1088/1748-9326/abb7ad/data" TargetMode="External"/><Relationship Id="rId24" Type="http://schemas.openxmlformats.org/officeDocument/2006/relationships/hyperlink" Target="https://www.eia.gov/dnav/pet/hist/LeafHandler.ashx?n=PET&amp;s=EMM_EPM0_PTE_SCA_DPG&amp;f=M" TargetMode="External"/><Relationship Id="rId23" Type="http://schemas.openxmlformats.org/officeDocument/2006/relationships/hyperlink" Target="https://ww2.arb.ca.gov/sites/default/files/2024-09/nc-2000_2022_ghg_inventory_trends.pdf" TargetMode="External"/><Relationship Id="rId1" Type="http://schemas.openxmlformats.org/officeDocument/2006/relationships/hyperlink" Target="https://www.eia.gov/petroleum/gasdiesel/" TargetMode="External"/><Relationship Id="rId2" Type="http://schemas.openxmlformats.org/officeDocument/2006/relationships/hyperlink" Target="https://fred.stlouisfed.org/series/APU000072610" TargetMode="External"/><Relationship Id="rId3" Type="http://schemas.openxmlformats.org/officeDocument/2006/relationships/hyperlink" Target="https://www.iea.org/data-and-statistics/charts/comparative-life-cycle-greenhouse-gas-emissions-of-a-mid-size-bev-and-ice-vehicle" TargetMode="External"/><Relationship Id="rId4" Type="http://schemas.openxmlformats.org/officeDocument/2006/relationships/hyperlink" Target="https://www.iea.org/data-and-statistics/charts/comparative-life-cycle-greenhouse-gas-emissions-of-a-mid-size-bev-and-ice-vehicle" TargetMode="External"/><Relationship Id="rId9" Type="http://schemas.openxmlformats.org/officeDocument/2006/relationships/hyperlink" Target="https://fred.stlouisfed.org/series/DGS1/" TargetMode="External"/><Relationship Id="rId26" Type="http://schemas.openxmlformats.org/officeDocument/2006/relationships/hyperlink" Target="https://data.census.gov/table/ACSST5Y2022.S1901?q=california%20income&amp;moe=false" TargetMode="External"/><Relationship Id="rId25" Type="http://schemas.openxmlformats.org/officeDocument/2006/relationships/hyperlink" Target="https://fred.stlouisfed.org/series/APUS49B72610" TargetMode="External"/><Relationship Id="rId28" Type="http://schemas.openxmlformats.org/officeDocument/2006/relationships/hyperlink" Target="https://ww2.arb.ca.gov/our-work/programs/cap-and-trade-program/program-data/cap-and-trade-program-data-dashboard" TargetMode="External"/><Relationship Id="rId27" Type="http://schemas.openxmlformats.org/officeDocument/2006/relationships/hyperlink" Target="https://dof.ca.gov/forecasting/economics/economic-indicators/inflation/" TargetMode="External"/><Relationship Id="rId5" Type="http://schemas.openxmlformats.org/officeDocument/2006/relationships/hyperlink" Target="https://www.epa.gov/greenvehicles/greenhouse-gas-emissions-typical-passenger-vehicle" TargetMode="External"/><Relationship Id="rId6" Type="http://schemas.openxmlformats.org/officeDocument/2006/relationships/hyperlink" Target="https://www.epa.gov/egrid/summary-data" TargetMode="External"/><Relationship Id="rId29" Type="http://schemas.openxmlformats.org/officeDocument/2006/relationships/hyperlink" Target="https://ember-energy.org/data/us-electricity-data-explorer/" TargetMode="External"/><Relationship Id="rId7" Type="http://schemas.openxmlformats.org/officeDocument/2006/relationships/hyperlink" Target="https://www.census.gov/newsroom/press-releases/2022/urban-rural-populations.html" TargetMode="External"/><Relationship Id="rId8" Type="http://schemas.openxmlformats.org/officeDocument/2006/relationships/hyperlink" Target="https://www.census.gov/newsroom/press-releases/2022/urban-rural-populations.html" TargetMode="External"/><Relationship Id="rId31" Type="http://schemas.openxmlformats.org/officeDocument/2006/relationships/hyperlink" Target="https://www.iea.org/data-and-statistics/charts/evolution-of-average-range-of-electric-vehicles-by-powertrain-2010-2021" TargetMode="External"/><Relationship Id="rId30" Type="http://schemas.openxmlformats.org/officeDocument/2006/relationships/hyperlink" Target="https://www.energy.ca.gov/files/zev-and-infrastructure-stats-data" TargetMode="External"/><Relationship Id="rId11" Type="http://schemas.openxmlformats.org/officeDocument/2006/relationships/hyperlink" Target="https://afdc.energy.gov/data/10305" TargetMode="External"/><Relationship Id="rId33" Type="http://schemas.openxmlformats.org/officeDocument/2006/relationships/hyperlink" Target="https://www.ppic.org/wp-content/uploads/content/pubs/cacounts/CC_206EBCC.pdf" TargetMode="External"/><Relationship Id="rId10" Type="http://schemas.openxmlformats.org/officeDocument/2006/relationships/hyperlink" Target="https://www.fueleconomy.gov/feg/PowerSearch.do?action=Cars&amp;vtype=Electric&amp;srchtyp=evSelect&amp;rowLimit=50&amp;sortBy=Comb&amp;year1=2006&amp;year2=2011&amp;mclass=Small%20Cars,Coupes,Sports/Sporty%20Cars,Hatchbacks,Family%20Sedans,Upscale%20Sedans,Luxury%20Sedans,Sport%20Utility%20Vehicles&amp;range=&amp;drive=" TargetMode="External"/><Relationship Id="rId32" Type="http://schemas.openxmlformats.org/officeDocument/2006/relationships/hyperlink" Target="https://vitalsigns.mtc.ca.gov/indicators/commute-time" TargetMode="External"/><Relationship Id="rId13" Type="http://schemas.openxmlformats.org/officeDocument/2006/relationships/hyperlink" Target="https://www.bts.gov/content/average-fuel-efficiency-us-light-duty-vehicles" TargetMode="External"/><Relationship Id="rId35" Type="http://schemas.openxmlformats.org/officeDocument/2006/relationships/hyperlink" Target="https://www.irs.gov/irb/2009-48_IRB" TargetMode="External"/><Relationship Id="rId12" Type="http://schemas.openxmlformats.org/officeDocument/2006/relationships/hyperlink" Target="https://www.volker-quaschning.de/datserv/CO2-spez/index_e.php" TargetMode="External"/><Relationship Id="rId34" Type="http://schemas.openxmlformats.org/officeDocument/2006/relationships/hyperlink" Target="https://fueleconomy.gov/feg/tax2023.shtml" TargetMode="External"/><Relationship Id="rId15" Type="http://schemas.openxmlformats.org/officeDocument/2006/relationships/hyperlink" Target="https://nickelinstitute.org/media/8d993d0fd3dfd5b/tco-north-american-automotive-final.pdf" TargetMode="External"/><Relationship Id="rId37" Type="http://schemas.openxmlformats.org/officeDocument/2006/relationships/hyperlink" Target="https://www.fueleconomy.gov/feg/tax2023.shtml" TargetMode="External"/><Relationship Id="rId14" Type="http://schemas.openxmlformats.org/officeDocument/2006/relationships/hyperlink" Target="https://www.sciencedirect.com/science/article/pii/S2666691X20300063" TargetMode="External"/><Relationship Id="rId36" Type="http://schemas.openxmlformats.org/officeDocument/2006/relationships/hyperlink" Target="https://cleanvehiclerebate.org/en/rebate-statistics" TargetMode="External"/><Relationship Id="rId17" Type="http://schemas.openxmlformats.org/officeDocument/2006/relationships/hyperlink" Target="https://theicct.org/wp-content/uploads/2021/06/Transition_EV_US_Cities_20180724.pdf" TargetMode="External"/><Relationship Id="rId39" Type="http://schemas.openxmlformats.org/officeDocument/2006/relationships/hyperlink" Target="https://www.ppic.org/publication/rural-california/" TargetMode="External"/><Relationship Id="rId16" Type="http://schemas.openxmlformats.org/officeDocument/2006/relationships/hyperlink" Target="https://ww2.arb.ca.gov/news/california-moves-accelerate-100-new-zero-emission-vehicle-sales-2035" TargetMode="External"/><Relationship Id="rId38" Type="http://schemas.openxmlformats.org/officeDocument/2006/relationships/hyperlink" Target="https://www.ladwp.com/residential-services/programs-and-rebates-residential/electric-vehicles/used-electric-vehicle-rebate-program" TargetMode="External"/><Relationship Id="rId19" Type="http://schemas.openxmlformats.org/officeDocument/2006/relationships/hyperlink" Target="https://www.homearea.com/rankings/place-in-ca/percent_using_public_transportation/" TargetMode="External"/><Relationship Id="rId18" Type="http://schemas.openxmlformats.org/officeDocument/2006/relationships/hyperlink" Target="https://www.energy.ca.gov/data-reports/energy-almanac/transportation-energy/public-transit-californi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ts.gov/browse-statistical-products-and-data/state-transportation-statistics/state-highway-travel" TargetMode="External"/><Relationship Id="rId2" Type="http://schemas.openxmlformats.org/officeDocument/2006/relationships/hyperlink" Target="https://www.bts.gov/browse-statistical-products-and-data/state-transportation-statistics/state-highway-travel" TargetMode="External"/><Relationship Id="rId3" Type="http://schemas.openxmlformats.org/officeDocument/2006/relationships/hyperlink" Target="https://www.bts.gov/browse-statistical-products-and-data/state-transportation-statistics/state-highway-travel" TargetMode="External"/><Relationship Id="rId4" Type="http://schemas.openxmlformats.org/officeDocument/2006/relationships/hyperlink" Target="https://www.bts.gov/browse-statistical-products-and-data/state-transportation-statistics/state-highway-travel" TargetMode="External"/><Relationship Id="rId5" Type="http://schemas.openxmlformats.org/officeDocument/2006/relationships/hyperlink" Target="https://www.bts.gov/browse-statistical-products-and-data/state-transportation-statistics/state-highway-travel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ev-database.org/car/2268/Alpine-A290-Electric-180-hp" TargetMode="External"/><Relationship Id="rId194" Type="http://schemas.openxmlformats.org/officeDocument/2006/relationships/hyperlink" Target="https://ev-database.org/car/3060/Porsche-Taycan-4" TargetMode="External"/><Relationship Id="rId193" Type="http://schemas.openxmlformats.org/officeDocument/2006/relationships/hyperlink" Target="https://ev-database.org/img/auto/Audi_A6_Avant_etron_2024/Audi_A6_Avant_etron_2024-01-thumb.jpg" TargetMode="External"/><Relationship Id="rId192" Type="http://schemas.openxmlformats.org/officeDocument/2006/relationships/hyperlink" Target="https://ev-database.org/car/2272/Audi-A6-Avant-e-tron-performance" TargetMode="External"/><Relationship Id="rId191" Type="http://schemas.openxmlformats.org/officeDocument/2006/relationships/hyperlink" Target="https://ev-database.org/img/auto/Alpine_A290_2024/Alpine_A290_2024-01-thumb.jpg" TargetMode="External"/><Relationship Id="rId187" Type="http://schemas.openxmlformats.org/officeDocument/2006/relationships/hyperlink" Target="https://ev-database.org/img/auto/Skoda_Enyaq_iV_2020/Skoda_Enyaq_iV_2020-01-thumb.jpg" TargetMode="External"/><Relationship Id="rId186" Type="http://schemas.openxmlformats.org/officeDocument/2006/relationships/hyperlink" Target="https://ev-database.org/car/2250/Skoda-Enyaq-50" TargetMode="External"/><Relationship Id="rId185" Type="http://schemas.openxmlformats.org/officeDocument/2006/relationships/hyperlink" Target="https://ev-database.org/img/auto/Ford_Capri_2024/Ford_Capri_2024-01-thumb.jpg" TargetMode="External"/><Relationship Id="rId184" Type="http://schemas.openxmlformats.org/officeDocument/2006/relationships/hyperlink" Target="https://ev-database.org/car/2240/Ford-Capri-Standard-Range-RWD" TargetMode="External"/><Relationship Id="rId189" Type="http://schemas.openxmlformats.org/officeDocument/2006/relationships/hyperlink" Target="https://ev-database.org/img/auto/Fiat_Grande_Panda_2024/Fiat_Grande_Panda_2024-01-thumb.jpg" TargetMode="External"/><Relationship Id="rId188" Type="http://schemas.openxmlformats.org/officeDocument/2006/relationships/hyperlink" Target="https://ev-database.org/car/2251/Fiat-Grande-Panda" TargetMode="External"/><Relationship Id="rId183" Type="http://schemas.openxmlformats.org/officeDocument/2006/relationships/hyperlink" Target="https://ev-database.org/img/auto/Porsche_Taycan_2024/Porsche_Taycan_2024-01-thumb.jpg" TargetMode="External"/><Relationship Id="rId182" Type="http://schemas.openxmlformats.org/officeDocument/2006/relationships/hyperlink" Target="https://ev-database.org/car/2100/Porsche-Taycan-4S" TargetMode="External"/><Relationship Id="rId181" Type="http://schemas.openxmlformats.org/officeDocument/2006/relationships/hyperlink" Target="https://ev-database.org/img/auto/BMW_iX2_2024/BMW_iX2_2024-01-thumb.jpg" TargetMode="External"/><Relationship Id="rId180" Type="http://schemas.openxmlformats.org/officeDocument/2006/relationships/hyperlink" Target="https://ev-database.org/car/2040/BMW-iX2-xDrive30" TargetMode="External"/><Relationship Id="rId176" Type="http://schemas.openxmlformats.org/officeDocument/2006/relationships/hyperlink" Target="https://ev-database.org/car/1984/Mercedes-Benz-EQA-250" TargetMode="External"/><Relationship Id="rId175" Type="http://schemas.openxmlformats.org/officeDocument/2006/relationships/hyperlink" Target="https://ev-database.org/img/auto/Abarth_500e_Convertible/Abarth_500e_Convertible-01-thumb.jpg" TargetMode="External"/><Relationship Id="rId174" Type="http://schemas.openxmlformats.org/officeDocument/2006/relationships/hyperlink" Target="https://ev-database.org/car/1904/Abarth-500e-Convertible" TargetMode="External"/><Relationship Id="rId173" Type="http://schemas.openxmlformats.org/officeDocument/2006/relationships/hyperlink" Target="https://ev-database.org/img/auto/Abarth_500e_Hatchback/Abarth_500e_Hatchback-01-thumb.jpg" TargetMode="External"/><Relationship Id="rId179" Type="http://schemas.openxmlformats.org/officeDocument/2006/relationships/hyperlink" Target="https://ev-database.org/img/auto/Mercedes_EQA_2024/Mercedes_EQA_2024-01-thumb.jpg" TargetMode="External"/><Relationship Id="rId178" Type="http://schemas.openxmlformats.org/officeDocument/2006/relationships/hyperlink" Target="https://ev-database.org/car/1985/Mercedes-Benz-EQA-250plus" TargetMode="External"/><Relationship Id="rId177" Type="http://schemas.openxmlformats.org/officeDocument/2006/relationships/hyperlink" Target="https://ev-database.org/img/auto/Mercedes_EQA_2024/Mercedes_EQA_2024-01-thumb.jpg" TargetMode="External"/><Relationship Id="rId198" Type="http://schemas.openxmlformats.org/officeDocument/2006/relationships/hyperlink" Target="https://ev-database.org/car/1707/MG-MG4-Electric-51-kWh" TargetMode="External"/><Relationship Id="rId197" Type="http://schemas.openxmlformats.org/officeDocument/2006/relationships/hyperlink" Target="https://ev-database.org/img/auto/Tesla_Model_Y/Tesla_Model_Y-01-thumb.jpg" TargetMode="External"/><Relationship Id="rId196" Type="http://schemas.openxmlformats.org/officeDocument/2006/relationships/hyperlink" Target="https://ev-database.org/car/1619/Tesla-Model-Y-Long-Range-Dual-Motor" TargetMode="External"/><Relationship Id="rId195" Type="http://schemas.openxmlformats.org/officeDocument/2006/relationships/hyperlink" Target="https://ev-database.org/img/auto/Porsche_Taycan_2024/Porsche_Taycan_2024-01-thumb.jpg" TargetMode="External"/><Relationship Id="rId199" Type="http://schemas.openxmlformats.org/officeDocument/2006/relationships/hyperlink" Target="https://ev-database.org/img/auto/MG_MG4_Electric_2022/MG_MG4_Electric_2022-01-thumb.jpg" TargetMode="External"/><Relationship Id="rId150" Type="http://schemas.openxmlformats.org/officeDocument/2006/relationships/hyperlink" Target="https://ev-database.org/car/2098/Porsche-Taycan" TargetMode="External"/><Relationship Id="rId392" Type="http://schemas.openxmlformats.org/officeDocument/2006/relationships/hyperlink" Target="https://ev-database.org/car/1787/NIO-ET5-Long-Range" TargetMode="External"/><Relationship Id="rId391" Type="http://schemas.openxmlformats.org/officeDocument/2006/relationships/hyperlink" Target="https://ev-database.org/img/auto/BYD_HAN/BYD_HAN-01-thumb.jpg" TargetMode="External"/><Relationship Id="rId390" Type="http://schemas.openxmlformats.org/officeDocument/2006/relationships/hyperlink" Target="https://ev-database.org/car/1784/BYD-HAN" TargetMode="External"/><Relationship Id="rId1" Type="http://schemas.openxmlformats.org/officeDocument/2006/relationships/hyperlink" Target="https://ev-database.org/compare/efficiency-electric-vehicle-most-efficient" TargetMode="External"/><Relationship Id="rId2" Type="http://schemas.openxmlformats.org/officeDocument/2006/relationships/hyperlink" Target="https://ev-database.org/car/1991/Tesla-Model-3" TargetMode="External"/><Relationship Id="rId3" Type="http://schemas.openxmlformats.org/officeDocument/2006/relationships/hyperlink" Target="https://ev-database.org/img/auto/Tesla_Model_3_2024/Tesla_Model_3_2024-01-thumb.jpg" TargetMode="External"/><Relationship Id="rId149" Type="http://schemas.openxmlformats.org/officeDocument/2006/relationships/hyperlink" Target="https://ev-database.org/img/auto/BMW_iX1_2022/BMW_iX1_2022-01-thumb.jpg" TargetMode="External"/><Relationship Id="rId4" Type="http://schemas.openxmlformats.org/officeDocument/2006/relationships/hyperlink" Target="https://ev-database.org/car/3034/Tesla-Model-3-Long-Range-RWD" TargetMode="External"/><Relationship Id="rId148" Type="http://schemas.openxmlformats.org/officeDocument/2006/relationships/hyperlink" Target="https://ev-database.org/car/1996/BMW-iX1-eDrive20" TargetMode="External"/><Relationship Id="rId9" Type="http://schemas.openxmlformats.org/officeDocument/2006/relationships/hyperlink" Target="https://ev-database.org/img/auto/Hyundai_IONIQ6_2022/Hyundai_IONIQ6_2022-01-thumb.jpg" TargetMode="External"/><Relationship Id="rId143" Type="http://schemas.openxmlformats.org/officeDocument/2006/relationships/hyperlink" Target="https://ev-database.org/img/auto/Tesla_Model_Y/Tesla_Model_Y-01-thumb.jpg" TargetMode="External"/><Relationship Id="rId385" Type="http://schemas.openxmlformats.org/officeDocument/2006/relationships/hyperlink" Target="https://ev-database.org/img/auto/Mercedes_EQE/Mercedes_EQE-01-thumb.jpg" TargetMode="External"/><Relationship Id="rId142" Type="http://schemas.openxmlformats.org/officeDocument/2006/relationships/hyperlink" Target="https://ev-database.org/car/2186/Tesla-Model-Y-Long-Range-RWD" TargetMode="External"/><Relationship Id="rId384" Type="http://schemas.openxmlformats.org/officeDocument/2006/relationships/hyperlink" Target="https://ev-database.org/car/2207/Mercedes-Benz-EQE-500-4MATIC" TargetMode="External"/><Relationship Id="rId141" Type="http://schemas.openxmlformats.org/officeDocument/2006/relationships/hyperlink" Target="https://ev-database.org/img/auto/Volkswagen_ID7_Tourer/Volkswagen_ID7_Tourer-01-thumb.jpg" TargetMode="External"/><Relationship Id="rId383" Type="http://schemas.openxmlformats.org/officeDocument/2006/relationships/hyperlink" Target="https://ev-database.org/img/auto/Mercedes_EQS_2024/Mercedes_EQS_2024-01-thumb.jpg" TargetMode="External"/><Relationship Id="rId140" Type="http://schemas.openxmlformats.org/officeDocument/2006/relationships/hyperlink" Target="https://ev-database.org/car/2119/Volkswagen-ID7-Tourer-Pro-S" TargetMode="External"/><Relationship Id="rId382" Type="http://schemas.openxmlformats.org/officeDocument/2006/relationships/hyperlink" Target="https://ev-database.org/car/2194/Mercedes-Benz-EQS-450-4MATIC" TargetMode="External"/><Relationship Id="rId5" Type="http://schemas.openxmlformats.org/officeDocument/2006/relationships/hyperlink" Target="https://ev-database.org/img/auto/Tesla_Model_3_2024/Tesla_Model_3_2024-01-thumb.jpg" TargetMode="External"/><Relationship Id="rId147" Type="http://schemas.openxmlformats.org/officeDocument/2006/relationships/hyperlink" Target="https://ev-database.org/img/auto/Nissan_Leaf_2022/Nissan_Leaf_2022-01-thumb.jpg" TargetMode="External"/><Relationship Id="rId389" Type="http://schemas.openxmlformats.org/officeDocument/2006/relationships/hyperlink" Target="https://ev-database.org/img/auto/Kia_EV6_2021/Kia_EV6_2021-01-thumb.jpg" TargetMode="External"/><Relationship Id="rId6" Type="http://schemas.openxmlformats.org/officeDocument/2006/relationships/hyperlink" Target="https://ev-database.org/car/1992/Tesla-Model-3-Long-Range-Dual-Motor" TargetMode="External"/><Relationship Id="rId146" Type="http://schemas.openxmlformats.org/officeDocument/2006/relationships/hyperlink" Target="https://ev-database.org/car/1656/Nissan-Leaf" TargetMode="External"/><Relationship Id="rId388" Type="http://schemas.openxmlformats.org/officeDocument/2006/relationships/hyperlink" Target="https://ev-database.org/car/1481/Kia-EV6-Long-Range-2WD" TargetMode="External"/><Relationship Id="rId7" Type="http://schemas.openxmlformats.org/officeDocument/2006/relationships/hyperlink" Target="https://ev-database.org/img/auto/Tesla_Model_3_2024/Tesla_Model_3_2024-01-thumb.jpg" TargetMode="External"/><Relationship Id="rId145" Type="http://schemas.openxmlformats.org/officeDocument/2006/relationships/hyperlink" Target="https://ev-database.org/img/auto/Skoda_Elroq_2024/Skoda_Elroq_2024-01-thumb.jpg" TargetMode="External"/><Relationship Id="rId387" Type="http://schemas.openxmlformats.org/officeDocument/2006/relationships/hyperlink" Target="https://ev-database.org/img/auto/Kia_EV6_2024/Kia_EV6_2024-01-thumb.jpg" TargetMode="External"/><Relationship Id="rId8" Type="http://schemas.openxmlformats.org/officeDocument/2006/relationships/hyperlink" Target="https://ev-database.org/car/1717/Hyundai-IONIQ-6-Standard-Range-2WD" TargetMode="External"/><Relationship Id="rId144" Type="http://schemas.openxmlformats.org/officeDocument/2006/relationships/hyperlink" Target="https://ev-database.org/car/3031/Skoda-Elroq-50" TargetMode="External"/><Relationship Id="rId386" Type="http://schemas.openxmlformats.org/officeDocument/2006/relationships/hyperlink" Target="https://ev-database.org/car/3030/Kia-EV6-Standard-Range-2WD" TargetMode="External"/><Relationship Id="rId381" Type="http://schemas.openxmlformats.org/officeDocument/2006/relationships/hyperlink" Target="https://ev-database.org/img/auto/Ford_Explorer_2024/Ford_Explorer_2024-01-thumb.jpg" TargetMode="External"/><Relationship Id="rId380" Type="http://schemas.openxmlformats.org/officeDocument/2006/relationships/hyperlink" Target="https://ev-database.org/car/2168/Ford-Explorer-Extended-Range-RWD" TargetMode="External"/><Relationship Id="rId139" Type="http://schemas.openxmlformats.org/officeDocument/2006/relationships/hyperlink" Target="https://ev-database.org/img/auto/Tesla_Model_S_2021/Tesla_Model_S_2021-01-thumb.jpg" TargetMode="External"/><Relationship Id="rId138" Type="http://schemas.openxmlformats.org/officeDocument/2006/relationships/hyperlink" Target="https://ev-database.org/car/1404/Tesla-Model-S-Dual-Motor" TargetMode="External"/><Relationship Id="rId137" Type="http://schemas.openxmlformats.org/officeDocument/2006/relationships/hyperlink" Target="https://ev-database.org/img/auto/Cupra_el-Born/Cupra_el-Born-01-thumb.jpg" TargetMode="External"/><Relationship Id="rId379" Type="http://schemas.openxmlformats.org/officeDocument/2006/relationships/hyperlink" Target="https://ev-database.org/img/auto/Volkswagen_ID7_Tourer_GTX/Volkswagen_ID7_Tourer_GTX-01-thumb.jpg" TargetMode="External"/><Relationship Id="rId132" Type="http://schemas.openxmlformats.org/officeDocument/2006/relationships/hyperlink" Target="https://ev-database.org/car/2213/Volkswagen-ID3-Pro" TargetMode="External"/><Relationship Id="rId374" Type="http://schemas.openxmlformats.org/officeDocument/2006/relationships/hyperlink" Target="https://ev-database.org/car/2033/Volkswagen-ID5-GTX" TargetMode="External"/><Relationship Id="rId131" Type="http://schemas.openxmlformats.org/officeDocument/2006/relationships/hyperlink" Target="https://ev-database.org/img/auto/Alfa_Romeo_Junior/Alfa_Romeo_Junior-01-thumb.jpg" TargetMode="External"/><Relationship Id="rId373" Type="http://schemas.openxmlformats.org/officeDocument/2006/relationships/hyperlink" Target="https://ev-database.org/img/auto/Zeekr_001_2023/Zeekr_001_2023-01-thumb.jpg" TargetMode="External"/><Relationship Id="rId130" Type="http://schemas.openxmlformats.org/officeDocument/2006/relationships/hyperlink" Target="https://ev-database.org/car/2185/Alfa-Romeo-Junior-Elettrica-54-kWh-Veloce" TargetMode="External"/><Relationship Id="rId372" Type="http://schemas.openxmlformats.org/officeDocument/2006/relationships/hyperlink" Target="https://ev-database.org/car/1933/Zeekr-001-Long-Range-RWD" TargetMode="External"/><Relationship Id="rId371" Type="http://schemas.openxmlformats.org/officeDocument/2006/relationships/hyperlink" Target="https://ev-database.org/img/auto/NIO_ET5/NIO_ET5-01-thumb.jpg" TargetMode="External"/><Relationship Id="rId136" Type="http://schemas.openxmlformats.org/officeDocument/2006/relationships/hyperlink" Target="https://ev-database.org/car/2233/CUPRA-Born-170-kW---59-kWh" TargetMode="External"/><Relationship Id="rId378" Type="http://schemas.openxmlformats.org/officeDocument/2006/relationships/hyperlink" Target="https://ev-database.org/car/2158/Volkswagen-ID7-Tourer-GTX" TargetMode="External"/><Relationship Id="rId135" Type="http://schemas.openxmlformats.org/officeDocument/2006/relationships/hyperlink" Target="https://ev-database.org/img/auto/Polestar_2_2024/Polestar_2_2024-01-thumb.jpg" TargetMode="External"/><Relationship Id="rId377" Type="http://schemas.openxmlformats.org/officeDocument/2006/relationships/hyperlink" Target="https://ev-database.org/img/auto/Porsche_Taycan_Sport_Turismo_2024/Porsche_Taycan_Sport_Turismo_2024-01-thumb.jpg" TargetMode="External"/><Relationship Id="rId134" Type="http://schemas.openxmlformats.org/officeDocument/2006/relationships/hyperlink" Target="https://ev-database.org/car/2225/Polestar-2-Standard-Range-Single-Motor" TargetMode="External"/><Relationship Id="rId376" Type="http://schemas.openxmlformats.org/officeDocument/2006/relationships/hyperlink" Target="https://ev-database.org/car/2104/Porsche-Taycan-Sport-Turismo" TargetMode="External"/><Relationship Id="rId133" Type="http://schemas.openxmlformats.org/officeDocument/2006/relationships/hyperlink" Target="https://ev-database.org/img/auto/Volkswagen_ID3_2024/Volkswagen_ID3_2024-01-thumb.jpg" TargetMode="External"/><Relationship Id="rId375" Type="http://schemas.openxmlformats.org/officeDocument/2006/relationships/hyperlink" Target="https://ev-database.org/img/auto/Volkswagen_ID5_GTX_2024/Volkswagen_ID5_GTX_2024-01-thumb.jpg" TargetMode="External"/><Relationship Id="rId172" Type="http://schemas.openxmlformats.org/officeDocument/2006/relationships/hyperlink" Target="https://ev-database.org/car/1903/Abarth-500e-Hatchback" TargetMode="External"/><Relationship Id="rId171" Type="http://schemas.openxmlformats.org/officeDocument/2006/relationships/hyperlink" Target="https://ev-database.org/img/auto/Hyundai_Kona_Electric_2024/Hyundai_Kona_Electric_2024-01-thumb.jpg" TargetMode="External"/><Relationship Id="rId170" Type="http://schemas.openxmlformats.org/officeDocument/2006/relationships/hyperlink" Target="https://ev-database.org/car/1830/Hyundai-Kona-Electric-65-kWh" TargetMode="External"/><Relationship Id="rId165" Type="http://schemas.openxmlformats.org/officeDocument/2006/relationships/hyperlink" Target="https://ev-database.org/img/auto/Lucid_Air/Lucid_Air-01-thumb.jpg" TargetMode="External"/><Relationship Id="rId164" Type="http://schemas.openxmlformats.org/officeDocument/2006/relationships/hyperlink" Target="https://ev-database.org/car/1316/Lucid-Air-Grand-Touring" TargetMode="External"/><Relationship Id="rId163" Type="http://schemas.openxmlformats.org/officeDocument/2006/relationships/hyperlink" Target="https://ev-database.org/img/auto/Cupra_el-Born/Cupra_el-Born-01-thumb.jpg" TargetMode="External"/><Relationship Id="rId162" Type="http://schemas.openxmlformats.org/officeDocument/2006/relationships/hyperlink" Target="https://ev-database.org/car/2234/CUPRA-Born-170-kW---77-kWh" TargetMode="External"/><Relationship Id="rId169" Type="http://schemas.openxmlformats.org/officeDocument/2006/relationships/hyperlink" Target="https://ev-database.org/img/auto/Hyundai_IONIQ6_2022/Hyundai_IONIQ6_2022-01-thumb.jpg" TargetMode="External"/><Relationship Id="rId168" Type="http://schemas.openxmlformats.org/officeDocument/2006/relationships/hyperlink" Target="https://ev-database.org/car/1719/Hyundai-IONIQ-6-Long-Range-AWD" TargetMode="External"/><Relationship Id="rId167" Type="http://schemas.openxmlformats.org/officeDocument/2006/relationships/hyperlink" Target="https://ev-database.org/img/auto/Kia-NiroEV-2022/Kia-NiroEV-2022-01-thumb.jpg" TargetMode="External"/><Relationship Id="rId166" Type="http://schemas.openxmlformats.org/officeDocument/2006/relationships/hyperlink" Target="https://ev-database.org/car/1666/Kia-Niro-EV" TargetMode="External"/><Relationship Id="rId161" Type="http://schemas.openxmlformats.org/officeDocument/2006/relationships/hyperlink" Target="https://ev-database.org/img/auto/Mini_Aceman_Electric_2024/Mini_Aceman_Electric_2024-01-thumb.jpg" TargetMode="External"/><Relationship Id="rId160" Type="http://schemas.openxmlformats.org/officeDocument/2006/relationships/hyperlink" Target="https://ev-database.org/car/2190/Mini-Aceman-E" TargetMode="External"/><Relationship Id="rId159" Type="http://schemas.openxmlformats.org/officeDocument/2006/relationships/hyperlink" Target="https://ev-database.org/img/auto/Skoda_Enyaq_Coupe_RS_iV_2022/Skoda_Enyaq_Coupe_RS_iV_2022-01-thumb.jpg" TargetMode="External"/><Relationship Id="rId154" Type="http://schemas.openxmlformats.org/officeDocument/2006/relationships/hyperlink" Target="https://ev-database.org/car/2226/Polestar-2-Long-Range-Single-Motor" TargetMode="External"/><Relationship Id="rId396" Type="http://schemas.openxmlformats.org/officeDocument/2006/relationships/hyperlink" Target="https://ev-database.org/car/1936/Zeekr-X-Long-Range-RWD" TargetMode="External"/><Relationship Id="rId153" Type="http://schemas.openxmlformats.org/officeDocument/2006/relationships/hyperlink" Target="https://ev-database.org/img/auto/BMW_i4_2024/BMW_i4_2024-01-thumb.jpg" TargetMode="External"/><Relationship Id="rId395" Type="http://schemas.openxmlformats.org/officeDocument/2006/relationships/hyperlink" Target="https://ev-database.org/img/auto/XPENG_P7/XPENG_P7-01-thumb.jpg" TargetMode="External"/><Relationship Id="rId152" Type="http://schemas.openxmlformats.org/officeDocument/2006/relationships/hyperlink" Target="https://ev-database.org/car/2200/BMW-i4-xDrive40" TargetMode="External"/><Relationship Id="rId394" Type="http://schemas.openxmlformats.org/officeDocument/2006/relationships/hyperlink" Target="https://ev-database.org/car/1822/XPENG-P7-AWD-Performance" TargetMode="External"/><Relationship Id="rId151" Type="http://schemas.openxmlformats.org/officeDocument/2006/relationships/hyperlink" Target="https://ev-database.org/img/auto/Porsche_Taycan_2024/Porsche_Taycan_2024-01-thumb.jpg" TargetMode="External"/><Relationship Id="rId393" Type="http://schemas.openxmlformats.org/officeDocument/2006/relationships/hyperlink" Target="https://ev-database.org/img/auto/NIO_ET5/NIO_ET5-01-thumb.jpg" TargetMode="External"/><Relationship Id="rId158" Type="http://schemas.openxmlformats.org/officeDocument/2006/relationships/hyperlink" Target="https://ev-database.org/car/2026/Skoda-Enyaq-Coupe-RS" TargetMode="External"/><Relationship Id="rId157" Type="http://schemas.openxmlformats.org/officeDocument/2006/relationships/hyperlink" Target="https://ev-database.org/img/auto/XPENG_P7/XPENG_P7-01-thumb.jpg" TargetMode="External"/><Relationship Id="rId399" Type="http://schemas.openxmlformats.org/officeDocument/2006/relationships/hyperlink" Target="https://ev-database.org/img/auto/CUPRA_Tavascan_2024/CUPRA_Tavascan_2024-01-thumb.jpg" TargetMode="External"/><Relationship Id="rId156" Type="http://schemas.openxmlformats.org/officeDocument/2006/relationships/hyperlink" Target="https://ev-database.org/car/1821/XPENG-P7-RWD-Long-Range" TargetMode="External"/><Relationship Id="rId398" Type="http://schemas.openxmlformats.org/officeDocument/2006/relationships/hyperlink" Target="https://ev-database.org/car/1972/CUPRA-Tavascan-VZ" TargetMode="External"/><Relationship Id="rId155" Type="http://schemas.openxmlformats.org/officeDocument/2006/relationships/hyperlink" Target="https://ev-database.org/img/auto/Polestar_2_2024/Polestar_2_2024-01-thumb.jpg" TargetMode="External"/><Relationship Id="rId397" Type="http://schemas.openxmlformats.org/officeDocument/2006/relationships/hyperlink" Target="https://ev-database.org/img/auto/Zeekr_X_2023/Zeekr_X_2023-01-thumb.jpg" TargetMode="External"/><Relationship Id="rId808" Type="http://schemas.openxmlformats.org/officeDocument/2006/relationships/hyperlink" Target="https://ev-database.org/car/2066/Lotus-Eletre-S" TargetMode="External"/><Relationship Id="rId807" Type="http://schemas.openxmlformats.org/officeDocument/2006/relationships/hyperlink" Target="https://ev-database.org/img/auto/Hyundai_IONIQ9_2024/Hyundai_IONIQ9_2024-01-thumb.jpg" TargetMode="External"/><Relationship Id="rId806" Type="http://schemas.openxmlformats.org/officeDocument/2006/relationships/hyperlink" Target="https://ev-database.org/car/3069/Hyundai-IONIQ-9-Performance-AWD" TargetMode="External"/><Relationship Id="rId805" Type="http://schemas.openxmlformats.org/officeDocument/2006/relationships/hyperlink" Target="https://ev-database.org/img/auto/Kia_EV9_GTLine_2023/Kia_EV9_GTLine_2023-01-thumb.jpg" TargetMode="External"/><Relationship Id="rId809" Type="http://schemas.openxmlformats.org/officeDocument/2006/relationships/hyperlink" Target="https://ev-database.org/img/auto/Lotus_Eletre/Lotus_Eletre-01-thumb.jpg" TargetMode="External"/><Relationship Id="rId800" Type="http://schemas.openxmlformats.org/officeDocument/2006/relationships/hyperlink" Target="https://ev-database.org/car/2089/Mercedes-Benz-EQS-SUV-500-4MATIC" TargetMode="External"/><Relationship Id="rId804" Type="http://schemas.openxmlformats.org/officeDocument/2006/relationships/hyperlink" Target="https://ev-database.org/car/1993/Kia-EV9-998-kWh-AWD-GT-Line" TargetMode="External"/><Relationship Id="rId803" Type="http://schemas.openxmlformats.org/officeDocument/2006/relationships/hyperlink" Target="https://ev-database.org/img/auto/Mercedes_EQS_SUV_2022/Mercedes_EQS_SUV_2022-01-thumb.jpg" TargetMode="External"/><Relationship Id="rId802" Type="http://schemas.openxmlformats.org/officeDocument/2006/relationships/hyperlink" Target="https://ev-database.org/car/2090/Mercedes-Benz-EQS-SUV-580-4MATIC" TargetMode="External"/><Relationship Id="rId801" Type="http://schemas.openxmlformats.org/officeDocument/2006/relationships/hyperlink" Target="https://ev-database.org/img/auto/Mercedes_EQS_SUV_2022/Mercedes_EQS_SUV_2022-01-thumb.jpg" TargetMode="External"/><Relationship Id="rId40" Type="http://schemas.openxmlformats.org/officeDocument/2006/relationships/hyperlink" Target="https://ev-database.org/car/2198/BMW-i4-eDrive35" TargetMode="External"/><Relationship Id="rId42" Type="http://schemas.openxmlformats.org/officeDocument/2006/relationships/hyperlink" Target="https://ev-database.org/car/2230/Hyundai-INSTER-Standard-Range" TargetMode="External"/><Relationship Id="rId41" Type="http://schemas.openxmlformats.org/officeDocument/2006/relationships/hyperlink" Target="https://ev-database.org/img/auto/BMW_i4_2024/BMW_i4_2024-01-thumb.jpg" TargetMode="External"/><Relationship Id="rId44" Type="http://schemas.openxmlformats.org/officeDocument/2006/relationships/hyperlink" Target="https://ev-database.org/car/2231/Hyundai-INSTER-Long-Range" TargetMode="External"/><Relationship Id="rId43" Type="http://schemas.openxmlformats.org/officeDocument/2006/relationships/hyperlink" Target="https://ev-database.org/img/auto/Hyundai_Inster_2025/Hyundai_Inster_2025-01-thumb.jpg" TargetMode="External"/><Relationship Id="rId46" Type="http://schemas.openxmlformats.org/officeDocument/2006/relationships/hyperlink" Target="https://ev-database.org/car/3053/Audi-A6-Sportback-e-tron" TargetMode="External"/><Relationship Id="rId45" Type="http://schemas.openxmlformats.org/officeDocument/2006/relationships/hyperlink" Target="https://ev-database.org/img/auto/Hyundai_Inster_2025/Hyundai_Inster_2025-01-thumb.jpg" TargetMode="External"/><Relationship Id="rId509" Type="http://schemas.openxmlformats.org/officeDocument/2006/relationships/hyperlink" Target="https://ev-database.org/img/auto/Audi_Q4_e-tron_Sportback_2021/Audi_Q4_e-tron_Sportback_2021-01-thumb.jpg" TargetMode="External"/><Relationship Id="rId508" Type="http://schemas.openxmlformats.org/officeDocument/2006/relationships/hyperlink" Target="https://ev-database.org/car/2017/Audi-Q4-Sportback-e-tron-45-quattro" TargetMode="External"/><Relationship Id="rId503" Type="http://schemas.openxmlformats.org/officeDocument/2006/relationships/hyperlink" Target="https://ev-database.org/img/auto/Genesis_G80/Genesis_G80-01-thumb.jpg" TargetMode="External"/><Relationship Id="rId745" Type="http://schemas.openxmlformats.org/officeDocument/2006/relationships/hyperlink" Target="https://ev-database.org/img/auto/Peugeot_e-Rifter_2024/Peugeot_e-Rifter_2024-01-thumb.jpg" TargetMode="External"/><Relationship Id="rId502" Type="http://schemas.openxmlformats.org/officeDocument/2006/relationships/hyperlink" Target="https://ev-database.org/car/1703/Genesis-G80-Electrified-Luxury" TargetMode="External"/><Relationship Id="rId744" Type="http://schemas.openxmlformats.org/officeDocument/2006/relationships/hyperlink" Target="https://ev-database.org/car/2163/Peugeot-e-Rifter-M-50-kWh" TargetMode="External"/><Relationship Id="rId501" Type="http://schemas.openxmlformats.org/officeDocument/2006/relationships/hyperlink" Target="https://ev-database.org/img/auto/Nissan_Ariya/Nissan_Ariya-01-thumb.jpg" TargetMode="External"/><Relationship Id="rId743" Type="http://schemas.openxmlformats.org/officeDocument/2006/relationships/hyperlink" Target="https://ev-database.org/img/auto/Opel_Combo-e_Life_2024/Opel_Combo-e_Life_2024-01-thumb.jpg" TargetMode="External"/><Relationship Id="rId500" Type="http://schemas.openxmlformats.org/officeDocument/2006/relationships/hyperlink" Target="https://ev-database.org/car/1301/Nissan-Ariya-63kWh" TargetMode="External"/><Relationship Id="rId742" Type="http://schemas.openxmlformats.org/officeDocument/2006/relationships/hyperlink" Target="https://ev-database.org/car/2161/Opel-Combo-e-Life-50-kWh" TargetMode="External"/><Relationship Id="rId507" Type="http://schemas.openxmlformats.org/officeDocument/2006/relationships/hyperlink" Target="https://ev-database.org/img/auto/Lexus_UX_300e_Electric_2023/Lexus_UX_300e_Electric_2023-01-thumb.jpg" TargetMode="External"/><Relationship Id="rId749" Type="http://schemas.openxmlformats.org/officeDocument/2006/relationships/hyperlink" Target="https://ev-database.org/img/auto/Polestar_3/Polestar_3-01-thumb.jpg" TargetMode="External"/><Relationship Id="rId506" Type="http://schemas.openxmlformats.org/officeDocument/2006/relationships/hyperlink" Target="https://ev-database.org/car/1943/Lexus-UX-300e" TargetMode="External"/><Relationship Id="rId748" Type="http://schemas.openxmlformats.org/officeDocument/2006/relationships/hyperlink" Target="https://ev-database.org/car/2229/Polestar-3-Long-Range-Single-motor" TargetMode="External"/><Relationship Id="rId505" Type="http://schemas.openxmlformats.org/officeDocument/2006/relationships/hyperlink" Target="https://ev-database.org/img/auto/Zeekr_001_2023/Zeekr_001_2023-01-thumb.jpg" TargetMode="External"/><Relationship Id="rId747" Type="http://schemas.openxmlformats.org/officeDocument/2006/relationships/hyperlink" Target="https://ev-database.org/img/auto/Toyota_Proace_City_Verso_Electric_2024/Toyota_Proace_City_Verso_Electric_2024-01-thumb.jpg" TargetMode="External"/><Relationship Id="rId504" Type="http://schemas.openxmlformats.org/officeDocument/2006/relationships/hyperlink" Target="https://ev-database.org/car/1934/Zeekr-001-Performance-AWD" TargetMode="External"/><Relationship Id="rId746" Type="http://schemas.openxmlformats.org/officeDocument/2006/relationships/hyperlink" Target="https://ev-database.org/car/2165/Toyota-Proace-City-Verso-Electric-L1-50-kWh" TargetMode="External"/><Relationship Id="rId48" Type="http://schemas.openxmlformats.org/officeDocument/2006/relationships/hyperlink" Target="https://ev-database.org/car/1941/Opel-Corsa-Electric-50-kWh" TargetMode="External"/><Relationship Id="rId47" Type="http://schemas.openxmlformats.org/officeDocument/2006/relationships/hyperlink" Target="https://ev-database.org/img/auto/Audi_A6_Sportback_etron_2024/Audi_A6_Sportback_etron_2024-01-thumb.jpg" TargetMode="External"/><Relationship Id="rId49" Type="http://schemas.openxmlformats.org/officeDocument/2006/relationships/hyperlink" Target="https://ev-database.org/img/auto/Opel_Corsa_Electric_2023/Opel_Corsa_Electric_2023-01-thumb.jpg" TargetMode="External"/><Relationship Id="rId741" Type="http://schemas.openxmlformats.org/officeDocument/2006/relationships/hyperlink" Target="https://ev-database.org/img/auto/Citroen_e-Berlingo-2024/Citroen_e-Berlingo-2024-01-thumb.jpg" TargetMode="External"/><Relationship Id="rId740" Type="http://schemas.openxmlformats.org/officeDocument/2006/relationships/hyperlink" Target="https://ev-database.org/car/2159/Citroen-e-Berlingo-M-50-kWh" TargetMode="External"/><Relationship Id="rId31" Type="http://schemas.openxmlformats.org/officeDocument/2006/relationships/hyperlink" Target="https://ev-database.org/img/auto/Peugeot_e-208_2024/Peugeot_e-208_2024-01-thumb.jpg" TargetMode="External"/><Relationship Id="rId30" Type="http://schemas.openxmlformats.org/officeDocument/2006/relationships/hyperlink" Target="https://ev-database.org/car/1949/Peugeot-e-208-51-kWh" TargetMode="External"/><Relationship Id="rId33" Type="http://schemas.openxmlformats.org/officeDocument/2006/relationships/hyperlink" Target="https://ev-database.org/img/auto/Lancia_Ypsilon/Lancia_Ypsilon-01-thumb.jpg" TargetMode="External"/><Relationship Id="rId32" Type="http://schemas.openxmlformats.org/officeDocument/2006/relationships/hyperlink" Target="https://ev-database.org/car/2117/Lancia-Ypsilon" TargetMode="External"/><Relationship Id="rId35" Type="http://schemas.openxmlformats.org/officeDocument/2006/relationships/hyperlink" Target="https://ev-database.org/img/auto/Leapmotor_T03/Leapmotor_T03-01-thumb.jpg" TargetMode="External"/><Relationship Id="rId34" Type="http://schemas.openxmlformats.org/officeDocument/2006/relationships/hyperlink" Target="https://ev-database.org/car/3039/Leapmotor-T03" TargetMode="External"/><Relationship Id="rId739" Type="http://schemas.openxmlformats.org/officeDocument/2006/relationships/hyperlink" Target="https://ev-database.org/img/auto/Lotus_Emeya/Lotus_Emeya-01-thumb.jpg" TargetMode="External"/><Relationship Id="rId734" Type="http://schemas.openxmlformats.org/officeDocument/2006/relationships/hyperlink" Target="https://ev-database.org/car/1763/Mercedes-Benz-EQE-SUV-AMG-43-4MATIC" TargetMode="External"/><Relationship Id="rId733" Type="http://schemas.openxmlformats.org/officeDocument/2006/relationships/hyperlink" Target="https://ev-database.org/img/auto/Mercedes_EQE_SUV/Mercedes_EQE_SUV-01-thumb.jpg" TargetMode="External"/><Relationship Id="rId732" Type="http://schemas.openxmlformats.org/officeDocument/2006/relationships/hyperlink" Target="https://ev-database.org/car/2048/Mercedes-Benz-EQE-SUV-500-4MATIC" TargetMode="External"/><Relationship Id="rId731" Type="http://schemas.openxmlformats.org/officeDocument/2006/relationships/hyperlink" Target="https://ev-database.org/img/auto/Genesis_GV70/Genesis_GV70-01-thumb.jpg" TargetMode="External"/><Relationship Id="rId738" Type="http://schemas.openxmlformats.org/officeDocument/2006/relationships/hyperlink" Target="https://ev-database.org/car/2143/Lotus-Emeya-R" TargetMode="External"/><Relationship Id="rId737" Type="http://schemas.openxmlformats.org/officeDocument/2006/relationships/hyperlink" Target="https://ev-database.org/img/auto/Kia_EV9_2023/Kia_EV9_2023-01-thumb.jpg" TargetMode="External"/><Relationship Id="rId736" Type="http://schemas.openxmlformats.org/officeDocument/2006/relationships/hyperlink" Target="https://ev-database.org/car/1834/Kia-EV9-998-kWh-RWD" TargetMode="External"/><Relationship Id="rId735" Type="http://schemas.openxmlformats.org/officeDocument/2006/relationships/hyperlink" Target="https://ev-database.org/img/auto/Mercedes_EQE_AMG_SUV/Mercedes_EQE_AMG_SUV-01-thumb.jpg" TargetMode="External"/><Relationship Id="rId37" Type="http://schemas.openxmlformats.org/officeDocument/2006/relationships/hyperlink" Target="https://ev-database.org/img/auto/Peugeot_e-408_2024/Peugeot_e-408_2024-01-thumb.jpg" TargetMode="External"/><Relationship Id="rId36" Type="http://schemas.openxmlformats.org/officeDocument/2006/relationships/hyperlink" Target="https://ev-database.org/car/3066/Peugeot-e-408-58-kWh" TargetMode="External"/><Relationship Id="rId39" Type="http://schemas.openxmlformats.org/officeDocument/2006/relationships/hyperlink" Target="https://ev-database.org/img/auto/Dacia_Spring_Electric_2024/Dacia_Spring_Electric_2024-01-thumb.jpg" TargetMode="External"/><Relationship Id="rId38" Type="http://schemas.openxmlformats.org/officeDocument/2006/relationships/hyperlink" Target="https://ev-database.org/car/2127/Dacia-Spring-Electric-65" TargetMode="External"/><Relationship Id="rId730" Type="http://schemas.openxmlformats.org/officeDocument/2006/relationships/hyperlink" Target="https://ev-database.org/car/1725/Genesis-GV70-Electrified-Sport" TargetMode="External"/><Relationship Id="rId20" Type="http://schemas.openxmlformats.org/officeDocument/2006/relationships/hyperlink" Target="https://ev-database.org/car/2188/Tesla-Model-3-Performance" TargetMode="External"/><Relationship Id="rId22" Type="http://schemas.openxmlformats.org/officeDocument/2006/relationships/hyperlink" Target="https://ev-database.org/car/3035/Dongfeng-Box-314-kWh" TargetMode="External"/><Relationship Id="rId21" Type="http://schemas.openxmlformats.org/officeDocument/2006/relationships/hyperlink" Target="https://ev-database.org/img/auto/Tesla_Model_3_Performance_2024/Tesla_Model_3_Performance_2024-01-thumb.jpg" TargetMode="External"/><Relationship Id="rId24" Type="http://schemas.openxmlformats.org/officeDocument/2006/relationships/hyperlink" Target="https://ev-database.org/car/1536/Renault-Megane-E-Tech-EV40-130hp" TargetMode="External"/><Relationship Id="rId23" Type="http://schemas.openxmlformats.org/officeDocument/2006/relationships/hyperlink" Target="https://ev-database.org/img/auto/Dongfeng_Box/Dongfeng_Box-01-thumb.jpg" TargetMode="External"/><Relationship Id="rId525" Type="http://schemas.openxmlformats.org/officeDocument/2006/relationships/hyperlink" Target="https://ev-database.org/img/auto/Zeekr_001_2023/Zeekr_001_2023-01-thumb.jpg" TargetMode="External"/><Relationship Id="rId767" Type="http://schemas.openxmlformats.org/officeDocument/2006/relationships/hyperlink" Target="https://ev-database.org/img/auto/Opel_Combo-e_Life_2024/Opel_Combo-e_Life_2024-01-thumb.jpg" TargetMode="External"/><Relationship Id="rId524" Type="http://schemas.openxmlformats.org/officeDocument/2006/relationships/hyperlink" Target="https://ev-database.org/car/1935/Zeekr-001-Privilege-AWD" TargetMode="External"/><Relationship Id="rId766" Type="http://schemas.openxmlformats.org/officeDocument/2006/relationships/hyperlink" Target="https://ev-database.org/car/2162/Opel-Combo-e-Life-XL-50-kWh" TargetMode="External"/><Relationship Id="rId523" Type="http://schemas.openxmlformats.org/officeDocument/2006/relationships/hyperlink" Target="https://ev-database.org/img/auto/Polestar_4_2024/Polestar_4_2024-01-thumb.jpg" TargetMode="External"/><Relationship Id="rId765" Type="http://schemas.openxmlformats.org/officeDocument/2006/relationships/hyperlink" Target="https://ev-database.org/img/auto/Citroen_e-Berlingo-2024/Citroen_e-Berlingo-2024-01-thumb.jpg" TargetMode="External"/><Relationship Id="rId522" Type="http://schemas.openxmlformats.org/officeDocument/2006/relationships/hyperlink" Target="https://ev-database.org/car/1841/Polestar-4-Long-Range-Single-Motor" TargetMode="External"/><Relationship Id="rId764" Type="http://schemas.openxmlformats.org/officeDocument/2006/relationships/hyperlink" Target="https://ev-database.org/car/2160/Citroen-e-Berlingo-XL-50-kWh" TargetMode="External"/><Relationship Id="rId529" Type="http://schemas.openxmlformats.org/officeDocument/2006/relationships/hyperlink" Target="https://ev-database.org/img/auto/Mercedes_EQA_2024/Mercedes_EQA_2024-01-thumb.jpg" TargetMode="External"/><Relationship Id="rId528" Type="http://schemas.openxmlformats.org/officeDocument/2006/relationships/hyperlink" Target="https://ev-database.org/car/1987/Mercedes-Benz-EQA-350-4MATIC" TargetMode="External"/><Relationship Id="rId527" Type="http://schemas.openxmlformats.org/officeDocument/2006/relationships/hyperlink" Target="https://ev-database.org/img/auto/Mercedes_EQA_2024/Mercedes_EQA_2024-01-thumb.jpg" TargetMode="External"/><Relationship Id="rId769" Type="http://schemas.openxmlformats.org/officeDocument/2006/relationships/hyperlink" Target="https://ev-database.org/img/auto/Peugeot_e-Rifter_2024/Peugeot_e-Rifter_2024-01-thumb.jpg" TargetMode="External"/><Relationship Id="rId526" Type="http://schemas.openxmlformats.org/officeDocument/2006/relationships/hyperlink" Target="https://ev-database.org/car/1986/Mercedes-Benz-EQA-300-4MATIC" TargetMode="External"/><Relationship Id="rId768" Type="http://schemas.openxmlformats.org/officeDocument/2006/relationships/hyperlink" Target="https://ev-database.org/car/2164/Peugeot-e-Rifter-XL-50-kWh" TargetMode="External"/><Relationship Id="rId26" Type="http://schemas.openxmlformats.org/officeDocument/2006/relationships/hyperlink" Target="https://ev-database.org/car/1938/Citroen-e-C4-54-kWh" TargetMode="External"/><Relationship Id="rId25" Type="http://schemas.openxmlformats.org/officeDocument/2006/relationships/hyperlink" Target="https://ev-database.org/img/auto/Renault_Megane_ETech/Renault_Megane_ETech-01-thumb.jpg" TargetMode="External"/><Relationship Id="rId28" Type="http://schemas.openxmlformats.org/officeDocument/2006/relationships/hyperlink" Target="https://ev-database.org/car/1939/Citroen-e-C4-X-54-kWh" TargetMode="External"/><Relationship Id="rId27" Type="http://schemas.openxmlformats.org/officeDocument/2006/relationships/hyperlink" Target="https://ev-database.org/img/auto/Citroen_e-C4/Citroen_e-C4-01-thumb.jpg" TargetMode="External"/><Relationship Id="rId521" Type="http://schemas.openxmlformats.org/officeDocument/2006/relationships/hyperlink" Target="https://ev-database.org/img/auto/Aiways_U5/Aiways_U5-01-thumb.jpg" TargetMode="External"/><Relationship Id="rId763" Type="http://schemas.openxmlformats.org/officeDocument/2006/relationships/hyperlink" Target="https://ev-database.org/img/auto/VinFast_VF_8/VinFast_VF_8-01-thumb.jpg" TargetMode="External"/><Relationship Id="rId29" Type="http://schemas.openxmlformats.org/officeDocument/2006/relationships/hyperlink" Target="https://ev-database.org/img/auto/Citroen_e-C4_X/Citroen_e-C4_X-01-thumb.jpg" TargetMode="External"/><Relationship Id="rId520" Type="http://schemas.openxmlformats.org/officeDocument/2006/relationships/hyperlink" Target="https://ev-database.org/car/1678/Aiways-U5" TargetMode="External"/><Relationship Id="rId762" Type="http://schemas.openxmlformats.org/officeDocument/2006/relationships/hyperlink" Target="https://ev-database.org/car/1807/VinFast-VF-8-Eco-Extended-Range" TargetMode="External"/><Relationship Id="rId761" Type="http://schemas.openxmlformats.org/officeDocument/2006/relationships/hyperlink" Target="https://ev-database.org/img/auto/BMW_iX_2022/BMW_iX_2022-01-thumb.jpg" TargetMode="External"/><Relationship Id="rId760" Type="http://schemas.openxmlformats.org/officeDocument/2006/relationships/hyperlink" Target="https://ev-database.org/car/1590/BMW-iX-M60" TargetMode="External"/><Relationship Id="rId11" Type="http://schemas.openxmlformats.org/officeDocument/2006/relationships/hyperlink" Target="https://ev-database.org/img/auto/Hyundai_IONIQ6_2022/Hyundai_IONIQ6_2022-01-thumb.jpg" TargetMode="External"/><Relationship Id="rId10" Type="http://schemas.openxmlformats.org/officeDocument/2006/relationships/hyperlink" Target="https://ev-database.org/car/1718/Hyundai-IONIQ-6-Long-Range-2WD" TargetMode="External"/><Relationship Id="rId13" Type="http://schemas.openxmlformats.org/officeDocument/2006/relationships/hyperlink" Target="https://ev-database.org/img/auto/Citroen_e-C4_X_2024/Citroen_e-C4_X_2024-01-thumb.jpg" TargetMode="External"/><Relationship Id="rId12" Type="http://schemas.openxmlformats.org/officeDocument/2006/relationships/hyperlink" Target="https://ev-database.org/car/3050/Citroen-e-C4-X-54-kWh" TargetMode="External"/><Relationship Id="rId519" Type="http://schemas.openxmlformats.org/officeDocument/2006/relationships/hyperlink" Target="https://ev-database.org/img/auto/Genesis_GV60/Genesis_GV60-01-thumb.jpg" TargetMode="External"/><Relationship Id="rId514" Type="http://schemas.openxmlformats.org/officeDocument/2006/relationships/hyperlink" Target="https://ev-database.org/car/2217/Smart-1-Pure" TargetMode="External"/><Relationship Id="rId756" Type="http://schemas.openxmlformats.org/officeDocument/2006/relationships/hyperlink" Target="https://ev-database.org/car/1305/Nissan-Ariya-e-4ORCE-87kWh---290-kW" TargetMode="External"/><Relationship Id="rId513" Type="http://schemas.openxmlformats.org/officeDocument/2006/relationships/hyperlink" Target="https://ev-database.org/img/auto/Volvo_EC40_2025/Volvo_EC40_2025-01-thumb.jpg" TargetMode="External"/><Relationship Id="rId755" Type="http://schemas.openxmlformats.org/officeDocument/2006/relationships/hyperlink" Target="https://ev-database.org/img/auto/Nissan_Ariya/Nissan_Ariya-01-thumb.jpg" TargetMode="External"/><Relationship Id="rId512" Type="http://schemas.openxmlformats.org/officeDocument/2006/relationships/hyperlink" Target="https://ev-database.org/car/2124/Volvo-EC40-Single-Motor-ER" TargetMode="External"/><Relationship Id="rId754" Type="http://schemas.openxmlformats.org/officeDocument/2006/relationships/hyperlink" Target="https://ev-database.org/car/1304/Nissan-Ariya-e-4ORCE-87kWh---225-kW" TargetMode="External"/><Relationship Id="rId511" Type="http://schemas.openxmlformats.org/officeDocument/2006/relationships/hyperlink" Target="https://ev-database.org/img/auto/Smart_1_2023/Smart_1_2023-01-thumb.jpg" TargetMode="External"/><Relationship Id="rId753" Type="http://schemas.openxmlformats.org/officeDocument/2006/relationships/hyperlink" Target="https://ev-database.org/img/auto/Hyundai_IONIQ9_2024/Hyundai_IONIQ9_2024-01-thumb.jpg" TargetMode="External"/><Relationship Id="rId518" Type="http://schemas.openxmlformats.org/officeDocument/2006/relationships/hyperlink" Target="https://ev-database.org/car/1647/Genesis-GV60-Premium" TargetMode="External"/><Relationship Id="rId517" Type="http://schemas.openxmlformats.org/officeDocument/2006/relationships/hyperlink" Target="https://ev-database.org/img/auto/Ford_Mustang_Mach-E/Ford_Mustang_Mach-E-01-thumb.jpg" TargetMode="External"/><Relationship Id="rId759" Type="http://schemas.openxmlformats.org/officeDocument/2006/relationships/hyperlink" Target="https://ev-database.org/img/auto/Mercedes_EQE_AMG_SUV/Mercedes_EQE_AMG_SUV-01-thumb.jpg" TargetMode="External"/><Relationship Id="rId516" Type="http://schemas.openxmlformats.org/officeDocument/2006/relationships/hyperlink" Target="https://ev-database.org/car/2277/Ford-Mustang-Mach-E-SR-RWD" TargetMode="External"/><Relationship Id="rId758" Type="http://schemas.openxmlformats.org/officeDocument/2006/relationships/hyperlink" Target="https://ev-database.org/car/1764/Mercedes-Benz-EQE-SUV-AMG-53-4MATICplus" TargetMode="External"/><Relationship Id="rId515" Type="http://schemas.openxmlformats.org/officeDocument/2006/relationships/hyperlink" Target="https://ev-database.org/img/auto/Smart_1_2023/Smart_1_2023-01-thumb.jpg" TargetMode="External"/><Relationship Id="rId757" Type="http://schemas.openxmlformats.org/officeDocument/2006/relationships/hyperlink" Target="https://ev-database.org/img/auto/Nissan_Ariya/Nissan_Ariya-01-thumb.jpg" TargetMode="External"/><Relationship Id="rId15" Type="http://schemas.openxmlformats.org/officeDocument/2006/relationships/hyperlink" Target="https://ev-database.org/img/auto/Dacia_Spring_Electric_2024/Dacia_Spring_Electric_2024-01-thumb.jpg" TargetMode="External"/><Relationship Id="rId14" Type="http://schemas.openxmlformats.org/officeDocument/2006/relationships/hyperlink" Target="https://ev-database.org/car/2126/Dacia-Spring-Electric-45" TargetMode="External"/><Relationship Id="rId17" Type="http://schemas.openxmlformats.org/officeDocument/2006/relationships/hyperlink" Target="https://ev-database.org/img/auto/Citroen_e-C4_2024/Citroen_e-C4_2024-01-thumb.jpg" TargetMode="External"/><Relationship Id="rId16" Type="http://schemas.openxmlformats.org/officeDocument/2006/relationships/hyperlink" Target="https://ev-database.org/car/3048/Citroen-e-C4-54-kWh" TargetMode="External"/><Relationship Id="rId19" Type="http://schemas.openxmlformats.org/officeDocument/2006/relationships/hyperlink" Target="https://ev-database.org/img/auto/Opel_Corsa_Electric_2023/Opel_Corsa_Electric_2023-01-thumb.jpg" TargetMode="External"/><Relationship Id="rId510" Type="http://schemas.openxmlformats.org/officeDocument/2006/relationships/hyperlink" Target="https://ev-database.org/car/2041/Smart-1-Pro" TargetMode="External"/><Relationship Id="rId752" Type="http://schemas.openxmlformats.org/officeDocument/2006/relationships/hyperlink" Target="https://ev-database.org/car/3067/Hyundai-IONIQ-9-Long-Range-RWD" TargetMode="External"/><Relationship Id="rId18" Type="http://schemas.openxmlformats.org/officeDocument/2006/relationships/hyperlink" Target="https://ev-database.org/car/1942/Opel-Corsa-Electric-51-kWh" TargetMode="External"/><Relationship Id="rId751" Type="http://schemas.openxmlformats.org/officeDocument/2006/relationships/hyperlink" Target="https://ev-database.org/img/auto/Ford_Mustang_Mach-E/Ford_Mustang_Mach-E-01-thumb.jpg" TargetMode="External"/><Relationship Id="rId750" Type="http://schemas.openxmlformats.org/officeDocument/2006/relationships/hyperlink" Target="https://ev-database.org/car/2280/Ford-Mustang-Mach-E-GT" TargetMode="External"/><Relationship Id="rId84" Type="http://schemas.openxmlformats.org/officeDocument/2006/relationships/hyperlink" Target="https://ev-database.org/car/1948/Peugeot-e-208-50-kWh" TargetMode="External"/><Relationship Id="rId83" Type="http://schemas.openxmlformats.org/officeDocument/2006/relationships/hyperlink" Target="https://ev-database.org/img/auto/Citroen_e-C4/Citroen_e-C4-01-thumb.jpg" TargetMode="External"/><Relationship Id="rId86" Type="http://schemas.openxmlformats.org/officeDocument/2006/relationships/hyperlink" Target="https://ev-database.org/car/2024/Skoda-Enyaq-Coupe-85" TargetMode="External"/><Relationship Id="rId85" Type="http://schemas.openxmlformats.org/officeDocument/2006/relationships/hyperlink" Target="https://ev-database.org/img/auto/Peugeot_e-208_2024/Peugeot_e-208_2024-01-thumb.jpg" TargetMode="External"/><Relationship Id="rId88" Type="http://schemas.openxmlformats.org/officeDocument/2006/relationships/hyperlink" Target="https://ev-database.org/car/3047/Citroen-e-C4" TargetMode="External"/><Relationship Id="rId87" Type="http://schemas.openxmlformats.org/officeDocument/2006/relationships/hyperlink" Target="https://ev-database.org/img/auto/Skoda_Enyaq_Coupe_iV_2022/Skoda_Enyaq_Coupe_iV_2022-01-thumb.jpg" TargetMode="External"/><Relationship Id="rId89" Type="http://schemas.openxmlformats.org/officeDocument/2006/relationships/hyperlink" Target="https://ev-database.org/img/auto/Citroen_e-C4_2024/Citroen_e-C4_2024-01-thumb.jpg" TargetMode="External"/><Relationship Id="rId709" Type="http://schemas.openxmlformats.org/officeDocument/2006/relationships/hyperlink" Target="https://ev-database.org/img/auto/BMW_iX_2022/BMW_iX_2022-01-thumb.jpg" TargetMode="External"/><Relationship Id="rId708" Type="http://schemas.openxmlformats.org/officeDocument/2006/relationships/hyperlink" Target="https://ev-database.org/car/1473/BMW-iX-xDrive50" TargetMode="External"/><Relationship Id="rId707" Type="http://schemas.openxmlformats.org/officeDocument/2006/relationships/hyperlink" Target="https://ev-database.org/img/auto/Ford_Mustang_Mach-E/Ford_Mustang_Mach-E-01-thumb.jpg" TargetMode="External"/><Relationship Id="rId706" Type="http://schemas.openxmlformats.org/officeDocument/2006/relationships/hyperlink" Target="https://ev-database.org/car/2279/Ford-Mustang-Mach-E-ER-AWD" TargetMode="External"/><Relationship Id="rId80" Type="http://schemas.openxmlformats.org/officeDocument/2006/relationships/hyperlink" Target="https://ev-database.org/car/2184/Alfa-Romeo-Junior-Elettrica-54-kWh" TargetMode="External"/><Relationship Id="rId82" Type="http://schemas.openxmlformats.org/officeDocument/2006/relationships/hyperlink" Target="https://ev-database.org/car/1587/Citroen-e-C4" TargetMode="External"/><Relationship Id="rId81" Type="http://schemas.openxmlformats.org/officeDocument/2006/relationships/hyperlink" Target="https://ev-database.org/img/auto/Alfa_Romeo_Junior/Alfa_Romeo_Junior-01-thumb.jpg" TargetMode="External"/><Relationship Id="rId701" Type="http://schemas.openxmlformats.org/officeDocument/2006/relationships/hyperlink" Target="https://ev-database.org/img/auto/NIO_EL7/NIO_EL7-01-thumb.jpg" TargetMode="External"/><Relationship Id="rId700" Type="http://schemas.openxmlformats.org/officeDocument/2006/relationships/hyperlink" Target="https://ev-database.org/car/1788/NIO-EL7-Standard-Range" TargetMode="External"/><Relationship Id="rId705" Type="http://schemas.openxmlformats.org/officeDocument/2006/relationships/hyperlink" Target="https://ev-database.org/img/auto/Ford_Mustang_Mach-E/Ford_Mustang_Mach-E-01-thumb.jpg" TargetMode="External"/><Relationship Id="rId704" Type="http://schemas.openxmlformats.org/officeDocument/2006/relationships/hyperlink" Target="https://ev-database.org/car/2276/Ford-Mustang-Mach-E-SR-AWD" TargetMode="External"/><Relationship Id="rId703" Type="http://schemas.openxmlformats.org/officeDocument/2006/relationships/hyperlink" Target="https://ev-database.org/img/auto/NIO_EL6/NIO_EL6-01-thumb.jpg" TargetMode="External"/><Relationship Id="rId702" Type="http://schemas.openxmlformats.org/officeDocument/2006/relationships/hyperlink" Target="https://ev-database.org/car/1922/NIO-EL6-Long-Range" TargetMode="External"/><Relationship Id="rId73" Type="http://schemas.openxmlformats.org/officeDocument/2006/relationships/hyperlink" Target="https://ev-database.org/img/auto/Fiat_500e_Hatchback_2020/Fiat_500e_Hatchback_2020-01-thumb.jpg" TargetMode="External"/><Relationship Id="rId72" Type="http://schemas.openxmlformats.org/officeDocument/2006/relationships/hyperlink" Target="https://ev-database.org/car/1285/Fiat-500e-Hatchback-42-kWh" TargetMode="External"/><Relationship Id="rId75" Type="http://schemas.openxmlformats.org/officeDocument/2006/relationships/hyperlink" Target="https://ev-database.org/img/auto/Lucid_Air/Lucid_Air-01-thumb.jpg" TargetMode="External"/><Relationship Id="rId74" Type="http://schemas.openxmlformats.org/officeDocument/2006/relationships/hyperlink" Target="https://ev-database.org/car/1317/Lucid-Air-Touring" TargetMode="External"/><Relationship Id="rId77" Type="http://schemas.openxmlformats.org/officeDocument/2006/relationships/hyperlink" Target="https://ev-database.org/img/auto/Fiat_500e_3plus1_2020/Fiat_500e_3plus1_2020-01-thumb.jpg" TargetMode="External"/><Relationship Id="rId76" Type="http://schemas.openxmlformats.org/officeDocument/2006/relationships/hyperlink" Target="https://ev-database.org/car/1328/Fiat-500e-3plus1-42-kWh" TargetMode="External"/><Relationship Id="rId79" Type="http://schemas.openxmlformats.org/officeDocument/2006/relationships/hyperlink" Target="https://ev-database.org/img/auto/Opel_Astra_Electric/Opel_Astra_Electric-01-thumb.jpg" TargetMode="External"/><Relationship Id="rId78" Type="http://schemas.openxmlformats.org/officeDocument/2006/relationships/hyperlink" Target="https://ev-database.org/car/1792/Opel-Astra-Electric" TargetMode="External"/><Relationship Id="rId71" Type="http://schemas.openxmlformats.org/officeDocument/2006/relationships/hyperlink" Target="https://ev-database.org/img/auto/Audi_A6_Sportback_etron_2024/Audi_A6_Sportback_etron_2024-01-thumb.jpg" TargetMode="External"/><Relationship Id="rId70" Type="http://schemas.openxmlformats.org/officeDocument/2006/relationships/hyperlink" Target="https://ev-database.org/car/2270/Audi-A6-Sportback-e-tron-performance" TargetMode="External"/><Relationship Id="rId62" Type="http://schemas.openxmlformats.org/officeDocument/2006/relationships/hyperlink" Target="https://ev-database.org/car/1588/Renault-Megane-E-Tech-EV60-130hp" TargetMode="External"/><Relationship Id="rId61" Type="http://schemas.openxmlformats.org/officeDocument/2006/relationships/hyperlink" Target="https://ev-database.org/img/auto/Renault_Megane_ETech/Renault_Megane_ETech-01-thumb.jpg" TargetMode="External"/><Relationship Id="rId64" Type="http://schemas.openxmlformats.org/officeDocument/2006/relationships/hyperlink" Target="https://ev-database.org/car/1726/Fiat-500e-3plus1-24-kWh" TargetMode="External"/><Relationship Id="rId63" Type="http://schemas.openxmlformats.org/officeDocument/2006/relationships/hyperlink" Target="https://ev-database.org/img/auto/Renault_Megane_ETech/Renault_Megane_ETech-01-thumb.jpg" TargetMode="External"/><Relationship Id="rId66" Type="http://schemas.openxmlformats.org/officeDocument/2006/relationships/hyperlink" Target="https://ev-database.org/car/1727/Fiat-500e-Cabrio-24-kWh" TargetMode="External"/><Relationship Id="rId65" Type="http://schemas.openxmlformats.org/officeDocument/2006/relationships/hyperlink" Target="https://ev-database.org/img/auto/Fiat_500e_3plus1_2020/Fiat_500e_3plus1_2020-01-thumb.jpg" TargetMode="External"/><Relationship Id="rId68" Type="http://schemas.openxmlformats.org/officeDocument/2006/relationships/hyperlink" Target="https://ev-database.org/car/2199/BMW-i4-eDrive40" TargetMode="External"/><Relationship Id="rId67" Type="http://schemas.openxmlformats.org/officeDocument/2006/relationships/hyperlink" Target="https://ev-database.org/img/auto/Fiat_500e_Convertible_2020/Fiat_500e_Convertible_2020-01-thumb.jpg" TargetMode="External"/><Relationship Id="rId729" Type="http://schemas.openxmlformats.org/officeDocument/2006/relationships/hyperlink" Target="https://ev-database.org/img/auto/Maserati_GranCabrio_Folgore/Maserati_GranCabrio_Folgore-01-thumb.jpg" TargetMode="External"/><Relationship Id="rId728" Type="http://schemas.openxmlformats.org/officeDocument/2006/relationships/hyperlink" Target="https://ev-database.org/car/2187/Maserati-GranCabrio-Folgore" TargetMode="External"/><Relationship Id="rId60" Type="http://schemas.openxmlformats.org/officeDocument/2006/relationships/hyperlink" Target="https://ev-database.org/car/1521/Renault-Megane-E-Tech-EV60-220hp" TargetMode="External"/><Relationship Id="rId723" Type="http://schemas.openxmlformats.org/officeDocument/2006/relationships/hyperlink" Target="https://ev-database.org/img/auto/Audi_Q8-etron-2023/Audi_Q8-etron-2023-01-thumb.jpg" TargetMode="External"/><Relationship Id="rId722" Type="http://schemas.openxmlformats.org/officeDocument/2006/relationships/hyperlink" Target="https://ev-database.org/car/1769/Audi-Q8-e-tron-50-quattro" TargetMode="External"/><Relationship Id="rId721" Type="http://schemas.openxmlformats.org/officeDocument/2006/relationships/hyperlink" Target="https://ev-database.org/img/auto/Skywell_BE11_2024/Skywell_BE11_2024-01-thumb.jpg" TargetMode="External"/><Relationship Id="rId720" Type="http://schemas.openxmlformats.org/officeDocument/2006/relationships/hyperlink" Target="https://ev-database.org/car/3065/Skywell-BE11-Long-Range" TargetMode="External"/><Relationship Id="rId727" Type="http://schemas.openxmlformats.org/officeDocument/2006/relationships/hyperlink" Target="https://ev-database.org/img/auto/Audi_Q8-etron-2023/Audi_Q8-etron-2023-01-thumb.jpg" TargetMode="External"/><Relationship Id="rId726" Type="http://schemas.openxmlformats.org/officeDocument/2006/relationships/hyperlink" Target="https://ev-database.org/car/1770/Audi-Q8-e-tron-55-quattro" TargetMode="External"/><Relationship Id="rId725" Type="http://schemas.openxmlformats.org/officeDocument/2006/relationships/hyperlink" Target="https://ev-database.org/img/auto/NIO_EL7/NIO_EL7-01-thumb.jpg" TargetMode="External"/><Relationship Id="rId724" Type="http://schemas.openxmlformats.org/officeDocument/2006/relationships/hyperlink" Target="https://ev-database.org/car/1789/NIO-EL7-Long-Range" TargetMode="External"/><Relationship Id="rId69" Type="http://schemas.openxmlformats.org/officeDocument/2006/relationships/hyperlink" Target="https://ev-database.org/img/auto/BMW_i4_2024/BMW_i4_2024-01-thumb.jpg" TargetMode="External"/><Relationship Id="rId51" Type="http://schemas.openxmlformats.org/officeDocument/2006/relationships/hyperlink" Target="https://ev-database.org/img/auto/Renault_5_ETech/Renault_5_ETech-01-thumb.jpg" TargetMode="External"/><Relationship Id="rId50" Type="http://schemas.openxmlformats.org/officeDocument/2006/relationships/hyperlink" Target="https://ev-database.org/car/2133/Renault-5-E-Tech-40kWh-95hp" TargetMode="External"/><Relationship Id="rId53" Type="http://schemas.openxmlformats.org/officeDocument/2006/relationships/hyperlink" Target="https://ev-database.org/img/auto/Renault_5_ETech/Renault_5_ETech-01-thumb.jpg" TargetMode="External"/><Relationship Id="rId52" Type="http://schemas.openxmlformats.org/officeDocument/2006/relationships/hyperlink" Target="https://ev-database.org/car/2134/Renault-5-E-Tech-40kWh-120hp" TargetMode="External"/><Relationship Id="rId55" Type="http://schemas.openxmlformats.org/officeDocument/2006/relationships/hyperlink" Target="https://ev-database.org/img/auto/Dongfeng_Box/Dongfeng_Box-01-thumb.jpg" TargetMode="External"/><Relationship Id="rId54" Type="http://schemas.openxmlformats.org/officeDocument/2006/relationships/hyperlink" Target="https://ev-database.org/car/3036/Dongfeng-Box-423-kWh" TargetMode="External"/><Relationship Id="rId57" Type="http://schemas.openxmlformats.org/officeDocument/2006/relationships/hyperlink" Target="https://ev-database.org/img/auto/Citroen_e-C4_X_2024/Citroen_e-C4_X_2024-01-thumb.jpg" TargetMode="External"/><Relationship Id="rId56" Type="http://schemas.openxmlformats.org/officeDocument/2006/relationships/hyperlink" Target="https://ev-database.org/car/3049/Citroen-e-C4-X" TargetMode="External"/><Relationship Id="rId719" Type="http://schemas.openxmlformats.org/officeDocument/2006/relationships/hyperlink" Target="https://ev-database.org/img/auto/Volvo_EX40_2025/Volvo_EX40_2025-01-thumb.jpg" TargetMode="External"/><Relationship Id="rId718" Type="http://schemas.openxmlformats.org/officeDocument/2006/relationships/hyperlink" Target="https://ev-database.org/car/2122/Volvo-EX40-Twin-Motor-Performance" TargetMode="External"/><Relationship Id="rId717" Type="http://schemas.openxmlformats.org/officeDocument/2006/relationships/hyperlink" Target="https://ev-database.org/img/auto/Voyah_Free/Voyah_Free-01-thumb.jpg" TargetMode="External"/><Relationship Id="rId712" Type="http://schemas.openxmlformats.org/officeDocument/2006/relationships/hyperlink" Target="https://ev-database.org/car/1975/Elaris-BEO-86-kWh" TargetMode="External"/><Relationship Id="rId711" Type="http://schemas.openxmlformats.org/officeDocument/2006/relationships/hyperlink" Target="https://ev-database.org/img/auto/BMW_i7_M70_2023/BMW_i7_M70_2023-01-thumb.jpg" TargetMode="External"/><Relationship Id="rId710" Type="http://schemas.openxmlformats.org/officeDocument/2006/relationships/hyperlink" Target="https://ev-database.org/car/1838/BMW-i7-M70-xDrive" TargetMode="External"/><Relationship Id="rId716" Type="http://schemas.openxmlformats.org/officeDocument/2006/relationships/hyperlink" Target="https://ev-database.org/car/2049/Voyah-Free-106-kWh" TargetMode="External"/><Relationship Id="rId715" Type="http://schemas.openxmlformats.org/officeDocument/2006/relationships/hyperlink" Target="https://ev-database.org/img/auto/Mercedes_EQE_SUV/Mercedes_EQE_SUV-01-thumb.jpg" TargetMode="External"/><Relationship Id="rId714" Type="http://schemas.openxmlformats.org/officeDocument/2006/relationships/hyperlink" Target="https://ev-database.org/car/2047/Mercedes-Benz-EQE-SUV-350-4MATIC" TargetMode="External"/><Relationship Id="rId713" Type="http://schemas.openxmlformats.org/officeDocument/2006/relationships/hyperlink" Target="https://ev-database.org/img/auto/Elaris_BEO_2023/Elaris_BEO_2023-01-thumb.jpg" TargetMode="External"/><Relationship Id="rId59" Type="http://schemas.openxmlformats.org/officeDocument/2006/relationships/hyperlink" Target="https://ev-database.org/img/auto/Fiat_500e_Hatchback_2020/Fiat_500e_Hatchback_2020-01-thumb.jpg" TargetMode="External"/><Relationship Id="rId58" Type="http://schemas.openxmlformats.org/officeDocument/2006/relationships/hyperlink" Target="https://ev-database.org/car/1327/Fiat-500e-Hatchback-24-kWh" TargetMode="External"/><Relationship Id="rId590" Type="http://schemas.openxmlformats.org/officeDocument/2006/relationships/hyperlink" Target="https://ev-database.org/car/2247/GWM-ORA-07-GT" TargetMode="External"/><Relationship Id="rId107" Type="http://schemas.openxmlformats.org/officeDocument/2006/relationships/hyperlink" Target="https://ev-database.org/img/auto/Renault_5_ETech/Renault_5_ETech-01-thumb.jpg" TargetMode="External"/><Relationship Id="rId349" Type="http://schemas.openxmlformats.org/officeDocument/2006/relationships/hyperlink" Target="https://ev-database.org/img/auto/Audi_A6_Avant_etron_2024/Audi_A6_Avant_etron_2024-01-thumb.jpg" TargetMode="External"/><Relationship Id="rId106" Type="http://schemas.openxmlformats.org/officeDocument/2006/relationships/hyperlink" Target="https://ev-database.org/car/2135/Renault-5-E-Tech-52kWh-150hp" TargetMode="External"/><Relationship Id="rId348" Type="http://schemas.openxmlformats.org/officeDocument/2006/relationships/hyperlink" Target="https://ev-database.org/car/3054/Audi-A6-Avant-e-tron-quattro" TargetMode="External"/><Relationship Id="rId105" Type="http://schemas.openxmlformats.org/officeDocument/2006/relationships/hyperlink" Target="https://ev-database.org/img/auto/Lucid_Air/Lucid_Air-01-thumb.jpg" TargetMode="External"/><Relationship Id="rId347" Type="http://schemas.openxmlformats.org/officeDocument/2006/relationships/hyperlink" Target="https://ev-database.org/img/auto/Omoda_E5_2024/Omoda_E5_2024-01-thumb.jpg" TargetMode="External"/><Relationship Id="rId589" Type="http://schemas.openxmlformats.org/officeDocument/2006/relationships/hyperlink" Target="https://ev-database.org/img/auto/Audi_Q6_etron_2024/Audi_Q6_etron_2024-01-thumb.jpg" TargetMode="External"/><Relationship Id="rId104" Type="http://schemas.openxmlformats.org/officeDocument/2006/relationships/hyperlink" Target="https://ev-database.org/car/2116/Lucid-Air-Pure-RWD" TargetMode="External"/><Relationship Id="rId346" Type="http://schemas.openxmlformats.org/officeDocument/2006/relationships/hyperlink" Target="https://ev-database.org/car/3046/Omoda-E5" TargetMode="External"/><Relationship Id="rId588" Type="http://schemas.openxmlformats.org/officeDocument/2006/relationships/hyperlink" Target="https://ev-database.org/car/2215/Audi-Q6-e-tron-performance" TargetMode="External"/><Relationship Id="rId109" Type="http://schemas.openxmlformats.org/officeDocument/2006/relationships/hyperlink" Target="https://ev-database.org/img/auto/Volkswagen_ID3_2024/Volkswagen_ID3_2024-01-thumb.jpg" TargetMode="External"/><Relationship Id="rId108" Type="http://schemas.openxmlformats.org/officeDocument/2006/relationships/hyperlink" Target="https://ev-database.org/car/2214/Volkswagen-ID3-Pure" TargetMode="External"/><Relationship Id="rId341" Type="http://schemas.openxmlformats.org/officeDocument/2006/relationships/hyperlink" Target="https://ev-database.org/img/auto/Volkswagen_ID4_2024/Volkswagen_ID4_2024-01-thumb.jpg" TargetMode="External"/><Relationship Id="rId583" Type="http://schemas.openxmlformats.org/officeDocument/2006/relationships/hyperlink" Target="https://ev-database.org/img/auto/Polestar_4_2024/Polestar_4_2024-01-thumb.jpg" TargetMode="External"/><Relationship Id="rId340" Type="http://schemas.openxmlformats.org/officeDocument/2006/relationships/hyperlink" Target="https://ev-database.org/car/2029/Volkswagen-ID4-Pro-4MOTION" TargetMode="External"/><Relationship Id="rId582" Type="http://schemas.openxmlformats.org/officeDocument/2006/relationships/hyperlink" Target="https://ev-database.org/car/1842/Polestar-4-Long-Range-Dual-Motor" TargetMode="External"/><Relationship Id="rId581" Type="http://schemas.openxmlformats.org/officeDocument/2006/relationships/hyperlink" Target="https://ev-database.org/img/auto/XPENG_G9/XPENG_G9-01-thumb.jpg" TargetMode="External"/><Relationship Id="rId580" Type="http://schemas.openxmlformats.org/officeDocument/2006/relationships/hyperlink" Target="https://ev-database.org/car/1825/XPENG-G9-RWD-Long-Range" TargetMode="External"/><Relationship Id="rId103" Type="http://schemas.openxmlformats.org/officeDocument/2006/relationships/hyperlink" Target="https://ev-database.org/img/auto/Mini_Cooper_Electric_2024/Mini_Cooper_Electric_2024-01-thumb.jpg" TargetMode="External"/><Relationship Id="rId345" Type="http://schemas.openxmlformats.org/officeDocument/2006/relationships/hyperlink" Target="https://ev-database.org/img/auto/Volkswagen_ID7_GTX/Volkswagen_ID7_GTX-01-thumb.jpg" TargetMode="External"/><Relationship Id="rId587" Type="http://schemas.openxmlformats.org/officeDocument/2006/relationships/hyperlink" Target="https://ev-database.org/img/auto/Volvo_EX40_2025/Volvo_EX40_2025-01-thumb.jpg" TargetMode="External"/><Relationship Id="rId102" Type="http://schemas.openxmlformats.org/officeDocument/2006/relationships/hyperlink" Target="https://ev-database.org/car/1997/Mini-Cooper-E" TargetMode="External"/><Relationship Id="rId344" Type="http://schemas.openxmlformats.org/officeDocument/2006/relationships/hyperlink" Target="https://ev-database.org/car/2216/Volkswagen-ID7-GTX" TargetMode="External"/><Relationship Id="rId586" Type="http://schemas.openxmlformats.org/officeDocument/2006/relationships/hyperlink" Target="https://ev-database.org/car/2120/Volvo-EX40-Single-Motor" TargetMode="External"/><Relationship Id="rId101" Type="http://schemas.openxmlformats.org/officeDocument/2006/relationships/hyperlink" Target="https://ev-database.org/img/auto/Audi_A6_Sportback_etron_2024/Audi_A6_Sportback_etron_2024-01-thumb.jpg" TargetMode="External"/><Relationship Id="rId343" Type="http://schemas.openxmlformats.org/officeDocument/2006/relationships/hyperlink" Target="https://ev-database.org/img/auto/Smart_3_2024/Smart_3_2024-01-thumb.jpg" TargetMode="External"/><Relationship Id="rId585" Type="http://schemas.openxmlformats.org/officeDocument/2006/relationships/hyperlink" Target="https://ev-database.org/img/auto/Peugeot_e-3008_2024/Peugeot_e-3008_2024-01-thumb.jpg" TargetMode="External"/><Relationship Id="rId100" Type="http://schemas.openxmlformats.org/officeDocument/2006/relationships/hyperlink" Target="https://ev-database.org/car/3052/Audi-A6-Sportback-e-tron-quattro" TargetMode="External"/><Relationship Id="rId342" Type="http://schemas.openxmlformats.org/officeDocument/2006/relationships/hyperlink" Target="https://ev-database.org/car/2052/Smart-3-Pro" TargetMode="External"/><Relationship Id="rId584" Type="http://schemas.openxmlformats.org/officeDocument/2006/relationships/hyperlink" Target="https://ev-database.org/car/2005/Peugeot-e-3008-97-kWh-Long-Range" TargetMode="External"/><Relationship Id="rId338" Type="http://schemas.openxmlformats.org/officeDocument/2006/relationships/hyperlink" Target="https://ev-database.org/car/2022/Skoda-Enyaq-RS" TargetMode="External"/><Relationship Id="rId337" Type="http://schemas.openxmlformats.org/officeDocument/2006/relationships/hyperlink" Target="https://ev-database.org/img/auto/Audi_Q4_e-tron_Sportback_2021/Audi_Q4_e-tron_Sportback_2021-01-thumb.jpg" TargetMode="External"/><Relationship Id="rId579" Type="http://schemas.openxmlformats.org/officeDocument/2006/relationships/hyperlink" Target="https://ev-database.org/img/auto/Mercedes_EQB_2024/Mercedes_EQB_2024-01-thumb.jpg" TargetMode="External"/><Relationship Id="rId336" Type="http://schemas.openxmlformats.org/officeDocument/2006/relationships/hyperlink" Target="https://ev-database.org/car/2016/Audi-Q4-Sportback-e-tron-45" TargetMode="External"/><Relationship Id="rId578" Type="http://schemas.openxmlformats.org/officeDocument/2006/relationships/hyperlink" Target="https://ev-database.org/car/1990/Mercedes-Benz-EQB-350-4MATIC" TargetMode="External"/><Relationship Id="rId335" Type="http://schemas.openxmlformats.org/officeDocument/2006/relationships/hyperlink" Target="https://ev-database.org/img/auto/Mini_Countryman_2024/Mini_Countryman_2024-01-thumb.jpg" TargetMode="External"/><Relationship Id="rId577" Type="http://schemas.openxmlformats.org/officeDocument/2006/relationships/hyperlink" Target="https://ev-database.org/img/auto/Mercedes_EQB_2024/Mercedes_EQB_2024-01-thumb.jpg" TargetMode="External"/><Relationship Id="rId339" Type="http://schemas.openxmlformats.org/officeDocument/2006/relationships/hyperlink" Target="https://ev-database.org/img/auto/Skoda_Enyaq_iV_2020/Skoda_Enyaq_iV_2020-01-thumb.jpg" TargetMode="External"/><Relationship Id="rId330" Type="http://schemas.openxmlformats.org/officeDocument/2006/relationships/hyperlink" Target="https://ev-database.org/car/1480/Kia-EV6-Standard-Range-2WD" TargetMode="External"/><Relationship Id="rId572" Type="http://schemas.openxmlformats.org/officeDocument/2006/relationships/hyperlink" Target="https://ev-database.org/car/1907/BMW-i5-M60-xDrive-Sedan" TargetMode="External"/><Relationship Id="rId571" Type="http://schemas.openxmlformats.org/officeDocument/2006/relationships/hyperlink" Target="https://ev-database.org/img/auto/SsangYong_Korando_e-Motion/SsangYong_Korando_e-Motion-01-thumb.jpg" TargetMode="External"/><Relationship Id="rId570" Type="http://schemas.openxmlformats.org/officeDocument/2006/relationships/hyperlink" Target="https://ev-database.org/car/1589/SsangYong-Korando-e-Motion" TargetMode="External"/><Relationship Id="rId334" Type="http://schemas.openxmlformats.org/officeDocument/2006/relationships/hyperlink" Target="https://ev-database.org/car/1995/Mini-Countryman-SE-ALL4" TargetMode="External"/><Relationship Id="rId576" Type="http://schemas.openxmlformats.org/officeDocument/2006/relationships/hyperlink" Target="https://ev-database.org/car/1989/Mercedes-Benz-EQB-300-4MATIC" TargetMode="External"/><Relationship Id="rId333" Type="http://schemas.openxmlformats.org/officeDocument/2006/relationships/hyperlink" Target="https://ev-database.org/img/auto/NIO_ET7/NIO_ET7-01-thumb.jpg" TargetMode="External"/><Relationship Id="rId575" Type="http://schemas.openxmlformats.org/officeDocument/2006/relationships/hyperlink" Target="https://ev-database.org/img/auto/MG_MG4_Electric_XPOWER_2023/MG_MG4_Electric_XPOWER_2023-01-thumb.jpg" TargetMode="External"/><Relationship Id="rId332" Type="http://schemas.openxmlformats.org/officeDocument/2006/relationships/hyperlink" Target="https://ev-database.org/car/1751/NIO-ET7-Standard-Range" TargetMode="External"/><Relationship Id="rId574" Type="http://schemas.openxmlformats.org/officeDocument/2006/relationships/hyperlink" Target="https://ev-database.org/car/1944/MG-MG4-Electric-XPOWER" TargetMode="External"/><Relationship Id="rId331" Type="http://schemas.openxmlformats.org/officeDocument/2006/relationships/hyperlink" Target="https://ev-database.org/img/auto/Kia_EV6_2021/Kia_EV6_2021-01-thumb.jpg" TargetMode="External"/><Relationship Id="rId573" Type="http://schemas.openxmlformats.org/officeDocument/2006/relationships/hyperlink" Target="https://ev-database.org/img/auto/BMW_i5_M60_xDrive_Sedan/BMW_i5_M60_xDrive_Sedan-01-thumb.jpg" TargetMode="External"/><Relationship Id="rId370" Type="http://schemas.openxmlformats.org/officeDocument/2006/relationships/hyperlink" Target="https://ev-database.org/car/1786/NIO-ET5-Standard-Range" TargetMode="External"/><Relationship Id="rId129" Type="http://schemas.openxmlformats.org/officeDocument/2006/relationships/hyperlink" Target="https://ev-database.org/img/auto/Volkswagen_ID7_Tourer/Volkswagen_ID7_Tourer-01-thumb.jpg" TargetMode="External"/><Relationship Id="rId128" Type="http://schemas.openxmlformats.org/officeDocument/2006/relationships/hyperlink" Target="https://ev-database.org/car/2118/Volkswagen-ID7-Tourer-Pro" TargetMode="External"/><Relationship Id="rId127" Type="http://schemas.openxmlformats.org/officeDocument/2006/relationships/hyperlink" Target="https://ev-database.org/img/auto/BMW_iX2_2024/BMW_iX2_2024-01-thumb.jpg" TargetMode="External"/><Relationship Id="rId369" Type="http://schemas.openxmlformats.org/officeDocument/2006/relationships/hyperlink" Target="https://ev-database.org/img/auto/Opel_Mokka_Electric_2024/Opel_Mokka_Electric_2024-01-thumb.jpg" TargetMode="External"/><Relationship Id="rId126" Type="http://schemas.openxmlformats.org/officeDocument/2006/relationships/hyperlink" Target="https://ev-database.org/car/2097/BMW-iX2-eDrive20" TargetMode="External"/><Relationship Id="rId368" Type="http://schemas.openxmlformats.org/officeDocument/2006/relationships/hyperlink" Target="https://ev-database.org/car/3051/Opel-Mokka-Electric" TargetMode="External"/><Relationship Id="rId121" Type="http://schemas.openxmlformats.org/officeDocument/2006/relationships/hyperlink" Target="https://ev-database.org/img/auto/Fiat_600e/Fiat_600e-01-thumb.jpg" TargetMode="External"/><Relationship Id="rId363" Type="http://schemas.openxmlformats.org/officeDocument/2006/relationships/hyperlink" Target="https://ev-database.org/img/auto/Audi_e-tron_GT_S_2025/Audi_e-tron_GT_S_2025-01-thumb.jpg" TargetMode="External"/><Relationship Id="rId120" Type="http://schemas.openxmlformats.org/officeDocument/2006/relationships/hyperlink" Target="https://ev-database.org/car/1945/Fiat-600e" TargetMode="External"/><Relationship Id="rId362" Type="http://schemas.openxmlformats.org/officeDocument/2006/relationships/hyperlink" Target="https://ev-database.org/car/2219/Audi-e-tron-GT-S" TargetMode="External"/><Relationship Id="rId361" Type="http://schemas.openxmlformats.org/officeDocument/2006/relationships/hyperlink" Target="https://ev-database.org/img/auto/XPENG_G6/XPENG_G6-01-thumb.jpg" TargetMode="External"/><Relationship Id="rId360" Type="http://schemas.openxmlformats.org/officeDocument/2006/relationships/hyperlink" Target="https://ev-database.org/car/2181/XPENG-G6-RWD-Standard-Range" TargetMode="External"/><Relationship Id="rId125" Type="http://schemas.openxmlformats.org/officeDocument/2006/relationships/hyperlink" Target="https://ev-database.org/img/auto/Mini_Cooper_Electric_2024/Mini_Cooper_Electric_2024-01-thumb.jpg" TargetMode="External"/><Relationship Id="rId367" Type="http://schemas.openxmlformats.org/officeDocument/2006/relationships/hyperlink" Target="https://ev-database.org/img/auto/Ford_Capri_2024/Ford_Capri_2024-01-thumb.jpg" TargetMode="External"/><Relationship Id="rId124" Type="http://schemas.openxmlformats.org/officeDocument/2006/relationships/hyperlink" Target="https://ev-database.org/car/1998/Mini-Cooper-SE" TargetMode="External"/><Relationship Id="rId366" Type="http://schemas.openxmlformats.org/officeDocument/2006/relationships/hyperlink" Target="https://ev-database.org/car/2242/Ford-Capri-Extended-Range-AWD" TargetMode="External"/><Relationship Id="rId123" Type="http://schemas.openxmlformats.org/officeDocument/2006/relationships/hyperlink" Target="https://ev-database.org/img/auto/Tesla_Model_Y/Tesla_Model_Y-01-thumb.jpg" TargetMode="External"/><Relationship Id="rId365" Type="http://schemas.openxmlformats.org/officeDocument/2006/relationships/hyperlink" Target="https://ev-database.org/img/auto/Hyundai_IONIQ5_2024/Hyundai_IONIQ5_2024-01-thumb.jpg" TargetMode="External"/><Relationship Id="rId122" Type="http://schemas.openxmlformats.org/officeDocument/2006/relationships/hyperlink" Target="https://ev-database.org/car/1974/Tesla-Model-Y" TargetMode="External"/><Relationship Id="rId364" Type="http://schemas.openxmlformats.org/officeDocument/2006/relationships/hyperlink" Target="https://ev-database.org/car/2236/Hyundai-IONIQ-5-84-kWh-RWD" TargetMode="External"/><Relationship Id="rId95" Type="http://schemas.openxmlformats.org/officeDocument/2006/relationships/hyperlink" Target="https://ev-database.org/img/auto/Citroen_e-C4_X/Citroen_e-C4_X-01-thumb.jpg" TargetMode="External"/><Relationship Id="rId94" Type="http://schemas.openxmlformats.org/officeDocument/2006/relationships/hyperlink" Target="https://ev-database.org/car/1706/Citroen-e-C4-X" TargetMode="External"/><Relationship Id="rId97" Type="http://schemas.openxmlformats.org/officeDocument/2006/relationships/hyperlink" Target="https://ev-database.org/img/auto/Volkswagen_ID7/Volkswagen_ID7-01-thumb.jpg" TargetMode="External"/><Relationship Id="rId96" Type="http://schemas.openxmlformats.org/officeDocument/2006/relationships/hyperlink" Target="https://ev-database.org/car/1839/Volkswagen-ID7-Pro" TargetMode="External"/><Relationship Id="rId99" Type="http://schemas.openxmlformats.org/officeDocument/2006/relationships/hyperlink" Target="https://ev-database.org/img/auto/Skoda_Enyaq_Coupe_iV_2022/Skoda_Enyaq_Coupe_iV_2022-01-thumb.jpg" TargetMode="External"/><Relationship Id="rId98" Type="http://schemas.openxmlformats.org/officeDocument/2006/relationships/hyperlink" Target="https://ev-database.org/car/2025/Skoda-Enyaq-Coupe-85x" TargetMode="External"/><Relationship Id="rId91" Type="http://schemas.openxmlformats.org/officeDocument/2006/relationships/hyperlink" Target="https://ev-database.org/img/auto/Audi_A6_Avant_etron_2024/Audi_A6_Avant_etron_2024-01-thumb.jpg" TargetMode="External"/><Relationship Id="rId90" Type="http://schemas.openxmlformats.org/officeDocument/2006/relationships/hyperlink" Target="https://ev-database.org/car/3055/Audi-A6-Avant-e-tron" TargetMode="External"/><Relationship Id="rId93" Type="http://schemas.openxmlformats.org/officeDocument/2006/relationships/hyperlink" Target="https://ev-database.org/img/auto/Fiat_500e_Convertible_2020/Fiat_500e_Convertible_2020-01-thumb.jpg" TargetMode="External"/><Relationship Id="rId92" Type="http://schemas.openxmlformats.org/officeDocument/2006/relationships/hyperlink" Target="https://ev-database.org/car/1275/Fiat-500e-Cabrio-42-kWh" TargetMode="External"/><Relationship Id="rId118" Type="http://schemas.openxmlformats.org/officeDocument/2006/relationships/hyperlink" Target="https://ev-database.org/car/1840/Volkswagen-ID7-Pro-S" TargetMode="External"/><Relationship Id="rId117" Type="http://schemas.openxmlformats.org/officeDocument/2006/relationships/hyperlink" Target="https://ev-database.org/img/auto/Hyundai_Kona_Electric_2024/Hyundai_Kona_Electric_2024-01-thumb.jpg" TargetMode="External"/><Relationship Id="rId359" Type="http://schemas.openxmlformats.org/officeDocument/2006/relationships/hyperlink" Target="https://ev-database.org/img/auto/BMW_i5_eDrive40_Touring/BMW_i5_eDrive40_Touring-01-thumb.jpg" TargetMode="External"/><Relationship Id="rId116" Type="http://schemas.openxmlformats.org/officeDocument/2006/relationships/hyperlink" Target="https://ev-database.org/car/1829/Hyundai-Kona-Electric-48-kWh" TargetMode="External"/><Relationship Id="rId358" Type="http://schemas.openxmlformats.org/officeDocument/2006/relationships/hyperlink" Target="https://ev-database.org/car/2114/BMW-i5-eDrive40-Touring" TargetMode="External"/><Relationship Id="rId115" Type="http://schemas.openxmlformats.org/officeDocument/2006/relationships/hyperlink" Target="https://ev-database.org/img/auto/Jeep_Avenger/Jeep_Avenger-01-thumb.jpg" TargetMode="External"/><Relationship Id="rId357" Type="http://schemas.openxmlformats.org/officeDocument/2006/relationships/hyperlink" Target="https://ev-database.org/img/auto/BMW_i5_eDrive40_Sedan/BMW_i5_eDrive40_Sedan-01-thumb.jpg" TargetMode="External"/><Relationship Id="rId599" Type="http://schemas.openxmlformats.org/officeDocument/2006/relationships/hyperlink" Target="https://ev-database.org/img/auto/KGM_Torres_EVX/KGM_Torres_EVX-01-thumb.jpg" TargetMode="External"/><Relationship Id="rId119" Type="http://schemas.openxmlformats.org/officeDocument/2006/relationships/hyperlink" Target="https://ev-database.org/img/auto/Volkswagen_ID7/Volkswagen_ID7-01-thumb.jpg" TargetMode="External"/><Relationship Id="rId110" Type="http://schemas.openxmlformats.org/officeDocument/2006/relationships/hyperlink" Target="https://ev-database.org/car/1743/Tesla-Model-Y" TargetMode="External"/><Relationship Id="rId352" Type="http://schemas.openxmlformats.org/officeDocument/2006/relationships/hyperlink" Target="https://ev-database.org/car/1909/Volvo-EX30-Single-Motor" TargetMode="External"/><Relationship Id="rId594" Type="http://schemas.openxmlformats.org/officeDocument/2006/relationships/hyperlink" Target="https://ev-database.org/car/2014/Audi-Q4-e-tron-45-quattro" TargetMode="External"/><Relationship Id="rId351" Type="http://schemas.openxmlformats.org/officeDocument/2006/relationships/hyperlink" Target="https://ev-database.org/img/auto/NIO_ET7/NIO_ET7-01-thumb.jpg" TargetMode="External"/><Relationship Id="rId593" Type="http://schemas.openxmlformats.org/officeDocument/2006/relationships/hyperlink" Target="https://ev-database.org/img/auto/Genesis_GV60/Genesis_GV60-01-thumb.jpg" TargetMode="External"/><Relationship Id="rId350" Type="http://schemas.openxmlformats.org/officeDocument/2006/relationships/hyperlink" Target="https://ev-database.org/car/1752/NIO-ET7-Long-Range" TargetMode="External"/><Relationship Id="rId592" Type="http://schemas.openxmlformats.org/officeDocument/2006/relationships/hyperlink" Target="https://ev-database.org/car/1648/Genesis-GV60-Sport" TargetMode="External"/><Relationship Id="rId591" Type="http://schemas.openxmlformats.org/officeDocument/2006/relationships/hyperlink" Target="https://ev-database.org/img/auto/GWM_ORA_07/GWM_ORA_07-01-thumb.jpg" TargetMode="External"/><Relationship Id="rId114" Type="http://schemas.openxmlformats.org/officeDocument/2006/relationships/hyperlink" Target="https://ev-database.org/car/1816/Jeep-Avenger-Electric" TargetMode="External"/><Relationship Id="rId356" Type="http://schemas.openxmlformats.org/officeDocument/2006/relationships/hyperlink" Target="https://ev-database.org/car/2096/BMW-i5-xDrive40-Sedan" TargetMode="External"/><Relationship Id="rId598" Type="http://schemas.openxmlformats.org/officeDocument/2006/relationships/hyperlink" Target="https://ev-database.org/car/2189/KGM-Torres-EVX" TargetMode="External"/><Relationship Id="rId113" Type="http://schemas.openxmlformats.org/officeDocument/2006/relationships/hyperlink" Target="https://ev-database.org/img/auto/Opel_Astra_Sports_Tourer_Electric/Opel_Astra_Sports_Tourer_Electric-01-thumb.jpg" TargetMode="External"/><Relationship Id="rId355" Type="http://schemas.openxmlformats.org/officeDocument/2006/relationships/hyperlink" Target="https://ev-database.org/img/auto/Volvo_EX30_2024/Volvo_EX30_2024-01-thumb.jpg" TargetMode="External"/><Relationship Id="rId597" Type="http://schemas.openxmlformats.org/officeDocument/2006/relationships/hyperlink" Target="https://ev-database.org/img/auto/Audi_Q4_e-tron_2021/Audi_Q4_e-tron_2021-01-thumb.jpg" TargetMode="External"/><Relationship Id="rId112" Type="http://schemas.openxmlformats.org/officeDocument/2006/relationships/hyperlink" Target="https://ev-database.org/car/1793/Opel-Astra-Sports-Tourer-Electric" TargetMode="External"/><Relationship Id="rId354" Type="http://schemas.openxmlformats.org/officeDocument/2006/relationships/hyperlink" Target="https://ev-database.org/car/1910/Volvo-EX30-Single-Motor-ER" TargetMode="External"/><Relationship Id="rId596" Type="http://schemas.openxmlformats.org/officeDocument/2006/relationships/hyperlink" Target="https://ev-database.org/car/2015/Audi-Q4-e-tron-55-quattro" TargetMode="External"/><Relationship Id="rId111" Type="http://schemas.openxmlformats.org/officeDocument/2006/relationships/hyperlink" Target="https://ev-database.org/img/auto/Tesla_Model_Y/Tesla_Model_Y-01-thumb.jpg" TargetMode="External"/><Relationship Id="rId353" Type="http://schemas.openxmlformats.org/officeDocument/2006/relationships/hyperlink" Target="https://ev-database.org/img/auto/Volvo_EX30_2024/Volvo_EX30_2024-01-thumb.jpg" TargetMode="External"/><Relationship Id="rId595" Type="http://schemas.openxmlformats.org/officeDocument/2006/relationships/hyperlink" Target="https://ev-database.org/img/auto/Audi_Q4_e-tron_2021/Audi_Q4_e-tron_2021-01-thumb.jpg" TargetMode="External"/><Relationship Id="rId305" Type="http://schemas.openxmlformats.org/officeDocument/2006/relationships/hyperlink" Target="https://ev-database.org/img/auto/Smart_3_2024/Smart_3_2024-01-thumb.jpg" TargetMode="External"/><Relationship Id="rId547" Type="http://schemas.openxmlformats.org/officeDocument/2006/relationships/hyperlink" Target="https://ev-database.org/img/auto/Volvo_EX30_2024/Volvo_EX30_2024-01-thumb.jpg" TargetMode="External"/><Relationship Id="rId789" Type="http://schemas.openxmlformats.org/officeDocument/2006/relationships/hyperlink" Target="https://ev-database.org/img/auto/Kia_EV9_2023/Kia_EV9_2023-01-thumb.jpg" TargetMode="External"/><Relationship Id="rId304" Type="http://schemas.openxmlformats.org/officeDocument/2006/relationships/hyperlink" Target="https://ev-database.org/car/1999/Smart-3-Proplus" TargetMode="External"/><Relationship Id="rId546" Type="http://schemas.openxmlformats.org/officeDocument/2006/relationships/hyperlink" Target="https://ev-database.org/car/1911/Volvo-EX30-Twin-Motor-Performance" TargetMode="External"/><Relationship Id="rId788" Type="http://schemas.openxmlformats.org/officeDocument/2006/relationships/hyperlink" Target="https://ev-database.org/car/1835/Kia-EV9-998-kWh-AWD" TargetMode="External"/><Relationship Id="rId303" Type="http://schemas.openxmlformats.org/officeDocument/2006/relationships/hyperlink" Target="https://ev-database.org/img/auto/MG_MG4_Electric_2022/MG_MG4_Electric_2022-01-thumb.jpg" TargetMode="External"/><Relationship Id="rId545" Type="http://schemas.openxmlformats.org/officeDocument/2006/relationships/hyperlink" Target="https://ev-database.org/img/auto/Smart_1_Brabus_2023/Smart_1_Brabus_2023-01-thumb.jpg" TargetMode="External"/><Relationship Id="rId787" Type="http://schemas.openxmlformats.org/officeDocument/2006/relationships/hyperlink" Target="https://ev-database.org/img/auto/Audi_SQ8-Sportback-etron-2023/Audi_SQ8-Sportback-etron-2023-01-thumb.jpg" TargetMode="External"/><Relationship Id="rId302" Type="http://schemas.openxmlformats.org/officeDocument/2006/relationships/hyperlink" Target="https://ev-database.org/car/1973/MG-MG4-Electric-77-kWh" TargetMode="External"/><Relationship Id="rId544" Type="http://schemas.openxmlformats.org/officeDocument/2006/relationships/hyperlink" Target="https://ev-database.org/car/1748/Smart-1-Brabus" TargetMode="External"/><Relationship Id="rId786" Type="http://schemas.openxmlformats.org/officeDocument/2006/relationships/hyperlink" Target="https://ev-database.org/car/1774/Audi-SQ8-e-tron-Sportback" TargetMode="External"/><Relationship Id="rId309" Type="http://schemas.openxmlformats.org/officeDocument/2006/relationships/hyperlink" Target="https://ev-database.org/img/auto/Smart_3_2024/Smart_3_2024-01-thumb.jpg" TargetMode="External"/><Relationship Id="rId308" Type="http://schemas.openxmlformats.org/officeDocument/2006/relationships/hyperlink" Target="https://ev-database.org/car/2054/Smart-3-Premium" TargetMode="External"/><Relationship Id="rId307" Type="http://schemas.openxmlformats.org/officeDocument/2006/relationships/hyperlink" Target="https://ev-database.org/img/auto/Skoda_Enyaq_iV_2020/Skoda_Enyaq_iV_2020-01-thumb.jpg" TargetMode="External"/><Relationship Id="rId549" Type="http://schemas.openxmlformats.org/officeDocument/2006/relationships/hyperlink" Target="https://ev-database.org/img/auto/Smart_1_2023/Smart_1_2023-01-thumb.jpg" TargetMode="External"/><Relationship Id="rId306" Type="http://schemas.openxmlformats.org/officeDocument/2006/relationships/hyperlink" Target="https://ev-database.org/car/2021/Skoda-Enyaq-85x" TargetMode="External"/><Relationship Id="rId548" Type="http://schemas.openxmlformats.org/officeDocument/2006/relationships/hyperlink" Target="https://ev-database.org/car/1920/Smart-1-Pulse" TargetMode="External"/><Relationship Id="rId781" Type="http://schemas.openxmlformats.org/officeDocument/2006/relationships/hyperlink" Target="https://ev-database.org/img/auto/Lotus_Eletre/Lotus_Eletre-01-thumb.jpg" TargetMode="External"/><Relationship Id="rId780" Type="http://schemas.openxmlformats.org/officeDocument/2006/relationships/hyperlink" Target="https://ev-database.org/car/1767/Lotus-Eletre" TargetMode="External"/><Relationship Id="rId301" Type="http://schemas.openxmlformats.org/officeDocument/2006/relationships/hyperlink" Target="https://ev-database.org/img/auto/Hyundai_IONIQ5_2024/Hyundai_IONIQ5_2024-01-thumb.jpg" TargetMode="External"/><Relationship Id="rId543" Type="http://schemas.openxmlformats.org/officeDocument/2006/relationships/hyperlink" Target="https://ev-database.org/img/auto/Audi_Q6_etron_Sportback_2024/Audi_Q6_etron_Sportback_2024-01-thumb.jpg" TargetMode="External"/><Relationship Id="rId785" Type="http://schemas.openxmlformats.org/officeDocument/2006/relationships/hyperlink" Target="https://ev-database.org/img/auto/Polestar_3/Polestar_3-01-thumb.jpg" TargetMode="External"/><Relationship Id="rId300" Type="http://schemas.openxmlformats.org/officeDocument/2006/relationships/hyperlink" Target="https://ev-database.org/car/2235/Hyundai-IONIQ-5-63-kWh-RWD" TargetMode="External"/><Relationship Id="rId542" Type="http://schemas.openxmlformats.org/officeDocument/2006/relationships/hyperlink" Target="https://ev-database.org/car/3043/Audi-Q6-e-tron-Sportback-quattro" TargetMode="External"/><Relationship Id="rId784" Type="http://schemas.openxmlformats.org/officeDocument/2006/relationships/hyperlink" Target="https://ev-database.org/car/1758/Polestar-3-Long-Range-Dual-motor" TargetMode="External"/><Relationship Id="rId541" Type="http://schemas.openxmlformats.org/officeDocument/2006/relationships/hyperlink" Target="https://ev-database.org/img/auto/Ford_Mustang_Mach-E/Ford_Mustang_Mach-E-01-thumb.jpg" TargetMode="External"/><Relationship Id="rId783" Type="http://schemas.openxmlformats.org/officeDocument/2006/relationships/hyperlink" Target="https://ev-database.org/img/auto/Volvo_EX90/Volvo_EX90-01-thumb.jpg" TargetMode="External"/><Relationship Id="rId540" Type="http://schemas.openxmlformats.org/officeDocument/2006/relationships/hyperlink" Target="https://ev-database.org/car/2278/Ford-Mustang-Mach-E-ER-RWD" TargetMode="External"/><Relationship Id="rId782" Type="http://schemas.openxmlformats.org/officeDocument/2006/relationships/hyperlink" Target="https://ev-database.org/car/1950/Volvo-EX90-Single-Motor" TargetMode="External"/><Relationship Id="rId536" Type="http://schemas.openxmlformats.org/officeDocument/2006/relationships/hyperlink" Target="https://ev-database.org/car/2141/Lotus-Emeya" TargetMode="External"/><Relationship Id="rId778" Type="http://schemas.openxmlformats.org/officeDocument/2006/relationships/hyperlink" Target="https://ev-database.org/car/2232/Volkswagen-ID-Buzz-NWB-Pro" TargetMode="External"/><Relationship Id="rId535" Type="http://schemas.openxmlformats.org/officeDocument/2006/relationships/hyperlink" Target="https://ev-database.org/img/auto/Porsche_Taycan_Cross_Turismo_2024/Porsche_Taycan_Cross_Turismo_2024-01-thumb.jpg" TargetMode="External"/><Relationship Id="rId777" Type="http://schemas.openxmlformats.org/officeDocument/2006/relationships/hyperlink" Target="https://ev-database.org/img/auto/Mercedes_EQS_SUV_2022/Mercedes_EQS_SUV_2022-01-thumb.jpg" TargetMode="External"/><Relationship Id="rId534" Type="http://schemas.openxmlformats.org/officeDocument/2006/relationships/hyperlink" Target="https://ev-database.org/car/2111/Porsche-Taycan-4S-Cross-Turismo" TargetMode="External"/><Relationship Id="rId776" Type="http://schemas.openxmlformats.org/officeDocument/2006/relationships/hyperlink" Target="https://ev-database.org/car/2087/Mercedes-Benz-EQS-SUV-450plus" TargetMode="External"/><Relationship Id="rId533" Type="http://schemas.openxmlformats.org/officeDocument/2006/relationships/hyperlink" Target="https://ev-database.org/img/auto/Porsche_Taycan_Cross_Turismo_2024/Porsche_Taycan_Cross_Turismo_2024-01-thumb.jpg" TargetMode="External"/><Relationship Id="rId775" Type="http://schemas.openxmlformats.org/officeDocument/2006/relationships/hyperlink" Target="https://ev-database.org/img/auto/VinFast_VF_8/VinFast_VF_8-01-thumb.jpg" TargetMode="External"/><Relationship Id="rId539" Type="http://schemas.openxmlformats.org/officeDocument/2006/relationships/hyperlink" Target="https://ev-database.org/img/auto/Lotus_Emeya/Lotus_Emeya-01-thumb.jpg" TargetMode="External"/><Relationship Id="rId538" Type="http://schemas.openxmlformats.org/officeDocument/2006/relationships/hyperlink" Target="https://ev-database.org/car/2142/Lotus-Emeya-S" TargetMode="External"/><Relationship Id="rId537" Type="http://schemas.openxmlformats.org/officeDocument/2006/relationships/hyperlink" Target="https://ev-database.org/img/auto/Lotus_Emeya/Lotus_Emeya-01-thumb.jpg" TargetMode="External"/><Relationship Id="rId779" Type="http://schemas.openxmlformats.org/officeDocument/2006/relationships/hyperlink" Target="https://ev-database.org/img/auto/Volkswagen_ID_Buzz/Volkswagen_ID_Buzz-01-thumb.jpg" TargetMode="External"/><Relationship Id="rId770" Type="http://schemas.openxmlformats.org/officeDocument/2006/relationships/hyperlink" Target="https://ev-database.org/car/2166/Toyota-Proace-City-Verso-Electric-L2-50-kWh" TargetMode="External"/><Relationship Id="rId532" Type="http://schemas.openxmlformats.org/officeDocument/2006/relationships/hyperlink" Target="https://ev-database.org/car/2110/Porsche-Taycan-4-Cross-Turismo" TargetMode="External"/><Relationship Id="rId774" Type="http://schemas.openxmlformats.org/officeDocument/2006/relationships/hyperlink" Target="https://ev-database.org/car/1809/VinFast-VF-8-Plus-Extended-Range" TargetMode="External"/><Relationship Id="rId531" Type="http://schemas.openxmlformats.org/officeDocument/2006/relationships/hyperlink" Target="https://ev-database.org/img/auto/Porsche_Taycan_Sport_Turismo_2024/Porsche_Taycan_Sport_Turismo_2024-01-thumb.jpg" TargetMode="External"/><Relationship Id="rId773" Type="http://schemas.openxmlformats.org/officeDocument/2006/relationships/hyperlink" Target="https://ev-database.org/img/auto/Rolls-Royce-Spectre/Rolls-Royce-Spectre-01-thumb.jpg" TargetMode="External"/><Relationship Id="rId530" Type="http://schemas.openxmlformats.org/officeDocument/2006/relationships/hyperlink" Target="https://ev-database.org/car/2107/Porsche-Taycan-4S-Plus-Sport-Turismo" TargetMode="External"/><Relationship Id="rId772" Type="http://schemas.openxmlformats.org/officeDocument/2006/relationships/hyperlink" Target="https://ev-database.org/car/1765/Rolls-Royce-Spectre" TargetMode="External"/><Relationship Id="rId771" Type="http://schemas.openxmlformats.org/officeDocument/2006/relationships/hyperlink" Target="https://ev-database.org/img/auto/Toyota_Proace_City_Verso_Electric_2024/Toyota_Proace_City_Verso_Electric_2024-01-thumb.jpg" TargetMode="External"/><Relationship Id="rId327" Type="http://schemas.openxmlformats.org/officeDocument/2006/relationships/hyperlink" Target="https://ev-database.org/img/auto/LynkCo_02_2024/LynkCo_02_2024-01-thumb.jpg" TargetMode="External"/><Relationship Id="rId569" Type="http://schemas.openxmlformats.org/officeDocument/2006/relationships/hyperlink" Target="https://ev-database.org/img/auto/Nissan_Ariya/Nissan_Ariya-01-thumb.jpg" TargetMode="External"/><Relationship Id="rId326" Type="http://schemas.openxmlformats.org/officeDocument/2006/relationships/hyperlink" Target="https://ev-database.org/car/3045/LynkCo-02" TargetMode="External"/><Relationship Id="rId568" Type="http://schemas.openxmlformats.org/officeDocument/2006/relationships/hyperlink" Target="https://ev-database.org/car/1302/Nissan-Ariya-87kWh" TargetMode="External"/><Relationship Id="rId325" Type="http://schemas.openxmlformats.org/officeDocument/2006/relationships/hyperlink" Target="https://ev-database.org/img/auto/Opel_Frontera_2024/Opel_Frontera_2024-01-thumb.jpg" TargetMode="External"/><Relationship Id="rId567" Type="http://schemas.openxmlformats.org/officeDocument/2006/relationships/hyperlink" Target="https://ev-database.org/img/auto/Porsche_Taycan_GTS_Sport_Turismo_2024/Porsche_Taycan_GTS_Sport_Turismo_2024-01-thumb.jpg" TargetMode="External"/><Relationship Id="rId324" Type="http://schemas.openxmlformats.org/officeDocument/2006/relationships/hyperlink" Target="https://ev-database.org/car/2238/Opel-Frontera-44-kWh" TargetMode="External"/><Relationship Id="rId566" Type="http://schemas.openxmlformats.org/officeDocument/2006/relationships/hyperlink" Target="https://ev-database.org/car/3063/Porsche-Taycan-GTS-Sport-Turismo" TargetMode="External"/><Relationship Id="rId329" Type="http://schemas.openxmlformats.org/officeDocument/2006/relationships/hyperlink" Target="https://ev-database.org/img/auto/Mini_Aceman_Electric_JCW_2024/Mini_Aceman_Electric_JCW_2024-01-thumb.jpg" TargetMode="External"/><Relationship Id="rId328" Type="http://schemas.openxmlformats.org/officeDocument/2006/relationships/hyperlink" Target="https://ev-database.org/car/3059/Mini-Aceman-JCW" TargetMode="External"/><Relationship Id="rId561" Type="http://schemas.openxmlformats.org/officeDocument/2006/relationships/hyperlink" Target="https://ev-database.org/img/auto/Porsche_Taycan_Sport_Turismo_2024/Porsche_Taycan_Sport_Turismo_2024-01-thumb.jpg" TargetMode="External"/><Relationship Id="rId560" Type="http://schemas.openxmlformats.org/officeDocument/2006/relationships/hyperlink" Target="https://ev-database.org/car/2109/Porsche-Taycan-Turbo-S-Sport-Turismo" TargetMode="External"/><Relationship Id="rId323" Type="http://schemas.openxmlformats.org/officeDocument/2006/relationships/hyperlink" Target="https://ev-database.org/img/auto/Polestar_2_2024/Polestar_2_2024-01-thumb.jpg" TargetMode="External"/><Relationship Id="rId565" Type="http://schemas.openxmlformats.org/officeDocument/2006/relationships/hyperlink" Target="https://ev-database.org/img/auto/Audi_SQ6_etron_Sportback_2024/Audi_SQ6_etron_Sportback_2024-01-thumb.jpg" TargetMode="External"/><Relationship Id="rId322" Type="http://schemas.openxmlformats.org/officeDocument/2006/relationships/hyperlink" Target="https://ev-database.org/car/2228/Polestar-2-Long-Range-Performance" TargetMode="External"/><Relationship Id="rId564" Type="http://schemas.openxmlformats.org/officeDocument/2006/relationships/hyperlink" Target="https://ev-database.org/car/3044/Audi-SQ6-e-tron-Sportback" TargetMode="External"/><Relationship Id="rId321" Type="http://schemas.openxmlformats.org/officeDocument/2006/relationships/hyperlink" Target="https://ev-database.org/img/auto/Citroen_e-C3_Aircross/Citroen_e-C3_Aircross-01-thumb.jpg" TargetMode="External"/><Relationship Id="rId563" Type="http://schemas.openxmlformats.org/officeDocument/2006/relationships/hyperlink" Target="https://ev-database.org/img/auto/Audi_Q6_etron_2024/Audi_Q6_etron_2024-01-thumb.jpg" TargetMode="External"/><Relationship Id="rId320" Type="http://schemas.openxmlformats.org/officeDocument/2006/relationships/hyperlink" Target="https://ev-database.org/car/2224/Citroen-e-C3-Aircross" TargetMode="External"/><Relationship Id="rId562" Type="http://schemas.openxmlformats.org/officeDocument/2006/relationships/hyperlink" Target="https://ev-database.org/car/2281/Audi-Q6-e-tron" TargetMode="External"/><Relationship Id="rId316" Type="http://schemas.openxmlformats.org/officeDocument/2006/relationships/hyperlink" Target="https://ev-database.org/car/2068/Renault-Scenic-E-Tech-EV60-170hp" TargetMode="External"/><Relationship Id="rId558" Type="http://schemas.openxmlformats.org/officeDocument/2006/relationships/hyperlink" Target="https://ev-database.org/car/2108/Porsche-Taycan-Turbo-Sport-Turismo" TargetMode="External"/><Relationship Id="rId315" Type="http://schemas.openxmlformats.org/officeDocument/2006/relationships/hyperlink" Target="https://ev-database.org/img/auto/Mazda_MX-30/Mazda_MX-30-01-thumb.jpg" TargetMode="External"/><Relationship Id="rId557" Type="http://schemas.openxmlformats.org/officeDocument/2006/relationships/hyperlink" Target="https://ev-database.org/img/auto/Peugeot_e-3008_2024/Peugeot_e-3008_2024-01-thumb.jpg" TargetMode="External"/><Relationship Id="rId799" Type="http://schemas.openxmlformats.org/officeDocument/2006/relationships/hyperlink" Target="https://ev-database.org/img/auto/Mercedes_EQS_SUV_2022/Mercedes_EQS_SUV_2022-01-thumb.jpg" TargetMode="External"/><Relationship Id="rId314" Type="http://schemas.openxmlformats.org/officeDocument/2006/relationships/hyperlink" Target="https://ev-database.org/car/1680/Mazda-MX-30" TargetMode="External"/><Relationship Id="rId556" Type="http://schemas.openxmlformats.org/officeDocument/2006/relationships/hyperlink" Target="https://ev-database.org/car/2004/Peugeot-e-3008-73-kWh-Dual-Motor" TargetMode="External"/><Relationship Id="rId798" Type="http://schemas.openxmlformats.org/officeDocument/2006/relationships/hyperlink" Target="https://ev-database.org/car/2088/Mercedes-Benz-EQS-SUV-450-4MATIC" TargetMode="External"/><Relationship Id="rId313" Type="http://schemas.openxmlformats.org/officeDocument/2006/relationships/hyperlink" Target="https://ev-database.org/img/auto/Lexus_RZ_450e/Lexus_RZ_450e-01-thumb.jpg" TargetMode="External"/><Relationship Id="rId555" Type="http://schemas.openxmlformats.org/officeDocument/2006/relationships/hyperlink" Target="https://ev-database.org/img/auto/Peugeot_e-3008_2024/Peugeot_e-3008_2024-01-thumb.jpg" TargetMode="External"/><Relationship Id="rId797" Type="http://schemas.openxmlformats.org/officeDocument/2006/relationships/hyperlink" Target="https://ev-database.org/img/auto/Jaguar_I-Pace-2024/Jaguar_I-Pace-2024-01-thumb.jpg" TargetMode="External"/><Relationship Id="rId319" Type="http://schemas.openxmlformats.org/officeDocument/2006/relationships/hyperlink" Target="https://ev-database.org/img/auto/Mercedes_EQE/Mercedes_EQE-01-thumb.jpg" TargetMode="External"/><Relationship Id="rId318" Type="http://schemas.openxmlformats.org/officeDocument/2006/relationships/hyperlink" Target="https://ev-database.org/car/2206/Mercedes-Benz-EQE-350-4MATIC" TargetMode="External"/><Relationship Id="rId317" Type="http://schemas.openxmlformats.org/officeDocument/2006/relationships/hyperlink" Target="https://ev-database.org/img/auto/Renault_Scenic_ETech/Renault_Scenic_ETech-01-thumb.jpg" TargetMode="External"/><Relationship Id="rId559" Type="http://schemas.openxmlformats.org/officeDocument/2006/relationships/hyperlink" Target="https://ev-database.org/img/auto/Porsche_Taycan_Sport_Turismo_2024/Porsche_Taycan_Sport_Turismo_2024-01-thumb.jpg" TargetMode="External"/><Relationship Id="rId550" Type="http://schemas.openxmlformats.org/officeDocument/2006/relationships/hyperlink" Target="https://ev-database.org/car/1524/MG-Marvel-R" TargetMode="External"/><Relationship Id="rId792" Type="http://schemas.openxmlformats.org/officeDocument/2006/relationships/hyperlink" Target="https://ev-database.org/car/2243/Cadillac-Lyriq-600-E4" TargetMode="External"/><Relationship Id="rId791" Type="http://schemas.openxmlformats.org/officeDocument/2006/relationships/hyperlink" Target="https://ev-database.org/img/auto/Hyundai_IONIQ9_2024/Hyundai_IONIQ9_2024-01-thumb.jpg" TargetMode="External"/><Relationship Id="rId790" Type="http://schemas.openxmlformats.org/officeDocument/2006/relationships/hyperlink" Target="https://ev-database.org/car/3068/Hyundai-IONIQ-9-Long-Range-AWD" TargetMode="External"/><Relationship Id="rId312" Type="http://schemas.openxmlformats.org/officeDocument/2006/relationships/hyperlink" Target="https://ev-database.org/car/3027/Lexus-RZ-300e" TargetMode="External"/><Relationship Id="rId554" Type="http://schemas.openxmlformats.org/officeDocument/2006/relationships/hyperlink" Target="https://ev-database.org/car/2003/Peugeot-e-3008-73-kWh" TargetMode="External"/><Relationship Id="rId796" Type="http://schemas.openxmlformats.org/officeDocument/2006/relationships/hyperlink" Target="https://ev-database.org/car/1812/Jaguar-I-Pace-EV400" TargetMode="External"/><Relationship Id="rId311" Type="http://schemas.openxmlformats.org/officeDocument/2006/relationships/hyperlink" Target="https://ev-database.org/img/auto/ORA_Funky_Cat_2022/ORA_Funky_Cat_2022-01-thumb.jpg" TargetMode="External"/><Relationship Id="rId553" Type="http://schemas.openxmlformats.org/officeDocument/2006/relationships/hyperlink" Target="https://ev-database.org/img/auto/XPENG_G9/XPENG_G9-01-thumb.jpg" TargetMode="External"/><Relationship Id="rId795" Type="http://schemas.openxmlformats.org/officeDocument/2006/relationships/hyperlink" Target="https://ev-database.org/img/auto/Ford_Mustang_Mach-E_Rally/Ford_Mustang_Mach-E_Rally-01-thumb.jpg" TargetMode="External"/><Relationship Id="rId310" Type="http://schemas.openxmlformats.org/officeDocument/2006/relationships/hyperlink" Target="https://ev-database.org/car/2091/GWM-ORA-03-48-kWh" TargetMode="External"/><Relationship Id="rId552" Type="http://schemas.openxmlformats.org/officeDocument/2006/relationships/hyperlink" Target="https://ev-database.org/car/1824/XPENG-G9-RWD-Standard-Range" TargetMode="External"/><Relationship Id="rId794" Type="http://schemas.openxmlformats.org/officeDocument/2006/relationships/hyperlink" Target="https://ev-database.org/car/2275/Ford-Mustang-Mach-E-Rally" TargetMode="External"/><Relationship Id="rId551" Type="http://schemas.openxmlformats.org/officeDocument/2006/relationships/hyperlink" Target="https://ev-database.org/img/auto/MG_Marvel_R_2021/MG_Marvel_R_2021-01-thumb.jpg" TargetMode="External"/><Relationship Id="rId793" Type="http://schemas.openxmlformats.org/officeDocument/2006/relationships/hyperlink" Target="https://ev-database.org/img/auto/Cadillac_Lyriq/Cadillac_Lyriq-01-thumb.jpg" TargetMode="External"/><Relationship Id="rId297" Type="http://schemas.openxmlformats.org/officeDocument/2006/relationships/hyperlink" Target="https://ev-database.org/img/auto/ORA_Funky_Cat_2022/ORA_Funky_Cat_2022-01-thumb.jpg" TargetMode="External"/><Relationship Id="rId296" Type="http://schemas.openxmlformats.org/officeDocument/2006/relationships/hyperlink" Target="https://ev-database.org/car/2092/GWM-ORA-03-63-kWh" TargetMode="External"/><Relationship Id="rId295" Type="http://schemas.openxmlformats.org/officeDocument/2006/relationships/hyperlink" Target="https://ev-database.org/img/auto/Nissan_Leaf_2022/Nissan_Leaf_2022-01-thumb.jpg" TargetMode="External"/><Relationship Id="rId294" Type="http://schemas.openxmlformats.org/officeDocument/2006/relationships/hyperlink" Target="https://ev-database.org/car/1657/Nissan-Leaf-eplus" TargetMode="External"/><Relationship Id="rId299" Type="http://schemas.openxmlformats.org/officeDocument/2006/relationships/hyperlink" Target="https://ev-database.org/img/auto/Polestar_2_2024/Polestar_2_2024-01-thumb.jpg" TargetMode="External"/><Relationship Id="rId298" Type="http://schemas.openxmlformats.org/officeDocument/2006/relationships/hyperlink" Target="https://ev-database.org/car/2227/Polestar-2-Long-Range-Dual-Motor" TargetMode="External"/><Relationship Id="rId271" Type="http://schemas.openxmlformats.org/officeDocument/2006/relationships/hyperlink" Target="https://ev-database.org/img/auto/BMW_i5_eDrive40_Sedan/BMW_i5_eDrive40_Sedan-01-thumb.jpg" TargetMode="External"/><Relationship Id="rId270" Type="http://schemas.openxmlformats.org/officeDocument/2006/relationships/hyperlink" Target="https://ev-database.org/car/1906/BMW-i5-eDrive40-Sedan" TargetMode="External"/><Relationship Id="rId269" Type="http://schemas.openxmlformats.org/officeDocument/2006/relationships/hyperlink" Target="https://ev-database.org/img/auto/Kia_e-Soul_2023/Kia_e-Soul_2023-01-thumb.jpg" TargetMode="External"/><Relationship Id="rId264" Type="http://schemas.openxmlformats.org/officeDocument/2006/relationships/hyperlink" Target="https://ev-database.org/car/2153/Volkswagen-ID3-GTX-Performance" TargetMode="External"/><Relationship Id="rId263" Type="http://schemas.openxmlformats.org/officeDocument/2006/relationships/hyperlink" Target="https://ev-database.org/img/auto/Volkswagen_ID3_GTX_2024/Volkswagen_ID3_GTX_2024-01-thumb.jpg" TargetMode="External"/><Relationship Id="rId262" Type="http://schemas.openxmlformats.org/officeDocument/2006/relationships/hyperlink" Target="https://ev-database.org/car/2152/Volkswagen-ID3-GTX" TargetMode="External"/><Relationship Id="rId261" Type="http://schemas.openxmlformats.org/officeDocument/2006/relationships/hyperlink" Target="https://ev-database.org/img/auto/Porsche_Taycan_2024/Porsche_Taycan_2024-01-thumb.jpg" TargetMode="External"/><Relationship Id="rId268" Type="http://schemas.openxmlformats.org/officeDocument/2006/relationships/hyperlink" Target="https://ev-database.org/car/1749/Kia-e-Soul-64-kWh" TargetMode="External"/><Relationship Id="rId267" Type="http://schemas.openxmlformats.org/officeDocument/2006/relationships/hyperlink" Target="https://ev-database.org/img/auto/Porsche_Taycan_2024/Porsche_Taycan_2024-01-thumb.jpg" TargetMode="External"/><Relationship Id="rId266" Type="http://schemas.openxmlformats.org/officeDocument/2006/relationships/hyperlink" Target="https://ev-database.org/car/3061/Porsche-Taycan-4-Plus" TargetMode="External"/><Relationship Id="rId265" Type="http://schemas.openxmlformats.org/officeDocument/2006/relationships/hyperlink" Target="https://ev-database.org/img/auto/Volkswagen_ID3_GTX_Performance_2024/Volkswagen_ID3_GTX_Performance_2024-01-thumb.jpg" TargetMode="External"/><Relationship Id="rId260" Type="http://schemas.openxmlformats.org/officeDocument/2006/relationships/hyperlink" Target="https://ev-database.org/car/2101/Porsche-Taycan-4S-Plus" TargetMode="External"/><Relationship Id="rId259" Type="http://schemas.openxmlformats.org/officeDocument/2006/relationships/hyperlink" Target="https://ev-database.org/img/auto/BYD_SEAL/BYD_SEAL-01-thumb.jpg" TargetMode="External"/><Relationship Id="rId258" Type="http://schemas.openxmlformats.org/officeDocument/2006/relationships/hyperlink" Target="https://ev-database.org/car/2001/BYD-SEAL-825-kWh-RWD-Design" TargetMode="External"/><Relationship Id="rId253" Type="http://schemas.openxmlformats.org/officeDocument/2006/relationships/hyperlink" Target="https://ev-database.org/img/auto/Ford_Capri_2024/Ford_Capri_2024-01-thumb.jpg" TargetMode="External"/><Relationship Id="rId495" Type="http://schemas.openxmlformats.org/officeDocument/2006/relationships/hyperlink" Target="https://ev-database.org/img/auto/Kia_EV6_2024/Kia_EV6_2024-01-thumb.jpg" TargetMode="External"/><Relationship Id="rId252" Type="http://schemas.openxmlformats.org/officeDocument/2006/relationships/hyperlink" Target="https://ev-database.org/car/2241/Ford-Capri-Extended-Range-RWD" TargetMode="External"/><Relationship Id="rId494" Type="http://schemas.openxmlformats.org/officeDocument/2006/relationships/hyperlink" Target="https://ev-database.org/car/3029/Kia-EV6-Long-Range-AWD" TargetMode="External"/><Relationship Id="rId251" Type="http://schemas.openxmlformats.org/officeDocument/2006/relationships/hyperlink" Target="https://ev-database.org/img/auto/Kia_EV3_2025/Kia_EV3_2025-01-thumb.jpg" TargetMode="External"/><Relationship Id="rId493" Type="http://schemas.openxmlformats.org/officeDocument/2006/relationships/hyperlink" Target="https://ev-database.org/img/auto/MG_Cyberster/MG_Cyberster-01-thumb.jpg" TargetMode="External"/><Relationship Id="rId250" Type="http://schemas.openxmlformats.org/officeDocument/2006/relationships/hyperlink" Target="https://ev-database.org/car/2212/Kia-EV3-Long-Range" TargetMode="External"/><Relationship Id="rId492" Type="http://schemas.openxmlformats.org/officeDocument/2006/relationships/hyperlink" Target="https://ev-database.org/car/2203/MG-Cyberster-GT" TargetMode="External"/><Relationship Id="rId257" Type="http://schemas.openxmlformats.org/officeDocument/2006/relationships/hyperlink" Target="https://ev-database.org/img/auto/Skoda_Elroq_2024/Skoda_Elroq_2024-01-thumb.jpg" TargetMode="External"/><Relationship Id="rId499" Type="http://schemas.openxmlformats.org/officeDocument/2006/relationships/hyperlink" Target="https://ev-database.org/img/auto/Porsche_Taycan_Sport_Turismo_2024/Porsche_Taycan_Sport_Turismo_2024-01-thumb.jpg" TargetMode="External"/><Relationship Id="rId256" Type="http://schemas.openxmlformats.org/officeDocument/2006/relationships/hyperlink" Target="https://ev-database.org/car/3033/Skoda-Elroq-85" TargetMode="External"/><Relationship Id="rId498" Type="http://schemas.openxmlformats.org/officeDocument/2006/relationships/hyperlink" Target="https://ev-database.org/car/2106/Porsche-Taycan-4S-Sport-Turismo" TargetMode="External"/><Relationship Id="rId255" Type="http://schemas.openxmlformats.org/officeDocument/2006/relationships/hyperlink" Target="https://ev-database.org/img/auto/Skoda_Elroq_2024/Skoda_Elroq_2024-01-thumb.jpg" TargetMode="External"/><Relationship Id="rId497" Type="http://schemas.openxmlformats.org/officeDocument/2006/relationships/hyperlink" Target="https://ev-database.org/img/auto/Audi_Q6_etron_Sportback_2024/Audi_Q6_etron_Sportback_2024-01-thumb.jpg" TargetMode="External"/><Relationship Id="rId254" Type="http://schemas.openxmlformats.org/officeDocument/2006/relationships/hyperlink" Target="https://ev-database.org/car/3032/Skoda-Elroq-60" TargetMode="External"/><Relationship Id="rId496" Type="http://schemas.openxmlformats.org/officeDocument/2006/relationships/hyperlink" Target="https://ev-database.org/car/3042/Audi-Q6-e-tron-Sportback-performance" TargetMode="External"/><Relationship Id="rId293" Type="http://schemas.openxmlformats.org/officeDocument/2006/relationships/hyperlink" Target="https://ev-database.org/img/auto/MG_MG5_Electric_2021/MG_MG5_Electric_2021-01-thumb.jpg" TargetMode="External"/><Relationship Id="rId292" Type="http://schemas.openxmlformats.org/officeDocument/2006/relationships/hyperlink" Target="https://ev-database.org/car/1646/MG-MG5-Electric-Standard-Range" TargetMode="External"/><Relationship Id="rId291" Type="http://schemas.openxmlformats.org/officeDocument/2006/relationships/hyperlink" Target="https://ev-database.org/img/auto/Tesla_Model_Y/Tesla_Model_Y-01-thumb.jpg" TargetMode="External"/><Relationship Id="rId290" Type="http://schemas.openxmlformats.org/officeDocument/2006/relationships/hyperlink" Target="https://ev-database.org/car/1183/Tesla-Model-Y-Performance" TargetMode="External"/><Relationship Id="rId286" Type="http://schemas.openxmlformats.org/officeDocument/2006/relationships/hyperlink" Target="https://ev-database.org/car/2249/Audi-Q4-Sportback-e-tron-35" TargetMode="External"/><Relationship Id="rId285" Type="http://schemas.openxmlformats.org/officeDocument/2006/relationships/hyperlink" Target="https://ev-database.org/img/auto/Mercedes_EQE/Mercedes_EQE-01-thumb.jpg" TargetMode="External"/><Relationship Id="rId284" Type="http://schemas.openxmlformats.org/officeDocument/2006/relationships/hyperlink" Target="https://ev-database.org/car/2205/Mercedes-Benz-EQE-350plus" TargetMode="External"/><Relationship Id="rId283" Type="http://schemas.openxmlformats.org/officeDocument/2006/relationships/hyperlink" Target="https://ev-database.org/img/auto/MG_Cyberster/MG_Cyberster-01-thumb.jpg" TargetMode="External"/><Relationship Id="rId289" Type="http://schemas.openxmlformats.org/officeDocument/2006/relationships/hyperlink" Target="https://ev-database.org/img/auto/Audi_S6_Sportback_etron_2024/Audi_S6_Sportback_etron_2024-01-thumb.jpg" TargetMode="External"/><Relationship Id="rId288" Type="http://schemas.openxmlformats.org/officeDocument/2006/relationships/hyperlink" Target="https://ev-database.org/car/2271/Audi-S6-Sportback-e-tron" TargetMode="External"/><Relationship Id="rId287" Type="http://schemas.openxmlformats.org/officeDocument/2006/relationships/hyperlink" Target="https://ev-database.org/img/auto/Audi_Q4_e-tron_Sportback_2021/Audi_Q4_e-tron_Sportback_2021-01-thumb.jpg" TargetMode="External"/><Relationship Id="rId282" Type="http://schemas.openxmlformats.org/officeDocument/2006/relationships/hyperlink" Target="https://ev-database.org/car/2202/MG-Cyberster-Trophy" TargetMode="External"/><Relationship Id="rId281" Type="http://schemas.openxmlformats.org/officeDocument/2006/relationships/hyperlink" Target="https://ev-database.org/img/auto/Ford_Explorer_2024/Ford_Explorer_2024-01-thumb.jpg" TargetMode="External"/><Relationship Id="rId280" Type="http://schemas.openxmlformats.org/officeDocument/2006/relationships/hyperlink" Target="https://ev-database.org/car/2167/Ford-Explorer-Standard-Range-RWD" TargetMode="External"/><Relationship Id="rId275" Type="http://schemas.openxmlformats.org/officeDocument/2006/relationships/hyperlink" Target="https://ev-database.org/img/auto/BYD_DOLPHIN/BYD_DOLPHIN-01-thumb.jpg" TargetMode="External"/><Relationship Id="rId274" Type="http://schemas.openxmlformats.org/officeDocument/2006/relationships/hyperlink" Target="https://ev-database.org/car/1919/BYD-DOLPHIN-604-kWh" TargetMode="External"/><Relationship Id="rId273" Type="http://schemas.openxmlformats.org/officeDocument/2006/relationships/hyperlink" Target="https://ev-database.org/img/auto/BYD_DOLPHIN/BYD_DOLPHIN-01-thumb.jpg" TargetMode="External"/><Relationship Id="rId272" Type="http://schemas.openxmlformats.org/officeDocument/2006/relationships/hyperlink" Target="https://ev-database.org/car/1918/BYD-DOLPHIN-449-kWh-Boost" TargetMode="External"/><Relationship Id="rId279" Type="http://schemas.openxmlformats.org/officeDocument/2006/relationships/hyperlink" Target="https://ev-database.org/img/auto/Volkswagen_ID4_2024/Volkswagen_ID4_2024-01-thumb.jpg" TargetMode="External"/><Relationship Id="rId278" Type="http://schemas.openxmlformats.org/officeDocument/2006/relationships/hyperlink" Target="https://ev-database.org/car/2028/Volkswagen-ID4-Pro" TargetMode="External"/><Relationship Id="rId277" Type="http://schemas.openxmlformats.org/officeDocument/2006/relationships/hyperlink" Target="https://ev-database.org/img/auto/CUPRA_Tavascan_2024/CUPRA_Tavascan_2024-01-thumb.jpg" TargetMode="External"/><Relationship Id="rId276" Type="http://schemas.openxmlformats.org/officeDocument/2006/relationships/hyperlink" Target="https://ev-database.org/car/1971/CUPRA-Tavascan-Endurance" TargetMode="External"/><Relationship Id="rId629" Type="http://schemas.openxmlformats.org/officeDocument/2006/relationships/hyperlink" Target="https://ev-database.org/img/auto/BMW_i7_2022/BMW_i7_2022-01-thumb.jpg" TargetMode="External"/><Relationship Id="rId624" Type="http://schemas.openxmlformats.org/officeDocument/2006/relationships/hyperlink" Target="https://ev-database.org/car/2137/Volvo-EC40-Twin-Motor" TargetMode="External"/><Relationship Id="rId866" Type="http://schemas.openxmlformats.org/officeDocument/2006/relationships/hyperlink" Target="https://ev-database.org/car/2263/Opel-Zafira-e-Life-L3-75-kWh" TargetMode="External"/><Relationship Id="rId623" Type="http://schemas.openxmlformats.org/officeDocument/2006/relationships/hyperlink" Target="https://ev-database.org/img/auto/Volvo_EC40_2025/Volvo_EC40_2025-01-thumb.jpg" TargetMode="External"/><Relationship Id="rId865" Type="http://schemas.openxmlformats.org/officeDocument/2006/relationships/hyperlink" Target="https://ev-database.org/img/auto/Opel_Zafira-e_Life_2024/Opel_Zafira-e_Life_2024-01-thumb.jpg" TargetMode="External"/><Relationship Id="rId622" Type="http://schemas.openxmlformats.org/officeDocument/2006/relationships/hyperlink" Target="https://ev-database.org/car/2125/Volvo-EC40-Twin-Motor-Performance" TargetMode="External"/><Relationship Id="rId864" Type="http://schemas.openxmlformats.org/officeDocument/2006/relationships/hyperlink" Target="https://ev-database.org/car/2262/Opel-Zafira-e-Life-L2-75-kWh" TargetMode="External"/><Relationship Id="rId621" Type="http://schemas.openxmlformats.org/officeDocument/2006/relationships/hyperlink" Target="https://ev-database.org/img/auto/Volvo_EX40_2025/Volvo_EX40_2025-01-thumb.jpg" TargetMode="External"/><Relationship Id="rId863" Type="http://schemas.openxmlformats.org/officeDocument/2006/relationships/hyperlink" Target="https://ev-database.org/img/auto/Peugeot_e-Traveller_2024/Peugeot_e-Traveller_2024-01-thumb.jpg" TargetMode="External"/><Relationship Id="rId628" Type="http://schemas.openxmlformats.org/officeDocument/2006/relationships/hyperlink" Target="https://ev-database.org/car/1676/BMW-i7-xDrive60" TargetMode="External"/><Relationship Id="rId627" Type="http://schemas.openxmlformats.org/officeDocument/2006/relationships/hyperlink" Target="https://ev-database.org/img/auto/Audi_Q6_etron_2024/Audi_Q6_etron_2024-01-thumb.jpg" TargetMode="External"/><Relationship Id="rId869" Type="http://schemas.openxmlformats.org/officeDocument/2006/relationships/hyperlink" Target="https://ev-database.org/img/auto/Toyota_PROACE_Verso_2024/Toyota_PROACE_Verso_2024-01-thumb.jpg" TargetMode="External"/><Relationship Id="rId626" Type="http://schemas.openxmlformats.org/officeDocument/2006/relationships/hyperlink" Target="https://ev-database.org/car/2146/Audi-Q6-e-tron-quattro" TargetMode="External"/><Relationship Id="rId868" Type="http://schemas.openxmlformats.org/officeDocument/2006/relationships/hyperlink" Target="https://ev-database.org/car/2266/Toyota-PROACE-Verso-M-75-kWh" TargetMode="External"/><Relationship Id="rId625" Type="http://schemas.openxmlformats.org/officeDocument/2006/relationships/hyperlink" Target="https://ev-database.org/img/auto/Volvo_EC40_2025/Volvo_EC40_2025-01-thumb.jpg" TargetMode="External"/><Relationship Id="rId867" Type="http://schemas.openxmlformats.org/officeDocument/2006/relationships/hyperlink" Target="https://ev-database.org/img/auto/Opel_Zafira-e_Life_2024/Opel_Zafira-e_Life_2024-01-thumb.jpg" TargetMode="External"/><Relationship Id="rId620" Type="http://schemas.openxmlformats.org/officeDocument/2006/relationships/hyperlink" Target="https://ev-database.org/car/2121/Volvo-EX40-Single-Motor-ER" TargetMode="External"/><Relationship Id="rId862" Type="http://schemas.openxmlformats.org/officeDocument/2006/relationships/hyperlink" Target="https://ev-database.org/car/2259/Peugeot-e-Traveller-L3-75-kWh" TargetMode="External"/><Relationship Id="rId861" Type="http://schemas.openxmlformats.org/officeDocument/2006/relationships/hyperlink" Target="https://ev-database.org/img/auto/Peugeot_e-Traveller_2024/Peugeot_e-Traveller_2024-01-thumb.jpg" TargetMode="External"/><Relationship Id="rId860" Type="http://schemas.openxmlformats.org/officeDocument/2006/relationships/hyperlink" Target="https://ev-database.org/car/2258/Peugeot-e-Traveller-L2-75-kWh" TargetMode="External"/><Relationship Id="rId619" Type="http://schemas.openxmlformats.org/officeDocument/2006/relationships/hyperlink" Target="https://ev-database.org/img/auto/Maserati_GranTurismo_Folgore/Maserati_GranTurismo_Folgore-01-thumb.jpg" TargetMode="External"/><Relationship Id="rId618" Type="http://schemas.openxmlformats.org/officeDocument/2006/relationships/hyperlink" Target="https://ev-database.org/car/1803/Maserati-GranTurismo-Folgore" TargetMode="External"/><Relationship Id="rId613" Type="http://schemas.openxmlformats.org/officeDocument/2006/relationships/hyperlink" Target="https://ev-database.org/img/auto/BMW_iX_2022/BMW_iX_2022-01-thumb.jpg" TargetMode="External"/><Relationship Id="rId855" Type="http://schemas.openxmlformats.org/officeDocument/2006/relationships/hyperlink" Target="https://ev-database.org/img/auto/Toyota_PROACE_Verso_2024/Toyota_PROACE_Verso_2024-01-thumb.jpg" TargetMode="External"/><Relationship Id="rId612" Type="http://schemas.openxmlformats.org/officeDocument/2006/relationships/hyperlink" Target="https://ev-database.org/car/1472/BMW-iX-xDrive40" TargetMode="External"/><Relationship Id="rId854" Type="http://schemas.openxmlformats.org/officeDocument/2006/relationships/hyperlink" Target="https://ev-database.org/car/2264/Toyota-PROACE-Verso-M-50-kWh" TargetMode="External"/><Relationship Id="rId611" Type="http://schemas.openxmlformats.org/officeDocument/2006/relationships/hyperlink" Target="https://ev-database.org/img/auto/Porsche_Macan_4S_2024/Porsche_Macan_4S_2024-01-thumb.jpg" TargetMode="External"/><Relationship Id="rId853" Type="http://schemas.openxmlformats.org/officeDocument/2006/relationships/hyperlink" Target="https://ev-database.org/img/auto/Opel_Zafira-e_Life_2024/Opel_Zafira-e_Life_2024-01-thumb.jpg" TargetMode="External"/><Relationship Id="rId610" Type="http://schemas.openxmlformats.org/officeDocument/2006/relationships/hyperlink" Target="https://ev-database.org/car/2244/Porsche-Macan-4S-Electric" TargetMode="External"/><Relationship Id="rId852" Type="http://schemas.openxmlformats.org/officeDocument/2006/relationships/hyperlink" Target="https://ev-database.org/car/2261/Opel-Zafira-e-Life-L3-50-kWh" TargetMode="External"/><Relationship Id="rId617" Type="http://schemas.openxmlformats.org/officeDocument/2006/relationships/hyperlink" Target="https://ev-database.org/img/auto/Leapmotor_C10/Leapmotor_C10-01-thumb.jpg" TargetMode="External"/><Relationship Id="rId859" Type="http://schemas.openxmlformats.org/officeDocument/2006/relationships/hyperlink" Target="https://ev-database.org/img/auto/Citroen_e-SpaceTourer_2024/Citroen_e-SpaceTourer_2024-01-thumb.jpg" TargetMode="External"/><Relationship Id="rId616" Type="http://schemas.openxmlformats.org/officeDocument/2006/relationships/hyperlink" Target="https://ev-database.org/car/3040/Leapmotor-C10" TargetMode="External"/><Relationship Id="rId858" Type="http://schemas.openxmlformats.org/officeDocument/2006/relationships/hyperlink" Target="https://ev-database.org/car/2255/Citroen-e-SpaceTourer-XL-75-kWh" TargetMode="External"/><Relationship Id="rId615" Type="http://schemas.openxmlformats.org/officeDocument/2006/relationships/hyperlink" Target="https://ev-database.org/img/auto/Peugeot_e-5008_2024/Peugeot_e-5008_2024-01-thumb.jpg" TargetMode="External"/><Relationship Id="rId857" Type="http://schemas.openxmlformats.org/officeDocument/2006/relationships/hyperlink" Target="https://ev-database.org/img/auto/Citroen_e-SpaceTourer_2024/Citroen_e-SpaceTourer_2024-01-thumb.jpg" TargetMode="External"/><Relationship Id="rId614" Type="http://schemas.openxmlformats.org/officeDocument/2006/relationships/hyperlink" Target="https://ev-database.org/car/2149/Peugeot-e-5008-73-kWh" TargetMode="External"/><Relationship Id="rId856" Type="http://schemas.openxmlformats.org/officeDocument/2006/relationships/hyperlink" Target="https://ev-database.org/car/2254/Citroen-e-SpaceTourer-M-75-kWh" TargetMode="External"/><Relationship Id="rId851" Type="http://schemas.openxmlformats.org/officeDocument/2006/relationships/hyperlink" Target="https://ev-database.org/img/auto/Opel_Zafira-e_Life_2024/Opel_Zafira-e_Life_2024-01-thumb.jpg" TargetMode="External"/><Relationship Id="rId850" Type="http://schemas.openxmlformats.org/officeDocument/2006/relationships/hyperlink" Target="https://ev-database.org/car/2260/Opel-Zafira-e-Life-L2-50-kWh" TargetMode="External"/><Relationship Id="rId409" Type="http://schemas.openxmlformats.org/officeDocument/2006/relationships/hyperlink" Target="https://ev-database.org/img/auto/Abarth_600e/Abarth_600e-01-thumb.jpg" TargetMode="External"/><Relationship Id="rId404" Type="http://schemas.openxmlformats.org/officeDocument/2006/relationships/hyperlink" Target="https://ev-database.org/car/2201/BMW-i4-M50" TargetMode="External"/><Relationship Id="rId646" Type="http://schemas.openxmlformats.org/officeDocument/2006/relationships/hyperlink" Target="https://ev-database.org/car/2150/Peugeot-e-5008-73-kWh-Dual-Motor" TargetMode="External"/><Relationship Id="rId888" Type="http://schemas.openxmlformats.org/officeDocument/2006/relationships/drawing" Target="../drawings/drawing3.xml"/><Relationship Id="rId403" Type="http://schemas.openxmlformats.org/officeDocument/2006/relationships/hyperlink" Target="https://ev-database.org/img/auto/Porsche_Taycan_2024/Porsche_Taycan_2024-01-thumb.jpg" TargetMode="External"/><Relationship Id="rId645" Type="http://schemas.openxmlformats.org/officeDocument/2006/relationships/hyperlink" Target="https://ev-database.org/img/auto/Porsche_Taycan_Cross_Turismo_2024/Porsche_Taycan_Cross_Turismo_2024-01-thumb.jpg" TargetMode="External"/><Relationship Id="rId887" Type="http://schemas.openxmlformats.org/officeDocument/2006/relationships/hyperlink" Target="https://ev-database.org/img/auto/Mercedes_G-Class/Mercedes_G-Class-01-thumb.jpg" TargetMode="External"/><Relationship Id="rId402" Type="http://schemas.openxmlformats.org/officeDocument/2006/relationships/hyperlink" Target="https://ev-database.org/car/2102/Porsche-Taycan-Turbo" TargetMode="External"/><Relationship Id="rId644" Type="http://schemas.openxmlformats.org/officeDocument/2006/relationships/hyperlink" Target="https://ev-database.org/car/2113/Porsche-Taycan-Turbo-S-Cross-Turismo" TargetMode="External"/><Relationship Id="rId886" Type="http://schemas.openxmlformats.org/officeDocument/2006/relationships/hyperlink" Target="https://ev-database.org/car/2192/Mercedes-Benz-G-580" TargetMode="External"/><Relationship Id="rId401" Type="http://schemas.openxmlformats.org/officeDocument/2006/relationships/hyperlink" Target="https://ev-database.org/img/auto/Renault_Scenic_ETech/Renault_Scenic_ETech-01-thumb.jpg" TargetMode="External"/><Relationship Id="rId643" Type="http://schemas.openxmlformats.org/officeDocument/2006/relationships/hyperlink" Target="https://ev-database.org/img/auto/Nissan_Townstar_2023/Nissan_Townstar_2023-01-thumb.jpg" TargetMode="External"/><Relationship Id="rId885" Type="http://schemas.openxmlformats.org/officeDocument/2006/relationships/hyperlink" Target="https://ev-database.org/img/auto/Mercedes_EQV_2024/Mercedes_EQV_2024-01-thumb.jpg" TargetMode="External"/><Relationship Id="rId408" Type="http://schemas.openxmlformats.org/officeDocument/2006/relationships/hyperlink" Target="https://ev-database.org/car/3056/Abarth-600e-Turismo" TargetMode="External"/><Relationship Id="rId407" Type="http://schemas.openxmlformats.org/officeDocument/2006/relationships/hyperlink" Target="https://ev-database.org/img/auto/Audi_S6_Avant_etron_2024/Audi_S6_Avant_etron_2024-01-thumb.jpg" TargetMode="External"/><Relationship Id="rId649" Type="http://schemas.openxmlformats.org/officeDocument/2006/relationships/hyperlink" Target="https://ev-database.org/img/auto/Peugeot_e-5008_2024/Peugeot_e-5008_2024-01-thumb.jpg" TargetMode="External"/><Relationship Id="rId406" Type="http://schemas.openxmlformats.org/officeDocument/2006/relationships/hyperlink" Target="https://ev-database.org/car/2273/Audi-S6-Avant-e-tron" TargetMode="External"/><Relationship Id="rId648" Type="http://schemas.openxmlformats.org/officeDocument/2006/relationships/hyperlink" Target="https://ev-database.org/car/2151/Peugeot-e-5008-97-kWh-Long-Range" TargetMode="External"/><Relationship Id="rId405" Type="http://schemas.openxmlformats.org/officeDocument/2006/relationships/hyperlink" Target="https://ev-database.org/img/auto/BMW_i4_M50_2024/BMW_i4_M50_2024-01-thumb.jpg" TargetMode="External"/><Relationship Id="rId647" Type="http://schemas.openxmlformats.org/officeDocument/2006/relationships/hyperlink" Target="https://ev-database.org/img/auto/Peugeot_e-5008_2024/Peugeot_e-5008_2024-01-thumb.jpg" TargetMode="External"/><Relationship Id="rId880" Type="http://schemas.openxmlformats.org/officeDocument/2006/relationships/hyperlink" Target="https://ev-database.org/car/2130/Mercedes-Benz-EQV-250-Extra-Long" TargetMode="External"/><Relationship Id="rId400" Type="http://schemas.openxmlformats.org/officeDocument/2006/relationships/hyperlink" Target="https://ev-database.org/car/2069/Renault-Scenic-E-Tech-EV87-220hp" TargetMode="External"/><Relationship Id="rId642" Type="http://schemas.openxmlformats.org/officeDocument/2006/relationships/hyperlink" Target="https://ev-database.org/car/2042/Nissan-Townstar-EV-Passenger" TargetMode="External"/><Relationship Id="rId884" Type="http://schemas.openxmlformats.org/officeDocument/2006/relationships/hyperlink" Target="https://ev-database.org/car/2274/Mercedes-Benz-EQV-300-Extra-Long" TargetMode="External"/><Relationship Id="rId641" Type="http://schemas.openxmlformats.org/officeDocument/2006/relationships/hyperlink" Target="https://ev-database.org/img/auto/Mercedes_EQT_2023/Mercedes_EQT_2023-01-thumb.jpg" TargetMode="External"/><Relationship Id="rId883" Type="http://schemas.openxmlformats.org/officeDocument/2006/relationships/hyperlink" Target="https://ev-database.org/img/auto/Mercedes_EQV_2024/Mercedes_EQV_2024-01-thumb.jpg" TargetMode="External"/><Relationship Id="rId640" Type="http://schemas.openxmlformats.org/officeDocument/2006/relationships/hyperlink" Target="https://ev-database.org/car/1908/Mercedes-Benz-EQT-200-Standard" TargetMode="External"/><Relationship Id="rId882" Type="http://schemas.openxmlformats.org/officeDocument/2006/relationships/hyperlink" Target="https://ev-database.org/car/2131/Mercedes-Benz-EQV-300-Long" TargetMode="External"/><Relationship Id="rId881" Type="http://schemas.openxmlformats.org/officeDocument/2006/relationships/hyperlink" Target="https://ev-database.org/img/auto/Mercedes_EQV_2024/Mercedes_EQV_2024-01-thumb.jpg" TargetMode="External"/><Relationship Id="rId635" Type="http://schemas.openxmlformats.org/officeDocument/2006/relationships/hyperlink" Target="https://ev-database.org/img/auto/Subaru_Solterra/Subaru_Solterra-01-thumb.jpg" TargetMode="External"/><Relationship Id="rId877" Type="http://schemas.openxmlformats.org/officeDocument/2006/relationships/hyperlink" Target="https://ev-database.org/img/auto/Mercedes_eVito_2024/Mercedes_eVito_2024-01-thumb.jpg" TargetMode="External"/><Relationship Id="rId634" Type="http://schemas.openxmlformats.org/officeDocument/2006/relationships/hyperlink" Target="https://ev-database.org/car/1567/Subaru-Solterra-AWD" TargetMode="External"/><Relationship Id="rId876" Type="http://schemas.openxmlformats.org/officeDocument/2006/relationships/hyperlink" Target="https://ev-database.org/car/2139/Mercedes-Benz-eVito-Tourer-Extra-Long-60-kWh" TargetMode="External"/><Relationship Id="rId633" Type="http://schemas.openxmlformats.org/officeDocument/2006/relationships/hyperlink" Target="https://ev-database.org/img/auto/MG_Marvel_R_2021/MG_Marvel_R_2021-01-thumb.jpg" TargetMode="External"/><Relationship Id="rId875" Type="http://schemas.openxmlformats.org/officeDocument/2006/relationships/hyperlink" Target="https://ev-database.org/img/auto/Mercedes_EQV_2024/Mercedes_EQV_2024-01-thumb.jpg" TargetMode="External"/><Relationship Id="rId632" Type="http://schemas.openxmlformats.org/officeDocument/2006/relationships/hyperlink" Target="https://ev-database.org/car/1475/MG-Marvel-R-Performance" TargetMode="External"/><Relationship Id="rId874" Type="http://schemas.openxmlformats.org/officeDocument/2006/relationships/hyperlink" Target="https://ev-database.org/car/2129/Mercedes-Benz-EQV-250-Long" TargetMode="External"/><Relationship Id="rId639" Type="http://schemas.openxmlformats.org/officeDocument/2006/relationships/hyperlink" Target="https://ev-database.org/img/auto/XPENG_G9/XPENG_G9-01-thumb.jpg" TargetMode="External"/><Relationship Id="rId638" Type="http://schemas.openxmlformats.org/officeDocument/2006/relationships/hyperlink" Target="https://ev-database.org/car/1826/XPENG-G9-AWD-Performance" TargetMode="External"/><Relationship Id="rId637" Type="http://schemas.openxmlformats.org/officeDocument/2006/relationships/hyperlink" Target="https://ev-database.org/img/auto/Audi_Q8-etron-sportback-2023/Audi_Q8-etron-sportback-2023-01-thumb.jpg" TargetMode="External"/><Relationship Id="rId879" Type="http://schemas.openxmlformats.org/officeDocument/2006/relationships/hyperlink" Target="https://ev-database.org/img/auto/Mercedes_eVito_2024/Mercedes_eVito_2024-01-thumb.jpg" TargetMode="External"/><Relationship Id="rId636" Type="http://schemas.openxmlformats.org/officeDocument/2006/relationships/hyperlink" Target="https://ev-database.org/car/1771/Audi-Q8-e-tron-Sportback-50-quattro" TargetMode="External"/><Relationship Id="rId878" Type="http://schemas.openxmlformats.org/officeDocument/2006/relationships/hyperlink" Target="https://ev-database.org/car/2140/Mercedes-Benz-eVito-Tourer-Long-90-kWh" TargetMode="External"/><Relationship Id="rId631" Type="http://schemas.openxmlformats.org/officeDocument/2006/relationships/hyperlink" Target="https://ev-database.org/img/auto/BYD_SEAL_U/BYD_SEAL_U-01-thumb.jpg" TargetMode="External"/><Relationship Id="rId873" Type="http://schemas.openxmlformats.org/officeDocument/2006/relationships/hyperlink" Target="https://ev-database.org/img/auto/Mercedes_eVito_2024/Mercedes_eVito_2024-01-thumb.jpg" TargetMode="External"/><Relationship Id="rId630" Type="http://schemas.openxmlformats.org/officeDocument/2006/relationships/hyperlink" Target="https://ev-database.org/car/2094/BYD-SEAL-U-718-kWh-Comfort" TargetMode="External"/><Relationship Id="rId872" Type="http://schemas.openxmlformats.org/officeDocument/2006/relationships/hyperlink" Target="https://ev-database.org/car/2138/Mercedes-Benz-eVito-Tourer-Long-60-kWh" TargetMode="External"/><Relationship Id="rId871" Type="http://schemas.openxmlformats.org/officeDocument/2006/relationships/hyperlink" Target="https://ev-database.org/img/auto/Toyota_PROACE_Verso_2024/Toyota_PROACE_Verso_2024-01-thumb.jpg" TargetMode="External"/><Relationship Id="rId870" Type="http://schemas.openxmlformats.org/officeDocument/2006/relationships/hyperlink" Target="https://ev-database.org/car/2267/Toyota-PROACE-Verso-L-75-kWh" TargetMode="External"/><Relationship Id="rId829" Type="http://schemas.openxmlformats.org/officeDocument/2006/relationships/hyperlink" Target="https://ev-database.org/img/auto/Maserati_Grecale_Folgore/Maserati_Grecale_Folgore-01-thumb.jpg" TargetMode="External"/><Relationship Id="rId828" Type="http://schemas.openxmlformats.org/officeDocument/2006/relationships/hyperlink" Target="https://ev-database.org/car/1843/Maserati-Grecale-Folgore" TargetMode="External"/><Relationship Id="rId827" Type="http://schemas.openxmlformats.org/officeDocument/2006/relationships/hyperlink" Target="https://ev-database.org/img/auto/Volvo_EX90/Volvo_EX90-01-thumb.jpg" TargetMode="External"/><Relationship Id="rId822" Type="http://schemas.openxmlformats.org/officeDocument/2006/relationships/hyperlink" Target="https://ev-database.org/car/1811/VinFast-VF-9-Extended-Range" TargetMode="External"/><Relationship Id="rId821" Type="http://schemas.openxmlformats.org/officeDocument/2006/relationships/hyperlink" Target="https://ev-database.org/img/auto/Volkswagen_ID_Buzz_GTX/Volkswagen_ID_Buzz_GTX-01-thumb.jpg" TargetMode="External"/><Relationship Id="rId820" Type="http://schemas.openxmlformats.org/officeDocument/2006/relationships/hyperlink" Target="https://ev-database.org/car/2156/Volkswagen-ID-Buzz-NWB-GTX" TargetMode="External"/><Relationship Id="rId826" Type="http://schemas.openxmlformats.org/officeDocument/2006/relationships/hyperlink" Target="https://ev-database.org/car/1776/Volvo-EX90-Twin-Motor-Performance" TargetMode="External"/><Relationship Id="rId825" Type="http://schemas.openxmlformats.org/officeDocument/2006/relationships/hyperlink" Target="https://ev-database.org/img/auto/BYD_TANG_2024/BYD_TANG_2024-01-thumb.jpg" TargetMode="External"/><Relationship Id="rId824" Type="http://schemas.openxmlformats.org/officeDocument/2006/relationships/hyperlink" Target="https://ev-database.org/car/2095/BYD-TANG-Flagship" TargetMode="External"/><Relationship Id="rId823" Type="http://schemas.openxmlformats.org/officeDocument/2006/relationships/hyperlink" Target="https://ev-database.org/img/auto/VinFast_VF_9/VinFast_VF_9-01-thumb.jpg" TargetMode="External"/><Relationship Id="rId819" Type="http://schemas.openxmlformats.org/officeDocument/2006/relationships/hyperlink" Target="https://ev-database.org/img/auto/Audi_SQ8-etron-2023/Audi_SQ8-etron-2023-01-thumb.jpg" TargetMode="External"/><Relationship Id="rId818" Type="http://schemas.openxmlformats.org/officeDocument/2006/relationships/hyperlink" Target="https://ev-database.org/car/1773/Audi-SQ8-e-tron" TargetMode="External"/><Relationship Id="rId817" Type="http://schemas.openxmlformats.org/officeDocument/2006/relationships/hyperlink" Target="https://ev-database.org/img/auto/Volkswagen_ID_Buzz_LWB/Volkswagen_ID_Buzz_LWB-01-thumb.jpg" TargetMode="External"/><Relationship Id="rId816" Type="http://schemas.openxmlformats.org/officeDocument/2006/relationships/hyperlink" Target="https://ev-database.org/car/2154/Volkswagen-ID-Buzz-LWB-Pro" TargetMode="External"/><Relationship Id="rId811" Type="http://schemas.openxmlformats.org/officeDocument/2006/relationships/hyperlink" Target="https://ev-database.org/img/auto/Polestar_3/Polestar_3-01-thumb.jpg" TargetMode="External"/><Relationship Id="rId810" Type="http://schemas.openxmlformats.org/officeDocument/2006/relationships/hyperlink" Target="https://ev-database.org/car/1759/Polestar-3-Long-Range-Performance" TargetMode="External"/><Relationship Id="rId815" Type="http://schemas.openxmlformats.org/officeDocument/2006/relationships/hyperlink" Target="https://ev-database.org/img/auto/Maxus_MIFA_9/Maxus_MIFA_9-01-thumb.jpg" TargetMode="External"/><Relationship Id="rId814" Type="http://schemas.openxmlformats.org/officeDocument/2006/relationships/hyperlink" Target="https://ev-database.org/car/1837/Maxus-MIFA-9" TargetMode="External"/><Relationship Id="rId813" Type="http://schemas.openxmlformats.org/officeDocument/2006/relationships/hyperlink" Target="https://ev-database.org/img/auto/Volvo_EX90/Volvo_EX90-01-thumb.jpg" TargetMode="External"/><Relationship Id="rId812" Type="http://schemas.openxmlformats.org/officeDocument/2006/relationships/hyperlink" Target="https://ev-database.org/car/1775/Volvo-EX90-Twin-Motor" TargetMode="External"/><Relationship Id="rId609" Type="http://schemas.openxmlformats.org/officeDocument/2006/relationships/hyperlink" Target="https://ev-database.org/img/auto/BMW_i5_M60_xDrive_Touring/BMW_i5_M60_xDrive_Touring-01-thumb.jpg" TargetMode="External"/><Relationship Id="rId608" Type="http://schemas.openxmlformats.org/officeDocument/2006/relationships/hyperlink" Target="https://ev-database.org/car/2115/BMW-i5-M60-xDrive-Touring" TargetMode="External"/><Relationship Id="rId607" Type="http://schemas.openxmlformats.org/officeDocument/2006/relationships/hyperlink" Target="https://ev-database.org/img/auto/Porsche_Taycan_Cross_Turismo_2024/Porsche_Taycan_Cross_Turismo_2024-01-thumb.jpg" TargetMode="External"/><Relationship Id="rId849" Type="http://schemas.openxmlformats.org/officeDocument/2006/relationships/hyperlink" Target="https://ev-database.org/img/auto/Peugeot_e-Traveller_2024/Peugeot_e-Traveller_2024-01-thumb.jpg" TargetMode="External"/><Relationship Id="rId602" Type="http://schemas.openxmlformats.org/officeDocument/2006/relationships/hyperlink" Target="https://ev-database.org/car/1905/BMW-i7-eDrive50" TargetMode="External"/><Relationship Id="rId844" Type="http://schemas.openxmlformats.org/officeDocument/2006/relationships/hyperlink" Target="https://ev-database.org/car/2253/Citroen-e-SpaceTourer-XL-50-kWh" TargetMode="External"/><Relationship Id="rId601" Type="http://schemas.openxmlformats.org/officeDocument/2006/relationships/hyperlink" Target="https://ev-database.org/img/auto/Tesla_Model_X_2021/Tesla_Model_X_2021-01-thumb.jpg" TargetMode="External"/><Relationship Id="rId843" Type="http://schemas.openxmlformats.org/officeDocument/2006/relationships/hyperlink" Target="https://ev-database.org/img/auto/Citroen_e-SpaceTourer_2024/Citroen_e-SpaceTourer_2024-01-thumb.jpg" TargetMode="External"/><Relationship Id="rId600" Type="http://schemas.openxmlformats.org/officeDocument/2006/relationships/hyperlink" Target="https://ev-database.org/car/1407/Tesla-Model-X-Dual-Motor" TargetMode="External"/><Relationship Id="rId842" Type="http://schemas.openxmlformats.org/officeDocument/2006/relationships/hyperlink" Target="https://ev-database.org/car/2252/Citroen-e-SpaceTourer-M-50-kWh" TargetMode="External"/><Relationship Id="rId841" Type="http://schemas.openxmlformats.org/officeDocument/2006/relationships/hyperlink" Target="https://ev-database.org/img/auto/Hongqi_E-HS9/Hongqi_E-HS9-01-thumb.jpg" TargetMode="External"/><Relationship Id="rId606" Type="http://schemas.openxmlformats.org/officeDocument/2006/relationships/hyperlink" Target="https://ev-database.org/car/2112/Porsche-Taycan-Turbo-Cross-Turismo" TargetMode="External"/><Relationship Id="rId848" Type="http://schemas.openxmlformats.org/officeDocument/2006/relationships/hyperlink" Target="https://ev-database.org/car/2257/Peugeot-e-Traveller-L3-50-kWh" TargetMode="External"/><Relationship Id="rId605" Type="http://schemas.openxmlformats.org/officeDocument/2006/relationships/hyperlink" Target="https://ev-database.org/img/auto/Porsche_Macan_4_2024/Porsche_Macan_4_2024-01-thumb.jpg" TargetMode="External"/><Relationship Id="rId847" Type="http://schemas.openxmlformats.org/officeDocument/2006/relationships/hyperlink" Target="https://ev-database.org/img/auto/Peugeot_e-Traveller_2024/Peugeot_e-Traveller_2024-01-thumb.jpg" TargetMode="External"/><Relationship Id="rId604" Type="http://schemas.openxmlformats.org/officeDocument/2006/relationships/hyperlink" Target="https://ev-database.org/car/2084/Porsche-Macan-4-Electric" TargetMode="External"/><Relationship Id="rId846" Type="http://schemas.openxmlformats.org/officeDocument/2006/relationships/hyperlink" Target="https://ev-database.org/car/2256/Peugeot-e-Traveller-L2-50-kWh" TargetMode="External"/><Relationship Id="rId603" Type="http://schemas.openxmlformats.org/officeDocument/2006/relationships/hyperlink" Target="https://ev-database.org/img/auto/BMW_i7_2022/BMW_i7_2022-01-thumb.jpg" TargetMode="External"/><Relationship Id="rId845" Type="http://schemas.openxmlformats.org/officeDocument/2006/relationships/hyperlink" Target="https://ev-database.org/img/auto/Citroen_e-SpaceTourer_2024/Citroen_e-SpaceTourer_2024-01-thumb.jpg" TargetMode="External"/><Relationship Id="rId840" Type="http://schemas.openxmlformats.org/officeDocument/2006/relationships/hyperlink" Target="https://ev-database.org/car/2050/Hongqi-E-HS9-120-kWh" TargetMode="External"/><Relationship Id="rId839" Type="http://schemas.openxmlformats.org/officeDocument/2006/relationships/hyperlink" Target="https://ev-database.org/img/auto/Hongqi_E-HS9/Hongqi_E-HS9-01-thumb.jpg" TargetMode="External"/><Relationship Id="rId838" Type="http://schemas.openxmlformats.org/officeDocument/2006/relationships/hyperlink" Target="https://ev-database.org/car/1747/Hongqi-E-HS9-99-kWh" TargetMode="External"/><Relationship Id="rId833" Type="http://schemas.openxmlformats.org/officeDocument/2006/relationships/hyperlink" Target="https://ev-database.org/img/auto/Lotus_Eletre/Lotus_Eletre-01-thumb.jpg" TargetMode="External"/><Relationship Id="rId832" Type="http://schemas.openxmlformats.org/officeDocument/2006/relationships/hyperlink" Target="https://ev-database.org/car/1768/Lotus-Eletre-R" TargetMode="External"/><Relationship Id="rId831" Type="http://schemas.openxmlformats.org/officeDocument/2006/relationships/hyperlink" Target="https://ev-database.org/img/auto/Hongqi_E-HS9/Hongqi_E-HS9-01-thumb.jpg" TargetMode="External"/><Relationship Id="rId830" Type="http://schemas.openxmlformats.org/officeDocument/2006/relationships/hyperlink" Target="https://ev-database.org/car/1746/Hongqi-E-HS9-84-kWh" TargetMode="External"/><Relationship Id="rId837" Type="http://schemas.openxmlformats.org/officeDocument/2006/relationships/hyperlink" Target="https://ev-database.org/img/auto/Volkswagen_ID_Buzz_GTX/Volkswagen_ID_Buzz_GTX-01-thumb.jpg" TargetMode="External"/><Relationship Id="rId836" Type="http://schemas.openxmlformats.org/officeDocument/2006/relationships/hyperlink" Target="https://ev-database.org/car/2157/Volkswagen-ID-Buzz-LWB-GTX-" TargetMode="External"/><Relationship Id="rId835" Type="http://schemas.openxmlformats.org/officeDocument/2006/relationships/hyperlink" Target="https://ev-database.org/img/auto/Mercedes_Maybach_EQS_SUV_2024/Mercedes_Maybach_EQS_SUV_2024-01-thumb.jpg" TargetMode="External"/><Relationship Id="rId834" Type="http://schemas.openxmlformats.org/officeDocument/2006/relationships/hyperlink" Target="https://ev-database.org/car/2086/Mercedes-Benz-EQS-SUV-Maybach-680" TargetMode="External"/><Relationship Id="rId228" Type="http://schemas.openxmlformats.org/officeDocument/2006/relationships/hyperlink" Target="https://ev-database.org/car/2191/Mini-Aceman-SE" TargetMode="External"/><Relationship Id="rId227" Type="http://schemas.openxmlformats.org/officeDocument/2006/relationships/hyperlink" Target="https://ev-database.org/img/auto/Cupra_el-Born_Veloz/Cupra_el-Born_Veloz-01-thumb.jpg" TargetMode="External"/><Relationship Id="rId469" Type="http://schemas.openxmlformats.org/officeDocument/2006/relationships/hyperlink" Target="https://ev-database.org/img/auto/Smart_1_2023/Smart_1_2023-01-thumb.jpg" TargetMode="External"/><Relationship Id="rId226" Type="http://schemas.openxmlformats.org/officeDocument/2006/relationships/hyperlink" Target="https://ev-database.org/car/2128/CUPRA-Born-VZ" TargetMode="External"/><Relationship Id="rId468" Type="http://schemas.openxmlformats.org/officeDocument/2006/relationships/hyperlink" Target="https://ev-database.org/car/2053/Smart-1-Premium" TargetMode="External"/><Relationship Id="rId225" Type="http://schemas.openxmlformats.org/officeDocument/2006/relationships/hyperlink" Target="https://ev-database.org/img/auto/Mini_Countryman_2024/Mini_Countryman_2024-01-thumb.jpg" TargetMode="External"/><Relationship Id="rId467" Type="http://schemas.openxmlformats.org/officeDocument/2006/relationships/hyperlink" Target="https://ev-database.org/img/auto/BYD_SEAL/BYD_SEAL-01-thumb.jpg" TargetMode="External"/><Relationship Id="rId229" Type="http://schemas.openxmlformats.org/officeDocument/2006/relationships/hyperlink" Target="https://ev-database.org/img/auto/Mini_Aceman_Electric_2024/Mini_Aceman_Electric_2024-01-thumb.jpg" TargetMode="External"/><Relationship Id="rId220" Type="http://schemas.openxmlformats.org/officeDocument/2006/relationships/hyperlink" Target="https://ev-database.org/car/1701/BMW-iX1-xDrive30" TargetMode="External"/><Relationship Id="rId462" Type="http://schemas.openxmlformats.org/officeDocument/2006/relationships/hyperlink" Target="https://ev-database.org/car/1940/Honda-eNy1" TargetMode="External"/><Relationship Id="rId461" Type="http://schemas.openxmlformats.org/officeDocument/2006/relationships/hyperlink" Target="https://ev-database.org/img/auto/Smart_1_2023/Smart_1_2023-01-thumb.jpg" TargetMode="External"/><Relationship Id="rId460" Type="http://schemas.openxmlformats.org/officeDocument/2006/relationships/hyperlink" Target="https://ev-database.org/car/1667/Smart-1-Proplus" TargetMode="External"/><Relationship Id="rId224" Type="http://schemas.openxmlformats.org/officeDocument/2006/relationships/hyperlink" Target="https://ev-database.org/car/1994/Mini-Countryman-E" TargetMode="External"/><Relationship Id="rId466" Type="http://schemas.openxmlformats.org/officeDocument/2006/relationships/hyperlink" Target="https://ev-database.org/car/2002/BYD-SEAL-825-kWh-AWD-Excellence" TargetMode="External"/><Relationship Id="rId223" Type="http://schemas.openxmlformats.org/officeDocument/2006/relationships/hyperlink" Target="https://ev-database.org/img/auto/Mercedes_EQB_2024/Mercedes_EQB_2024-01-thumb.jpg" TargetMode="External"/><Relationship Id="rId465" Type="http://schemas.openxmlformats.org/officeDocument/2006/relationships/hyperlink" Target="https://ev-database.org/img/auto/Smart_3_Brabus_2024/Smart_3_Brabus_2024-01-thumb.jpg" TargetMode="External"/><Relationship Id="rId222" Type="http://schemas.openxmlformats.org/officeDocument/2006/relationships/hyperlink" Target="https://ev-database.org/car/1988/Mercedes-Benz-EQB-250plus" TargetMode="External"/><Relationship Id="rId464" Type="http://schemas.openxmlformats.org/officeDocument/2006/relationships/hyperlink" Target="https://ev-database.org/car/2000/Smart-3-Brabus" TargetMode="External"/><Relationship Id="rId221" Type="http://schemas.openxmlformats.org/officeDocument/2006/relationships/hyperlink" Target="https://ev-database.org/img/auto/BMW_iX1_2022/BMW_iX1_2022-01-thumb.jpg" TargetMode="External"/><Relationship Id="rId463" Type="http://schemas.openxmlformats.org/officeDocument/2006/relationships/hyperlink" Target="https://ev-database.org/img/auto/Honda_e:Ny1/Honda_e:Ny1-01-thumb.jpg" TargetMode="External"/><Relationship Id="rId217" Type="http://schemas.openxmlformats.org/officeDocument/2006/relationships/hyperlink" Target="https://ev-database.org/img/auto/Kia_EV3_2025/Kia_EV3_2025-01-thumb.jpg" TargetMode="External"/><Relationship Id="rId459" Type="http://schemas.openxmlformats.org/officeDocument/2006/relationships/hyperlink" Target="https://ev-database.org/img/auto/MG_ZS_EV_2022/MG_ZS_EV_2022-01-thumb.jpg" TargetMode="External"/><Relationship Id="rId216" Type="http://schemas.openxmlformats.org/officeDocument/2006/relationships/hyperlink" Target="https://ev-database.org/car/2211/Kia-EV3-Standard-Range" TargetMode="External"/><Relationship Id="rId458" Type="http://schemas.openxmlformats.org/officeDocument/2006/relationships/hyperlink" Target="https://ev-database.org/car/1541/MG-ZS-EV-Long-Range" TargetMode="External"/><Relationship Id="rId215" Type="http://schemas.openxmlformats.org/officeDocument/2006/relationships/hyperlink" Target="https://ev-database.org/img/auto/Porsche_Taycan_2024/Porsche_Taycan_2024-01-thumb.jpg" TargetMode="External"/><Relationship Id="rId457" Type="http://schemas.openxmlformats.org/officeDocument/2006/relationships/hyperlink" Target="https://ev-database.org/img/auto/MG_ZS_EV_2022/MG_ZS_EV_2022-01-thumb.jpg" TargetMode="External"/><Relationship Id="rId699" Type="http://schemas.openxmlformats.org/officeDocument/2006/relationships/hyperlink" Target="https://ev-database.org/img/auto/Skywell_BE11_2024/Skywell_BE11_2024-01-thumb.jpg" TargetMode="External"/><Relationship Id="rId214" Type="http://schemas.openxmlformats.org/officeDocument/2006/relationships/hyperlink" Target="https://ev-database.org/car/2099/Porsche-Taycan-Plus" TargetMode="External"/><Relationship Id="rId456" Type="http://schemas.openxmlformats.org/officeDocument/2006/relationships/hyperlink" Target="https://ev-database.org/car/1540/MG-ZS-EV-Standard-Range" TargetMode="External"/><Relationship Id="rId698" Type="http://schemas.openxmlformats.org/officeDocument/2006/relationships/hyperlink" Target="https://ev-database.org/car/3064/Skywell-BE11-Standard-Range" TargetMode="External"/><Relationship Id="rId219" Type="http://schemas.openxmlformats.org/officeDocument/2006/relationships/hyperlink" Target="https://ev-database.org/img/auto/Tesla_Model_S_2021/Tesla_Model_S_2021-01-thumb.jpg" TargetMode="External"/><Relationship Id="rId218" Type="http://schemas.openxmlformats.org/officeDocument/2006/relationships/hyperlink" Target="https://ev-database.org/car/1405/Tesla-Model-S-Plaid" TargetMode="External"/><Relationship Id="rId451" Type="http://schemas.openxmlformats.org/officeDocument/2006/relationships/hyperlink" Target="https://ev-database.org/img/auto/GWM_ORA_07/GWM_ORA_07-01-thumb.jpg" TargetMode="External"/><Relationship Id="rId693" Type="http://schemas.openxmlformats.org/officeDocument/2006/relationships/hyperlink" Target="https://ev-database.org/img/auto/Mercedes_EQT_2023/Mercedes_EQT_2023-01-thumb.jpg" TargetMode="External"/><Relationship Id="rId450" Type="http://schemas.openxmlformats.org/officeDocument/2006/relationships/hyperlink" Target="https://ev-database.org/car/2245/GWM-ORA-07-Pure" TargetMode="External"/><Relationship Id="rId692" Type="http://schemas.openxmlformats.org/officeDocument/2006/relationships/hyperlink" Target="https://ev-database.org/car/2239/Mercedes-Benz-EQT-200-Long" TargetMode="External"/><Relationship Id="rId691" Type="http://schemas.openxmlformats.org/officeDocument/2006/relationships/hyperlink" Target="https://ev-database.org/img/auto/NIO_EL8/NIO_EL8-01-thumb.jpg" TargetMode="External"/><Relationship Id="rId690" Type="http://schemas.openxmlformats.org/officeDocument/2006/relationships/hyperlink" Target="https://ev-database.org/car/2223/NIO-EL8-Long-Range" TargetMode="External"/><Relationship Id="rId213" Type="http://schemas.openxmlformats.org/officeDocument/2006/relationships/hyperlink" Target="https://ev-database.org/img/auto/Citroen_e-C3/Citroen_e-C3-01-thumb.jpg" TargetMode="External"/><Relationship Id="rId455" Type="http://schemas.openxmlformats.org/officeDocument/2006/relationships/hyperlink" Target="https://ev-database.org/img/auto/Kia_EV6_2021/Kia_EV6_2021-01-thumb.jpg" TargetMode="External"/><Relationship Id="rId697" Type="http://schemas.openxmlformats.org/officeDocument/2006/relationships/hyperlink" Target="https://ev-database.org/img/auto/Kia_EV9_2023/Kia_EV9_2023-01-thumb.jpg" TargetMode="External"/><Relationship Id="rId212" Type="http://schemas.openxmlformats.org/officeDocument/2006/relationships/hyperlink" Target="https://ev-database.org/car/2039/Citroen-e-C3" TargetMode="External"/><Relationship Id="rId454" Type="http://schemas.openxmlformats.org/officeDocument/2006/relationships/hyperlink" Target="https://ev-database.org/car/1482/Kia-EV6-Long-Range-AWD" TargetMode="External"/><Relationship Id="rId696" Type="http://schemas.openxmlformats.org/officeDocument/2006/relationships/hyperlink" Target="https://ev-database.org/car/1833/Kia-EV9-761-kWh-RWD" TargetMode="External"/><Relationship Id="rId211" Type="http://schemas.openxmlformats.org/officeDocument/2006/relationships/hyperlink" Target="https://ev-database.org/img/auto/Volkswagen_ID5_2024/Volkswagen_ID5_2024-01-thumb.jpg" TargetMode="External"/><Relationship Id="rId453" Type="http://schemas.openxmlformats.org/officeDocument/2006/relationships/hyperlink" Target="https://ev-database.org/img/auto/GWM_ORA_07/GWM_ORA_07-01-thumb.jpg" TargetMode="External"/><Relationship Id="rId695" Type="http://schemas.openxmlformats.org/officeDocument/2006/relationships/hyperlink" Target="https://ev-database.org/img/auto/Kia_EV6_GT_2021/Kia_EV6_GT_2021-01-thumb.jpg" TargetMode="External"/><Relationship Id="rId210" Type="http://schemas.openxmlformats.org/officeDocument/2006/relationships/hyperlink" Target="https://ev-database.org/car/2031/Volkswagen-ID5-Pro" TargetMode="External"/><Relationship Id="rId452" Type="http://schemas.openxmlformats.org/officeDocument/2006/relationships/hyperlink" Target="https://ev-database.org/car/2246/GWM-ORA-07-Pro" TargetMode="External"/><Relationship Id="rId694" Type="http://schemas.openxmlformats.org/officeDocument/2006/relationships/hyperlink" Target="https://ev-database.org/car/1471/Kia-EV6-GT" TargetMode="External"/><Relationship Id="rId491" Type="http://schemas.openxmlformats.org/officeDocument/2006/relationships/hyperlink" Target="https://ev-database.org/img/auto/Volvo_EC40_2025/Volvo_EC40_2025-01-thumb.jpg" TargetMode="External"/><Relationship Id="rId490" Type="http://schemas.openxmlformats.org/officeDocument/2006/relationships/hyperlink" Target="https://ev-database.org/car/2123/Volvo-EC40-Single-Motor" TargetMode="External"/><Relationship Id="rId249" Type="http://schemas.openxmlformats.org/officeDocument/2006/relationships/hyperlink" Target="https://ev-database.org/img/auto/Volkswagen_ID3_2024/Volkswagen_ID3_2024-01-thumb.jpg" TargetMode="External"/><Relationship Id="rId248" Type="http://schemas.openxmlformats.org/officeDocument/2006/relationships/hyperlink" Target="https://ev-database.org/car/2210/Volkswagen-ID3-Pro-S" TargetMode="External"/><Relationship Id="rId247" Type="http://schemas.openxmlformats.org/officeDocument/2006/relationships/hyperlink" Target="https://ev-database.org/img/auto/Mercedes_EQS_2024/Mercedes_EQS_2024-01-thumb.jpg" TargetMode="External"/><Relationship Id="rId489" Type="http://schemas.openxmlformats.org/officeDocument/2006/relationships/hyperlink" Target="https://ev-database.org/img/auto/Porsche_Macan_Electric_2024/Porsche_Macan_Electric_2024-01-thumb.jpg" TargetMode="External"/><Relationship Id="rId242" Type="http://schemas.openxmlformats.org/officeDocument/2006/relationships/hyperlink" Target="https://ev-database.org/car/1946/Peugeot-e-2008-50-kWh" TargetMode="External"/><Relationship Id="rId484" Type="http://schemas.openxmlformats.org/officeDocument/2006/relationships/hyperlink" Target="https://ev-database.org/car/1937/Zeekr-X-Privilege-AWD" TargetMode="External"/><Relationship Id="rId241" Type="http://schemas.openxmlformats.org/officeDocument/2006/relationships/hyperlink" Target="https://ev-database.org/img/auto/Aiways_U6/Aiways_U6-01-thumb.jpg" TargetMode="External"/><Relationship Id="rId483" Type="http://schemas.openxmlformats.org/officeDocument/2006/relationships/hyperlink" Target="https://ev-database.org/img/auto/NIO_ET5_Touring/NIO_ET5_Touring-01-thumb.jpg" TargetMode="External"/><Relationship Id="rId240" Type="http://schemas.openxmlformats.org/officeDocument/2006/relationships/hyperlink" Target="https://ev-database.org/car/1766/Aiways-U6" TargetMode="External"/><Relationship Id="rId482" Type="http://schemas.openxmlformats.org/officeDocument/2006/relationships/hyperlink" Target="https://ev-database.org/car/1916/NIO-ET5-Touring-Long-Range" TargetMode="External"/><Relationship Id="rId481" Type="http://schemas.openxmlformats.org/officeDocument/2006/relationships/hyperlink" Target="https://ev-database.org/img/auto/Toyota_bZ4X/Toyota_bZ4X-01-thumb.jpg" TargetMode="External"/><Relationship Id="rId246" Type="http://schemas.openxmlformats.org/officeDocument/2006/relationships/hyperlink" Target="https://ev-database.org/car/2193/Mercedes-Benz-EQS-450plus" TargetMode="External"/><Relationship Id="rId488" Type="http://schemas.openxmlformats.org/officeDocument/2006/relationships/hyperlink" Target="https://ev-database.org/car/2083/Porsche-Macan-Electric" TargetMode="External"/><Relationship Id="rId245" Type="http://schemas.openxmlformats.org/officeDocument/2006/relationships/hyperlink" Target="https://ev-database.org/img/auto/Skoda_Enyaq_iV_2020/Skoda_Enyaq_iV_2020-01-thumb.jpg" TargetMode="External"/><Relationship Id="rId487" Type="http://schemas.openxmlformats.org/officeDocument/2006/relationships/hyperlink" Target="https://ev-database.org/img/auto/Audi_Q4_e-tron_Sportback_2021/Audi_Q4_e-tron_Sportback_2021-01-thumb.jpg" TargetMode="External"/><Relationship Id="rId244" Type="http://schemas.openxmlformats.org/officeDocument/2006/relationships/hyperlink" Target="https://ev-database.org/car/2020/Skoda-Enyaq-85" TargetMode="External"/><Relationship Id="rId486" Type="http://schemas.openxmlformats.org/officeDocument/2006/relationships/hyperlink" Target="https://ev-database.org/car/2018/Audi-Q4-Sportback-e-tron-55-quattro" TargetMode="External"/><Relationship Id="rId243" Type="http://schemas.openxmlformats.org/officeDocument/2006/relationships/hyperlink" Target="https://ev-database.org/img/auto/Peugeot_e-2008_2024/Peugeot_e-2008_2024-01-thumb.jpg" TargetMode="External"/><Relationship Id="rId485" Type="http://schemas.openxmlformats.org/officeDocument/2006/relationships/hyperlink" Target="https://ev-database.org/img/auto/Zeekr_X_2023/Zeekr_X_2023-01-thumb.jpg" TargetMode="External"/><Relationship Id="rId480" Type="http://schemas.openxmlformats.org/officeDocument/2006/relationships/hyperlink" Target="https://ev-database.org/car/1565/Toyota-bZ4X-AWD" TargetMode="External"/><Relationship Id="rId239" Type="http://schemas.openxmlformats.org/officeDocument/2006/relationships/hyperlink" Target="https://ev-database.org/img/auto/MG_MG4_Electric_2022/MG_MG4_Electric_2022-01-thumb.jpg" TargetMode="External"/><Relationship Id="rId238" Type="http://schemas.openxmlformats.org/officeDocument/2006/relationships/hyperlink" Target="https://ev-database.org/car/1708/MG-MG4-Electric-64-kWh" TargetMode="External"/><Relationship Id="rId237" Type="http://schemas.openxmlformats.org/officeDocument/2006/relationships/hyperlink" Target="https://ev-database.org/img/auto/MG_MG5_Electric_2021/MG_MG5_Electric_2021-01-thumb.jpg" TargetMode="External"/><Relationship Id="rId479" Type="http://schemas.openxmlformats.org/officeDocument/2006/relationships/hyperlink" Target="https://ev-database.org/img/auto/Audi_Q6_etron_Sportback_2024/Audi_Q6_etron_Sportback_2024-01-thumb.jpg" TargetMode="External"/><Relationship Id="rId236" Type="http://schemas.openxmlformats.org/officeDocument/2006/relationships/hyperlink" Target="https://ev-database.org/car/1474/MG-MG5-Electric-Long-Range" TargetMode="External"/><Relationship Id="rId478" Type="http://schemas.openxmlformats.org/officeDocument/2006/relationships/hyperlink" Target="https://ev-database.org/car/3041/Audi-Q6-e-tron-Sportback" TargetMode="External"/><Relationship Id="rId231" Type="http://schemas.openxmlformats.org/officeDocument/2006/relationships/hyperlink" Target="https://ev-database.org/img/auto/Mercedes_EQE/Mercedes_EQE-01-thumb.jpg" TargetMode="External"/><Relationship Id="rId473" Type="http://schemas.openxmlformats.org/officeDocument/2006/relationships/hyperlink" Target="https://ev-database.org/img/auto/Smart_1_2023/Smart_1_2023-01-thumb.jpg" TargetMode="External"/><Relationship Id="rId230" Type="http://schemas.openxmlformats.org/officeDocument/2006/relationships/hyperlink" Target="https://ev-database.org/car/2204/Mercedes-Benz-EQE-300" TargetMode="External"/><Relationship Id="rId472" Type="http://schemas.openxmlformats.org/officeDocument/2006/relationships/hyperlink" Target="https://ev-database.org/car/2218/Smart-1-Pureplus" TargetMode="External"/><Relationship Id="rId471" Type="http://schemas.openxmlformats.org/officeDocument/2006/relationships/hyperlink" Target="https://ev-database.org/img/auto/Porsche_Taycan_2024/Porsche_Taycan_2024-01-thumb.jpg" TargetMode="External"/><Relationship Id="rId470" Type="http://schemas.openxmlformats.org/officeDocument/2006/relationships/hyperlink" Target="https://ev-database.org/car/2103/Porsche-Taycan-Turbo-S" TargetMode="External"/><Relationship Id="rId235" Type="http://schemas.openxmlformats.org/officeDocument/2006/relationships/hyperlink" Target="https://ev-database.org/img/auto/Mini_Cooper_Electric_JCW_2024/Mini_Cooper_Electric_JCW_2024-01-thumb.jpg" TargetMode="External"/><Relationship Id="rId477" Type="http://schemas.openxmlformats.org/officeDocument/2006/relationships/hyperlink" Target="https://ev-database.org/img/auto/Audi_e-tron_GT_RS_Performance_2025/Audi_e-tron_GT_RS_Performance_2025-01-thumb.jpg" TargetMode="External"/><Relationship Id="rId234" Type="http://schemas.openxmlformats.org/officeDocument/2006/relationships/hyperlink" Target="https://ev-database.org/car/3058/Mini-Cooper-JCW" TargetMode="External"/><Relationship Id="rId476" Type="http://schemas.openxmlformats.org/officeDocument/2006/relationships/hyperlink" Target="https://ev-database.org/car/2221/Audi-e-tron-GT-RS-performance" TargetMode="External"/><Relationship Id="rId233" Type="http://schemas.openxmlformats.org/officeDocument/2006/relationships/hyperlink" Target="https://ev-database.org/img/auto/Alpine_A290_2024/Alpine_A290_2024-01-thumb.jpg" TargetMode="External"/><Relationship Id="rId475" Type="http://schemas.openxmlformats.org/officeDocument/2006/relationships/hyperlink" Target="https://ev-database.org/img/auto/Audi_e-tron_GT_RS_2025/Audi_e-tron_GT_RS_2025-01-thumb.jpg" TargetMode="External"/><Relationship Id="rId232" Type="http://schemas.openxmlformats.org/officeDocument/2006/relationships/hyperlink" Target="https://ev-database.org/car/2269/Alpine-A290-Electric-220-hp" TargetMode="External"/><Relationship Id="rId474" Type="http://schemas.openxmlformats.org/officeDocument/2006/relationships/hyperlink" Target="https://ev-database.org/car/2220/Audi-e-tron-GT-RS" TargetMode="External"/><Relationship Id="rId426" Type="http://schemas.openxmlformats.org/officeDocument/2006/relationships/hyperlink" Target="https://ev-database.org/car/3028/Kia-EV6-Long-Range-2WD" TargetMode="External"/><Relationship Id="rId668" Type="http://schemas.openxmlformats.org/officeDocument/2006/relationships/hyperlink" Target="https://ev-database.org/car/2085/Porsche-Macan-Turbo-Electric" TargetMode="External"/><Relationship Id="rId425" Type="http://schemas.openxmlformats.org/officeDocument/2006/relationships/hyperlink" Target="https://ev-database.org/img/auto/Audi_Q4_e-tron_2021/Audi_Q4_e-tron_2021-01-thumb.jpg" TargetMode="External"/><Relationship Id="rId667" Type="http://schemas.openxmlformats.org/officeDocument/2006/relationships/hyperlink" Target="https://ev-database.org/img/auto/Mercedes_EQE_SUV/Mercedes_EQE_SUV-01-thumb.jpg" TargetMode="External"/><Relationship Id="rId424" Type="http://schemas.openxmlformats.org/officeDocument/2006/relationships/hyperlink" Target="https://ev-database.org/car/2248/Audi-Q4-e-tron-35" TargetMode="External"/><Relationship Id="rId666" Type="http://schemas.openxmlformats.org/officeDocument/2006/relationships/hyperlink" Target="https://ev-database.org/car/2046/Mercedes-Benz-EQE-SUV-350plus" TargetMode="External"/><Relationship Id="rId423" Type="http://schemas.openxmlformats.org/officeDocument/2006/relationships/hyperlink" Target="https://ev-database.org/img/auto/Hyundai_IONIQ5_2024/Hyundai_IONIQ5_2024-01-thumb.jpg" TargetMode="External"/><Relationship Id="rId665" Type="http://schemas.openxmlformats.org/officeDocument/2006/relationships/hyperlink" Target="https://ev-database.org/img/auto/Audi_Q8-etron-sportback-2023/Audi_Q8-etron-sportback-2023-01-thumb.jpg" TargetMode="External"/><Relationship Id="rId429" Type="http://schemas.openxmlformats.org/officeDocument/2006/relationships/hyperlink" Target="https://ev-database.org/img/auto/Toyota_bZ4X/Toyota_bZ4X-01-thumb.jpg" TargetMode="External"/><Relationship Id="rId428" Type="http://schemas.openxmlformats.org/officeDocument/2006/relationships/hyperlink" Target="https://ev-database.org/car/1564/Toyota-bZ4X-FWD" TargetMode="External"/><Relationship Id="rId427" Type="http://schemas.openxmlformats.org/officeDocument/2006/relationships/hyperlink" Target="https://ev-database.org/img/auto/Kia_EV6_2024/Kia_EV6_2024-01-thumb.jpg" TargetMode="External"/><Relationship Id="rId669" Type="http://schemas.openxmlformats.org/officeDocument/2006/relationships/hyperlink" Target="https://ev-database.org/img/auto/Porsche_Macan_Turbo_2024/Porsche_Macan_Turbo_2024-01-thumb.jpg" TargetMode="External"/><Relationship Id="rId660" Type="http://schemas.openxmlformats.org/officeDocument/2006/relationships/hyperlink" Target="https://ev-database.org/car/2209/Mercedes-Benz-EQE-AMG-53-4MATICplus" TargetMode="External"/><Relationship Id="rId422" Type="http://schemas.openxmlformats.org/officeDocument/2006/relationships/hyperlink" Target="https://ev-database.org/car/2237/Hyundai-IONIQ-5-84-kWh-AWD" TargetMode="External"/><Relationship Id="rId664" Type="http://schemas.openxmlformats.org/officeDocument/2006/relationships/hyperlink" Target="https://ev-database.org/car/1772/Audi-Q8-e-tron-Sportback-55-quattro" TargetMode="External"/><Relationship Id="rId421" Type="http://schemas.openxmlformats.org/officeDocument/2006/relationships/hyperlink" Target="https://ev-database.org/img/auto/XPENG_G6/XPENG_G6-01-thumb.jpg" TargetMode="External"/><Relationship Id="rId663" Type="http://schemas.openxmlformats.org/officeDocument/2006/relationships/hyperlink" Target="https://ev-database.org/img/auto/NIO_EL8/NIO_EL8-01-thumb.jpg" TargetMode="External"/><Relationship Id="rId420" Type="http://schemas.openxmlformats.org/officeDocument/2006/relationships/hyperlink" Target="https://ev-database.org/car/2182/XPENG-G6-RWD-Long-Range" TargetMode="External"/><Relationship Id="rId662" Type="http://schemas.openxmlformats.org/officeDocument/2006/relationships/hyperlink" Target="https://ev-database.org/car/2222/NIO-EL8-Standard-Range" TargetMode="External"/><Relationship Id="rId661" Type="http://schemas.openxmlformats.org/officeDocument/2006/relationships/hyperlink" Target="https://ev-database.org/img/auto/Mercedes_EQE_AMG_53/Mercedes_EQE_AMG_53-01-thumb.jpg" TargetMode="External"/><Relationship Id="rId415" Type="http://schemas.openxmlformats.org/officeDocument/2006/relationships/hyperlink" Target="https://ev-database.org/img/auto/XPENG_P7/XPENG_P7-01-thumb.jpg" TargetMode="External"/><Relationship Id="rId657" Type="http://schemas.openxmlformats.org/officeDocument/2006/relationships/hyperlink" Target="https://ev-database.org/img/auto/Mercedes_EQE_SUV/Mercedes_EQE_SUV-01-thumb.jpg" TargetMode="External"/><Relationship Id="rId414" Type="http://schemas.openxmlformats.org/officeDocument/2006/relationships/hyperlink" Target="https://ev-database.org/car/1823/XPENG-P7-Wing-Edition" TargetMode="External"/><Relationship Id="rId656" Type="http://schemas.openxmlformats.org/officeDocument/2006/relationships/hyperlink" Target="https://ev-database.org/car/2045/Mercedes-Benz-EQE-SUV-300" TargetMode="External"/><Relationship Id="rId413" Type="http://schemas.openxmlformats.org/officeDocument/2006/relationships/hyperlink" Target="https://ev-database.org/img/auto/Porsche_Taycan_GTS_2024/Porsche_Taycan_GTS_2024-01-thumb.jpg" TargetMode="External"/><Relationship Id="rId655" Type="http://schemas.openxmlformats.org/officeDocument/2006/relationships/hyperlink" Target="https://ev-database.org/img/auto/NIO_EL6/NIO_EL6-01-thumb.jpg" TargetMode="External"/><Relationship Id="rId412" Type="http://schemas.openxmlformats.org/officeDocument/2006/relationships/hyperlink" Target="https://ev-database.org/car/3062/Porsche-Taycan-GTS" TargetMode="External"/><Relationship Id="rId654" Type="http://schemas.openxmlformats.org/officeDocument/2006/relationships/hyperlink" Target="https://ev-database.org/car/1921/NIO-EL6-Standard-Range" TargetMode="External"/><Relationship Id="rId419" Type="http://schemas.openxmlformats.org/officeDocument/2006/relationships/hyperlink" Target="https://ev-database.org/img/auto/ORA_Funky_Cat_2022/ORA_Funky_Cat_2022-01-thumb.jpg" TargetMode="External"/><Relationship Id="rId418" Type="http://schemas.openxmlformats.org/officeDocument/2006/relationships/hyperlink" Target="https://ev-database.org/car/2093/GWM-ORA-03-GT" TargetMode="External"/><Relationship Id="rId417" Type="http://schemas.openxmlformats.org/officeDocument/2006/relationships/hyperlink" Target="https://ev-database.org/img/auto/Volkswagen_ID4_2024/Volkswagen_ID4_2024-01-thumb.jpg" TargetMode="External"/><Relationship Id="rId659" Type="http://schemas.openxmlformats.org/officeDocument/2006/relationships/hyperlink" Target="https://ev-database.org/img/auto/Mercedes_EQE_AMG_43/Mercedes_EQE_AMG_43-01-thumb.jpg" TargetMode="External"/><Relationship Id="rId416" Type="http://schemas.openxmlformats.org/officeDocument/2006/relationships/hyperlink" Target="https://ev-database.org/car/2027/Volkswagen-ID4-Pure" TargetMode="External"/><Relationship Id="rId658" Type="http://schemas.openxmlformats.org/officeDocument/2006/relationships/hyperlink" Target="https://ev-database.org/car/2208/Mercedes-Benz-EQE-AMG-43-4MATIC" TargetMode="External"/><Relationship Id="rId411" Type="http://schemas.openxmlformats.org/officeDocument/2006/relationships/hyperlink" Target="https://ev-database.org/img/auto/Abarth_600e_Scorpionissima/Abarth_600e_Scorpionissima-01-thumb.jpg" TargetMode="External"/><Relationship Id="rId653" Type="http://schemas.openxmlformats.org/officeDocument/2006/relationships/hyperlink" Target="https://ev-database.org/img/auto/Opel_Grandland_2024/Opel_Grandland_2024-01-thumb.jpg" TargetMode="External"/><Relationship Id="rId410" Type="http://schemas.openxmlformats.org/officeDocument/2006/relationships/hyperlink" Target="https://ev-database.org/car/3057/Abarth-600e-Scorpionissima" TargetMode="External"/><Relationship Id="rId652" Type="http://schemas.openxmlformats.org/officeDocument/2006/relationships/hyperlink" Target="https://ev-database.org/car/3038/Opel-Grandland-82-kWh" TargetMode="External"/><Relationship Id="rId651" Type="http://schemas.openxmlformats.org/officeDocument/2006/relationships/hyperlink" Target="https://ev-database.org/img/auto/Opel_Grandland_2024/Opel_Grandland_2024-01-thumb.jpg" TargetMode="External"/><Relationship Id="rId650" Type="http://schemas.openxmlformats.org/officeDocument/2006/relationships/hyperlink" Target="https://ev-database.org/car/3037/Opel-Grandland-73-kWh" TargetMode="External"/><Relationship Id="rId206" Type="http://schemas.openxmlformats.org/officeDocument/2006/relationships/hyperlink" Target="https://ev-database.org/car/1917/BYD-DOLPHIN-449-kWh-Active" TargetMode="External"/><Relationship Id="rId448" Type="http://schemas.openxmlformats.org/officeDocument/2006/relationships/hyperlink" Target="https://ev-database.org/car/2196/Mercedes-Benz-EQS-580-4MATIC" TargetMode="External"/><Relationship Id="rId205" Type="http://schemas.openxmlformats.org/officeDocument/2006/relationships/hyperlink" Target="https://ev-database.org/img/auto/DS_3_2023/DS_3_2023-01-thumb.jpg" TargetMode="External"/><Relationship Id="rId447" Type="http://schemas.openxmlformats.org/officeDocument/2006/relationships/hyperlink" Target="https://ev-database.org/img/auto/XPENG_G6/XPENG_G6-01-thumb.jpg" TargetMode="External"/><Relationship Id="rId689" Type="http://schemas.openxmlformats.org/officeDocument/2006/relationships/hyperlink" Target="https://ev-database.org/img/auto/Volvo_EX40_2025/Volvo_EX40_2025-01-thumb.jpg" TargetMode="External"/><Relationship Id="rId204" Type="http://schemas.openxmlformats.org/officeDocument/2006/relationships/hyperlink" Target="https://ev-database.org/car/1791/DS-3-E-Tense" TargetMode="External"/><Relationship Id="rId446" Type="http://schemas.openxmlformats.org/officeDocument/2006/relationships/hyperlink" Target="https://ev-database.org/car/2183/XPENG-G6-AWD-Performance" TargetMode="External"/><Relationship Id="rId688" Type="http://schemas.openxmlformats.org/officeDocument/2006/relationships/hyperlink" Target="https://ev-database.org/car/2136/Volvo-EX40-Twin-Motor" TargetMode="External"/><Relationship Id="rId203" Type="http://schemas.openxmlformats.org/officeDocument/2006/relationships/hyperlink" Target="https://ev-database.org/img/auto/Peugeot_e-308_SW/Peugeot_e-308_SW-01-thumb.jpg" TargetMode="External"/><Relationship Id="rId445" Type="http://schemas.openxmlformats.org/officeDocument/2006/relationships/hyperlink" Target="https://ev-database.org/img/auto/Ford_Explorer_2024/Ford_Explorer_2024-01-thumb.jpg" TargetMode="External"/><Relationship Id="rId687" Type="http://schemas.openxmlformats.org/officeDocument/2006/relationships/hyperlink" Target="https://ev-database.org/img/auto/BYD_SEAL_U/BYD_SEAL_U-01-thumb.jpg" TargetMode="External"/><Relationship Id="rId209" Type="http://schemas.openxmlformats.org/officeDocument/2006/relationships/hyperlink" Target="https://ev-database.org/img/auto/Peugeot_e-2008_2024/Peugeot_e-2008_2024-01-thumb.jpg" TargetMode="External"/><Relationship Id="rId208" Type="http://schemas.openxmlformats.org/officeDocument/2006/relationships/hyperlink" Target="https://ev-database.org/car/1947/Peugeot-e-2008-54-kWh" TargetMode="External"/><Relationship Id="rId207" Type="http://schemas.openxmlformats.org/officeDocument/2006/relationships/hyperlink" Target="https://ev-database.org/img/auto/BYD_DOLPHIN/BYD_DOLPHIN-01-thumb.jpg" TargetMode="External"/><Relationship Id="rId449" Type="http://schemas.openxmlformats.org/officeDocument/2006/relationships/hyperlink" Target="https://ev-database.org/img/auto/Mercedes_EQS_2024/Mercedes_EQS_2024-01-thumb.jpg" TargetMode="External"/><Relationship Id="rId440" Type="http://schemas.openxmlformats.org/officeDocument/2006/relationships/hyperlink" Target="https://ev-database.org/car/2195/Mercedes-Benz-EQS-500-4MATIC" TargetMode="External"/><Relationship Id="rId682" Type="http://schemas.openxmlformats.org/officeDocument/2006/relationships/hyperlink" Target="https://ev-database.org/car/1802/Renault-Kangoo-E-Tech-Electric" TargetMode="External"/><Relationship Id="rId681" Type="http://schemas.openxmlformats.org/officeDocument/2006/relationships/hyperlink" Target="https://ev-database.org/img/auto/Porsche_Taycan_Turbo_GT_Weissach_2024/Porsche_Taycan_Turbo_GT_Weissach_2024-01-thumb.jpg" TargetMode="External"/><Relationship Id="rId680" Type="http://schemas.openxmlformats.org/officeDocument/2006/relationships/hyperlink" Target="https://ev-database.org/car/2145/Porsche-Taycan-Turbo-GT-Weissach" TargetMode="External"/><Relationship Id="rId202" Type="http://schemas.openxmlformats.org/officeDocument/2006/relationships/hyperlink" Target="https://ev-database.org/car/1745/Peugeot-e-308-SW" TargetMode="External"/><Relationship Id="rId444" Type="http://schemas.openxmlformats.org/officeDocument/2006/relationships/hyperlink" Target="https://ev-database.org/car/2169/Ford-Explorer-Extended-Range-AWD" TargetMode="External"/><Relationship Id="rId686" Type="http://schemas.openxmlformats.org/officeDocument/2006/relationships/hyperlink" Target="https://ev-database.org/car/2067/BYD-SEAL-U-87-kWh-Design" TargetMode="External"/><Relationship Id="rId201" Type="http://schemas.openxmlformats.org/officeDocument/2006/relationships/hyperlink" Target="https://ev-database.org/img/auto/Peugeot_e-308/Peugeot_e-308-01-thumb.jpg" TargetMode="External"/><Relationship Id="rId443" Type="http://schemas.openxmlformats.org/officeDocument/2006/relationships/hyperlink" Target="https://ev-database.org/img/auto/NIO_ET5_Touring/NIO_ET5_Touring-01-thumb.jpg" TargetMode="External"/><Relationship Id="rId685" Type="http://schemas.openxmlformats.org/officeDocument/2006/relationships/hyperlink" Target="https://ev-database.org/img/auto/Hyundai_IONIQ5_N_2024/Hyundai_IONIQ5_N_2024-01-thumb.jpg" TargetMode="External"/><Relationship Id="rId200" Type="http://schemas.openxmlformats.org/officeDocument/2006/relationships/hyperlink" Target="https://ev-database.org/car/1744/Peugeot-e-308" TargetMode="External"/><Relationship Id="rId442" Type="http://schemas.openxmlformats.org/officeDocument/2006/relationships/hyperlink" Target="https://ev-database.org/car/1915/NIO-ET5-Touring-Standard-Range" TargetMode="External"/><Relationship Id="rId684" Type="http://schemas.openxmlformats.org/officeDocument/2006/relationships/hyperlink" Target="https://ev-database.org/car/2044/Hyundai-IONIQ-5-N" TargetMode="External"/><Relationship Id="rId441" Type="http://schemas.openxmlformats.org/officeDocument/2006/relationships/hyperlink" Target="https://ev-database.org/img/auto/Mercedes_EQS_2024/Mercedes_EQS_2024-01-thumb.jpg" TargetMode="External"/><Relationship Id="rId683" Type="http://schemas.openxmlformats.org/officeDocument/2006/relationships/hyperlink" Target="https://ev-database.org/img/auto/Renault_Kangoo_E-Tech_Electric/Renault_Kangoo_E-Tech_Electric-01-thumb.jpg" TargetMode="External"/><Relationship Id="rId437" Type="http://schemas.openxmlformats.org/officeDocument/2006/relationships/hyperlink" Target="https://ev-database.org/img/auto/Volkswagen_ID4_GTX_2024/Volkswagen_ID4_GTX_2024-01-thumb.jpg" TargetMode="External"/><Relationship Id="rId679" Type="http://schemas.openxmlformats.org/officeDocument/2006/relationships/hyperlink" Target="https://ev-database.org/img/auto/Porsche_Taycan_Turbo_GT_2024/Porsche_Taycan_Turbo_GT_2024-01-thumb.jpg" TargetMode="External"/><Relationship Id="rId436" Type="http://schemas.openxmlformats.org/officeDocument/2006/relationships/hyperlink" Target="https://ev-database.org/car/2030/Volkswagen-ID4-GTX" TargetMode="External"/><Relationship Id="rId678" Type="http://schemas.openxmlformats.org/officeDocument/2006/relationships/hyperlink" Target="https://ev-database.org/car/2144/Porsche-Taycan-Turbo-GT" TargetMode="External"/><Relationship Id="rId435" Type="http://schemas.openxmlformats.org/officeDocument/2006/relationships/hyperlink" Target="https://ev-database.org/img/auto/Audi_Q4_e-tron_2021/Audi_Q4_e-tron_2021-01-thumb.jpg" TargetMode="External"/><Relationship Id="rId677" Type="http://schemas.openxmlformats.org/officeDocument/2006/relationships/hyperlink" Target="https://ev-database.org/img/auto/Tesla_Model_X_2021/Tesla_Model_X_2021-01-thumb.jpg" TargetMode="External"/><Relationship Id="rId434" Type="http://schemas.openxmlformats.org/officeDocument/2006/relationships/hyperlink" Target="https://ev-database.org/car/2013/Audi-Q4-e-tron-45" TargetMode="External"/><Relationship Id="rId676" Type="http://schemas.openxmlformats.org/officeDocument/2006/relationships/hyperlink" Target="https://ev-database.org/car/1408/Tesla-Model-X-Plaid" TargetMode="External"/><Relationship Id="rId439" Type="http://schemas.openxmlformats.org/officeDocument/2006/relationships/hyperlink" Target="https://ev-database.org/img/auto/Porsche_Taycan_Sport_Turismo_2024/Porsche_Taycan_Sport_Turismo_2024-01-thumb.jpg" TargetMode="External"/><Relationship Id="rId438" Type="http://schemas.openxmlformats.org/officeDocument/2006/relationships/hyperlink" Target="https://ev-database.org/car/2105/Porsche-Taycan-Plus-Sport-Turismo" TargetMode="External"/><Relationship Id="rId671" Type="http://schemas.openxmlformats.org/officeDocument/2006/relationships/hyperlink" Target="https://ev-database.org/img/auto/Audi_SQ6_etron_2024/Audi_SQ6_etron_2024-01-thumb.jpg" TargetMode="External"/><Relationship Id="rId670" Type="http://schemas.openxmlformats.org/officeDocument/2006/relationships/hyperlink" Target="https://ev-database.org/car/2147/Audi-SQ6-e-tron" TargetMode="External"/><Relationship Id="rId433" Type="http://schemas.openxmlformats.org/officeDocument/2006/relationships/hyperlink" Target="https://ev-database.org/img/auto/BYD_ATTO_3/BYD_ATTO_3-01-thumb.jpg" TargetMode="External"/><Relationship Id="rId675" Type="http://schemas.openxmlformats.org/officeDocument/2006/relationships/hyperlink" Target="https://ev-database.org/img/auto/Genesis_GV60/Genesis_GV60-01-thumb.jpg" TargetMode="External"/><Relationship Id="rId432" Type="http://schemas.openxmlformats.org/officeDocument/2006/relationships/hyperlink" Target="https://ev-database.org/car/1782/BYD-ATTO-3" TargetMode="External"/><Relationship Id="rId674" Type="http://schemas.openxmlformats.org/officeDocument/2006/relationships/hyperlink" Target="https://ev-database.org/car/1649/Genesis-GV60-Sport-Plus" TargetMode="External"/><Relationship Id="rId431" Type="http://schemas.openxmlformats.org/officeDocument/2006/relationships/hyperlink" Target="https://ev-database.org/img/auto/Lexus_RZ_450e/Lexus_RZ_450e-01-thumb.jpg" TargetMode="External"/><Relationship Id="rId673" Type="http://schemas.openxmlformats.org/officeDocument/2006/relationships/hyperlink" Target="https://ev-database.org/img/auto/Mercedes_EQS_2024/Mercedes_EQS_2024-01-thumb.jpg" TargetMode="External"/><Relationship Id="rId430" Type="http://schemas.openxmlformats.org/officeDocument/2006/relationships/hyperlink" Target="https://ev-database.org/car/1677/Lexus-RZ-450e" TargetMode="External"/><Relationship Id="rId672" Type="http://schemas.openxmlformats.org/officeDocument/2006/relationships/hyperlink" Target="https://ev-database.org/car/2197/Mercedes-Benz-EQS-AMG-53-4MATICplu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fred.stlouisfed.org/series/WPU10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29"/>
    <col customWidth="1" min="2" max="2" width="75.43"/>
    <col customWidth="1" min="3" max="5" width="33.86"/>
    <col customWidth="1" min="6" max="6" width="127.71"/>
    <col customWidth="1" min="7" max="7" width="17.71"/>
    <col customWidth="1" min="8" max="8" width="9.57"/>
    <col customWidth="1" min="9" max="12" width="10.0"/>
    <col customWidth="1" min="13" max="13" width="10.43"/>
    <col customWidth="1" min="14" max="15" width="10.0"/>
    <col customWidth="1" min="16" max="16" width="10.43"/>
    <col customWidth="1" min="17" max="17" width="9.57"/>
    <col customWidth="1" min="18" max="18" width="9.29"/>
    <col customWidth="1" min="19" max="19" width="9.57"/>
    <col customWidth="1" min="20" max="20" width="9.29"/>
    <col customWidth="1" min="21" max="28" width="9.57"/>
    <col customWidth="1" min="29" max="31" width="9.29"/>
    <col customWidth="1" min="32" max="32" width="9.57"/>
    <col customWidth="1" min="33" max="40" width="10.0"/>
    <col customWidth="1" min="41" max="41" width="9.57"/>
    <col customWidth="1" min="42" max="42" width="9.29"/>
    <col customWidth="1" min="43" max="44" width="9.57"/>
    <col customWidth="1" min="45" max="52" width="10.0"/>
    <col customWidth="1" min="53" max="53" width="9.57"/>
    <col customWidth="1" min="54" max="54" width="9.29"/>
    <col customWidth="1" min="55" max="56" width="9.57"/>
    <col customWidth="1" min="57" max="64" width="10.0"/>
    <col customWidth="1" min="65" max="65" width="9.57"/>
    <col customWidth="1" min="66" max="66" width="9.29"/>
    <col customWidth="1" min="67" max="68" width="9.57"/>
    <col customWidth="1" min="69" max="76" width="10.0"/>
    <col customWidth="1" min="77" max="77" width="9.57"/>
    <col customWidth="1" min="78" max="78" width="9.29"/>
    <col customWidth="1" min="79" max="80" width="9.57"/>
    <col customWidth="1" min="81" max="88" width="10.0"/>
    <col customWidth="1" min="89" max="89" width="9.57"/>
    <col customWidth="1" min="90" max="90" width="9.29"/>
    <col customWidth="1" min="91" max="92" width="9.57"/>
    <col customWidth="1" min="93" max="100" width="10.0"/>
    <col customWidth="1" min="101" max="101" width="9.57"/>
    <col customWidth="1" min="102" max="102" width="9.29"/>
    <col customWidth="1" min="103" max="104" width="9.57"/>
    <col customWidth="1" min="105" max="112" width="10.0"/>
    <col customWidth="1" min="113" max="113" width="9.57"/>
    <col customWidth="1" min="114" max="114" width="9.29"/>
    <col customWidth="1" min="115" max="116" width="9.57"/>
    <col customWidth="1" min="117" max="124" width="10.0"/>
    <col customWidth="1" min="125" max="125" width="9.57"/>
    <col customWidth="1" min="126" max="126" width="9.29"/>
    <col customWidth="1" min="127" max="127" width="9.57"/>
    <col customWidth="1" min="128" max="128" width="9.29"/>
    <col customWidth="1" min="129" max="136" width="9.57"/>
    <col customWidth="1" min="137" max="152" width="9.29"/>
    <col customWidth="1" min="153" max="160" width="9.57"/>
    <col customWidth="1" min="161" max="164" width="9.29"/>
    <col customWidth="1" min="165" max="172" width="9.57"/>
    <col customWidth="1" min="173" max="176" width="9.29"/>
    <col customWidth="1" min="177" max="184" width="9.57"/>
    <col customWidth="1" min="185" max="188" width="9.29"/>
    <col customWidth="1" min="189" max="196" width="9.57"/>
    <col customWidth="1" min="197" max="200" width="9.29"/>
    <col customWidth="1" min="201" max="208" width="9.57"/>
    <col customWidth="1" min="209" max="212" width="9.29"/>
    <col customWidth="1" min="213" max="220" width="9.57"/>
    <col customWidth="1" min="221" max="224" width="9.29"/>
    <col customWidth="1" min="225" max="232" width="9.57"/>
    <col customWidth="1" min="233" max="236" width="9.29"/>
    <col customWidth="1" min="237" max="244" width="9.57"/>
    <col customWidth="1" min="245" max="247" width="9.29"/>
    <col customWidth="1" min="248" max="248" width="9.57"/>
    <col customWidth="1" min="249" max="256" width="10.0"/>
    <col customWidth="1" min="257" max="257" width="9.57"/>
    <col customWidth="1" min="258" max="258" width="9.29"/>
    <col customWidth="1" min="259" max="259" width="9.57"/>
    <col customWidth="1" min="260" max="260" width="9.29"/>
    <col customWidth="1" min="261" max="268" width="9.57"/>
    <col customWidth="1" min="269" max="271" width="9.29"/>
    <col customWidth="1" min="272" max="272" width="9.57"/>
    <col customWidth="1" min="273" max="280" width="10.0"/>
    <col customWidth="1" min="281" max="281" width="9.57"/>
    <col customWidth="1" min="282" max="282" width="9.29"/>
    <col customWidth="1" min="283" max="284" width="9.57"/>
    <col customWidth="1" min="285" max="292" width="10.0"/>
    <col customWidth="1" min="293" max="293" width="9.57"/>
    <col customWidth="1" min="294" max="294" width="9.29"/>
    <col customWidth="1" min="295" max="296" width="9.57"/>
    <col customWidth="1" min="297" max="304" width="10.0"/>
    <col customWidth="1" min="305" max="305" width="9.57"/>
    <col customWidth="1" min="306" max="306" width="9.29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/>
    <row r="4" ht="12.75" customHeight="1"/>
    <row r="5" ht="12.75" customHeight="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2">
        <v>36526.0</v>
      </c>
      <c r="I5" s="2">
        <v>36557.0</v>
      </c>
      <c r="J5" s="2">
        <v>36586.0</v>
      </c>
      <c r="K5" s="2">
        <v>36617.0</v>
      </c>
      <c r="L5" s="2">
        <v>36647.0</v>
      </c>
      <c r="M5" s="2">
        <v>36678.0</v>
      </c>
      <c r="N5" s="2">
        <v>36708.0</v>
      </c>
      <c r="O5" s="2">
        <v>36739.0</v>
      </c>
      <c r="P5" s="2">
        <v>36770.0</v>
      </c>
      <c r="Q5" s="2">
        <v>36800.0</v>
      </c>
      <c r="R5" s="2">
        <v>36831.0</v>
      </c>
      <c r="S5" s="2">
        <v>36861.0</v>
      </c>
      <c r="T5" s="2">
        <v>36892.0</v>
      </c>
      <c r="U5" s="2">
        <v>36923.0</v>
      </c>
      <c r="V5" s="2">
        <v>36951.0</v>
      </c>
      <c r="W5" s="2">
        <v>36982.0</v>
      </c>
      <c r="X5" s="2">
        <v>37012.0</v>
      </c>
      <c r="Y5" s="2">
        <v>37043.0</v>
      </c>
      <c r="Z5" s="2">
        <v>37073.0</v>
      </c>
      <c r="AA5" s="2">
        <v>37104.0</v>
      </c>
      <c r="AB5" s="2">
        <v>37135.0</v>
      </c>
      <c r="AC5" s="2">
        <v>37165.0</v>
      </c>
      <c r="AD5" s="2">
        <v>37196.0</v>
      </c>
      <c r="AE5" s="2">
        <v>37226.0</v>
      </c>
      <c r="AF5" s="2">
        <v>37257.0</v>
      </c>
      <c r="AG5" s="2">
        <v>37288.0</v>
      </c>
      <c r="AH5" s="2">
        <v>37316.0</v>
      </c>
      <c r="AI5" s="2">
        <v>37347.0</v>
      </c>
      <c r="AJ5" s="2">
        <v>37377.0</v>
      </c>
      <c r="AK5" s="2">
        <v>37408.0</v>
      </c>
      <c r="AL5" s="2">
        <v>37438.0</v>
      </c>
      <c r="AM5" s="2">
        <v>37469.0</v>
      </c>
      <c r="AN5" s="2">
        <v>37500.0</v>
      </c>
      <c r="AO5" s="2">
        <v>37530.0</v>
      </c>
      <c r="AP5" s="2">
        <v>37561.0</v>
      </c>
      <c r="AQ5" s="2">
        <v>37591.0</v>
      </c>
      <c r="AR5" s="2">
        <v>37622.0</v>
      </c>
      <c r="AS5" s="2">
        <v>37653.0</v>
      </c>
      <c r="AT5" s="2">
        <v>37681.0</v>
      </c>
      <c r="AU5" s="2">
        <v>37712.0</v>
      </c>
      <c r="AV5" s="2">
        <v>37742.0</v>
      </c>
      <c r="AW5" s="2">
        <v>37773.0</v>
      </c>
      <c r="AX5" s="2">
        <v>37803.0</v>
      </c>
      <c r="AY5" s="2">
        <v>37834.0</v>
      </c>
      <c r="AZ5" s="2">
        <v>37865.0</v>
      </c>
      <c r="BA5" s="2">
        <v>37895.0</v>
      </c>
      <c r="BB5" s="2">
        <v>37926.0</v>
      </c>
      <c r="BC5" s="2">
        <v>37956.0</v>
      </c>
      <c r="BD5" s="2">
        <v>37987.0</v>
      </c>
      <c r="BE5" s="2">
        <v>38018.0</v>
      </c>
      <c r="BF5" s="2">
        <v>38047.0</v>
      </c>
      <c r="BG5" s="2">
        <v>38078.0</v>
      </c>
      <c r="BH5" s="2">
        <v>38108.0</v>
      </c>
      <c r="BI5" s="2">
        <v>38139.0</v>
      </c>
      <c r="BJ5" s="2">
        <v>38169.0</v>
      </c>
      <c r="BK5" s="2">
        <v>38200.0</v>
      </c>
      <c r="BL5" s="2">
        <v>38231.0</v>
      </c>
      <c r="BM5" s="2">
        <v>38261.0</v>
      </c>
      <c r="BN5" s="2">
        <v>38292.0</v>
      </c>
      <c r="BO5" s="2">
        <v>38322.0</v>
      </c>
      <c r="BP5" s="2">
        <v>38353.0</v>
      </c>
      <c r="BQ5" s="2">
        <v>38384.0</v>
      </c>
      <c r="BR5" s="2">
        <v>38412.0</v>
      </c>
      <c r="BS5" s="2">
        <v>38443.0</v>
      </c>
      <c r="BT5" s="2">
        <v>38473.0</v>
      </c>
      <c r="BU5" s="2">
        <v>38504.0</v>
      </c>
      <c r="BV5" s="2">
        <v>38534.0</v>
      </c>
      <c r="BW5" s="2">
        <v>38565.0</v>
      </c>
      <c r="BX5" s="2">
        <v>38596.0</v>
      </c>
      <c r="BY5" s="2">
        <v>38626.0</v>
      </c>
      <c r="BZ5" s="2">
        <v>38657.0</v>
      </c>
      <c r="CA5" s="2">
        <v>38687.0</v>
      </c>
      <c r="CB5" s="2">
        <v>38718.0</v>
      </c>
      <c r="CC5" s="2">
        <v>38749.0</v>
      </c>
      <c r="CD5" s="2">
        <v>38777.0</v>
      </c>
      <c r="CE5" s="2">
        <v>38808.0</v>
      </c>
      <c r="CF5" s="2">
        <v>38838.0</v>
      </c>
      <c r="CG5" s="2">
        <v>38869.0</v>
      </c>
      <c r="CH5" s="2">
        <v>38899.0</v>
      </c>
      <c r="CI5" s="2">
        <v>38930.0</v>
      </c>
      <c r="CJ5" s="2">
        <v>38961.0</v>
      </c>
      <c r="CK5" s="2">
        <v>38991.0</v>
      </c>
      <c r="CL5" s="2">
        <v>39022.0</v>
      </c>
      <c r="CM5" s="2">
        <v>39052.0</v>
      </c>
      <c r="CN5" s="2">
        <v>39083.0</v>
      </c>
      <c r="CO5" s="2">
        <v>39114.0</v>
      </c>
      <c r="CP5" s="2">
        <v>39142.0</v>
      </c>
      <c r="CQ5" s="2">
        <v>39173.0</v>
      </c>
      <c r="CR5" s="2">
        <v>39203.0</v>
      </c>
      <c r="CS5" s="2">
        <v>39234.0</v>
      </c>
      <c r="CT5" s="2">
        <v>39264.0</v>
      </c>
      <c r="CU5" s="2">
        <v>39295.0</v>
      </c>
      <c r="CV5" s="2">
        <v>39326.0</v>
      </c>
      <c r="CW5" s="2">
        <v>39356.0</v>
      </c>
      <c r="CX5" s="2">
        <v>39387.0</v>
      </c>
      <c r="CY5" s="2">
        <v>39417.0</v>
      </c>
      <c r="CZ5" s="2">
        <v>39448.0</v>
      </c>
      <c r="DA5" s="2">
        <v>39479.0</v>
      </c>
      <c r="DB5" s="2">
        <v>39508.0</v>
      </c>
      <c r="DC5" s="2">
        <v>39539.0</v>
      </c>
      <c r="DD5" s="2">
        <v>39569.0</v>
      </c>
      <c r="DE5" s="2">
        <v>39600.0</v>
      </c>
      <c r="DF5" s="2">
        <v>39630.0</v>
      </c>
      <c r="DG5" s="2">
        <v>39661.0</v>
      </c>
      <c r="DH5" s="2">
        <v>39692.0</v>
      </c>
      <c r="DI5" s="2">
        <v>39722.0</v>
      </c>
      <c r="DJ5" s="2">
        <v>39753.0</v>
      </c>
      <c r="DK5" s="2">
        <v>39783.0</v>
      </c>
      <c r="DL5" s="2">
        <v>39814.0</v>
      </c>
      <c r="DM5" s="2">
        <v>39845.0</v>
      </c>
      <c r="DN5" s="2">
        <v>39873.0</v>
      </c>
      <c r="DO5" s="2">
        <v>39904.0</v>
      </c>
      <c r="DP5" s="2">
        <v>39934.0</v>
      </c>
      <c r="DQ5" s="2">
        <v>39965.0</v>
      </c>
      <c r="DR5" s="2">
        <v>39995.0</v>
      </c>
      <c r="DS5" s="2">
        <v>40026.0</v>
      </c>
      <c r="DT5" s="2">
        <v>40057.0</v>
      </c>
      <c r="DU5" s="2">
        <v>40087.0</v>
      </c>
      <c r="DV5" s="2">
        <v>40118.0</v>
      </c>
      <c r="DW5" s="2">
        <v>40148.0</v>
      </c>
      <c r="DX5" s="2">
        <v>40179.0</v>
      </c>
      <c r="DY5" s="2">
        <v>40210.0</v>
      </c>
      <c r="DZ5" s="2">
        <v>40238.0</v>
      </c>
      <c r="EA5" s="2">
        <v>40269.0</v>
      </c>
      <c r="EB5" s="2">
        <v>40299.0</v>
      </c>
      <c r="EC5" s="2">
        <v>40330.0</v>
      </c>
      <c r="ED5" s="2">
        <v>40360.0</v>
      </c>
      <c r="EE5" s="2">
        <v>40391.0</v>
      </c>
      <c r="EF5" s="2">
        <v>40422.0</v>
      </c>
      <c r="EG5" s="2">
        <v>40452.0</v>
      </c>
      <c r="EH5" s="2">
        <v>40483.0</v>
      </c>
      <c r="EI5" s="2">
        <v>40513.0</v>
      </c>
      <c r="EJ5" s="2">
        <v>40544.0</v>
      </c>
      <c r="EK5" s="2">
        <v>40575.0</v>
      </c>
      <c r="EL5" s="2">
        <v>40603.0</v>
      </c>
      <c r="EM5" s="2">
        <v>40634.0</v>
      </c>
      <c r="EN5" s="2">
        <v>40664.0</v>
      </c>
      <c r="EO5" s="2">
        <v>40695.0</v>
      </c>
      <c r="EP5" s="2">
        <v>40725.0</v>
      </c>
      <c r="EQ5" s="2">
        <v>40756.0</v>
      </c>
      <c r="ER5" s="2">
        <v>40787.0</v>
      </c>
      <c r="ES5" s="2">
        <v>40817.0</v>
      </c>
      <c r="ET5" s="2">
        <v>40848.0</v>
      </c>
      <c r="EU5" s="2">
        <v>40878.0</v>
      </c>
      <c r="EV5" s="2">
        <v>40909.0</v>
      </c>
      <c r="EW5" s="2">
        <v>40940.0</v>
      </c>
      <c r="EX5" s="2">
        <v>40969.0</v>
      </c>
      <c r="EY5" s="2">
        <v>41000.0</v>
      </c>
      <c r="EZ5" s="2">
        <v>41030.0</v>
      </c>
      <c r="FA5" s="2">
        <v>41061.0</v>
      </c>
      <c r="FB5" s="2">
        <v>41091.0</v>
      </c>
      <c r="FC5" s="2">
        <v>41122.0</v>
      </c>
      <c r="FD5" s="2">
        <v>41153.0</v>
      </c>
      <c r="FE5" s="2">
        <v>41183.0</v>
      </c>
      <c r="FF5" s="2">
        <v>41214.0</v>
      </c>
      <c r="FG5" s="2">
        <v>41244.0</v>
      </c>
      <c r="FH5" s="2">
        <v>41275.0</v>
      </c>
      <c r="FI5" s="2">
        <v>41306.0</v>
      </c>
      <c r="FJ5" s="2">
        <v>41334.0</v>
      </c>
      <c r="FK5" s="2">
        <v>41365.0</v>
      </c>
      <c r="FL5" s="2">
        <v>41395.0</v>
      </c>
      <c r="FM5" s="2">
        <v>41426.0</v>
      </c>
      <c r="FN5" s="2">
        <v>41456.0</v>
      </c>
      <c r="FO5" s="2">
        <v>41487.0</v>
      </c>
      <c r="FP5" s="2">
        <v>41518.0</v>
      </c>
      <c r="FQ5" s="2">
        <v>41548.0</v>
      </c>
      <c r="FR5" s="2">
        <v>41579.0</v>
      </c>
      <c r="FS5" s="2">
        <v>41609.0</v>
      </c>
      <c r="FT5" s="2">
        <v>41640.0</v>
      </c>
      <c r="FU5" s="2">
        <v>41671.0</v>
      </c>
      <c r="FV5" s="2">
        <v>41699.0</v>
      </c>
      <c r="FW5" s="2">
        <v>41730.0</v>
      </c>
      <c r="FX5" s="2">
        <v>41760.0</v>
      </c>
      <c r="FY5" s="2">
        <v>41791.0</v>
      </c>
      <c r="FZ5" s="2">
        <v>41821.0</v>
      </c>
      <c r="GA5" s="2">
        <v>41852.0</v>
      </c>
      <c r="GB5" s="2">
        <v>41883.0</v>
      </c>
      <c r="GC5" s="2">
        <v>41913.0</v>
      </c>
      <c r="GD5" s="2">
        <v>41944.0</v>
      </c>
      <c r="GE5" s="2">
        <v>41974.0</v>
      </c>
      <c r="GF5" s="2">
        <v>42005.0</v>
      </c>
      <c r="GG5" s="2">
        <v>42036.0</v>
      </c>
      <c r="GH5" s="2">
        <v>42064.0</v>
      </c>
      <c r="GI5" s="2">
        <v>42095.0</v>
      </c>
      <c r="GJ5" s="2">
        <v>42125.0</v>
      </c>
      <c r="GK5" s="2">
        <v>42156.0</v>
      </c>
      <c r="GL5" s="2">
        <v>42186.0</v>
      </c>
      <c r="GM5" s="2">
        <v>42217.0</v>
      </c>
      <c r="GN5" s="2">
        <v>42248.0</v>
      </c>
      <c r="GO5" s="2">
        <v>42278.0</v>
      </c>
      <c r="GP5" s="2">
        <v>42309.0</v>
      </c>
      <c r="GQ5" s="2">
        <v>42339.0</v>
      </c>
      <c r="GR5" s="2">
        <v>42370.0</v>
      </c>
      <c r="GS5" s="2">
        <v>42401.0</v>
      </c>
      <c r="GT5" s="2">
        <v>42430.0</v>
      </c>
      <c r="GU5" s="2">
        <v>42461.0</v>
      </c>
      <c r="GV5" s="2">
        <v>42491.0</v>
      </c>
      <c r="GW5" s="2">
        <v>42522.0</v>
      </c>
      <c r="GX5" s="2">
        <v>42552.0</v>
      </c>
      <c r="GY5" s="2">
        <v>42583.0</v>
      </c>
      <c r="GZ5" s="2">
        <v>42614.0</v>
      </c>
      <c r="HA5" s="2">
        <v>42644.0</v>
      </c>
      <c r="HB5" s="2">
        <v>42675.0</v>
      </c>
      <c r="HC5" s="2">
        <v>42705.0</v>
      </c>
      <c r="HD5" s="2">
        <v>42736.0</v>
      </c>
      <c r="HE5" s="2">
        <v>42767.0</v>
      </c>
      <c r="HF5" s="2">
        <v>42795.0</v>
      </c>
      <c r="HG5" s="2">
        <v>42826.0</v>
      </c>
      <c r="HH5" s="2">
        <v>42856.0</v>
      </c>
      <c r="HI5" s="2">
        <v>42887.0</v>
      </c>
      <c r="HJ5" s="2">
        <v>42917.0</v>
      </c>
      <c r="HK5" s="2">
        <v>42948.0</v>
      </c>
      <c r="HL5" s="2">
        <v>42979.0</v>
      </c>
      <c r="HM5" s="2">
        <v>43009.0</v>
      </c>
      <c r="HN5" s="2">
        <v>43040.0</v>
      </c>
      <c r="HO5" s="2">
        <v>43070.0</v>
      </c>
      <c r="HP5" s="2">
        <v>43101.0</v>
      </c>
      <c r="HQ5" s="2">
        <v>43132.0</v>
      </c>
      <c r="HR5" s="2">
        <v>43160.0</v>
      </c>
      <c r="HS5" s="2">
        <v>43191.0</v>
      </c>
      <c r="HT5" s="2">
        <v>43221.0</v>
      </c>
      <c r="HU5" s="2">
        <v>43252.0</v>
      </c>
      <c r="HV5" s="2">
        <v>43282.0</v>
      </c>
      <c r="HW5" s="2">
        <v>43313.0</v>
      </c>
      <c r="HX5" s="2">
        <v>43344.0</v>
      </c>
      <c r="HY5" s="2">
        <v>43374.0</v>
      </c>
      <c r="HZ5" s="2">
        <v>43405.0</v>
      </c>
      <c r="IA5" s="2">
        <v>43435.0</v>
      </c>
      <c r="IB5" s="2">
        <v>43466.0</v>
      </c>
      <c r="IC5" s="2">
        <v>43497.0</v>
      </c>
      <c r="ID5" s="2">
        <v>43525.0</v>
      </c>
      <c r="IE5" s="2">
        <v>43556.0</v>
      </c>
      <c r="IF5" s="2">
        <v>43586.0</v>
      </c>
      <c r="IG5" s="2">
        <v>43617.0</v>
      </c>
      <c r="IH5" s="2">
        <v>43647.0</v>
      </c>
      <c r="II5" s="2">
        <v>43678.0</v>
      </c>
      <c r="IJ5" s="2">
        <v>43709.0</v>
      </c>
      <c r="IK5" s="2">
        <v>43739.0</v>
      </c>
      <c r="IL5" s="2">
        <v>43770.0</v>
      </c>
      <c r="IM5" s="2">
        <v>43800.0</v>
      </c>
      <c r="IN5" s="2">
        <v>43831.0</v>
      </c>
      <c r="IO5" s="2">
        <v>43862.0</v>
      </c>
      <c r="IP5" s="2">
        <v>43891.0</v>
      </c>
      <c r="IQ5" s="2">
        <v>43922.0</v>
      </c>
      <c r="IR5" s="2">
        <v>43952.0</v>
      </c>
      <c r="IS5" s="2">
        <v>43983.0</v>
      </c>
      <c r="IT5" s="2">
        <v>44013.0</v>
      </c>
      <c r="IU5" s="2">
        <v>44044.0</v>
      </c>
      <c r="IV5" s="2">
        <v>44075.0</v>
      </c>
      <c r="IW5" s="2">
        <v>44105.0</v>
      </c>
      <c r="IX5" s="2">
        <v>44136.0</v>
      </c>
      <c r="IY5" s="2">
        <v>44166.0</v>
      </c>
      <c r="IZ5" s="2">
        <v>44197.0</v>
      </c>
      <c r="JA5" s="2">
        <v>44228.0</v>
      </c>
      <c r="JB5" s="2">
        <v>44256.0</v>
      </c>
      <c r="JC5" s="2">
        <v>44287.0</v>
      </c>
      <c r="JD5" s="2">
        <v>44317.0</v>
      </c>
      <c r="JE5" s="2">
        <v>44348.0</v>
      </c>
      <c r="JF5" s="2">
        <v>44378.0</v>
      </c>
      <c r="JG5" s="2">
        <v>44409.0</v>
      </c>
      <c r="JH5" s="2">
        <v>44440.0</v>
      </c>
      <c r="JI5" s="2">
        <v>44470.0</v>
      </c>
      <c r="JJ5" s="2">
        <v>44501.0</v>
      </c>
      <c r="JK5" s="2">
        <v>44531.0</v>
      </c>
      <c r="JL5" s="2">
        <v>44562.0</v>
      </c>
      <c r="JM5" s="2">
        <v>44593.0</v>
      </c>
      <c r="JN5" s="2">
        <v>44621.0</v>
      </c>
      <c r="JO5" s="2">
        <v>44652.0</v>
      </c>
      <c r="JP5" s="2">
        <v>44682.0</v>
      </c>
      <c r="JQ5" s="2">
        <v>44713.0</v>
      </c>
      <c r="JR5" s="2">
        <v>44743.0</v>
      </c>
      <c r="JS5" s="2">
        <v>44774.0</v>
      </c>
      <c r="JT5" s="2">
        <v>44805.0</v>
      </c>
      <c r="JU5" s="2">
        <v>44835.0</v>
      </c>
      <c r="JV5" s="2">
        <v>44866.0</v>
      </c>
      <c r="JW5" s="2">
        <v>44896.0</v>
      </c>
      <c r="JX5" s="2">
        <v>44927.0</v>
      </c>
      <c r="JY5" s="2">
        <v>44958.0</v>
      </c>
      <c r="JZ5" s="2">
        <v>44986.0</v>
      </c>
      <c r="KA5" s="2">
        <v>45017.0</v>
      </c>
      <c r="KB5" s="2">
        <v>45047.0</v>
      </c>
      <c r="KC5" s="2">
        <v>45078.0</v>
      </c>
      <c r="KD5" s="2">
        <v>45108.0</v>
      </c>
      <c r="KE5" s="2">
        <v>45139.0</v>
      </c>
      <c r="KF5" s="2">
        <v>45170.0</v>
      </c>
      <c r="KG5" s="2">
        <v>45200.0</v>
      </c>
      <c r="KH5" s="2">
        <v>45231.0</v>
      </c>
      <c r="KI5" s="2">
        <v>45261.0</v>
      </c>
      <c r="KJ5" s="2">
        <v>45292.0</v>
      </c>
      <c r="KK5" s="2">
        <v>45323.0</v>
      </c>
      <c r="KL5" s="2">
        <v>45352.0</v>
      </c>
      <c r="KM5" s="2">
        <v>45383.0</v>
      </c>
      <c r="KN5" s="2">
        <v>45413.0</v>
      </c>
      <c r="KO5" s="2">
        <v>45444.0</v>
      </c>
      <c r="KP5" s="2">
        <v>45474.0</v>
      </c>
      <c r="KQ5" s="2">
        <v>45505.0</v>
      </c>
      <c r="KR5" s="2">
        <v>45536.0</v>
      </c>
      <c r="KS5" s="2">
        <v>45566.0</v>
      </c>
      <c r="KT5" s="2">
        <v>45597.0</v>
      </c>
    </row>
    <row r="6" ht="12.75" customHeight="1">
      <c r="A6" s="1" t="s">
        <v>11</v>
      </c>
      <c r="B6" s="3" t="s">
        <v>12</v>
      </c>
      <c r="C6" s="1" t="s">
        <v>13</v>
      </c>
      <c r="D6" s="4">
        <v>50000.0</v>
      </c>
      <c r="E6" s="4">
        <v>5000.0</v>
      </c>
      <c r="F6" s="4" t="s">
        <v>14</v>
      </c>
      <c r="G6" s="1" t="s">
        <v>15</v>
      </c>
    </row>
    <row r="7" ht="12.75" customHeight="1">
      <c r="A7" s="1" t="s">
        <v>16</v>
      </c>
      <c r="B7" s="3" t="s">
        <v>17</v>
      </c>
      <c r="C7" s="1" t="s">
        <v>13</v>
      </c>
      <c r="D7" s="4">
        <v>50000.0</v>
      </c>
      <c r="E7" s="4">
        <v>5000.0</v>
      </c>
      <c r="F7" s="4" t="s">
        <v>14</v>
      </c>
      <c r="G7" s="1" t="s">
        <v>18</v>
      </c>
    </row>
    <row r="8" ht="12.75" customHeight="1">
      <c r="A8" s="1" t="s">
        <v>19</v>
      </c>
      <c r="B8" s="1" t="s">
        <v>20</v>
      </c>
      <c r="C8" s="1" t="s">
        <v>21</v>
      </c>
      <c r="D8" s="4">
        <f>10^5</f>
        <v>100000</v>
      </c>
      <c r="E8" s="4">
        <f>10^6</f>
        <v>1000000</v>
      </c>
      <c r="F8" s="4" t="s">
        <v>22</v>
      </c>
      <c r="G8" s="1" t="s">
        <v>23</v>
      </c>
    </row>
    <row r="9" ht="12.75" customHeight="1">
      <c r="A9" s="1" t="s">
        <v>24</v>
      </c>
      <c r="B9" s="1" t="s">
        <v>25</v>
      </c>
      <c r="C9" s="1" t="s">
        <v>21</v>
      </c>
      <c r="D9" s="4">
        <f>10^6</f>
        <v>1000000</v>
      </c>
      <c r="E9" s="4">
        <f>8*10^8</f>
        <v>800000000</v>
      </c>
      <c r="F9" s="4" t="s">
        <v>22</v>
      </c>
      <c r="G9" s="1" t="s">
        <v>23</v>
      </c>
    </row>
    <row r="10" ht="12.75" customHeight="1">
      <c r="A10" s="1" t="s">
        <v>26</v>
      </c>
      <c r="B10" s="3" t="s">
        <v>27</v>
      </c>
      <c r="C10" s="1" t="s">
        <v>28</v>
      </c>
      <c r="D10" s="4"/>
      <c r="E10" s="4"/>
      <c r="F10" s="5" t="s">
        <v>29</v>
      </c>
      <c r="G10" s="6" t="s">
        <v>30</v>
      </c>
      <c r="H10" s="4">
        <f t="array" ref="H10">$B$54*INDEX('Gasoline and electricity'!$H$1:$I$413,MATCH(US!H$5,'Gasoline and electricity'!$I$1:$I$413,0),1)</f>
        <v>0.03794658754</v>
      </c>
      <c r="I10" s="4">
        <f t="array" ref="I10">$B$54*INDEX('Gasoline and electricity'!$H$1:$I$413,MATCH(US!I$5,'Gasoline and electricity'!$I$1:$I$413,0),1)</f>
        <v>0.04066765579</v>
      </c>
      <c r="J10" s="4">
        <f t="array" ref="J10">$B$54*INDEX('Gasoline and electricity'!$H$1:$I$413,MATCH(US!J$5,'Gasoline and electricity'!$I$1:$I$413,0),1)</f>
        <v>0.04445845697</v>
      </c>
      <c r="K10" s="4">
        <f t="array" ref="K10">$B$54*INDEX('Gasoline and electricity'!$H$1:$I$413,MATCH(US!K$5,'Gasoline and electricity'!$I$1:$I$413,0),1)</f>
        <v>0.04262611276</v>
      </c>
      <c r="L10" s="4">
        <f t="array" ref="L10">$B$54*INDEX('Gasoline and electricity'!$H$1:$I$413,MATCH(US!L$5,'Gasoline and electricity'!$I$1:$I$413,0),1)</f>
        <v>0.04321661721</v>
      </c>
      <c r="M10" s="4">
        <f t="array" ref="M10">$B$54*INDEX('Gasoline and electricity'!$H$1:$I$413,MATCH(US!M$5,'Gasoline and electricity'!$I$1:$I$413,0),1)</f>
        <v>0.0478264095</v>
      </c>
      <c r="N10" s="4">
        <f t="array" ref="N10">$B$54*INDEX('Gasoline and electricity'!$H$1:$I$413,MATCH(US!N$5,'Gasoline and electricity'!$I$1:$I$413,0),1)</f>
        <v>0.04536498516</v>
      </c>
      <c r="O10" s="4">
        <f t="array" ref="O10">$B$54*INDEX('Gasoline and electricity'!$H$1:$I$413,MATCH(US!O$5,'Gasoline and electricity'!$I$1:$I$413,0),1)</f>
        <v>0.04270771513</v>
      </c>
      <c r="P10" s="4">
        <f t="array" ref="P10">$B$54*INDEX('Gasoline and electricity'!$H$1:$I$413,MATCH(US!P$5,'Gasoline and electricity'!$I$1:$I$413,0),1)</f>
        <v>0.04525964392</v>
      </c>
      <c r="Q10" s="4">
        <f t="array" ref="Q10">$B$54*INDEX('Gasoline and electricity'!$H$1:$I$413,MATCH(US!Q$5,'Gasoline and electricity'!$I$1:$I$413,0),1)</f>
        <v>0.04475964392</v>
      </c>
      <c r="R10" s="4">
        <f t="array" ref="R10">$B$54*INDEX('Gasoline and electricity'!$H$1:$I$413,MATCH(US!R$5,'Gasoline and electricity'!$I$1:$I$413,0),1)</f>
        <v>0.04435459941</v>
      </c>
      <c r="S10" s="4">
        <f t="array" ref="S10">$B$54*INDEX('Gasoline and electricity'!$H$1:$I$413,MATCH(US!S$5,'Gasoline and electricity'!$I$1:$I$413,0),1)</f>
        <v>0.04208456973</v>
      </c>
      <c r="T10" s="4">
        <f t="array" ref="T10">$B$54*INDEX('Gasoline and electricity'!$H$1:$I$413,MATCH(US!T$5,'Gasoline and electricity'!$I$1:$I$413,0),1)</f>
        <v>0.04235608309</v>
      </c>
      <c r="U10" s="4">
        <f t="array" ref="U10">$B$54*INDEX('Gasoline and electricity'!$H$1:$I$413,MATCH(US!U$5,'Gasoline and electricity'!$I$1:$I$413,0),1)</f>
        <v>0.04247032641</v>
      </c>
      <c r="V10" s="4">
        <f t="array" ref="V10">$B$54*INDEX('Gasoline and electricity'!$H$1:$I$413,MATCH(US!V$5,'Gasoline and electricity'!$I$1:$I$413,0),1)</f>
        <v>0.04106824926</v>
      </c>
      <c r="W10" s="4">
        <f t="array" ref="W10">$B$54*INDEX('Gasoline and electricity'!$H$1:$I$413,MATCH(US!W$5,'Gasoline and electricity'!$I$1:$I$413,0),1)</f>
        <v>0.04502077151</v>
      </c>
      <c r="X10" s="4">
        <f t="array" ref="X10">$B$54*INDEX('Gasoline and electricity'!$H$1:$I$413,MATCH(US!X$5,'Gasoline and electricity'!$I$1:$I$413,0),1)</f>
        <v>0.0490727003</v>
      </c>
      <c r="Y10" s="4">
        <f t="array" ref="Y10">$B$54*INDEX('Gasoline and electricity'!$H$1:$I$413,MATCH(US!Y$5,'Gasoline and electricity'!$I$1:$I$413,0),1)</f>
        <v>0.04591988131</v>
      </c>
      <c r="Z10" s="4">
        <f t="array" ref="Z10">$B$54*INDEX('Gasoline and electricity'!$H$1:$I$413,MATCH(US!Z$5,'Gasoline and electricity'!$I$1:$I$413,0),1)</f>
        <v>0.03976854599</v>
      </c>
      <c r="AA10" s="4">
        <f t="array" ref="AA10">$B$54*INDEX('Gasoline and electricity'!$H$1:$I$413,MATCH(US!AA$5,'Gasoline and electricity'!$I$1:$I$413,0),1)</f>
        <v>0.04113501484</v>
      </c>
      <c r="AB10" s="4">
        <f t="array" ref="AB10">$B$54*INDEX('Gasoline and electricity'!$H$1:$I$413,MATCH(US!AB$5,'Gasoline and electricity'!$I$1:$I$413,0),1)</f>
        <v>0.0446958457</v>
      </c>
      <c r="AC10" s="4">
        <f t="array" ref="AC10">$B$54*INDEX('Gasoline and electricity'!$H$1:$I$413,MATCH(US!AC$5,'Gasoline and electricity'!$I$1:$I$413,0),1)</f>
        <v>0.03779821958</v>
      </c>
      <c r="AD10" s="4">
        <f t="array" ref="AD10">$B$54*INDEX('Gasoline and electricity'!$H$1:$I$413,MATCH(US!AD$5,'Gasoline and electricity'!$I$1:$I$413,0),1)</f>
        <v>0.03378338279</v>
      </c>
      <c r="AE10" s="4">
        <f t="array" ref="AE10">$B$54*INDEX('Gasoline and electricity'!$H$1:$I$413,MATCH(US!AE$5,'Gasoline and electricity'!$I$1:$I$413,0),1)</f>
        <v>0.03181008902</v>
      </c>
      <c r="AF10" s="4">
        <f t="array" ref="AF10">$B$54*INDEX('Gasoline and electricity'!$H$1:$I$413,MATCH(US!AF$5,'Gasoline and electricity'!$I$1:$I$413,0),1)</f>
        <v>0.03246290801</v>
      </c>
      <c r="AG10" s="4">
        <f t="array" ref="AG10">$B$54*INDEX('Gasoline and electricity'!$H$1:$I$413,MATCH(US!AG$5,'Gasoline and electricity'!$I$1:$I$413,0),1)</f>
        <v>0.03233679525</v>
      </c>
      <c r="AH10" s="4">
        <f t="array" ref="AH10">$B$54*INDEX('Gasoline and electricity'!$H$1:$I$413,MATCH(US!AH$5,'Gasoline and electricity'!$I$1:$I$413,0),1)</f>
        <v>0.03621661721</v>
      </c>
      <c r="AI10" s="4">
        <f t="array" ref="AI10">$B$54*INDEX('Gasoline and electricity'!$H$1:$I$413,MATCH(US!AI$5,'Gasoline and electricity'!$I$1:$I$413,0),1)</f>
        <v>0.04040949555</v>
      </c>
      <c r="AJ10" s="4">
        <f t="array" ref="AJ10">$B$54*INDEX('Gasoline and electricity'!$H$1:$I$413,MATCH(US!AJ$5,'Gasoline and electricity'!$I$1:$I$413,0),1)</f>
        <v>0.04015578635</v>
      </c>
      <c r="AK10" s="4">
        <f t="array" ref="AK10">$B$54*INDEX('Gasoline and electricity'!$H$1:$I$413,MATCH(US!AK$5,'Gasoline and electricity'!$I$1:$I$413,0),1)</f>
        <v>0.03977744807</v>
      </c>
      <c r="AL10" s="4">
        <f t="array" ref="AL10">$B$54*INDEX('Gasoline and electricity'!$H$1:$I$413,MATCH(US!AL$5,'Gasoline and electricity'!$I$1:$I$413,0),1)</f>
        <v>0.04047477745</v>
      </c>
      <c r="AM10" s="4">
        <f t="array" ref="AM10">$B$54*INDEX('Gasoline and electricity'!$H$1:$I$413,MATCH(US!AM$5,'Gasoline and electricity'!$I$1:$I$413,0),1)</f>
        <v>0.04029673591</v>
      </c>
      <c r="AN10" s="4">
        <f t="array" ref="AN10">$B$54*INDEX('Gasoline and electricity'!$H$1:$I$413,MATCH(US!AN$5,'Gasoline and electricity'!$I$1:$I$413,0),1)</f>
        <v>0.04045697329</v>
      </c>
      <c r="AO10" s="4">
        <f t="array" ref="AO10">$B$54*INDEX('Gasoline and electricity'!$H$1:$I$413,MATCH(US!AO$5,'Gasoline and electricity'!$I$1:$I$413,0),1)</f>
        <v>0.04234421365</v>
      </c>
      <c r="AP10" s="4">
        <f t="array" ref="AP10">$B$54*INDEX('Gasoline and electricity'!$H$1:$I$413,MATCH(US!AP$5,'Gasoline and electricity'!$I$1:$I$413,0),1)</f>
        <v>0.04109050445</v>
      </c>
      <c r="AQ10" s="4">
        <f t="array" ref="AQ10">$B$54*INDEX('Gasoline and electricity'!$H$1:$I$413,MATCH(US!AQ$5,'Gasoline and electricity'!$I$1:$I$413,0),1)</f>
        <v>0.04001186944</v>
      </c>
      <c r="AR10" s="4">
        <f t="array" ref="AR10">$B$54*INDEX('Gasoline and electricity'!$H$1:$I$413,MATCH(US!AR$5,'Gasoline and electricity'!$I$1:$I$413,0),1)</f>
        <v>0.04224035608</v>
      </c>
      <c r="AS10" s="4">
        <f t="array" ref="AS10">$B$54*INDEX('Gasoline and electricity'!$H$1:$I$413,MATCH(US!AS$5,'Gasoline and electricity'!$I$1:$I$413,0),1)</f>
        <v>0.04694362018</v>
      </c>
      <c r="AT10" s="4">
        <f t="array" ref="AT10">$B$54*INDEX('Gasoline and electricity'!$H$1:$I$413,MATCH(US!AT$5,'Gasoline and electricity'!$I$1:$I$413,0),1)</f>
        <v>0.04854599407</v>
      </c>
      <c r="AU10" s="4">
        <f t="array" ref="AU10">$B$54*INDEX('Gasoline and electricity'!$H$1:$I$413,MATCH(US!AU$5,'Gasoline and electricity'!$I$1:$I$413,0),1)</f>
        <v>0.0450148368</v>
      </c>
      <c r="AV10" s="4">
        <f t="array" ref="AV10">$B$54*INDEX('Gasoline and electricity'!$H$1:$I$413,MATCH(US!AV$5,'Gasoline and electricity'!$I$1:$I$413,0),1)</f>
        <v>0.04266320475</v>
      </c>
      <c r="AW10" s="4">
        <f t="array" ref="AW10">$B$54*INDEX('Gasoline and electricity'!$H$1:$I$413,MATCH(US!AW$5,'Gasoline and electricity'!$I$1:$I$413,0),1)</f>
        <v>0.04307418398</v>
      </c>
      <c r="AX10" s="4">
        <f t="array" ref="AX10">$B$54*INDEX('Gasoline and electricity'!$H$1:$I$413,MATCH(US!AX$5,'Gasoline and electricity'!$I$1:$I$413,0),1)</f>
        <v>0.04392433234</v>
      </c>
      <c r="AY10" s="4">
        <f t="array" ref="AY10">$B$54*INDEX('Gasoline and electricity'!$H$1:$I$413,MATCH(US!AY$5,'Gasoline and electricity'!$I$1:$I$413,0),1)</f>
        <v>0.04712908012</v>
      </c>
      <c r="AZ10" s="4">
        <f t="array" ref="AZ10">$B$54*INDEX('Gasoline and electricity'!$H$1:$I$413,MATCH(US!AZ$5,'Gasoline and electricity'!$I$1:$I$413,0),1)</f>
        <v>0.04795845697</v>
      </c>
      <c r="BA10" s="4">
        <f t="array" ref="BA10">$B$54*INDEX('Gasoline and electricity'!$H$1:$I$413,MATCH(US!BA$5,'Gasoline and electricity'!$I$1:$I$413,0),1)</f>
        <v>0.04489614243</v>
      </c>
      <c r="BB10" s="4">
        <f t="array" ref="BB10">$B$54*INDEX('Gasoline and electricity'!$H$1:$I$413,MATCH(US!BB$5,'Gasoline and electricity'!$I$1:$I$413,0),1)</f>
        <v>0.04373145401</v>
      </c>
      <c r="BC10" s="4">
        <f t="array" ref="BC10">$B$54*INDEX('Gasoline and electricity'!$H$1:$I$413,MATCH(US!BC$5,'Gasoline and electricity'!$I$1:$I$413,0),1)</f>
        <v>0.04297329377</v>
      </c>
      <c r="BD10" s="4">
        <f t="array" ref="BD10">$B$54*INDEX('Gasoline and electricity'!$H$1:$I$413,MATCH(US!BD$5,'Gasoline and electricity'!$I$1:$I$413,0),1)</f>
        <v>0.04613501484</v>
      </c>
      <c r="BE10" s="4">
        <f t="array" ref="BE10">$B$54*INDEX('Gasoline and electricity'!$H$1:$I$413,MATCH(US!BE$5,'Gasoline and electricity'!$I$1:$I$413,0),1)</f>
        <v>0.04790801187</v>
      </c>
      <c r="BF10" s="4">
        <f t="array" ref="BF10">$B$54*INDEX('Gasoline and electricity'!$H$1:$I$413,MATCH(US!BF$5,'Gasoline and electricity'!$I$1:$I$413,0),1)</f>
        <v>0.05010682493</v>
      </c>
      <c r="BG10" s="4">
        <f t="array" ref="BG10">$B$54*INDEX('Gasoline and electricity'!$H$1:$I$413,MATCH(US!BG$5,'Gasoline and electricity'!$I$1:$I$413,0),1)</f>
        <v>0.05210682493</v>
      </c>
      <c r="BH10" s="4">
        <f t="array" ref="BH10">$B$54*INDEX('Gasoline and electricity'!$H$1:$I$413,MATCH(US!BH$5,'Gasoline and electricity'!$I$1:$I$413,0),1)</f>
        <v>0.05770919881</v>
      </c>
      <c r="BI10" s="4">
        <f t="array" ref="BI10">$B$54*INDEX('Gasoline and electricity'!$H$1:$I$413,MATCH(US!BI$5,'Gasoline and electricity'!$I$1:$I$413,0),1)</f>
        <v>0.05668397626</v>
      </c>
      <c r="BJ10" s="4">
        <f t="array" ref="BJ10">$B$54*INDEX('Gasoline and electricity'!$H$1:$I$413,MATCH(US!BJ$5,'Gasoline and electricity'!$I$1:$I$413,0),1)</f>
        <v>0.05528931751</v>
      </c>
      <c r="BK10" s="4">
        <f t="array" ref="BK10">$B$54*INDEX('Gasoline and electricity'!$H$1:$I$413,MATCH(US!BK$5,'Gasoline and electricity'!$I$1:$I$413,0),1)</f>
        <v>0.05464688427</v>
      </c>
      <c r="BL10" s="4">
        <f t="array" ref="BL10">$B$54*INDEX('Gasoline and electricity'!$H$1:$I$413,MATCH(US!BL$5,'Gasoline and electricity'!$I$1:$I$413,0),1)</f>
        <v>0.05461424332</v>
      </c>
      <c r="BM10" s="4">
        <f t="array" ref="BM10">$B$54*INDEX('Gasoline and electricity'!$H$1:$I$413,MATCH(US!BM$5,'Gasoline and electricity'!$I$1:$I$413,0),1)</f>
        <v>0.05797477745</v>
      </c>
      <c r="BN10" s="4">
        <f t="array" ref="BN10">$B$54*INDEX('Gasoline and electricity'!$H$1:$I$413,MATCH(US!BN$5,'Gasoline and electricity'!$I$1:$I$413,0),1)</f>
        <v>0.05732344214</v>
      </c>
      <c r="BO10" s="4">
        <f t="array" ref="BO10">$B$54*INDEX('Gasoline and electricity'!$H$1:$I$413,MATCH(US!BO$5,'Gasoline and electricity'!$I$1:$I$413,0),1)</f>
        <v>0.05339762611</v>
      </c>
      <c r="BP10" s="4">
        <f t="array" ref="BP10">$B$54*INDEX('Gasoline and electricity'!$H$1:$I$413,MATCH(US!BP$5,'Gasoline and electricity'!$I$1:$I$413,0),1)</f>
        <v>0.05372700297</v>
      </c>
      <c r="BQ10" s="4">
        <f t="array" ref="BQ10">$B$54*INDEX('Gasoline and electricity'!$H$1:$I$413,MATCH(US!BQ$5,'Gasoline and electricity'!$I$1:$I$413,0),1)</f>
        <v>0.05597181009</v>
      </c>
      <c r="BR10" s="4">
        <f t="array" ref="BR10">$B$54*INDEX('Gasoline and electricity'!$H$1:$I$413,MATCH(US!BR$5,'Gasoline and electricity'!$I$1:$I$413,0),1)</f>
        <v>0.06120178042</v>
      </c>
      <c r="BS10" s="4">
        <f t="array" ref="BS10">$B$54*INDEX('Gasoline and electricity'!$H$1:$I$413,MATCH(US!BS$5,'Gasoline and electricity'!$I$1:$I$413,0),1)</f>
        <v>0.06559347181</v>
      </c>
      <c r="BT10" s="4">
        <f t="array" ref="BT10">$B$54*INDEX('Gasoline and electricity'!$H$1:$I$413,MATCH(US!BT$5,'Gasoline and electricity'!$I$1:$I$413,0),1)</f>
        <v>0.06274183976</v>
      </c>
      <c r="BU10" s="4">
        <f t="array" ref="BU10">$B$54*INDEX('Gasoline and electricity'!$H$1:$I$413,MATCH(US!BU$5,'Gasoline and electricity'!$I$1:$I$413,0),1)</f>
        <v>0.06298961424</v>
      </c>
      <c r="BV10" s="4">
        <f t="array" ref="BV10">$B$54*INDEX('Gasoline and electricity'!$H$1:$I$413,MATCH(US!BV$5,'Gasoline and electricity'!$I$1:$I$413,0),1)</f>
        <v>0.06667655786</v>
      </c>
      <c r="BW10" s="4">
        <f t="array" ref="BW10">$B$54*INDEX('Gasoline and electricity'!$H$1:$I$413,MATCH(US!BW$5,'Gasoline and electricity'!$I$1:$I$413,0),1)</f>
        <v>0.07267062315</v>
      </c>
      <c r="BX10" s="4">
        <f t="array" ref="BX10">$B$54*INDEX('Gasoline and electricity'!$H$1:$I$413,MATCH(US!BX$5,'Gasoline and electricity'!$I$1:$I$413,0),1)</f>
        <v>0.08491097923</v>
      </c>
      <c r="BY10" s="4">
        <f t="array" ref="BY10">$B$54*INDEX('Gasoline and electricity'!$H$1:$I$413,MATCH(US!BY$5,'Gasoline and electricity'!$I$1:$I$413,0),1)</f>
        <v>0.07979228487</v>
      </c>
      <c r="BZ10" s="4">
        <f t="array" ref="BZ10">$B$54*INDEX('Gasoline and electricity'!$H$1:$I$413,MATCH(US!BZ$5,'Gasoline and electricity'!$I$1:$I$413,0),1)</f>
        <v>0.06591988131</v>
      </c>
      <c r="CA10" s="4">
        <f t="array" ref="CA10">$B$54*INDEX('Gasoline and electricity'!$H$1:$I$413,MATCH(US!CA$5,'Gasoline and electricity'!$I$1:$I$413,0),1)</f>
        <v>0.06450296736</v>
      </c>
      <c r="CB10" s="4">
        <f t="array" ref="CB10">$B$54*INDEX('Gasoline and electricity'!$H$1:$I$413,MATCH(US!CB$5,'Gasoline and electricity'!$I$1:$I$413,0),1)</f>
        <v>0.06824925816</v>
      </c>
      <c r="CC10" s="4">
        <f t="array" ref="CC10">$B$54*INDEX('Gasoline and electricity'!$H$1:$I$413,MATCH(US!CC$5,'Gasoline and electricity'!$I$1:$I$413,0),1)</f>
        <v>0.06674332344</v>
      </c>
      <c r="CD10" s="4">
        <f t="array" ref="CD10">$B$54*INDEX('Gasoline and electricity'!$H$1:$I$413,MATCH(US!CD$5,'Gasoline and electricity'!$I$1:$I$413,0),1)</f>
        <v>0.07158753709</v>
      </c>
      <c r="CE10" s="4">
        <f t="array" ref="CE10">$B$54*INDEX('Gasoline and electricity'!$H$1:$I$413,MATCH(US!CE$5,'Gasoline and electricity'!$I$1:$I$413,0),1)</f>
        <v>0.08067507418</v>
      </c>
      <c r="CF10" s="4">
        <f t="array" ref="CF10">$B$54*INDEX('Gasoline and electricity'!$H$1:$I$413,MATCH(US!CF$5,'Gasoline and electricity'!$I$1:$I$413,0),1)</f>
        <v>0.08401186944</v>
      </c>
      <c r="CG10" s="4">
        <f t="array" ref="CG10">$B$54*INDEX('Gasoline and electricity'!$H$1:$I$413,MATCH(US!CG$5,'Gasoline and electricity'!$I$1:$I$413,0),1)</f>
        <v>0.08333086053</v>
      </c>
      <c r="CH10" s="4">
        <f t="array" ref="CH10">$B$54*INDEX('Gasoline and electricity'!$H$1:$I$413,MATCH(US!CH$5,'Gasoline and electricity'!$I$1:$I$413,0),1)</f>
        <v>0.08674183976</v>
      </c>
      <c r="CI10" s="4">
        <f t="array" ref="CI10">$B$54*INDEX('Gasoline and electricity'!$H$1:$I$413,MATCH(US!CI$5,'Gasoline and electricity'!$I$1:$I$413,0),1)</f>
        <v>0.08634272997</v>
      </c>
      <c r="CJ10" s="4">
        <f t="array" ref="CJ10">$B$54*INDEX('Gasoline and electricity'!$H$1:$I$413,MATCH(US!CJ$5,'Gasoline and electricity'!$I$1:$I$413,0),1)</f>
        <v>0.07421364985</v>
      </c>
      <c r="CK10" s="4">
        <f t="array" ref="CK10">$B$54*INDEX('Gasoline and electricity'!$H$1:$I$413,MATCH(US!CK$5,'Gasoline and electricity'!$I$1:$I$413,0),1)</f>
        <v>0.06569732938</v>
      </c>
      <c r="CL10" s="4">
        <f t="array" ref="CL10">$B$54*INDEX('Gasoline and electricity'!$H$1:$I$413,MATCH(US!CL$5,'Gasoline and electricity'!$I$1:$I$413,0),1)</f>
        <v>0.06560830861</v>
      </c>
      <c r="CM10" s="4">
        <f t="array" ref="CM10">$B$54*INDEX('Gasoline and electricity'!$H$1:$I$413,MATCH(US!CM$5,'Gasoline and electricity'!$I$1:$I$413,0),1)</f>
        <v>0.06778189911</v>
      </c>
      <c r="CN10" s="4">
        <f t="array" ref="CN10">$B$54*INDEX('Gasoline and electricity'!$H$1:$I$413,MATCH(US!CN$5,'Gasoline and electricity'!$I$1:$I$413,0),1)</f>
        <v>0.06500296736</v>
      </c>
      <c r="CO10" s="4">
        <f t="array" ref="CO10">$B$54*INDEX('Gasoline and electricity'!$H$1:$I$413,MATCH(US!CO$5,'Gasoline and electricity'!$I$1:$I$413,0),1)</f>
        <v>0.06630563798</v>
      </c>
      <c r="CP10" s="4">
        <f t="array" ref="CP10">$B$54*INDEX('Gasoline and electricity'!$H$1:$I$413,MATCH(US!CP$5,'Gasoline and electricity'!$I$1:$I$413,0),1)</f>
        <v>0.07425816024</v>
      </c>
      <c r="CQ10" s="4">
        <f t="array" ref="CQ10">$B$54*INDEX('Gasoline and electricity'!$H$1:$I$413,MATCH(US!CQ$5,'Gasoline and electricity'!$I$1:$I$413,0),1)</f>
        <v>0.08271216617</v>
      </c>
      <c r="CR10" s="4">
        <f t="array" ref="CR10">$B$54*INDEX('Gasoline and electricity'!$H$1:$I$413,MATCH(US!CR$5,'Gasoline and electricity'!$I$1:$I$413,0),1)</f>
        <v>0.09255934718</v>
      </c>
      <c r="CS10" s="4">
        <f t="array" ref="CS10">$B$54*INDEX('Gasoline and electricity'!$H$1:$I$413,MATCH(US!CS$5,'Gasoline and electricity'!$I$1:$I$413,0),1)</f>
        <v>0.08974035608</v>
      </c>
      <c r="CT10" s="4">
        <f t="array" ref="CT10">$B$54*INDEX('Gasoline and electricity'!$H$1:$I$413,MATCH(US!CT$5,'Gasoline and electricity'!$I$1:$I$413,0),1)</f>
        <v>0.08745994065</v>
      </c>
      <c r="CU10" s="4">
        <f t="array" ref="CU10">$B$54*INDEX('Gasoline and electricity'!$H$1:$I$413,MATCH(US!CU$5,'Gasoline and electricity'!$I$1:$I$413,0),1)</f>
        <v>0.08239614243</v>
      </c>
      <c r="CV10" s="4">
        <f t="array" ref="CV10">$B$54*INDEX('Gasoline and electricity'!$H$1:$I$413,MATCH(US!CV$5,'Gasoline and electricity'!$I$1:$I$413,0),1)</f>
        <v>0.08357566766</v>
      </c>
      <c r="CW10" s="4">
        <f t="array" ref="CW10">$B$54*INDEX('Gasoline and electricity'!$H$1:$I$413,MATCH(US!CW$5,'Gasoline and electricity'!$I$1:$I$413,0),1)</f>
        <v>0.08282492582</v>
      </c>
      <c r="CX10" s="4">
        <f t="array" ref="CX10">$B$54*INDEX('Gasoline and electricity'!$H$1:$I$413,MATCH(US!CX$5,'Gasoline and electricity'!$I$1:$I$413,0),1)</f>
        <v>0.0909272997</v>
      </c>
      <c r="CY10" s="4">
        <f t="array" ref="CY10">$B$54*INDEX('Gasoline and electricity'!$H$1:$I$413,MATCH(US!CY$5,'Gasoline and electricity'!$I$1:$I$413,0),1)</f>
        <v>0.08854005935</v>
      </c>
      <c r="CZ10" s="4">
        <f t="array" ref="CZ10">$B$54*INDEX('Gasoline and electricity'!$H$1:$I$413,MATCH(US!CZ$5,'Gasoline and electricity'!$I$1:$I$413,0),1)</f>
        <v>0.08956231454</v>
      </c>
      <c r="DA10" s="4">
        <f t="array" ref="DA10">$B$54*INDEX('Gasoline and electricity'!$H$1:$I$413,MATCH(US!DA$5,'Gasoline and electricity'!$I$1:$I$413,0),1)</f>
        <v>0.08948813056</v>
      </c>
      <c r="DB10" s="4">
        <f t="array" ref="DB10">$B$54*INDEX('Gasoline and electricity'!$H$1:$I$413,MATCH(US!DB$5,'Gasoline and electricity'!$I$1:$I$413,0),1)</f>
        <v>0.09541246291</v>
      </c>
      <c r="DC10" s="4">
        <f t="array" ref="DC10">$B$54*INDEX('Gasoline and electricity'!$H$1:$I$413,MATCH(US!DC$5,'Gasoline and electricity'!$I$1:$I$413,0),1)</f>
        <v>0.1014985163</v>
      </c>
      <c r="DD10" s="4">
        <f t="array" ref="DD10">$B$54*INDEX('Gasoline and electricity'!$H$1:$I$413,MATCH(US!DD$5,'Gasoline and electricity'!$I$1:$I$413,0),1)</f>
        <v>0.1108308605</v>
      </c>
      <c r="DE10" s="4">
        <f t="array" ref="DE10">$B$54*INDEX('Gasoline and electricity'!$H$1:$I$413,MATCH(US!DE$5,'Gasoline and electricity'!$I$1:$I$413,0),1)</f>
        <v>0.118379822</v>
      </c>
      <c r="DF10" s="4">
        <f t="array" ref="DF10">$B$54*INDEX('Gasoline and electricity'!$H$1:$I$413,MATCH(US!DF$5,'Gasoline and electricity'!$I$1:$I$413,0),1)</f>
        <v>0.1187388724</v>
      </c>
      <c r="DG10" s="4">
        <f t="array" ref="DG10">$B$54*INDEX('Gasoline and electricity'!$H$1:$I$413,MATCH(US!DG$5,'Gasoline and electricity'!$I$1:$I$413,0),1)</f>
        <v>0.1109643917</v>
      </c>
      <c r="DH10" s="4">
        <f t="array" ref="DH10">$B$54*INDEX('Gasoline and electricity'!$H$1:$I$413,MATCH(US!DH$5,'Gasoline and electricity'!$I$1:$I$413,0),1)</f>
        <v>0.1100712166</v>
      </c>
      <c r="DI10" s="4">
        <f t="array" ref="DI10">$B$54*INDEX('Gasoline and electricity'!$H$1:$I$413,MATCH(US!DI$5,'Gasoline and electricity'!$I$1:$I$413,0),1)</f>
        <v>0.08930267062</v>
      </c>
      <c r="DJ10" s="4">
        <f t="array" ref="DJ10">$B$54*INDEX('Gasoline and electricity'!$H$1:$I$413,MATCH(US!DJ$5,'Gasoline and electricity'!$I$1:$I$413,0),1)</f>
        <v>0.06227002967</v>
      </c>
      <c r="DK10" s="4">
        <f t="array" ref="DK10">$B$54*INDEX('Gasoline and electricity'!$H$1:$I$413,MATCH(US!DK$5,'Gasoline and electricity'!$I$1:$I$413,0),1)</f>
        <v>0.04951928783</v>
      </c>
      <c r="DL10" s="4">
        <f t="array" ref="DL10">$B$54*INDEX('Gasoline and electricity'!$H$1:$I$413,MATCH(US!DL$5,'Gasoline and electricity'!$I$1:$I$413,0),1)</f>
        <v>0.05258902077</v>
      </c>
      <c r="DM10" s="4">
        <f t="array" ref="DM10">$B$54*INDEX('Gasoline and electricity'!$H$1:$I$413,MATCH(US!DM$5,'Gasoline and electricity'!$I$1:$I$413,0),1)</f>
        <v>0.05613501484</v>
      </c>
      <c r="DN10" s="4">
        <f t="array" ref="DN10">$B$54*INDEX('Gasoline and electricity'!$H$1:$I$413,MATCH(US!DN$5,'Gasoline and electricity'!$I$1:$I$413,0),1)</f>
        <v>0.05748961424</v>
      </c>
      <c r="DO10" s="4">
        <f t="array" ref="DO10">$B$54*INDEX('Gasoline and electricity'!$H$1:$I$413,MATCH(US!DO$5,'Gasoline and electricity'!$I$1:$I$413,0),1)</f>
        <v>0.05996290801</v>
      </c>
      <c r="DP10" s="4">
        <f t="array" ref="DP10">$B$54*INDEX('Gasoline and electricity'!$H$1:$I$413,MATCH(US!DP$5,'Gasoline and electricity'!$I$1:$I$413,0),1)</f>
        <v>0.06645400593</v>
      </c>
      <c r="DQ10" s="4">
        <f t="array" ref="DQ10">$B$54*INDEX('Gasoline and electricity'!$H$1:$I$413,MATCH(US!DQ$5,'Gasoline and electricity'!$I$1:$I$413,0),1)</f>
        <v>0.07705637982</v>
      </c>
      <c r="DR10" s="4">
        <f t="array" ref="DR10">$B$54*INDEX('Gasoline and electricity'!$H$1:$I$413,MATCH(US!DR$5,'Gasoline and electricity'!$I$1:$I$413,0),1)</f>
        <v>0.07353857567</v>
      </c>
      <c r="DS10" s="4">
        <f t="array" ref="DS10">$B$54*INDEX('Gasoline and electricity'!$H$1:$I$413,MATCH(US!DS$5,'Gasoline and electricity'!$I$1:$I$413,0),1)</f>
        <v>0.07603560831</v>
      </c>
      <c r="DT10" s="4">
        <f t="array" ref="DT10">$B$54*INDEX('Gasoline and electricity'!$H$1:$I$413,MATCH(US!DT$5,'Gasoline and electricity'!$I$1:$I$413,0),1)</f>
        <v>0.07359050445</v>
      </c>
      <c r="DU10" s="4">
        <f t="array" ref="DU10">$B$54*INDEX('Gasoline and electricity'!$H$1:$I$413,MATCH(US!DU$5,'Gasoline and electricity'!$I$1:$I$413,0),1)</f>
        <v>0.07419139466</v>
      </c>
      <c r="DV10" s="4">
        <f t="array" ref="DV10">$B$54*INDEX('Gasoline and electricity'!$H$1:$I$413,MATCH(US!DV$5,'Gasoline and electricity'!$I$1:$I$413,0),1)</f>
        <v>0.07756083086</v>
      </c>
      <c r="DW10" s="4">
        <f t="array" ref="DW10">$B$54*INDEX('Gasoline and electricity'!$H$1:$I$413,MATCH(US!DW$5,'Gasoline and electricity'!$I$1:$I$413,0),1)</f>
        <v>0.07619436202</v>
      </c>
      <c r="DX10" s="4">
        <f t="array" ref="DX10">$B$54*INDEX('Gasoline and electricity'!$H$1:$I$413,MATCH(US!DX$5,'Gasoline and electricity'!$I$1:$I$413,0),1)</f>
        <v>0.07947329377</v>
      </c>
      <c r="DY10" s="4">
        <f t="array" ref="DY10">$B$54*INDEX('Gasoline and electricity'!$H$1:$I$413,MATCH(US!DY$5,'Gasoline and electricity'!$I$1:$I$413,0),1)</f>
        <v>0.07724777448</v>
      </c>
      <c r="DZ10" s="4">
        <f t="array" ref="DZ10">$B$54*INDEX('Gasoline and electricity'!$H$1:$I$413,MATCH(US!DZ$5,'Gasoline and electricity'!$I$1:$I$413,0),1)</f>
        <v>0.08135905045</v>
      </c>
      <c r="EA10" s="4">
        <f t="array" ref="EA10">$B$54*INDEX('Gasoline and electricity'!$H$1:$I$413,MATCH(US!EA$5,'Gasoline and electricity'!$I$1:$I$413,0),1)</f>
        <v>0.08360534125</v>
      </c>
      <c r="EB10" s="4">
        <f t="array" ref="EB10">$B$54*INDEX('Gasoline and electricity'!$H$1:$I$413,MATCH(US!EB$5,'Gasoline and electricity'!$I$1:$I$413,0),1)</f>
        <v>0.0829495549</v>
      </c>
      <c r="EC10" s="4">
        <f t="array" ref="EC10">$B$54*INDEX('Gasoline and electricity'!$H$1:$I$413,MATCH(US!EC$5,'Gasoline and electricity'!$I$1:$I$413,0),1)</f>
        <v>0.07962908012</v>
      </c>
      <c r="ED10" s="4">
        <f t="array" ref="ED10">$B$54*INDEX('Gasoline and electricity'!$H$1:$I$413,MATCH(US!ED$5,'Gasoline and electricity'!$I$1:$I$413,0),1)</f>
        <v>0.07950296736</v>
      </c>
      <c r="EE10" s="4">
        <f t="array" ref="EE10">$B$54*INDEX('Gasoline and electricity'!$H$1:$I$413,MATCH(US!EE$5,'Gasoline and electricity'!$I$1:$I$413,0),1)</f>
        <v>0.07962017804</v>
      </c>
      <c r="EF10" s="4">
        <f t="array" ref="EF10">$B$54*INDEX('Gasoline and electricity'!$H$1:$I$413,MATCH(US!EF$5,'Gasoline and electricity'!$I$1:$I$413,0),1)</f>
        <v>0.07947329377</v>
      </c>
      <c r="EG10" s="4">
        <f t="array" ref="EG10">$B$54*INDEX('Gasoline and electricity'!$H$1:$I$413,MATCH(US!EG$5,'Gasoline and electricity'!$I$1:$I$413,0),1)</f>
        <v>0.08208456973</v>
      </c>
      <c r="EH10" s="4">
        <f t="array" ref="EH10">$B$54*INDEX('Gasoline and electricity'!$H$1:$I$413,MATCH(US!EH$5,'Gasoline and electricity'!$I$1:$I$413,0),1)</f>
        <v>0.08352522255</v>
      </c>
      <c r="EI10" s="4">
        <f t="array" ref="EI10">$B$54*INDEX('Gasoline and electricity'!$H$1:$I$413,MATCH(US!EI$5,'Gasoline and electricity'!$I$1:$I$413,0),1)</f>
        <v>0.08755934718</v>
      </c>
      <c r="EJ10" s="4">
        <f t="array" ref="EJ10">$B$54*INDEX('Gasoline and electricity'!$H$1:$I$413,MATCH(US!EJ$5,'Gasoline and electricity'!$I$1:$I$413,0),1)</f>
        <v>0.09073590504</v>
      </c>
      <c r="EK10" s="4">
        <f t="array" ref="EK10">$B$54*INDEX('Gasoline and electricity'!$H$1:$I$413,MATCH(US!EK$5,'Gasoline and electricity'!$I$1:$I$413,0),1)</f>
        <v>0.09399851632</v>
      </c>
      <c r="EL10" s="4">
        <f t="array" ref="EL10">$B$54*INDEX('Gasoline and electricity'!$H$1:$I$413,MATCH(US!EL$5,'Gasoline and electricity'!$I$1:$I$413,0),1)</f>
        <v>0.1041172107</v>
      </c>
      <c r="EM10" s="4">
        <f t="array" ref="EM10">$B$54*INDEX('Gasoline and electricity'!$H$1:$I$413,MATCH(US!EM$5,'Gasoline and electricity'!$I$1:$I$413,0),1)</f>
        <v>0.1111424332</v>
      </c>
      <c r="EN10" s="4">
        <f t="array" ref="EN10">$B$54*INDEX('Gasoline and electricity'!$H$1:$I$413,MATCH(US!EN$5,'Gasoline and electricity'!$I$1:$I$413,0),1)</f>
        <v>0.1142255193</v>
      </c>
      <c r="EO10" s="4">
        <f t="array" ref="EO10">$B$54*INDEX('Gasoline and electricity'!$H$1:$I$413,MATCH(US!EO$5,'Gasoline and electricity'!$I$1:$I$413,0),1)</f>
        <v>0.1076557864</v>
      </c>
      <c r="EP10" s="4">
        <f t="array" ref="EP10">$B$54*INDEX('Gasoline and electricity'!$H$1:$I$413,MATCH(US!EP$5,'Gasoline and electricity'!$I$1:$I$413,0),1)</f>
        <v>0.1072477745</v>
      </c>
      <c r="EQ10" s="4">
        <f t="array" ref="EQ10">$B$54*INDEX('Gasoline and electricity'!$H$1:$I$413,MATCH(US!EQ$5,'Gasoline and electricity'!$I$1:$I$413,0),1)</f>
        <v>0.1071750742</v>
      </c>
      <c r="ER10" s="4">
        <f t="array" ref="ER10">$B$54*INDEX('Gasoline and electricity'!$H$1:$I$413,MATCH(US!ER$5,'Gasoline and electricity'!$I$1:$I$413,0),1)</f>
        <v>0.1060311573</v>
      </c>
      <c r="ES10" s="4">
        <f t="array" ref="ES10">$B$54*INDEX('Gasoline and electricity'!$H$1:$I$413,MATCH(US!ES$5,'Gasoline and electricity'!$I$1:$I$413,0),1)</f>
        <v>0.1008902077</v>
      </c>
      <c r="ET10" s="4">
        <f t="array" ref="ET10">$B$54*INDEX('Gasoline and electricity'!$H$1:$I$413,MATCH(US!ET$5,'Gasoline and electricity'!$I$1:$I$413,0),1)</f>
        <v>0.09879821958</v>
      </c>
      <c r="EU10" s="4">
        <f t="array" ref="EU10">$B$54*INDEX('Gasoline and electricity'!$H$1:$I$413,MATCH(US!EU$5,'Gasoline and electricity'!$I$1:$I$413,0),1)</f>
        <v>0.09554896142</v>
      </c>
      <c r="EV10" s="4">
        <f t="array" ref="EV10">$B$54*INDEX('Gasoline and electricity'!$H$1:$I$413,MATCH(US!EV$5,'Gasoline and electricity'!$I$1:$I$413,0),1)</f>
        <v>0.09880118694</v>
      </c>
      <c r="EW10" s="4">
        <f t="array" ref="EW10">$B$54*INDEX('Gasoline and electricity'!$H$1:$I$413,MATCH(US!EW$5,'Gasoline and electricity'!$I$1:$I$413,0),1)</f>
        <v>0.104347181</v>
      </c>
      <c r="EX10" s="4">
        <f t="array" ref="EX10">$B$54*INDEX('Gasoline and electricity'!$H$1:$I$413,MATCH(US!EX$5,'Gasoline and electricity'!$I$1:$I$413,0),1)</f>
        <v>0.1119732938</v>
      </c>
      <c r="EY10" s="4">
        <f t="array" ref="EY10">$B$54*INDEX('Gasoline and electricity'!$H$1:$I$413,MATCH(US!EY$5,'Gasoline and electricity'!$I$1:$I$413,0),1)</f>
        <v>0.1138694362</v>
      </c>
      <c r="EZ10" s="4">
        <f t="array" ref="EZ10">$B$54*INDEX('Gasoline and electricity'!$H$1:$I$413,MATCH(US!EZ$5,'Gasoline and electricity'!$I$1:$I$413,0),1)</f>
        <v>0.1081083086</v>
      </c>
      <c r="FA10" s="4">
        <f t="array" ref="FA10">$B$54*INDEX('Gasoline and electricity'!$H$1:$I$413,MATCH(US!FA$5,'Gasoline and electricity'!$I$1:$I$413,0),1)</f>
        <v>0.1028041543</v>
      </c>
      <c r="FB10" s="4">
        <f t="array" ref="FB10">$B$54*INDEX('Gasoline and electricity'!$H$1:$I$413,MATCH(US!FB$5,'Gasoline and electricity'!$I$1:$I$413,0),1)</f>
        <v>0.1002789318</v>
      </c>
      <c r="FC10" s="4">
        <f t="array" ref="FC10">$B$54*INDEX('Gasoline and electricity'!$H$1:$I$413,MATCH(US!FC$5,'Gasoline and electricity'!$I$1:$I$413,0),1)</f>
        <v>0.10884273</v>
      </c>
      <c r="FD10" s="4">
        <f t="array" ref="FD10">$B$54*INDEX('Gasoline and electricity'!$H$1:$I$413,MATCH(US!FD$5,'Gasoline and electricity'!$I$1:$I$413,0),1)</f>
        <v>0.1127818991</v>
      </c>
      <c r="FE10" s="4">
        <f t="array" ref="FE10">$B$54*INDEX('Gasoline and electricity'!$H$1:$I$413,MATCH(US!FE$5,'Gasoline and electricity'!$I$1:$I$413,0),1)</f>
        <v>0.1084094955</v>
      </c>
      <c r="FF10" s="4">
        <f t="array" ref="FF10">$B$54*INDEX('Gasoline and electricity'!$H$1:$I$413,MATCH(US!FF$5,'Gasoline and electricity'!$I$1:$I$413,0),1)</f>
        <v>0.1002967359</v>
      </c>
      <c r="FG10" s="4">
        <f t="array" ref="FG10">$B$54*INDEX('Gasoline and electricity'!$H$1:$I$413,MATCH(US!FG$5,'Gasoline and electricity'!$I$1:$I$413,0),1)</f>
        <v>0.09662908012</v>
      </c>
      <c r="FH10" s="4">
        <f t="array" ref="FH10">$B$54*INDEX('Gasoline and electricity'!$H$1:$I$413,MATCH(US!FH$5,'Gasoline and electricity'!$I$1:$I$413,0),1)</f>
        <v>0.09658011869</v>
      </c>
      <c r="FI10" s="4">
        <f t="array" ref="FI10">$B$54*INDEX('Gasoline and electricity'!$H$1:$I$413,MATCH(US!FI$5,'Gasoline and electricity'!$I$1:$I$413,0),1)</f>
        <v>0.1069732938</v>
      </c>
      <c r="FJ10" s="4">
        <f t="array" ref="FJ10">$B$54*INDEX('Gasoline and electricity'!$H$1:$I$413,MATCH(US!FJ$5,'Gasoline and electricity'!$I$1:$I$413,0),1)</f>
        <v>0.1082418398</v>
      </c>
      <c r="FK10" s="4">
        <f t="array" ref="FK10">$B$54*INDEX('Gasoline and electricity'!$H$1:$I$413,MATCH(US!FK$5,'Gasoline and electricity'!$I$1:$I$413,0),1)</f>
        <v>0.1038991098</v>
      </c>
      <c r="FL10" s="4">
        <f t="array" ref="FL10">$B$54*INDEX('Gasoline and electricity'!$H$1:$I$413,MATCH(US!FL$5,'Gasoline and electricity'!$I$1:$I$413,0),1)</f>
        <v>0.1057715134</v>
      </c>
      <c r="FM10" s="4">
        <f t="array" ref="FM10">$B$54*INDEX('Gasoline and electricity'!$H$1:$I$413,MATCH(US!FM$5,'Gasoline and electricity'!$I$1:$I$413,0),1)</f>
        <v>0.1061127596</v>
      </c>
      <c r="FN10" s="4">
        <f t="array" ref="FN10">$B$54*INDEX('Gasoline and electricity'!$H$1:$I$413,MATCH(US!FN$5,'Gasoline and electricity'!$I$1:$I$413,0),1)</f>
        <v>0.1043026706</v>
      </c>
      <c r="FO10" s="4">
        <f t="array" ref="FO10">$B$54*INDEX('Gasoline and electricity'!$H$1:$I$413,MATCH(US!FO$5,'Gasoline and electricity'!$I$1:$I$413,0),1)</f>
        <v>0.1042952522</v>
      </c>
      <c r="FP10" s="4">
        <f t="array" ref="FP10">$B$54*INDEX('Gasoline and electricity'!$H$1:$I$413,MATCH(US!FP$5,'Gasoline and electricity'!$I$1:$I$413,0),1)</f>
        <v>0.1030801187</v>
      </c>
      <c r="FQ10" s="4">
        <f t="array" ref="FQ10">$B$54*INDEX('Gasoline and electricity'!$H$1:$I$413,MATCH(US!FQ$5,'Gasoline and electricity'!$I$1:$I$413,0),1)</f>
        <v>0.09747032641</v>
      </c>
      <c r="FR10" s="4">
        <f t="array" ref="FR10">$B$54*INDEX('Gasoline and electricity'!$H$1:$I$413,MATCH(US!FR$5,'Gasoline and electricity'!$I$1:$I$413,0),1)</f>
        <v>0.09454005935</v>
      </c>
      <c r="FS10" s="4">
        <f t="array" ref="FS10">$B$54*INDEX('Gasoline and electricity'!$H$1:$I$413,MATCH(US!FS$5,'Gasoline and electricity'!$I$1:$I$413,0),1)</f>
        <v>0.09521661721</v>
      </c>
      <c r="FT10" s="4">
        <f t="array" ref="FT10">$B$54*INDEX('Gasoline and electricity'!$H$1:$I$413,MATCH(US!FT$5,'Gasoline and electricity'!$I$1:$I$413,0),1)</f>
        <v>0.09650593472</v>
      </c>
      <c r="FU10" s="4">
        <f t="array" ref="FU10">$B$54*INDEX('Gasoline and electricity'!$H$1:$I$413,MATCH(US!FU$5,'Gasoline and electricity'!$I$1:$I$413,0),1)</f>
        <v>0.09807121662</v>
      </c>
      <c r="FV10" s="4">
        <f t="array" ref="FV10">$B$54*INDEX('Gasoline and electricity'!$H$1:$I$413,MATCH(US!FV$5,'Gasoline and electricity'!$I$1:$I$413,0),1)</f>
        <v>0.1030860534</v>
      </c>
      <c r="FW10" s="4">
        <f t="array" ref="FW10">$B$54*INDEX('Gasoline and electricity'!$H$1:$I$413,MATCH(US!FW$5,'Gasoline and electricity'!$I$1:$I$413,0),1)</f>
        <v>0.1065356083</v>
      </c>
      <c r="FX10" s="4">
        <f t="array" ref="FX10">$B$54*INDEX('Gasoline and electricity'!$H$1:$I$413,MATCH(US!FX$5,'Gasoline and electricity'!$I$1:$I$413,0),1)</f>
        <v>0.106847181</v>
      </c>
      <c r="FY10" s="4">
        <f t="array" ref="FY10">$B$54*INDEX('Gasoline and electricity'!$H$1:$I$413,MATCH(US!FY$5,'Gasoline and electricity'!$I$1:$I$413,0),1)</f>
        <v>0.1075905045</v>
      </c>
      <c r="FZ10" s="4">
        <f t="array" ref="FZ10">$B$54*INDEX('Gasoline and electricity'!$H$1:$I$413,MATCH(US!FZ$5,'Gasoline and electricity'!$I$1:$I$413,0),1)</f>
        <v>0.1050148368</v>
      </c>
      <c r="GA10" s="4">
        <f t="array" ref="GA10">$B$54*INDEX('Gasoline and electricity'!$H$1:$I$413,MATCH(US!GA$5,'Gasoline and electricity'!$I$1:$I$413,0),1)</f>
        <v>0.1016394659</v>
      </c>
      <c r="GB10" s="4">
        <f t="array" ref="GB10">$B$54*INDEX('Gasoline and electricity'!$H$1:$I$413,MATCH(US!GB$5,'Gasoline and electricity'!$I$1:$I$413,0),1)</f>
        <v>0.09951335312</v>
      </c>
      <c r="GC10" s="4">
        <f t="array" ref="GC10">$B$54*INDEX('Gasoline and electricity'!$H$1:$I$413,MATCH(US!GC$5,'Gasoline and electricity'!$I$1:$I$413,0),1)</f>
        <v>0.09257418398</v>
      </c>
      <c r="GD10" s="4">
        <f t="array" ref="GD10">$B$54*INDEX('Gasoline and electricity'!$H$1:$I$413,MATCH(US!GD$5,'Gasoline and electricity'!$I$1:$I$413,0),1)</f>
        <v>0.0853115727</v>
      </c>
      <c r="GE10" s="4">
        <f t="array" ref="GE10">$B$54*INDEX('Gasoline and electricity'!$H$1:$I$413,MATCH(US!GE$5,'Gasoline and electricity'!$I$1:$I$413,0),1)</f>
        <v>0.07383382789</v>
      </c>
      <c r="GF10" s="4">
        <f t="array" ref="GF10">$B$54*INDEX('Gasoline and electricity'!$H$1:$I$413,MATCH(US!GF$5,'Gasoline and electricity'!$I$1:$I$413,0),1)</f>
        <v>0.06070474777</v>
      </c>
      <c r="GG10" s="4">
        <f t="array" ref="GG10">$B$54*INDEX('Gasoline and electricity'!$H$1:$I$413,MATCH(US!GG$5,'Gasoline and electricity'!$I$1:$I$413,0),1)</f>
        <v>0.06385756677</v>
      </c>
      <c r="GH10" s="4">
        <f t="array" ref="GH10">$B$54*INDEX('Gasoline and electricity'!$H$1:$I$413,MATCH(US!GH$5,'Gasoline and electricity'!$I$1:$I$413,0),1)</f>
        <v>0.06979821958</v>
      </c>
      <c r="GI10" s="4">
        <f t="array" ref="GI10">$B$54*INDEX('Gasoline and electricity'!$H$1:$I$413,MATCH(US!GI$5,'Gasoline and electricity'!$I$1:$I$413,0),1)</f>
        <v>0.07029673591</v>
      </c>
      <c r="GJ10" s="4">
        <f t="array" ref="GJ10">$B$54*INDEX('Gasoline and electricity'!$H$1:$I$413,MATCH(US!GJ$5,'Gasoline and electricity'!$I$1:$I$413,0),1)</f>
        <v>0.07648367953</v>
      </c>
      <c r="GK10" s="4">
        <f t="array" ref="GK10">$B$54*INDEX('Gasoline and electricity'!$H$1:$I$413,MATCH(US!GK$5,'Gasoline and electricity'!$I$1:$I$413,0),1)</f>
        <v>0.08012462908</v>
      </c>
      <c r="GL10" s="4">
        <f t="array" ref="GL10">$B$54*INDEX('Gasoline and electricity'!$H$1:$I$413,MATCH(US!GL$5,'Gasoline and electricity'!$I$1:$I$413,0),1)</f>
        <v>0.07909495549</v>
      </c>
      <c r="GM10" s="4">
        <f t="array" ref="GM10">$B$54*INDEX('Gasoline and electricity'!$H$1:$I$413,MATCH(US!GM$5,'Gasoline and electricity'!$I$1:$I$413,0),1)</f>
        <v>0.07482492582</v>
      </c>
      <c r="GN10" s="4">
        <f t="array" ref="GN10">$B$54*INDEX('Gasoline and electricity'!$H$1:$I$413,MATCH(US!GN$5,'Gasoline and electricity'!$I$1:$I$413,0),1)</f>
        <v>0.0675074184</v>
      </c>
      <c r="GO10" s="4">
        <f t="array" ref="GO10">$B$54*INDEX('Gasoline and electricity'!$H$1:$I$413,MATCH(US!GO$5,'Gasoline and electricity'!$I$1:$I$413,0),1)</f>
        <v>0.06617952522</v>
      </c>
      <c r="GP10" s="4">
        <f t="array" ref="GP10">$B$54*INDEX('Gasoline and electricity'!$H$1:$I$413,MATCH(US!GP$5,'Gasoline and electricity'!$I$1:$I$413,0),1)</f>
        <v>0.06196439169</v>
      </c>
      <c r="GQ10" s="4">
        <f t="array" ref="GQ10">$B$54*INDEX('Gasoline and electricity'!$H$1:$I$413,MATCH(US!GQ$5,'Gasoline and electricity'!$I$1:$I$413,0),1)</f>
        <v>0.05774480712</v>
      </c>
      <c r="GR10" s="4">
        <f t="array" ref="GR10">$B$54*INDEX('Gasoline and electricity'!$H$1:$I$413,MATCH(US!GR$5,'Gasoline and electricity'!$I$1:$I$413,0),1)</f>
        <v>0.0546884273</v>
      </c>
      <c r="GS10" s="4">
        <f t="array" ref="GS10">$B$54*INDEX('Gasoline and electricity'!$H$1:$I$413,MATCH(US!GS$5,'Gasoline and electricity'!$I$1:$I$413,0),1)</f>
        <v>0.04988724036</v>
      </c>
      <c r="GT10" s="4">
        <f t="array" ref="GT10">$B$54*INDEX('Gasoline and electricity'!$H$1:$I$413,MATCH(US!GT$5,'Gasoline and electricity'!$I$1:$I$413,0),1)</f>
        <v>0.0562388724</v>
      </c>
      <c r="GU10" s="4">
        <f t="array" ref="GU10">$B$54*INDEX('Gasoline and electricity'!$H$1:$I$413,MATCH(US!GU$5,'Gasoline and electricity'!$I$1:$I$413,0),1)</f>
        <v>0.06014836795</v>
      </c>
      <c r="GV10" s="4">
        <f t="array" ref="GV10">$B$54*INDEX('Gasoline and electricity'!$H$1:$I$413,MATCH(US!GV$5,'Gasoline and electricity'!$I$1:$I$413,0),1)</f>
        <v>0.06526409496</v>
      </c>
      <c r="GW10" s="4">
        <f t="array" ref="GW10">$B$54*INDEX('Gasoline and electricity'!$H$1:$I$413,MATCH(US!GW$5,'Gasoline and electricity'!$I$1:$I$413,0),1)</f>
        <v>0.06833086053</v>
      </c>
      <c r="GX10" s="4">
        <f t="array" ref="GX10">$B$54*INDEX('Gasoline and electricity'!$H$1:$I$413,MATCH(US!GX$5,'Gasoline and electricity'!$I$1:$I$413,0),1)</f>
        <v>0.06401335312</v>
      </c>
      <c r="GY10" s="4">
        <f t="array" ref="GY10">$B$54*INDEX('Gasoline and electricity'!$H$1:$I$413,MATCH(US!GY$5,'Gasoline and electricity'!$I$1:$I$413,0),1)</f>
        <v>0.06289020772</v>
      </c>
      <c r="GZ10" s="4">
        <f t="array" ref="GZ10">$B$54*INDEX('Gasoline and electricity'!$H$1:$I$413,MATCH(US!GZ$5,'Gasoline and electricity'!$I$1:$I$413,0),1)</f>
        <v>0.06412462908</v>
      </c>
      <c r="HA10" s="4">
        <f t="array" ref="HA10">$B$54*INDEX('Gasoline and electricity'!$H$1:$I$413,MATCH(US!HA$5,'Gasoline and electricity'!$I$1:$I$413,0),1)</f>
        <v>0.06487833828</v>
      </c>
      <c r="HB10" s="4">
        <f t="array" ref="HB10">$B$54*INDEX('Gasoline and electricity'!$H$1:$I$413,MATCH(US!HB$5,'Gasoline and electricity'!$I$1:$I$413,0),1)</f>
        <v>0.06245548961</v>
      </c>
      <c r="HC10" s="4">
        <f t="array" ref="HC10">$B$54*INDEX('Gasoline and electricity'!$H$1:$I$413,MATCH(US!HC$5,'Gasoline and electricity'!$I$1:$I$413,0),1)</f>
        <v>0.06504451039</v>
      </c>
      <c r="HD10" s="4">
        <f t="array" ref="HD10">$B$54*INDEX('Gasoline and electricity'!$H$1:$I$413,MATCH(US!HD$5,'Gasoline and electricity'!$I$1:$I$413,0),1)</f>
        <v>0.06781602374</v>
      </c>
      <c r="HE10" s="4">
        <f t="array" ref="HE10">$B$54*INDEX('Gasoline and electricity'!$H$1:$I$413,MATCH(US!HE$5,'Gasoline and electricity'!$I$1:$I$413,0),1)</f>
        <v>0.06606824926</v>
      </c>
      <c r="HF10" s="4">
        <f t="array" ref="HF10">$B$54*INDEX('Gasoline and electricity'!$H$1:$I$413,MATCH(US!HF$5,'Gasoline and electricity'!$I$1:$I$413,0),1)</f>
        <v>0.0665578635</v>
      </c>
      <c r="HG10" s="4">
        <f t="array" ref="HG10">$B$54*INDEX('Gasoline and electricity'!$H$1:$I$413,MATCH(US!HG$5,'Gasoline and electricity'!$I$1:$I$413,0),1)</f>
        <v>0.06943620178</v>
      </c>
      <c r="HH10" s="4">
        <f t="array" ref="HH10">$B$54*INDEX('Gasoline and electricity'!$H$1:$I$413,MATCH(US!HH$5,'Gasoline and electricity'!$I$1:$I$413,0),1)</f>
        <v>0.06834421365</v>
      </c>
      <c r="HI10" s="4">
        <f t="array" ref="HI10">$B$54*INDEX('Gasoline and electricity'!$H$1:$I$413,MATCH(US!HI$5,'Gasoline and electricity'!$I$1:$I$413,0),1)</f>
        <v>0.06695845697</v>
      </c>
      <c r="HJ10" s="4">
        <f t="array" ref="HJ10">$B$54*INDEX('Gasoline and electricity'!$H$1:$I$413,MATCH(US!HJ$5,'Gasoline and electricity'!$I$1:$I$413,0),1)</f>
        <v>0.06560237389</v>
      </c>
      <c r="HK10" s="4">
        <f t="array" ref="HK10">$B$54*INDEX('Gasoline and electricity'!$H$1:$I$413,MATCH(US!HK$5,'Gasoline and electricity'!$I$1:$I$413,0),1)</f>
        <v>0.06814540059</v>
      </c>
      <c r="HL10" s="4">
        <f t="array" ref="HL10">$B$54*INDEX('Gasoline and electricity'!$H$1:$I$413,MATCH(US!HL$5,'Gasoline and electricity'!$I$1:$I$413,0),1)</f>
        <v>0.07626854599</v>
      </c>
      <c r="HM10" s="4">
        <f t="array" ref="HM10">$B$54*INDEX('Gasoline and electricity'!$H$1:$I$413,MATCH(US!HM$5,'Gasoline and electricity'!$I$1:$I$413,0),1)</f>
        <v>0.07209495549</v>
      </c>
      <c r="HN10" s="4">
        <f t="array" ref="HN10">$B$54*INDEX('Gasoline and electricity'!$H$1:$I$413,MATCH(US!HN$5,'Gasoline and electricity'!$I$1:$I$413,0),1)</f>
        <v>0.07341246291</v>
      </c>
      <c r="HO10" s="4">
        <f t="array" ref="HO10">$B$54*INDEX('Gasoline and electricity'!$H$1:$I$413,MATCH(US!HO$5,'Gasoline and electricity'!$I$1:$I$413,0),1)</f>
        <v>0.07086795252</v>
      </c>
      <c r="HP10" s="4">
        <f t="array" ref="HP10">$B$54*INDEX('Gasoline and electricity'!$H$1:$I$413,MATCH(US!HP$5,'Gasoline and electricity'!$I$1:$I$413,0),1)</f>
        <v>0.07321068249</v>
      </c>
      <c r="HQ10" s="4">
        <f t="array" ref="HQ10">$B$54*INDEX('Gasoline and electricity'!$H$1:$I$413,MATCH(US!HQ$5,'Gasoline and electricity'!$I$1:$I$413,0),1)</f>
        <v>0.07382789318</v>
      </c>
      <c r="HR10" s="4">
        <f t="array" ref="HR10">$B$54*INDEX('Gasoline and electricity'!$H$1:$I$413,MATCH(US!HR$5,'Gasoline and electricity'!$I$1:$I$413,0),1)</f>
        <v>0.07382789318</v>
      </c>
      <c r="HS10" s="4">
        <f t="array" ref="HS10">$B$54*INDEX('Gasoline and electricity'!$H$1:$I$413,MATCH(US!HS$5,'Gasoline and electricity'!$I$1:$I$413,0),1)</f>
        <v>0.07869436202</v>
      </c>
      <c r="HT10" s="4">
        <f t="array" ref="HT10">$B$54*INDEX('Gasoline and electricity'!$H$1:$I$413,MATCH(US!HT$5,'Gasoline and electricity'!$I$1:$I$413,0),1)</f>
        <v>0.08330860534</v>
      </c>
      <c r="HU10" s="4">
        <f t="array" ref="HU10">$B$54*INDEX('Gasoline and electricity'!$H$1:$I$413,MATCH(US!HU$5,'Gasoline and electricity'!$I$1:$I$413,0),1)</f>
        <v>0.0831305638</v>
      </c>
      <c r="HV10" s="4">
        <f t="array" ref="HV10">$B$54*INDEX('Gasoline and electricity'!$H$1:$I$413,MATCH(US!HV$5,'Gasoline and electricity'!$I$1:$I$413,0),1)</f>
        <v>0.08220771513</v>
      </c>
      <c r="HW10" s="4">
        <f t="array" ref="HW10">$B$54*INDEX('Gasoline and electricity'!$H$1:$I$413,MATCH(US!HW$5,'Gasoline and electricity'!$I$1:$I$413,0),1)</f>
        <v>0.08212908012</v>
      </c>
      <c r="HX10" s="4">
        <f t="array" ref="HX10">$B$54*INDEX('Gasoline and electricity'!$H$1:$I$413,MATCH(US!HX$5,'Gasoline and electricity'!$I$1:$I$413,0),1)</f>
        <v>0.08215133531</v>
      </c>
      <c r="HY10" s="4">
        <f t="array" ref="HY10">$B$54*INDEX('Gasoline and electricity'!$H$1:$I$413,MATCH(US!HY$5,'Gasoline and electricity'!$I$1:$I$413,0),1)</f>
        <v>0.08264688427</v>
      </c>
      <c r="HZ10" s="4">
        <f t="array" ref="HZ10">$B$54*INDEX('Gasoline and electricity'!$H$1:$I$413,MATCH(US!HZ$5,'Gasoline and electricity'!$I$1:$I$413,0),1)</f>
        <v>0.07599406528</v>
      </c>
      <c r="IA10" s="4">
        <f t="array" ref="IA10">$B$54*INDEX('Gasoline and electricity'!$H$1:$I$413,MATCH(US!IA$5,'Gasoline and electricity'!$I$1:$I$413,0),1)</f>
        <v>0.06715133531</v>
      </c>
      <c r="IB10" s="4">
        <f t="array" ref="IB10">$B$54*INDEX('Gasoline and electricity'!$H$1:$I$413,MATCH(US!IB$5,'Gasoline and electricity'!$I$1:$I$413,0),1)</f>
        <v>0.06364985163</v>
      </c>
      <c r="IC10" s="4">
        <f t="array" ref="IC10">$B$54*INDEX('Gasoline and electricity'!$H$1:$I$413,MATCH(US!IC$5,'Gasoline and electricity'!$I$1:$I$413,0),1)</f>
        <v>0.0659495549</v>
      </c>
      <c r="ID10" s="4">
        <f t="array" ref="ID10">$B$54*INDEX('Gasoline and electricity'!$H$1:$I$413,MATCH(US!ID$5,'Gasoline and electricity'!$I$1:$I$413,0),1)</f>
        <v>0.0724925816</v>
      </c>
      <c r="IE10" s="4">
        <f t="array" ref="IE10">$B$54*INDEX('Gasoline and electricity'!$H$1:$I$413,MATCH(US!IE$5,'Gasoline and electricity'!$I$1:$I$413,0),1)</f>
        <v>0.07994065282</v>
      </c>
      <c r="IF10" s="4">
        <f t="array" ref="IF10">$B$54*INDEX('Gasoline and electricity'!$H$1:$I$413,MATCH(US!IF$5,'Gasoline and electricity'!$I$1:$I$413,0),1)</f>
        <v>0.08104599407</v>
      </c>
      <c r="IG10" s="4">
        <f t="array" ref="IG10">$B$54*INDEX('Gasoline and electricity'!$H$1:$I$413,MATCH(US!IG$5,'Gasoline and electricity'!$I$1:$I$413,0),1)</f>
        <v>0.0771884273</v>
      </c>
      <c r="IH10" s="4">
        <f t="array" ref="IH10">$B$54*INDEX('Gasoline and electricity'!$H$1:$I$413,MATCH(US!IH$5,'Gasoline and electricity'!$I$1:$I$413,0),1)</f>
        <v>0.07835014837</v>
      </c>
      <c r="II10" s="4">
        <f t="array" ref="II10">$B$54*INDEX('Gasoline and electricity'!$H$1:$I$413,MATCH(US!II$5,'Gasoline and electricity'!$I$1:$I$413,0),1)</f>
        <v>0.07480712166</v>
      </c>
      <c r="IJ10" s="4">
        <f t="array" ref="IJ10">$B$54*INDEX('Gasoline and electricity'!$H$1:$I$413,MATCH(US!IJ$5,'Gasoline and electricity'!$I$1:$I$413,0),1)</f>
        <v>0.07385163205</v>
      </c>
      <c r="IK10" s="4">
        <f t="array" ref="IK10">$B$54*INDEX('Gasoline and electricity'!$H$1:$I$413,MATCH(US!IK$5,'Gasoline and electricity'!$I$1:$I$413,0),1)</f>
        <v>0.07410237389</v>
      </c>
      <c r="IL10" s="4">
        <f t="array" ref="IL10">$B$54*INDEX('Gasoline and electricity'!$H$1:$I$413,MATCH(US!IL$5,'Gasoline and electricity'!$I$1:$I$413,0),1)</f>
        <v>0.07359050445</v>
      </c>
      <c r="IM10" s="4">
        <f t="array" ref="IM10">$B$54*INDEX('Gasoline and electricity'!$H$1:$I$413,MATCH(US!IM$5,'Gasoline and electricity'!$I$1:$I$413,0),1)</f>
        <v>0.07327002967</v>
      </c>
      <c r="IN10" s="4">
        <f t="array" ref="IN10">$B$54*INDEX('Gasoline and electricity'!$H$1:$I$413,MATCH(US!IN$5,'Gasoline and electricity'!$I$1:$I$413,0),1)</f>
        <v>0.07296735905</v>
      </c>
      <c r="IO10" s="4">
        <f t="array" ref="IO10">$B$54*INDEX('Gasoline and electricity'!$H$1:$I$413,MATCH(US!IO$5,'Gasoline and electricity'!$I$1:$I$413,0),1)</f>
        <v>0.0696735905</v>
      </c>
      <c r="IP10" s="4">
        <f t="array" ref="IP10">$B$54*INDEX('Gasoline and electricity'!$H$1:$I$413,MATCH(US!IP$5,'Gasoline and electricity'!$I$1:$I$413,0),1)</f>
        <v>0.06307418398</v>
      </c>
      <c r="IQ10" s="4">
        <f t="array" ref="IQ10">$B$54*INDEX('Gasoline and electricity'!$H$1:$I$413,MATCH(US!IQ$5,'Gasoline and electricity'!$I$1:$I$413,0),1)</f>
        <v>0.05106824926</v>
      </c>
      <c r="IR10" s="4">
        <f t="array" ref="IR10">$B$54*INDEX('Gasoline and electricity'!$H$1:$I$413,MATCH(US!IR$5,'Gasoline and electricity'!$I$1:$I$413,0),1)</f>
        <v>0.0524925816</v>
      </c>
      <c r="IS10" s="4">
        <f t="array" ref="IS10">$B$54*INDEX('Gasoline and electricity'!$H$1:$I$413,MATCH(US!IS$5,'Gasoline and electricity'!$I$1:$I$413,0),1)</f>
        <v>0.05928189911</v>
      </c>
      <c r="IT10" s="4">
        <f t="array" ref="IT10">$B$54*INDEX('Gasoline and electricity'!$H$1:$I$413,MATCH(US!IT$5,'Gasoline and electricity'!$I$1:$I$413,0),1)</f>
        <v>0.06229228487</v>
      </c>
      <c r="IU10" s="4">
        <f t="array" ref="IU10">$B$54*INDEX('Gasoline and electricity'!$H$1:$I$413,MATCH(US!IU$5,'Gasoline and electricity'!$I$1:$I$413,0),1)</f>
        <v>0.06210682493</v>
      </c>
      <c r="IV10" s="4">
        <f t="array" ref="IV10">$B$54*INDEX('Gasoline and electricity'!$H$1:$I$413,MATCH(US!IV$5,'Gasoline and electricity'!$I$1:$I$413,0),1)</f>
        <v>0.06215875371</v>
      </c>
      <c r="IW10" s="4">
        <f t="array" ref="IW10">$B$54*INDEX('Gasoline and electricity'!$H$1:$I$413,MATCH(US!IW$5,'Gasoline and electricity'!$I$1:$I$413,0),1)</f>
        <v>0.06151335312</v>
      </c>
      <c r="IX10" s="4">
        <f t="array" ref="IX10">$B$54*INDEX('Gasoline and electricity'!$H$1:$I$413,MATCH(US!IX$5,'Gasoline and electricity'!$I$1:$I$413,0),1)</f>
        <v>0.05978635015</v>
      </c>
      <c r="IY10" s="4">
        <f t="array" ref="IY10">$B$54*INDEX('Gasoline and electricity'!$H$1:$I$413,MATCH(US!IY$5,'Gasoline and electricity'!$I$1:$I$413,0),1)</f>
        <v>0.06247032641</v>
      </c>
      <c r="IZ10" s="4">
        <f t="array" ref="IZ10">$B$54*INDEX('Gasoline and electricity'!$H$1:$I$413,MATCH(US!IZ$5,'Gasoline and electricity'!$I$1:$I$413,0),1)</f>
        <v>0.06658011869</v>
      </c>
      <c r="JA10" s="4">
        <f t="array" ref="JA10">$B$54*INDEX('Gasoline and electricity'!$H$1:$I$413,MATCH(US!JA$5,'Gasoline and electricity'!$I$1:$I$413,0),1)</f>
        <v>0.0715578635</v>
      </c>
      <c r="JB10" s="4">
        <f t="array" ref="JB10">$B$54*INDEX('Gasoline and electricity'!$H$1:$I$413,MATCH(US!JB$5,'Gasoline and electricity'!$I$1:$I$413,0),1)</f>
        <v>0.08086646884</v>
      </c>
      <c r="JC10" s="4">
        <f t="array" ref="JC10">$B$54*INDEX('Gasoline and electricity'!$H$1:$I$413,MATCH(US!JC$5,'Gasoline and electricity'!$I$1:$I$413,0),1)</f>
        <v>0.08221810089</v>
      </c>
      <c r="JD10" s="4">
        <f t="array" ref="JD10">$B$54*INDEX('Gasoline and electricity'!$H$1:$I$413,MATCH(US!JD$5,'Gasoline and electricity'!$I$1:$I$413,0),1)</f>
        <v>0.08560830861</v>
      </c>
      <c r="JE10" s="4">
        <f t="array" ref="JE10">$B$54*INDEX('Gasoline and electricity'!$H$1:$I$413,MATCH(US!JE$5,'Gasoline and electricity'!$I$1:$I$413,0),1)</f>
        <v>0.08795252226</v>
      </c>
      <c r="JF10" s="4">
        <f t="array" ref="JF10">$B$54*INDEX('Gasoline and electricity'!$H$1:$I$413,MATCH(US!JF$5,'Gasoline and electricity'!$I$1:$I$413,0),1)</f>
        <v>0.0903264095</v>
      </c>
      <c r="JG10" s="4">
        <f t="array" ref="JG10">$B$54*INDEX('Gasoline and electricity'!$H$1:$I$413,MATCH(US!JG$5,'Gasoline and electricity'!$I$1:$I$413,0),1)</f>
        <v>0.09084866469</v>
      </c>
      <c r="JH10" s="4">
        <f t="array" ref="JH10">$B$54*INDEX('Gasoline and electricity'!$H$1:$I$413,MATCH(US!JH$5,'Gasoline and electricity'!$I$1:$I$413,0),1)</f>
        <v>0.09140949555</v>
      </c>
      <c r="JI10" s="4">
        <f t="array" ref="JI10">$B$54*INDEX('Gasoline and electricity'!$H$1:$I$413,MATCH(US!JI$5,'Gasoline and electricity'!$I$1:$I$413,0),1)</f>
        <v>0.09473293769</v>
      </c>
      <c r="JJ10" s="4">
        <f t="array" ref="JJ10">$B$54*INDEX('Gasoline and electricity'!$H$1:$I$413,MATCH(US!JJ$5,'Gasoline and electricity'!$I$1:$I$413,0),1)</f>
        <v>0.0971810089</v>
      </c>
      <c r="JK10" s="4">
        <f t="array" ref="JK10">$B$54*INDEX('Gasoline and electricity'!$H$1:$I$413,MATCH(US!JK$5,'Gasoline and electricity'!$I$1:$I$413,0),1)</f>
        <v>0.09400593472</v>
      </c>
      <c r="JL10" s="4">
        <f t="array" ref="JL10">$B$54*INDEX('Gasoline and electricity'!$H$1:$I$413,MATCH(US!JL$5,'Gasoline and electricity'!$I$1:$I$413,0),1)</f>
        <v>0.09456973294</v>
      </c>
      <c r="JM10" s="4">
        <f t="array" ref="JM10">$B$54*INDEX('Gasoline and electricity'!$H$1:$I$413,MATCH(US!JM$5,'Gasoline and electricity'!$I$1:$I$413,0),1)</f>
        <v>0.1008753709</v>
      </c>
      <c r="JN10" s="4">
        <f t="array" ref="JN10">$B$54*INDEX('Gasoline and electricity'!$H$1:$I$413,MATCH(US!JN$5,'Gasoline and electricity'!$I$1:$I$413,0),1)</f>
        <v>0.1210089021</v>
      </c>
      <c r="JO10" s="4">
        <f t="array" ref="JO10">$B$54*INDEX('Gasoline and electricity'!$H$1:$I$413,MATCH(US!JO$5,'Gasoline and electricity'!$I$1:$I$413,0),1)</f>
        <v>0.1174925816</v>
      </c>
      <c r="JP10" s="4">
        <f t="array" ref="JP10">$B$54*INDEX('Gasoline and electricity'!$H$1:$I$413,MATCH(US!JP$5,'Gasoline and electricity'!$I$1:$I$413,0),1)</f>
        <v>0.1267715134</v>
      </c>
      <c r="JQ10" s="4">
        <f t="array" ref="JQ10">$B$54*INDEX('Gasoline and electricity'!$H$1:$I$413,MATCH(US!JQ$5,'Gasoline and electricity'!$I$1:$I$413,0),1)</f>
        <v>0.1413501484</v>
      </c>
      <c r="JR10" s="4">
        <f t="array" ref="JR10">$B$54*INDEX('Gasoline and electricity'!$H$1:$I$413,MATCH(US!JR$5,'Gasoline and electricity'!$I$1:$I$413,0),1)</f>
        <v>0.1309569733</v>
      </c>
      <c r="JS10" s="4">
        <f t="array" ref="JS10">$B$54*INDEX('Gasoline and electricity'!$H$1:$I$413,MATCH(US!JS$5,'Gasoline and electricity'!$I$1:$I$413,0),1)</f>
        <v>0.1134005935</v>
      </c>
      <c r="JT10" s="4">
        <f t="array" ref="JT10">$B$54*INDEX('Gasoline and electricity'!$H$1:$I$413,MATCH(US!JT$5,'Gasoline and electricity'!$I$1:$I$413,0),1)</f>
        <v>0.1057121662</v>
      </c>
      <c r="JU10" s="4">
        <f t="array" ref="JU10">$B$54*INDEX('Gasoline and electricity'!$H$1:$I$413,MATCH(US!JU$5,'Gasoline and electricity'!$I$1:$I$413,0),1)</f>
        <v>0.1079287834</v>
      </c>
      <c r="JV10" s="4">
        <f t="array" ref="JV10">$B$54*INDEX('Gasoline and electricity'!$H$1:$I$413,MATCH(US!JV$5,'Gasoline and electricity'!$I$1:$I$413,0),1)</f>
        <v>0.1047551929</v>
      </c>
      <c r="JW10" s="4">
        <f t="array" ref="JW10">$B$54*INDEX('Gasoline and electricity'!$H$1:$I$413,MATCH(US!JW$5,'Gasoline and electricity'!$I$1:$I$413,0),1)</f>
        <v>0.09149851632</v>
      </c>
      <c r="JX10" s="4">
        <f t="array" ref="JX10">$B$54*INDEX('Gasoline and electricity'!$H$1:$I$413,MATCH(US!JX$5,'Gasoline and electricity'!$I$1:$I$413,0),1)</f>
        <v>0.09656973294</v>
      </c>
      <c r="JY10" s="4">
        <f t="array" ref="JY10">$B$54*INDEX('Gasoline and electricity'!$H$1:$I$413,MATCH(US!JY$5,'Gasoline and electricity'!$I$1:$I$413,0),1)</f>
        <v>0.09804154303</v>
      </c>
      <c r="JZ10" s="4">
        <f t="array" ref="JZ10">$B$54*INDEX('Gasoline and electricity'!$H$1:$I$413,MATCH(US!JZ$5,'Gasoline and electricity'!$I$1:$I$413,0),1)</f>
        <v>0.09839020772</v>
      </c>
      <c r="KA10" s="4">
        <f t="array" ref="KA10">$B$54*INDEX('Gasoline and electricity'!$H$1:$I$413,MATCH(US!KA$5,'Gasoline and electricity'!$I$1:$I$413,0),1)</f>
        <v>0.1036498516</v>
      </c>
      <c r="KB10" s="4">
        <f t="array" ref="KB10">$B$54*INDEX('Gasoline and electricity'!$H$1:$I$413,MATCH(US!KB$5,'Gasoline and electricity'!$I$1:$I$413,0),1)</f>
        <v>0.1018456973</v>
      </c>
      <c r="KC10" s="4">
        <f t="array" ref="KC10">$B$54*INDEX('Gasoline and electricity'!$H$1:$I$413,MATCH(US!KC$5,'Gasoline and electricity'!$I$1:$I$413,0),1)</f>
        <v>0.1022477745</v>
      </c>
      <c r="KD10" s="4">
        <f t="array" ref="KD10">$B$54*INDEX('Gasoline and electricity'!$H$1:$I$413,MATCH(US!KD$5,'Gasoline and electricity'!$I$1:$I$413,0),1)</f>
        <v>0.1031691395</v>
      </c>
      <c r="KE10" s="4">
        <f t="array" ref="KE10">$B$54*INDEX('Gasoline and electricity'!$H$1:$I$413,MATCH(US!KE$5,'Gasoline and electricity'!$I$1:$I$413,0),1)</f>
        <v>0.1105860534</v>
      </c>
      <c r="KF10" s="4">
        <f t="array" ref="KF10">$B$54*INDEX('Gasoline and electricity'!$H$1:$I$413,MATCH(US!KF$5,'Gasoline and electricity'!$I$1:$I$413,0),1)</f>
        <v>0.1094881306</v>
      </c>
      <c r="KG10" s="4">
        <f t="array" ref="KG10">$B$54*INDEX('Gasoline and electricity'!$H$1:$I$413,MATCH(US!KG$5,'Gasoline and electricity'!$I$1:$I$413,0),1)</f>
        <v>0.1020593472</v>
      </c>
      <c r="KH10" s="4">
        <f t="array" ref="KH10">$B$54*INDEX('Gasoline and electricity'!$H$1:$I$413,MATCH(US!KH$5,'Gasoline and electricity'!$I$1:$I$413,0),1)</f>
        <v>0.09413204748</v>
      </c>
      <c r="KI10" s="4">
        <f t="array" ref="KI10">$B$54*INDEX('Gasoline and electricity'!$H$1:$I$413,MATCH(US!KI$5,'Gasoline and electricity'!$I$1:$I$413,0),1)</f>
        <v>0.08942136499</v>
      </c>
      <c r="KJ10" s="4">
        <f t="array" ref="KJ10">$B$54*INDEX('Gasoline and electricity'!$H$1:$I$413,MATCH(US!KJ$5,'Gasoline and electricity'!$I$1:$I$413,0),1)</f>
        <v>0.0877388724</v>
      </c>
      <c r="KK10" s="4">
        <f t="array" ref="KK10">$B$54*INDEX('Gasoline and electricity'!$H$1:$I$413,MATCH(US!KK$5,'Gasoline and electricity'!$I$1:$I$413,0),1)</f>
        <v>0.09204747774</v>
      </c>
      <c r="KL10" s="4">
        <f t="array" ref="KL10">$B$54*INDEX('Gasoline and electricity'!$H$1:$I$413,MATCH(US!KL$5,'Gasoline and electricity'!$I$1:$I$413,0),1)</f>
        <v>0.0984421365</v>
      </c>
      <c r="KM10" s="4">
        <f t="array" ref="KM10">$B$54*INDEX('Gasoline and electricity'!$H$1:$I$413,MATCH(US!KM$5,'Gasoline and electricity'!$I$1:$I$413,0),1)</f>
        <v>0.1028605341</v>
      </c>
      <c r="KN10" s="4">
        <f t="array" ref="KN10">$B$54*INDEX('Gasoline and electricity'!$H$1:$I$413,MATCH(US!KN$5,'Gasoline and electricity'!$I$1:$I$413,0),1)</f>
        <v>0.1026335312</v>
      </c>
      <c r="KO10" s="4">
        <f t="array" ref="KO10">$B$54*INDEX('Gasoline and electricity'!$H$1:$I$413,MATCH(US!KO$5,'Gasoline and electricity'!$I$1:$I$413,0),1)</f>
        <v>0.09870178042</v>
      </c>
      <c r="KP10" s="4">
        <f t="array" ref="KP10">$B$54*INDEX('Gasoline and electricity'!$H$1:$I$413,MATCH(US!KP$5,'Gasoline and electricity'!$I$1:$I$413,0),1)</f>
        <v>0.1002255193</v>
      </c>
      <c r="KQ10" s="4">
        <f t="array" ref="KQ10">$B$54*INDEX('Gasoline and electricity'!$H$1:$I$413,MATCH(US!KQ$5,'Gasoline and electricity'!$I$1:$I$413,0),1)</f>
        <v>0.09778189911</v>
      </c>
      <c r="KR10" s="4">
        <f t="array" ref="KR10">$B$54*INDEX('Gasoline and electricity'!$H$1:$I$413,MATCH(US!KR$5,'Gasoline and electricity'!$I$1:$I$413,0),1)</f>
        <v>0.09216023739</v>
      </c>
      <c r="KS10" s="4">
        <f t="array" ref="KS10">$B$54*INDEX('Gasoline and electricity'!$H$1:$I$413,MATCH(US!KS$5,'Gasoline and electricity'!$I$1:$I$413,0),1)</f>
        <v>0.09008902077</v>
      </c>
      <c r="KT10" s="4">
        <f t="array" ref="KT10">$B$54*INDEX('Gasoline and electricity'!$H$1:$I$413,MATCH(US!KT$5,'Gasoline and electricity'!$I$1:$I$413,0),1)</f>
        <v>0.08790306627</v>
      </c>
    </row>
    <row r="11" ht="12.75" customHeight="1">
      <c r="A11" s="1" t="s">
        <v>31</v>
      </c>
      <c r="B11" s="3" t="s">
        <v>32</v>
      </c>
      <c r="C11" s="1" t="s">
        <v>28</v>
      </c>
      <c r="D11" s="4"/>
      <c r="E11" s="4"/>
      <c r="F11" s="5" t="s">
        <v>29</v>
      </c>
      <c r="G11" s="7" t="s">
        <v>33</v>
      </c>
      <c r="H11" s="4">
        <f t="array" ref="H11">INDEX('Gasoline and electricity'!$K$1:$L$553,MATCH(US!H$5,'Gasoline and electricity'!$K$1:$K$553,0),2)</f>
        <v>0.084</v>
      </c>
      <c r="I11" s="4">
        <f t="array" ref="I11">INDEX('Gasoline and electricity'!$K$1:$L$553,MATCH(US!I$5,'Gasoline and electricity'!$K$1:$K$553,0),2)</f>
        <v>0.085</v>
      </c>
      <c r="J11" s="4">
        <f t="array" ref="J11">INDEX('Gasoline and electricity'!$K$1:$L$553,MATCH(US!J$5,'Gasoline and electricity'!$K$1:$K$553,0),2)</f>
        <v>0.085</v>
      </c>
      <c r="K11" s="4">
        <f t="array" ref="K11">INDEX('Gasoline and electricity'!$K$1:$L$553,MATCH(US!K$5,'Gasoline and electricity'!$K$1:$K$553,0),2)</f>
        <v>0.085</v>
      </c>
      <c r="L11" s="4">
        <f t="array" ref="L11">INDEX('Gasoline and electricity'!$K$1:$L$553,MATCH(US!L$5,'Gasoline and electricity'!$K$1:$K$553,0),2)</f>
        <v>0.085</v>
      </c>
      <c r="M11" s="4">
        <f t="array" ref="M11">INDEX('Gasoline and electricity'!$K$1:$L$553,MATCH(US!M$5,'Gasoline and electricity'!$K$1:$K$553,0),2)</f>
        <v>0.09</v>
      </c>
      <c r="N11" s="4">
        <f t="array" ref="N11">INDEX('Gasoline and electricity'!$K$1:$L$553,MATCH(US!N$5,'Gasoline and electricity'!$K$1:$K$553,0),2)</f>
        <v>0.091</v>
      </c>
      <c r="O11" s="4">
        <f t="array" ref="O11">INDEX('Gasoline and electricity'!$K$1:$L$553,MATCH(US!O$5,'Gasoline and electricity'!$K$1:$K$553,0),2)</f>
        <v>0.091</v>
      </c>
      <c r="P11" s="4">
        <f t="array" ref="P11">INDEX('Gasoline and electricity'!$K$1:$L$553,MATCH(US!P$5,'Gasoline and electricity'!$K$1:$K$553,0),2)</f>
        <v>0.091</v>
      </c>
      <c r="Q11" s="4">
        <f t="array" ref="Q11">INDEX('Gasoline and electricity'!$K$1:$L$553,MATCH(US!Q$5,'Gasoline and electricity'!$K$1:$K$553,0),2)</f>
        <v>0.088</v>
      </c>
      <c r="R11" s="4">
        <f t="array" ref="R11">INDEX('Gasoline and electricity'!$K$1:$L$553,MATCH(US!R$5,'Gasoline and electricity'!$K$1:$K$553,0),2)</f>
        <v>0.086</v>
      </c>
      <c r="S11" s="4">
        <f t="array" ref="S11">INDEX('Gasoline and electricity'!$K$1:$L$553,MATCH(US!S$5,'Gasoline and electricity'!$K$1:$K$553,0),2)</f>
        <v>0.086</v>
      </c>
      <c r="T11" s="4">
        <f t="array" ref="T11">INDEX('Gasoline and electricity'!$K$1:$L$553,MATCH(US!T$5,'Gasoline and electricity'!$K$1:$K$553,0),2)</f>
        <v>0.088</v>
      </c>
      <c r="U11" s="4">
        <f t="array" ref="U11">INDEX('Gasoline and electricity'!$K$1:$L$553,MATCH(US!U$5,'Gasoline and electricity'!$K$1:$K$553,0),2)</f>
        <v>0.088</v>
      </c>
      <c r="V11" s="4">
        <f t="array" ref="V11">INDEX('Gasoline and electricity'!$K$1:$L$553,MATCH(US!V$5,'Gasoline and electricity'!$K$1:$K$553,0),2)</f>
        <v>0.089</v>
      </c>
      <c r="W11" s="4">
        <f t="array" ref="W11">INDEX('Gasoline and electricity'!$K$1:$L$553,MATCH(US!W$5,'Gasoline and electricity'!$K$1:$K$553,0),2)</f>
        <v>0.089</v>
      </c>
      <c r="X11" s="4">
        <f t="array" ref="X11">INDEX('Gasoline and electricity'!$K$1:$L$553,MATCH(US!X$5,'Gasoline and electricity'!$K$1:$K$553,0),2)</f>
        <v>0.09</v>
      </c>
      <c r="Y11" s="4">
        <f t="array" ref="Y11">INDEX('Gasoline and electricity'!$K$1:$L$553,MATCH(US!Y$5,'Gasoline and electricity'!$K$1:$K$553,0),2)</f>
        <v>0.097</v>
      </c>
      <c r="Z11" s="4">
        <f t="array" ref="Z11">INDEX('Gasoline and electricity'!$K$1:$L$553,MATCH(US!Z$5,'Gasoline and electricity'!$K$1:$K$553,0),2)</f>
        <v>0.099</v>
      </c>
      <c r="AA11" s="4">
        <f t="array" ref="AA11">INDEX('Gasoline and electricity'!$K$1:$L$553,MATCH(US!AA$5,'Gasoline and electricity'!$K$1:$K$553,0),2)</f>
        <v>0.098</v>
      </c>
      <c r="AB11" s="4">
        <f t="array" ref="AB11">INDEX('Gasoline and electricity'!$K$1:$L$553,MATCH(US!AB$5,'Gasoline and electricity'!$K$1:$K$553,0),2)</f>
        <v>0.097</v>
      </c>
      <c r="AC11" s="4">
        <f t="array" ref="AC11">INDEX('Gasoline and electricity'!$K$1:$L$553,MATCH(US!AC$5,'Gasoline and electricity'!$K$1:$K$553,0),2)</f>
        <v>0.093</v>
      </c>
      <c r="AD11" s="4">
        <f t="array" ref="AD11">INDEX('Gasoline and electricity'!$K$1:$L$553,MATCH(US!AD$5,'Gasoline and electricity'!$K$1:$K$553,0),2)</f>
        <v>0.09</v>
      </c>
      <c r="AE11" s="4">
        <f t="array" ref="AE11">INDEX('Gasoline and electricity'!$K$1:$L$553,MATCH(US!AE$5,'Gasoline and electricity'!$K$1:$K$553,0),2)</f>
        <v>0.09</v>
      </c>
      <c r="AF11" s="4">
        <f t="array" ref="AF11">INDEX('Gasoline and electricity'!$K$1:$L$553,MATCH(US!AF$5,'Gasoline and electricity'!$K$1:$K$553,0),2)</f>
        <v>0.089</v>
      </c>
      <c r="AG11" s="4">
        <f t="array" ref="AG11">INDEX('Gasoline and electricity'!$K$1:$L$553,MATCH(US!AG$5,'Gasoline and electricity'!$K$1:$K$553,0),2)</f>
        <v>0.089</v>
      </c>
      <c r="AH11" s="4">
        <f t="array" ref="AH11">INDEX('Gasoline and electricity'!$K$1:$L$553,MATCH(US!AH$5,'Gasoline and electricity'!$K$1:$K$553,0),2)</f>
        <v>0.089</v>
      </c>
      <c r="AI11" s="4">
        <f t="array" ref="AI11">INDEX('Gasoline and electricity'!$K$1:$L$553,MATCH(US!AI$5,'Gasoline and electricity'!$K$1:$K$553,0),2)</f>
        <v>0.088</v>
      </c>
      <c r="AJ11" s="4">
        <f t="array" ref="AJ11">INDEX('Gasoline and electricity'!$K$1:$L$553,MATCH(US!AJ$5,'Gasoline and electricity'!$K$1:$K$553,0),2)</f>
        <v>0.089</v>
      </c>
      <c r="AK11" s="4">
        <f t="array" ref="AK11">INDEX('Gasoline and electricity'!$K$1:$L$553,MATCH(US!AK$5,'Gasoline and electricity'!$K$1:$K$553,0),2)</f>
        <v>0.095</v>
      </c>
      <c r="AL11" s="4">
        <f t="array" ref="AL11">INDEX('Gasoline and electricity'!$K$1:$L$553,MATCH(US!AL$5,'Gasoline and electricity'!$K$1:$K$553,0),2)</f>
        <v>0.095</v>
      </c>
      <c r="AM11" s="4">
        <f t="array" ref="AM11">INDEX('Gasoline and electricity'!$K$1:$L$553,MATCH(US!AM$5,'Gasoline and electricity'!$K$1:$K$553,0),2)</f>
        <v>0.095</v>
      </c>
      <c r="AN11" s="4">
        <f t="array" ref="AN11">INDEX('Gasoline and electricity'!$K$1:$L$553,MATCH(US!AN$5,'Gasoline and electricity'!$K$1:$K$553,0),2)</f>
        <v>0.095</v>
      </c>
      <c r="AO11" s="4">
        <f t="array" ref="AO11">INDEX('Gasoline and electricity'!$K$1:$L$553,MATCH(US!AO$5,'Gasoline and electricity'!$K$1:$K$553,0),2)</f>
        <v>0.091</v>
      </c>
      <c r="AP11" s="4">
        <f t="array" ref="AP11">INDEX('Gasoline and electricity'!$K$1:$L$553,MATCH(US!AP$5,'Gasoline and electricity'!$K$1:$K$553,0),2)</f>
        <v>0.089</v>
      </c>
      <c r="AQ11" s="4">
        <f t="array" ref="AQ11">INDEX('Gasoline and electricity'!$K$1:$L$553,MATCH(US!AQ$5,'Gasoline and electricity'!$K$1:$K$553,0),2)</f>
        <v>0.089</v>
      </c>
      <c r="AR11" s="4">
        <f t="array" ref="AR11">INDEX('Gasoline and electricity'!$K$1:$L$553,MATCH(US!AR$5,'Gasoline and electricity'!$K$1:$K$553,0),2)</f>
        <v>0.089</v>
      </c>
      <c r="AS11" s="4">
        <f t="array" ref="AS11">INDEX('Gasoline and electricity'!$K$1:$L$553,MATCH(US!AS$5,'Gasoline and electricity'!$K$1:$K$553,0),2)</f>
        <v>0.089</v>
      </c>
      <c r="AT11" s="4">
        <f t="array" ref="AT11">INDEX('Gasoline and electricity'!$K$1:$L$553,MATCH(US!AT$5,'Gasoline and electricity'!$K$1:$K$553,0),2)</f>
        <v>0.089</v>
      </c>
      <c r="AU11" s="4">
        <f t="array" ref="AU11">INDEX('Gasoline and electricity'!$K$1:$L$553,MATCH(US!AU$5,'Gasoline and electricity'!$K$1:$K$553,0),2)</f>
        <v>0.091</v>
      </c>
      <c r="AV11" s="4">
        <f t="array" ref="AV11">INDEX('Gasoline and electricity'!$K$1:$L$553,MATCH(US!AV$5,'Gasoline and electricity'!$K$1:$K$553,0),2)</f>
        <v>0.092</v>
      </c>
      <c r="AW11" s="4">
        <f t="array" ref="AW11">INDEX('Gasoline and electricity'!$K$1:$L$553,MATCH(US!AW$5,'Gasoline and electricity'!$K$1:$K$553,0),2)</f>
        <v>0.097</v>
      </c>
      <c r="AX11" s="4">
        <f t="array" ref="AX11">INDEX('Gasoline and electricity'!$K$1:$L$553,MATCH(US!AX$5,'Gasoline and electricity'!$K$1:$K$553,0),2)</f>
        <v>0.098</v>
      </c>
      <c r="AY11" s="4">
        <f t="array" ref="AY11">INDEX('Gasoline and electricity'!$K$1:$L$553,MATCH(US!AY$5,'Gasoline and electricity'!$K$1:$K$553,0),2)</f>
        <v>0.098</v>
      </c>
      <c r="AZ11" s="4">
        <f t="array" ref="AZ11">INDEX('Gasoline and electricity'!$K$1:$L$553,MATCH(US!AZ$5,'Gasoline and electricity'!$K$1:$K$553,0),2)</f>
        <v>0.098</v>
      </c>
      <c r="BA11" s="4">
        <f t="array" ref="BA11">INDEX('Gasoline and electricity'!$K$1:$L$553,MATCH(US!BA$5,'Gasoline and electricity'!$K$1:$K$553,0),2)</f>
        <v>0.093</v>
      </c>
      <c r="BB11" s="4">
        <f t="array" ref="BB11">INDEX('Gasoline and electricity'!$K$1:$L$553,MATCH(US!BB$5,'Gasoline and electricity'!$K$1:$K$553,0),2)</f>
        <v>0.09</v>
      </c>
      <c r="BC11" s="4">
        <f t="array" ref="BC11">INDEX('Gasoline and electricity'!$K$1:$L$553,MATCH(US!BC$5,'Gasoline and electricity'!$K$1:$K$553,0),2)</f>
        <v>0.09</v>
      </c>
      <c r="BD11" s="4">
        <f t="array" ref="BD11">INDEX('Gasoline and electricity'!$K$1:$L$553,MATCH(US!BD$5,'Gasoline and electricity'!$K$1:$K$553,0),2)</f>
        <v>0.091</v>
      </c>
      <c r="BE11" s="4">
        <f t="array" ref="BE11">INDEX('Gasoline and electricity'!$K$1:$L$553,MATCH(US!BE$5,'Gasoline and electricity'!$K$1:$K$553,0),2)</f>
        <v>0.091</v>
      </c>
      <c r="BF11" s="4">
        <f t="array" ref="BF11">INDEX('Gasoline and electricity'!$K$1:$L$553,MATCH(US!BF$5,'Gasoline and electricity'!$K$1:$K$553,0),2)</f>
        <v>0.091</v>
      </c>
      <c r="BG11" s="4">
        <f t="array" ref="BG11">INDEX('Gasoline and electricity'!$K$1:$L$553,MATCH(US!BG$5,'Gasoline and electricity'!$K$1:$K$553,0),2)</f>
        <v>0.091</v>
      </c>
      <c r="BH11" s="4">
        <f t="array" ref="BH11">INDEX('Gasoline and electricity'!$K$1:$L$553,MATCH(US!BH$5,'Gasoline and electricity'!$K$1:$K$553,0),2)</f>
        <v>0.093</v>
      </c>
      <c r="BI11" s="4">
        <f t="array" ref="BI11">INDEX('Gasoline and electricity'!$K$1:$L$553,MATCH(US!BI$5,'Gasoline and electricity'!$K$1:$K$553,0),2)</f>
        <v>0.099</v>
      </c>
      <c r="BJ11" s="4">
        <f t="array" ref="BJ11">INDEX('Gasoline and electricity'!$K$1:$L$553,MATCH(US!BJ$5,'Gasoline and electricity'!$K$1:$K$553,0),2)</f>
        <v>0.099</v>
      </c>
      <c r="BK11" s="4">
        <f t="array" ref="BK11">INDEX('Gasoline and electricity'!$K$1:$L$553,MATCH(US!BK$5,'Gasoline and electricity'!$K$1:$K$553,0),2)</f>
        <v>0.1</v>
      </c>
      <c r="BL11" s="4">
        <f t="array" ref="BL11">INDEX('Gasoline and electricity'!$K$1:$L$553,MATCH(US!BL$5,'Gasoline and electricity'!$K$1:$K$553,0),2)</f>
        <v>0.099</v>
      </c>
      <c r="BM11" s="4">
        <f t="array" ref="BM11">INDEX('Gasoline and electricity'!$K$1:$L$553,MATCH(US!BM$5,'Gasoline and electricity'!$K$1:$K$553,0),2)</f>
        <v>0.094</v>
      </c>
      <c r="BN11" s="4">
        <f t="array" ref="BN11">INDEX('Gasoline and electricity'!$K$1:$L$553,MATCH(US!BN$5,'Gasoline and electricity'!$K$1:$K$553,0),2)</f>
        <v>0.092</v>
      </c>
      <c r="BO11" s="4">
        <f t="array" ref="BO11">INDEX('Gasoline and electricity'!$K$1:$L$553,MATCH(US!BO$5,'Gasoline and electricity'!$K$1:$K$553,0),2)</f>
        <v>0.092</v>
      </c>
      <c r="BP11" s="4">
        <f t="array" ref="BP11">INDEX('Gasoline and electricity'!$K$1:$L$553,MATCH(US!BP$5,'Gasoline and electricity'!$K$1:$K$553,0),2)</f>
        <v>0.094</v>
      </c>
      <c r="BQ11" s="4">
        <f t="array" ref="BQ11">INDEX('Gasoline and electricity'!$K$1:$L$553,MATCH(US!BQ$5,'Gasoline and electricity'!$K$1:$K$553,0),2)</f>
        <v>0.094</v>
      </c>
      <c r="BR11" s="4">
        <f t="array" ref="BR11">INDEX('Gasoline and electricity'!$K$1:$L$553,MATCH(US!BR$5,'Gasoline and electricity'!$K$1:$K$553,0),2)</f>
        <v>0.094</v>
      </c>
      <c r="BS11" s="4">
        <f t="array" ref="BS11">INDEX('Gasoline and electricity'!$K$1:$L$553,MATCH(US!BS$5,'Gasoline and electricity'!$K$1:$K$553,0),2)</f>
        <v>0.095</v>
      </c>
      <c r="BT11" s="4">
        <f t="array" ref="BT11">INDEX('Gasoline and electricity'!$K$1:$L$553,MATCH(US!BT$5,'Gasoline and electricity'!$K$1:$K$553,0),2)</f>
        <v>0.097</v>
      </c>
      <c r="BU11" s="4">
        <f t="array" ref="BU11">INDEX('Gasoline and electricity'!$K$1:$L$553,MATCH(US!BU$5,'Gasoline and electricity'!$K$1:$K$553,0),2)</f>
        <v>0.104</v>
      </c>
      <c r="BV11" s="4">
        <f t="array" ref="BV11">INDEX('Gasoline and electricity'!$K$1:$L$553,MATCH(US!BV$5,'Gasoline and electricity'!$K$1:$K$553,0),2)</f>
        <v>0.105</v>
      </c>
      <c r="BW11" s="4">
        <f t="array" ref="BW11">INDEX('Gasoline and electricity'!$K$1:$L$553,MATCH(US!BW$5,'Gasoline and electricity'!$K$1:$K$553,0),2)</f>
        <v>0.105</v>
      </c>
      <c r="BX11" s="4">
        <f t="array" ref="BX11">INDEX('Gasoline and electricity'!$K$1:$L$553,MATCH(US!BX$5,'Gasoline and electricity'!$K$1:$K$553,0),2)</f>
        <v>0.106</v>
      </c>
      <c r="BY11" s="4">
        <f t="array" ref="BY11">INDEX('Gasoline and electricity'!$K$1:$L$553,MATCH(US!BY$5,'Gasoline and electricity'!$K$1:$K$553,0),2)</f>
        <v>0.102</v>
      </c>
      <c r="BZ11" s="4">
        <f t="array" ref="BZ11">INDEX('Gasoline and electricity'!$K$1:$L$553,MATCH(US!BZ$5,'Gasoline and electricity'!$K$1:$K$553,0),2)</f>
        <v>0.102</v>
      </c>
      <c r="CA11" s="4">
        <f t="array" ref="CA11">INDEX('Gasoline and electricity'!$K$1:$L$553,MATCH(US!CA$5,'Gasoline and electricity'!$K$1:$K$553,0),2)</f>
        <v>0.102</v>
      </c>
      <c r="CB11" s="4">
        <f t="array" ref="CB11">INDEX('Gasoline and electricity'!$K$1:$L$553,MATCH(US!CB$5,'Gasoline and electricity'!$K$1:$K$553,0),2)</f>
        <v>0.108</v>
      </c>
      <c r="CC11" s="4">
        <f t="array" ref="CC11">INDEX('Gasoline and electricity'!$K$1:$L$553,MATCH(US!CC$5,'Gasoline and electricity'!$K$1:$K$553,0),2)</f>
        <v>0.108</v>
      </c>
      <c r="CD11" s="4">
        <f t="array" ref="CD11">INDEX('Gasoline and electricity'!$K$1:$L$553,MATCH(US!CD$5,'Gasoline and electricity'!$K$1:$K$553,0),2)</f>
        <v>0.109</v>
      </c>
      <c r="CE11" s="4">
        <f t="array" ref="CE11">INDEX('Gasoline and electricity'!$K$1:$L$553,MATCH(US!CE$5,'Gasoline and electricity'!$K$1:$K$553,0),2)</f>
        <v>0.109</v>
      </c>
      <c r="CF11" s="4">
        <f t="array" ref="CF11">INDEX('Gasoline and electricity'!$K$1:$L$553,MATCH(US!CF$5,'Gasoline and electricity'!$K$1:$K$553,0),2)</f>
        <v>0.11</v>
      </c>
      <c r="CG11" s="4">
        <f t="array" ref="CG11">INDEX('Gasoline and electricity'!$K$1:$L$553,MATCH(US!CG$5,'Gasoline and electricity'!$K$1:$K$553,0),2)</f>
        <v>0.118</v>
      </c>
      <c r="CH11" s="4">
        <f t="array" ref="CH11">INDEX('Gasoline and electricity'!$K$1:$L$553,MATCH(US!CH$5,'Gasoline and electricity'!$K$1:$K$553,0),2)</f>
        <v>0.118</v>
      </c>
      <c r="CI11" s="4">
        <f t="array" ref="CI11">INDEX('Gasoline and electricity'!$K$1:$L$553,MATCH(US!CI$5,'Gasoline and electricity'!$K$1:$K$553,0),2)</f>
        <v>0.118</v>
      </c>
      <c r="CJ11" s="4">
        <f t="array" ref="CJ11">INDEX('Gasoline and electricity'!$K$1:$L$553,MATCH(US!CJ$5,'Gasoline and electricity'!$K$1:$K$553,0),2)</f>
        <v>0.118</v>
      </c>
      <c r="CK11" s="4">
        <f t="array" ref="CK11">INDEX('Gasoline and electricity'!$K$1:$L$553,MATCH(US!CK$5,'Gasoline and electricity'!$K$1:$K$553,0),2)</f>
        <v>0.112</v>
      </c>
      <c r="CL11" s="4">
        <f t="array" ref="CL11">INDEX('Gasoline and electricity'!$K$1:$L$553,MATCH(US!CL$5,'Gasoline and electricity'!$K$1:$K$553,0),2)</f>
        <v>0.11</v>
      </c>
      <c r="CM11" s="4">
        <f t="array" ref="CM11">INDEX('Gasoline and electricity'!$K$1:$L$553,MATCH(US!CM$5,'Gasoline and electricity'!$K$1:$K$553,0),2)</f>
        <v>0.11</v>
      </c>
      <c r="CN11" s="4">
        <f t="array" ref="CN11">INDEX('Gasoline and electricity'!$K$1:$L$553,MATCH(US!CN$5,'Gasoline and electricity'!$K$1:$K$553,0),2)</f>
        <v>0.113</v>
      </c>
      <c r="CO11" s="4">
        <f t="array" ref="CO11">INDEX('Gasoline and electricity'!$K$1:$L$553,MATCH(US!CO$5,'Gasoline and electricity'!$K$1:$K$553,0),2)</f>
        <v>0.113</v>
      </c>
      <c r="CP11" s="4">
        <f t="array" ref="CP11">INDEX('Gasoline and electricity'!$K$1:$L$553,MATCH(US!CP$5,'Gasoline and electricity'!$K$1:$K$553,0),2)</f>
        <v>0.113</v>
      </c>
      <c r="CQ11" s="4">
        <f t="array" ref="CQ11">INDEX('Gasoline and electricity'!$K$1:$L$553,MATCH(US!CQ$5,'Gasoline and electricity'!$K$1:$K$553,0),2)</f>
        <v>0.113</v>
      </c>
      <c r="CR11" s="4">
        <f t="array" ref="CR11">INDEX('Gasoline and electricity'!$K$1:$L$553,MATCH(US!CR$5,'Gasoline and electricity'!$K$1:$K$553,0),2)</f>
        <v>0.115</v>
      </c>
      <c r="CS11" s="4">
        <f t="array" ref="CS11">INDEX('Gasoline and electricity'!$K$1:$L$553,MATCH(US!CS$5,'Gasoline and electricity'!$K$1:$K$553,0),2)</f>
        <v>0.122</v>
      </c>
      <c r="CT11" s="4">
        <f t="array" ref="CT11">INDEX('Gasoline and electricity'!$K$1:$L$553,MATCH(US!CT$5,'Gasoline and electricity'!$K$1:$K$553,0),2)</f>
        <v>0.122</v>
      </c>
      <c r="CU11" s="4">
        <f t="array" ref="CU11">INDEX('Gasoline and electricity'!$K$1:$L$553,MATCH(US!CU$5,'Gasoline and electricity'!$K$1:$K$553,0),2)</f>
        <v>0.121</v>
      </c>
      <c r="CV11" s="4">
        <f t="array" ref="CV11">INDEX('Gasoline and electricity'!$K$1:$L$553,MATCH(US!CV$5,'Gasoline and electricity'!$K$1:$K$553,0),2)</f>
        <v>0.121</v>
      </c>
      <c r="CW11" s="4">
        <f t="array" ref="CW11">INDEX('Gasoline and electricity'!$K$1:$L$553,MATCH(US!CW$5,'Gasoline and electricity'!$K$1:$K$553,0),2)</f>
        <v>0.117</v>
      </c>
      <c r="CX11" s="4">
        <f t="array" ref="CX11">INDEX('Gasoline and electricity'!$K$1:$L$553,MATCH(US!CX$5,'Gasoline and electricity'!$K$1:$K$553,0),2)</f>
        <v>0.115</v>
      </c>
      <c r="CY11" s="4">
        <f t="array" ref="CY11">INDEX('Gasoline and electricity'!$K$1:$L$553,MATCH(US!CY$5,'Gasoline and electricity'!$K$1:$K$553,0),2)</f>
        <v>0.115</v>
      </c>
      <c r="CZ11" s="4">
        <f t="array" ref="CZ11">INDEX('Gasoline and electricity'!$K$1:$L$553,MATCH(US!CZ$5,'Gasoline and electricity'!$K$1:$K$553,0),2)</f>
        <v>0.116</v>
      </c>
      <c r="DA11" s="4">
        <f t="array" ref="DA11">INDEX('Gasoline and electricity'!$K$1:$L$553,MATCH(US!DA$5,'Gasoline and electricity'!$K$1:$K$553,0),2)</f>
        <v>0.116</v>
      </c>
      <c r="DB11" s="4">
        <f t="array" ref="DB11">INDEX('Gasoline and electricity'!$K$1:$L$553,MATCH(US!DB$5,'Gasoline and electricity'!$K$1:$K$553,0),2)</f>
        <v>0.116</v>
      </c>
      <c r="DC11" s="4">
        <f t="array" ref="DC11">INDEX('Gasoline and electricity'!$K$1:$L$553,MATCH(US!DC$5,'Gasoline and electricity'!$K$1:$K$553,0),2)</f>
        <v>0.118</v>
      </c>
      <c r="DD11" s="4">
        <f t="array" ref="DD11">INDEX('Gasoline and electricity'!$K$1:$L$553,MATCH(US!DD$5,'Gasoline and electricity'!$K$1:$K$553,0),2)</f>
        <v>0.12</v>
      </c>
      <c r="DE11" s="4">
        <f t="array" ref="DE11">INDEX('Gasoline and electricity'!$K$1:$L$553,MATCH(US!DE$5,'Gasoline and electricity'!$K$1:$K$553,0),2)</f>
        <v>0.128</v>
      </c>
      <c r="DF11" s="4">
        <f t="array" ref="DF11">INDEX('Gasoline and electricity'!$K$1:$L$553,MATCH(US!DF$5,'Gasoline and electricity'!$K$1:$K$553,0),2)</f>
        <v>0.131</v>
      </c>
      <c r="DG11" s="4">
        <f t="array" ref="DG11">INDEX('Gasoline and electricity'!$K$1:$L$553,MATCH(US!DG$5,'Gasoline and electricity'!$K$1:$K$553,0),2)</f>
        <v>0.132</v>
      </c>
      <c r="DH11" s="4">
        <f t="array" ref="DH11">INDEX('Gasoline and electricity'!$K$1:$L$553,MATCH(US!DH$5,'Gasoline and electricity'!$K$1:$K$553,0),2)</f>
        <v>0.13</v>
      </c>
      <c r="DI11" s="4">
        <f t="array" ref="DI11">INDEX('Gasoline and electricity'!$K$1:$L$553,MATCH(US!DI$5,'Gasoline and electricity'!$K$1:$K$553,0),2)</f>
        <v>0.126</v>
      </c>
      <c r="DJ11" s="4">
        <f t="array" ref="DJ11">INDEX('Gasoline and electricity'!$K$1:$L$553,MATCH(US!DJ$5,'Gasoline and electricity'!$K$1:$K$553,0),2)</f>
        <v>0.123</v>
      </c>
      <c r="DK11" s="4">
        <f t="array" ref="DK11">INDEX('Gasoline and electricity'!$K$1:$L$553,MATCH(US!DK$5,'Gasoline and electricity'!$K$1:$K$553,0),2)</f>
        <v>0.124</v>
      </c>
      <c r="DL11" s="4">
        <f t="array" ref="DL11">INDEX('Gasoline and electricity'!$K$1:$L$553,MATCH(US!DL$5,'Gasoline and electricity'!$K$1:$K$553,0),2)</f>
        <v>0.126</v>
      </c>
      <c r="DM11" s="4">
        <f t="array" ref="DM11">INDEX('Gasoline and electricity'!$K$1:$L$553,MATCH(US!DM$5,'Gasoline and electricity'!$K$1:$K$553,0),2)</f>
        <v>0.126</v>
      </c>
      <c r="DN11" s="4">
        <f t="array" ref="DN11">INDEX('Gasoline and electricity'!$K$1:$L$553,MATCH(US!DN$5,'Gasoline and electricity'!$K$1:$K$553,0),2)</f>
        <v>0.126</v>
      </c>
      <c r="DO11" s="4">
        <f t="array" ref="DO11">INDEX('Gasoline and electricity'!$K$1:$L$553,MATCH(US!DO$5,'Gasoline and electricity'!$K$1:$K$553,0),2)</f>
        <v>0.125</v>
      </c>
      <c r="DP11" s="4">
        <f t="array" ref="DP11">INDEX('Gasoline and electricity'!$K$1:$L$553,MATCH(US!DP$5,'Gasoline and electricity'!$K$1:$K$553,0),2)</f>
        <v>0.126</v>
      </c>
      <c r="DQ11" s="4">
        <f t="array" ref="DQ11">INDEX('Gasoline and electricity'!$K$1:$L$553,MATCH(US!DQ$5,'Gasoline and electricity'!$K$1:$K$553,0),2)</f>
        <v>0.132</v>
      </c>
      <c r="DR11" s="4">
        <f t="array" ref="DR11">INDEX('Gasoline and electricity'!$K$1:$L$553,MATCH(US!DR$5,'Gasoline and electricity'!$K$1:$K$553,0),2)</f>
        <v>0.131</v>
      </c>
      <c r="DS11" s="4">
        <f t="array" ref="DS11">INDEX('Gasoline and electricity'!$K$1:$L$553,MATCH(US!DS$5,'Gasoline and electricity'!$K$1:$K$553,0),2)</f>
        <v>0.13</v>
      </c>
      <c r="DT11" s="4">
        <f t="array" ref="DT11">INDEX('Gasoline and electricity'!$K$1:$L$553,MATCH(US!DT$5,'Gasoline and electricity'!$K$1:$K$553,0),2)</f>
        <v>0.13</v>
      </c>
      <c r="DU11" s="4">
        <f t="array" ref="DU11">INDEX('Gasoline and electricity'!$K$1:$L$553,MATCH(US!DU$5,'Gasoline and electricity'!$K$1:$K$553,0),2)</f>
        <v>0.126</v>
      </c>
      <c r="DV11" s="4">
        <f t="array" ref="DV11">INDEX('Gasoline and electricity'!$K$1:$L$553,MATCH(US!DV$5,'Gasoline and electricity'!$K$1:$K$553,0),2)</f>
        <v>0.124</v>
      </c>
      <c r="DW11" s="4">
        <f t="array" ref="DW11">INDEX('Gasoline and electricity'!$K$1:$L$553,MATCH(US!DW$5,'Gasoline and electricity'!$K$1:$K$553,0),2)</f>
        <v>0.124</v>
      </c>
      <c r="DX11" s="4">
        <f t="array" ref="DX11">INDEX('Gasoline and electricity'!$K$1:$L$553,MATCH(US!DX$5,'Gasoline and electricity'!$K$1:$K$553,0),2)</f>
        <v>0.124</v>
      </c>
      <c r="DY11" s="4">
        <f t="array" ref="DY11">INDEX('Gasoline and electricity'!$K$1:$L$553,MATCH(US!DY$5,'Gasoline and electricity'!$K$1:$K$553,0),2)</f>
        <v>0.123</v>
      </c>
      <c r="DZ11" s="4">
        <f t="array" ref="DZ11">INDEX('Gasoline and electricity'!$K$1:$L$553,MATCH(US!DZ$5,'Gasoline and electricity'!$K$1:$K$553,0),2)</f>
        <v>0.125</v>
      </c>
      <c r="EA11" s="4">
        <f t="array" ref="EA11">INDEX('Gasoline and electricity'!$K$1:$L$553,MATCH(US!EA$5,'Gasoline and electricity'!$K$1:$K$553,0),2)</f>
        <v>0.126</v>
      </c>
      <c r="EB11" s="4">
        <f t="array" ref="EB11">INDEX('Gasoline and electricity'!$K$1:$L$553,MATCH(US!EB$5,'Gasoline and electricity'!$K$1:$K$553,0),2)</f>
        <v>0.127</v>
      </c>
      <c r="EC11" s="4">
        <f t="array" ref="EC11">INDEX('Gasoline and electricity'!$K$1:$L$553,MATCH(US!EC$5,'Gasoline and electricity'!$K$1:$K$553,0),2)</f>
        <v>0.132</v>
      </c>
      <c r="ED11" s="4">
        <f t="array" ref="ED11">INDEX('Gasoline and electricity'!$K$1:$L$553,MATCH(US!ED$5,'Gasoline and electricity'!$K$1:$K$553,0),2)</f>
        <v>0.133</v>
      </c>
      <c r="EE11" s="4">
        <f t="array" ref="EE11">INDEX('Gasoline and electricity'!$K$1:$L$553,MATCH(US!EE$5,'Gasoline and electricity'!$K$1:$K$553,0),2)</f>
        <v>0.133</v>
      </c>
      <c r="EF11" s="4">
        <f t="array" ref="EF11">INDEX('Gasoline and electricity'!$K$1:$L$553,MATCH(US!EF$5,'Gasoline and electricity'!$K$1:$K$553,0),2)</f>
        <v>0.132</v>
      </c>
      <c r="EG11" s="4">
        <f t="array" ref="EG11">INDEX('Gasoline and electricity'!$K$1:$L$553,MATCH(US!EG$5,'Gasoline and electricity'!$K$1:$K$553,0),2)</f>
        <v>0.127</v>
      </c>
      <c r="EH11" s="4">
        <f t="array" ref="EH11">INDEX('Gasoline and electricity'!$K$1:$L$553,MATCH(US!EH$5,'Gasoline and electricity'!$K$1:$K$553,0),2)</f>
        <v>0.125</v>
      </c>
      <c r="EI11" s="4">
        <f t="array" ref="EI11">INDEX('Gasoline and electricity'!$K$1:$L$553,MATCH(US!EI$5,'Gasoline and electricity'!$K$1:$K$553,0),2)</f>
        <v>0.125</v>
      </c>
      <c r="EJ11" s="4">
        <f t="array" ref="EJ11">INDEX('Gasoline and electricity'!$K$1:$L$553,MATCH(US!EJ$5,'Gasoline and electricity'!$K$1:$K$553,0),2)</f>
        <v>0.125</v>
      </c>
      <c r="EK11" s="4">
        <f t="array" ref="EK11">INDEX('Gasoline and electricity'!$K$1:$L$553,MATCH(US!EK$5,'Gasoline and electricity'!$K$1:$K$553,0),2)</f>
        <v>0.125</v>
      </c>
      <c r="EL11" s="4">
        <f t="array" ref="EL11">INDEX('Gasoline and electricity'!$K$1:$L$553,MATCH(US!EL$5,'Gasoline and electricity'!$K$1:$K$553,0),2)</f>
        <v>0.127</v>
      </c>
      <c r="EM11" s="4">
        <f t="array" ref="EM11">INDEX('Gasoline and electricity'!$K$1:$L$553,MATCH(US!EM$5,'Gasoline and electricity'!$K$1:$K$553,0),2)</f>
        <v>0.127</v>
      </c>
      <c r="EN11" s="4">
        <f t="array" ref="EN11">INDEX('Gasoline and electricity'!$K$1:$L$553,MATCH(US!EN$5,'Gasoline and electricity'!$K$1:$K$553,0),2)</f>
        <v>0.129</v>
      </c>
      <c r="EO11" s="4">
        <f t="array" ref="EO11">INDEX('Gasoline and electricity'!$K$1:$L$553,MATCH(US!EO$5,'Gasoline and electricity'!$K$1:$K$553,0),2)</f>
        <v>0.134</v>
      </c>
      <c r="EP11" s="4">
        <f t="array" ref="EP11">INDEX('Gasoline and electricity'!$K$1:$L$553,MATCH(US!EP$5,'Gasoline and electricity'!$K$1:$K$553,0),2)</f>
        <v>0.135</v>
      </c>
      <c r="EQ11" s="4">
        <f t="array" ref="EQ11">INDEX('Gasoline and electricity'!$K$1:$L$553,MATCH(US!EQ$5,'Gasoline and electricity'!$K$1:$K$553,0),2)</f>
        <v>0.135</v>
      </c>
      <c r="ER11" s="4">
        <f t="array" ref="ER11">INDEX('Gasoline and electricity'!$K$1:$L$553,MATCH(US!ER$5,'Gasoline and electricity'!$K$1:$K$553,0),2)</f>
        <v>0.135</v>
      </c>
      <c r="ES11" s="4">
        <f t="array" ref="ES11">INDEX('Gasoline and electricity'!$K$1:$L$553,MATCH(US!ES$5,'Gasoline and electricity'!$K$1:$K$553,0),2)</f>
        <v>0.13</v>
      </c>
      <c r="ET11" s="4">
        <f t="array" ref="ET11">INDEX('Gasoline and electricity'!$K$1:$L$553,MATCH(US!ET$5,'Gasoline and electricity'!$K$1:$K$553,0),2)</f>
        <v>0.128</v>
      </c>
      <c r="EU11" s="4">
        <f t="array" ref="EU11">INDEX('Gasoline and electricity'!$K$1:$L$553,MATCH(US!EU$5,'Gasoline and electricity'!$K$1:$K$553,0),2)</f>
        <v>0.127</v>
      </c>
      <c r="EV11" s="4">
        <f t="array" ref="EV11">INDEX('Gasoline and electricity'!$K$1:$L$553,MATCH(US!EV$5,'Gasoline and electricity'!$K$1:$K$553,0),2)</f>
        <v>0.128</v>
      </c>
      <c r="EW11" s="4">
        <f t="array" ref="EW11">INDEX('Gasoline and electricity'!$K$1:$L$553,MATCH(US!EW$5,'Gasoline and electricity'!$K$1:$K$553,0),2)</f>
        <v>0.128</v>
      </c>
      <c r="EX11" s="4">
        <f t="array" ref="EX11">INDEX('Gasoline and electricity'!$K$1:$L$553,MATCH(US!EX$5,'Gasoline and electricity'!$K$1:$K$553,0),2)</f>
        <v>0.127</v>
      </c>
      <c r="EY11" s="4">
        <f t="array" ref="EY11">INDEX('Gasoline and electricity'!$K$1:$L$553,MATCH(US!EY$5,'Gasoline and electricity'!$K$1:$K$553,0),2)</f>
        <v>0.127</v>
      </c>
      <c r="EZ11" s="4">
        <f t="array" ref="EZ11">INDEX('Gasoline and electricity'!$K$1:$L$553,MATCH(US!EZ$5,'Gasoline and electricity'!$K$1:$K$553,0),2)</f>
        <v>0.129</v>
      </c>
      <c r="FA11" s="4">
        <f t="array" ref="FA11">INDEX('Gasoline and electricity'!$K$1:$L$553,MATCH(US!FA$5,'Gasoline and electricity'!$K$1:$K$553,0),2)</f>
        <v>0.135</v>
      </c>
      <c r="FB11" s="4">
        <f t="array" ref="FB11">INDEX('Gasoline and electricity'!$K$1:$L$553,MATCH(US!FB$5,'Gasoline and electricity'!$K$1:$K$553,0),2)</f>
        <v>0.133</v>
      </c>
      <c r="FC11" s="4">
        <f t="array" ref="FC11">INDEX('Gasoline and electricity'!$K$1:$L$553,MATCH(US!FC$5,'Gasoline and electricity'!$K$1:$K$553,0),2)</f>
        <v>0.133</v>
      </c>
      <c r="FD11" s="4">
        <f t="array" ref="FD11">INDEX('Gasoline and electricity'!$K$1:$L$553,MATCH(US!FD$5,'Gasoline and electricity'!$K$1:$K$553,0),2)</f>
        <v>0.133</v>
      </c>
      <c r="FE11" s="4">
        <f t="array" ref="FE11">INDEX('Gasoline and electricity'!$K$1:$L$553,MATCH(US!FE$5,'Gasoline and electricity'!$K$1:$K$553,0),2)</f>
        <v>0.128</v>
      </c>
      <c r="FF11" s="4">
        <f t="array" ref="FF11">INDEX('Gasoline and electricity'!$K$1:$L$553,MATCH(US!FF$5,'Gasoline and electricity'!$K$1:$K$553,0),2)</f>
        <v>0.127</v>
      </c>
      <c r="FG11" s="4">
        <f t="array" ref="FG11">INDEX('Gasoline and electricity'!$K$1:$L$553,MATCH(US!FG$5,'Gasoline and electricity'!$K$1:$K$553,0),2)</f>
        <v>0.127</v>
      </c>
      <c r="FH11" s="4">
        <f t="array" ref="FH11">INDEX('Gasoline and electricity'!$K$1:$L$553,MATCH(US!FH$5,'Gasoline and electricity'!$K$1:$K$553,0),2)</f>
        <v>0.129</v>
      </c>
      <c r="FI11" s="4">
        <f t="array" ref="FI11">INDEX('Gasoline and electricity'!$K$1:$L$553,MATCH(US!FI$5,'Gasoline and electricity'!$K$1:$K$553,0),2)</f>
        <v>0.129</v>
      </c>
      <c r="FJ11" s="4">
        <f t="array" ref="FJ11">INDEX('Gasoline and electricity'!$K$1:$L$553,MATCH(US!FJ$5,'Gasoline and electricity'!$K$1:$K$553,0),2)</f>
        <v>0.128</v>
      </c>
      <c r="FK11" s="4">
        <f t="array" ref="FK11">INDEX('Gasoline and electricity'!$K$1:$L$553,MATCH(US!FK$5,'Gasoline and electricity'!$K$1:$K$553,0),2)</f>
        <v>0.128</v>
      </c>
      <c r="FL11" s="4">
        <f t="array" ref="FL11">INDEX('Gasoline and electricity'!$K$1:$L$553,MATCH(US!FL$5,'Gasoline and electricity'!$K$1:$K$553,0),2)</f>
        <v>0.131</v>
      </c>
      <c r="FM11" s="4">
        <f t="array" ref="FM11">INDEX('Gasoline and electricity'!$K$1:$L$553,MATCH(US!FM$5,'Gasoline and electricity'!$K$1:$K$553,0),2)</f>
        <v>0.137</v>
      </c>
      <c r="FN11" s="4">
        <f t="array" ref="FN11">INDEX('Gasoline and electricity'!$K$1:$L$553,MATCH(US!FN$5,'Gasoline and electricity'!$K$1:$K$553,0),2)</f>
        <v>0.137</v>
      </c>
      <c r="FO11" s="4">
        <f t="array" ref="FO11">INDEX('Gasoline and electricity'!$K$1:$L$553,MATCH(US!FO$5,'Gasoline and electricity'!$K$1:$K$553,0),2)</f>
        <v>0.137</v>
      </c>
      <c r="FP11" s="4">
        <f t="array" ref="FP11">INDEX('Gasoline and electricity'!$K$1:$L$553,MATCH(US!FP$5,'Gasoline and electricity'!$K$1:$K$553,0),2)</f>
        <v>0.137</v>
      </c>
      <c r="FQ11" s="4">
        <f t="array" ref="FQ11">INDEX('Gasoline and electricity'!$K$1:$L$553,MATCH(US!FQ$5,'Gasoline and electricity'!$K$1:$K$553,0),2)</f>
        <v>0.132</v>
      </c>
      <c r="FR11" s="4">
        <f t="array" ref="FR11">INDEX('Gasoline and electricity'!$K$1:$L$553,MATCH(US!FR$5,'Gasoline and electricity'!$K$1:$K$553,0),2)</f>
        <v>0.13</v>
      </c>
      <c r="FS11" s="4">
        <f t="array" ref="FS11">INDEX('Gasoline and electricity'!$K$1:$L$553,MATCH(US!FS$5,'Gasoline and electricity'!$K$1:$K$553,0),2)</f>
        <v>0.131</v>
      </c>
      <c r="FT11" s="4">
        <f t="array" ref="FT11">INDEX('Gasoline and electricity'!$K$1:$L$553,MATCH(US!FT$5,'Gasoline and electricity'!$K$1:$K$553,0),2)</f>
        <v>0.134</v>
      </c>
      <c r="FU11" s="4">
        <f t="array" ref="FU11">INDEX('Gasoline and electricity'!$K$1:$L$553,MATCH(US!FU$5,'Gasoline and electricity'!$K$1:$K$553,0),2)</f>
        <v>0.134</v>
      </c>
      <c r="FV11" s="4">
        <f t="array" ref="FV11">INDEX('Gasoline and electricity'!$K$1:$L$553,MATCH(US!FV$5,'Gasoline and electricity'!$K$1:$K$553,0),2)</f>
        <v>0.135</v>
      </c>
      <c r="FW11" s="4">
        <f t="array" ref="FW11">INDEX('Gasoline and electricity'!$K$1:$L$553,MATCH(US!FW$5,'Gasoline and electricity'!$K$1:$K$553,0),2)</f>
        <v>0.131</v>
      </c>
      <c r="FX11" s="4">
        <f t="array" ref="FX11">INDEX('Gasoline and electricity'!$K$1:$L$553,MATCH(US!FX$5,'Gasoline and electricity'!$K$1:$K$553,0),2)</f>
        <v>0.136</v>
      </c>
      <c r="FY11" s="4">
        <f t="array" ref="FY11">INDEX('Gasoline and electricity'!$K$1:$L$553,MATCH(US!FY$5,'Gasoline and electricity'!$K$1:$K$553,0),2)</f>
        <v>0.143</v>
      </c>
      <c r="FZ11" s="4">
        <f t="array" ref="FZ11">INDEX('Gasoline and electricity'!$K$1:$L$553,MATCH(US!FZ$5,'Gasoline and electricity'!$K$1:$K$553,0),2)</f>
        <v>0.143</v>
      </c>
      <c r="GA11" s="4">
        <f t="array" ref="GA11">INDEX('Gasoline and electricity'!$K$1:$L$553,MATCH(US!GA$5,'Gasoline and electricity'!$K$1:$K$553,0),2)</f>
        <v>0.143</v>
      </c>
      <c r="GB11" s="4">
        <f t="array" ref="GB11">INDEX('Gasoline and electricity'!$K$1:$L$553,MATCH(US!GB$5,'Gasoline and electricity'!$K$1:$K$553,0),2)</f>
        <v>0.141</v>
      </c>
      <c r="GC11" s="4">
        <f t="array" ref="GC11">INDEX('Gasoline and electricity'!$K$1:$L$553,MATCH(US!GC$5,'Gasoline and electricity'!$K$1:$K$553,0),2)</f>
        <v>0.136</v>
      </c>
      <c r="GD11" s="4">
        <f t="array" ref="GD11">INDEX('Gasoline and electricity'!$K$1:$L$553,MATCH(US!GD$5,'Gasoline and electricity'!$K$1:$K$553,0),2)</f>
        <v>0.134</v>
      </c>
      <c r="GE11" s="4">
        <f t="array" ref="GE11">INDEX('Gasoline and electricity'!$K$1:$L$553,MATCH(US!GE$5,'Gasoline and electricity'!$K$1:$K$553,0),2)</f>
        <v>0.135</v>
      </c>
      <c r="GF11" s="4">
        <f t="array" ref="GF11">INDEX('Gasoline and electricity'!$K$1:$L$553,MATCH(US!GF$5,'Gasoline and electricity'!$K$1:$K$553,0),2)</f>
        <v>0.138</v>
      </c>
      <c r="GG11" s="4">
        <f t="array" ref="GG11">INDEX('Gasoline and electricity'!$K$1:$L$553,MATCH(US!GG$5,'Gasoline and electricity'!$K$1:$K$553,0),2)</f>
        <v>0.138</v>
      </c>
      <c r="GH11" s="4">
        <f t="array" ref="GH11">INDEX('Gasoline and electricity'!$K$1:$L$553,MATCH(US!GH$5,'Gasoline and electricity'!$K$1:$K$553,0),2)</f>
        <v>0.136</v>
      </c>
      <c r="GI11" s="4">
        <f t="array" ref="GI11">INDEX('Gasoline and electricity'!$K$1:$L$553,MATCH(US!GI$5,'Gasoline and electricity'!$K$1:$K$553,0),2)</f>
        <v>0.137</v>
      </c>
      <c r="GJ11" s="4">
        <f t="array" ref="GJ11">INDEX('Gasoline and electricity'!$K$1:$L$553,MATCH(US!GJ$5,'Gasoline and electricity'!$K$1:$K$553,0),2)</f>
        <v>0.137</v>
      </c>
      <c r="GK11" s="4">
        <f t="array" ref="GK11">INDEX('Gasoline and electricity'!$K$1:$L$553,MATCH(US!GK$5,'Gasoline and electricity'!$K$1:$K$553,0),2)</f>
        <v>0.143</v>
      </c>
      <c r="GL11" s="4">
        <f t="array" ref="GL11">INDEX('Gasoline and electricity'!$K$1:$L$553,MATCH(US!GL$5,'Gasoline and electricity'!$K$1:$K$553,0),2)</f>
        <v>0.142</v>
      </c>
      <c r="GM11" s="4">
        <f t="array" ref="GM11">INDEX('Gasoline and electricity'!$K$1:$L$553,MATCH(US!GM$5,'Gasoline and electricity'!$K$1:$K$553,0),2)</f>
        <v>0.142</v>
      </c>
      <c r="GN11" s="4">
        <f t="array" ref="GN11">INDEX('Gasoline and electricity'!$K$1:$L$553,MATCH(US!GN$5,'Gasoline and electricity'!$K$1:$K$553,0),2)</f>
        <v>0.141</v>
      </c>
      <c r="GO11" s="4">
        <f t="array" ref="GO11">INDEX('Gasoline and electricity'!$K$1:$L$553,MATCH(US!GO$5,'Gasoline and electricity'!$K$1:$K$553,0),2)</f>
        <v>0.136</v>
      </c>
      <c r="GP11" s="4">
        <f t="array" ref="GP11">INDEX('Gasoline and electricity'!$K$1:$L$553,MATCH(US!GP$5,'Gasoline and electricity'!$K$1:$K$553,0),2)</f>
        <v>0.134</v>
      </c>
      <c r="GQ11" s="4">
        <f t="array" ref="GQ11">INDEX('Gasoline and electricity'!$K$1:$L$553,MATCH(US!GQ$5,'Gasoline and electricity'!$K$1:$K$553,0),2)</f>
        <v>0.133</v>
      </c>
      <c r="GR11" s="4">
        <f t="array" ref="GR11">INDEX('Gasoline and electricity'!$K$1:$L$553,MATCH(US!GR$5,'Gasoline and electricity'!$K$1:$K$553,0),2)</f>
        <v>0.134</v>
      </c>
      <c r="GS11" s="4">
        <f t="array" ref="GS11">INDEX('Gasoline and electricity'!$K$1:$L$553,MATCH(US!GS$5,'Gasoline and electricity'!$K$1:$K$553,0),2)</f>
        <v>0.134</v>
      </c>
      <c r="GT11" s="4">
        <f t="array" ref="GT11">INDEX('Gasoline and electricity'!$K$1:$L$553,MATCH(US!GT$5,'Gasoline and electricity'!$K$1:$K$553,0),2)</f>
        <v>0.134</v>
      </c>
      <c r="GU11" s="4">
        <f t="array" ref="GU11">INDEX('Gasoline and electricity'!$K$1:$L$553,MATCH(US!GU$5,'Gasoline and electricity'!$K$1:$K$553,0),2)</f>
        <v>0.134</v>
      </c>
      <c r="GV11" s="4">
        <f t="array" ref="GV11">INDEX('Gasoline and electricity'!$K$1:$L$553,MATCH(US!GV$5,'Gasoline and electricity'!$K$1:$K$553,0),2)</f>
        <v>0.133</v>
      </c>
      <c r="GW11" s="4">
        <f t="array" ref="GW11">INDEX('Gasoline and electricity'!$K$1:$L$553,MATCH(US!GW$5,'Gasoline and electricity'!$K$1:$K$553,0),2)</f>
        <v>0.138</v>
      </c>
      <c r="GX11" s="4">
        <f t="array" ref="GX11">INDEX('Gasoline and electricity'!$K$1:$L$553,MATCH(US!GX$5,'Gasoline and electricity'!$K$1:$K$553,0),2)</f>
        <v>0.139</v>
      </c>
      <c r="GY11" s="4">
        <f t="array" ref="GY11">INDEX('Gasoline and electricity'!$K$1:$L$553,MATCH(US!GY$5,'Gasoline and electricity'!$K$1:$K$553,0),2)</f>
        <v>0.139</v>
      </c>
      <c r="GZ11" s="4">
        <f t="array" ref="GZ11">INDEX('Gasoline and electricity'!$K$1:$L$553,MATCH(US!GZ$5,'Gasoline and electricity'!$K$1:$K$553,0),2)</f>
        <v>0.139</v>
      </c>
      <c r="HA11" s="4">
        <f t="array" ref="HA11">INDEX('Gasoline and electricity'!$K$1:$L$553,MATCH(US!HA$5,'Gasoline and electricity'!$K$1:$K$553,0),2)</f>
        <v>0.134</v>
      </c>
      <c r="HB11" s="4">
        <f t="array" ref="HB11">INDEX('Gasoline and electricity'!$K$1:$L$553,MATCH(US!HB$5,'Gasoline and electricity'!$K$1:$K$553,0),2)</f>
        <v>0.131</v>
      </c>
      <c r="HC11" s="4">
        <f t="array" ref="HC11">INDEX('Gasoline and electricity'!$K$1:$L$553,MATCH(US!HC$5,'Gasoline and electricity'!$K$1:$K$553,0),2)</f>
        <v>0.133</v>
      </c>
      <c r="HD11" s="4">
        <f t="array" ref="HD11">INDEX('Gasoline and electricity'!$K$1:$L$553,MATCH(US!HD$5,'Gasoline and electricity'!$K$1:$K$553,0),2)</f>
        <v>0.134</v>
      </c>
      <c r="HE11" s="4">
        <f t="array" ref="HE11">INDEX('Gasoline and electricity'!$K$1:$L$553,MATCH(US!HE$5,'Gasoline and electricity'!$K$1:$K$553,0),2)</f>
        <v>0.135</v>
      </c>
      <c r="HF11" s="4">
        <f t="array" ref="HF11">INDEX('Gasoline and electricity'!$K$1:$L$553,MATCH(US!HF$5,'Gasoline and electricity'!$K$1:$K$553,0),2)</f>
        <v>0.134</v>
      </c>
      <c r="HG11" s="4">
        <f t="array" ref="HG11">INDEX('Gasoline and electricity'!$K$1:$L$553,MATCH(US!HG$5,'Gasoline and electricity'!$K$1:$K$553,0),2)</f>
        <v>0.135</v>
      </c>
      <c r="HH11" s="4">
        <f t="array" ref="HH11">INDEX('Gasoline and electricity'!$K$1:$L$553,MATCH(US!HH$5,'Gasoline and electricity'!$K$1:$K$553,0),2)</f>
        <v>0.137</v>
      </c>
      <c r="HI11" s="4">
        <f t="array" ref="HI11">INDEX('Gasoline and electricity'!$K$1:$L$553,MATCH(US!HI$5,'Gasoline and electricity'!$K$1:$K$553,0),2)</f>
        <v>0.142</v>
      </c>
      <c r="HJ11" s="4">
        <f t="array" ref="HJ11">INDEX('Gasoline and electricity'!$K$1:$L$553,MATCH(US!HJ$5,'Gasoline and electricity'!$K$1:$K$553,0),2)</f>
        <v>0.143</v>
      </c>
      <c r="HK11" s="4">
        <f t="array" ref="HK11">INDEX('Gasoline and electricity'!$K$1:$L$553,MATCH(US!HK$5,'Gasoline and electricity'!$K$1:$K$553,0),2)</f>
        <v>0.142</v>
      </c>
      <c r="HL11" s="4">
        <f t="array" ref="HL11">INDEX('Gasoline and electricity'!$K$1:$L$553,MATCH(US!HL$5,'Gasoline and electricity'!$K$1:$K$553,0),2)</f>
        <v>0.142</v>
      </c>
      <c r="HM11" s="4">
        <f t="array" ref="HM11">INDEX('Gasoline and electricity'!$K$1:$L$553,MATCH(US!HM$5,'Gasoline and electricity'!$K$1:$K$553,0),2)</f>
        <v>0.137</v>
      </c>
      <c r="HN11" s="4">
        <f t="array" ref="HN11">INDEX('Gasoline and electricity'!$K$1:$L$553,MATCH(US!HN$5,'Gasoline and electricity'!$K$1:$K$553,0),2)</f>
        <v>0.136</v>
      </c>
      <c r="HO11" s="4">
        <f t="array" ref="HO11">INDEX('Gasoline and electricity'!$K$1:$L$553,MATCH(US!HO$5,'Gasoline and electricity'!$K$1:$K$553,0),2)</f>
        <v>0.136</v>
      </c>
      <c r="HP11" s="4">
        <f t="array" ref="HP11">INDEX('Gasoline and electricity'!$K$1:$L$553,MATCH(US!HP$5,'Gasoline and electricity'!$K$1:$K$553,0),2)</f>
        <v>0.135</v>
      </c>
      <c r="HQ11" s="4">
        <f t="array" ref="HQ11">INDEX('Gasoline and electricity'!$K$1:$L$553,MATCH(US!HQ$5,'Gasoline and electricity'!$K$1:$K$553,0),2)</f>
        <v>0.135</v>
      </c>
      <c r="HR11" s="4">
        <f t="array" ref="HR11">INDEX('Gasoline and electricity'!$K$1:$L$553,MATCH(US!HR$5,'Gasoline and electricity'!$K$1:$K$553,0),2)</f>
        <v>0.135</v>
      </c>
      <c r="HS11" s="4">
        <f t="array" ref="HS11">INDEX('Gasoline and electricity'!$K$1:$L$553,MATCH(US!HS$5,'Gasoline and electricity'!$K$1:$K$553,0),2)</f>
        <v>0.134</v>
      </c>
      <c r="HT11" s="4">
        <f t="array" ref="HT11">INDEX('Gasoline and electricity'!$K$1:$L$553,MATCH(US!HT$5,'Gasoline and electricity'!$K$1:$K$553,0),2)</f>
        <v>0.136</v>
      </c>
      <c r="HU11" s="4">
        <f t="array" ref="HU11">INDEX('Gasoline and electricity'!$K$1:$L$553,MATCH(US!HU$5,'Gasoline and electricity'!$K$1:$K$553,0),2)</f>
        <v>0.139</v>
      </c>
      <c r="HV11" s="4">
        <f t="array" ref="HV11">INDEX('Gasoline and electricity'!$K$1:$L$553,MATCH(US!HV$5,'Gasoline and electricity'!$K$1:$K$553,0),2)</f>
        <v>0.139</v>
      </c>
      <c r="HW11" s="4">
        <f t="array" ref="HW11">INDEX('Gasoline and electricity'!$K$1:$L$553,MATCH(US!HW$5,'Gasoline and electricity'!$K$1:$K$553,0),2)</f>
        <v>0.139</v>
      </c>
      <c r="HX11" s="4">
        <f t="array" ref="HX11">INDEX('Gasoline and electricity'!$K$1:$L$553,MATCH(US!HX$5,'Gasoline and electricity'!$K$1:$K$553,0),2)</f>
        <v>0.138</v>
      </c>
      <c r="HY11" s="4">
        <f t="array" ref="HY11">INDEX('Gasoline and electricity'!$K$1:$L$553,MATCH(US!HY$5,'Gasoline and electricity'!$K$1:$K$553,0),2)</f>
        <v>0.136</v>
      </c>
      <c r="HZ11" s="4">
        <f t="array" ref="HZ11">INDEX('Gasoline and electricity'!$K$1:$L$553,MATCH(US!HZ$5,'Gasoline and electricity'!$K$1:$K$553,0),2)</f>
        <v>0.134</v>
      </c>
      <c r="IA11" s="4">
        <f t="array" ref="IA11">INDEX('Gasoline and electricity'!$K$1:$L$553,MATCH(US!IA$5,'Gasoline and electricity'!$K$1:$K$553,0),2)</f>
        <v>0.135</v>
      </c>
      <c r="IB11" s="4">
        <f t="array" ref="IB11">INDEX('Gasoline and electricity'!$K$1:$L$553,MATCH(US!IB$5,'Gasoline and electricity'!$K$1:$K$553,0),2)</f>
        <v>0.135</v>
      </c>
      <c r="IC11" s="4">
        <f t="array" ref="IC11">INDEX('Gasoline and electricity'!$K$1:$L$553,MATCH(US!IC$5,'Gasoline and electricity'!$K$1:$K$553,0),2)</f>
        <v>0.136</v>
      </c>
      <c r="ID11" s="4">
        <f t="array" ref="ID11">INDEX('Gasoline and electricity'!$K$1:$L$553,MATCH(US!ID$5,'Gasoline and electricity'!$K$1:$K$553,0),2)</f>
        <v>0.135</v>
      </c>
      <c r="IE11" s="4">
        <f t="array" ref="IE11">INDEX('Gasoline and electricity'!$K$1:$L$553,MATCH(US!IE$5,'Gasoline and electricity'!$K$1:$K$553,0),2)</f>
        <v>0.135</v>
      </c>
      <c r="IF11" s="4">
        <f t="array" ref="IF11">INDEX('Gasoline and electricity'!$K$1:$L$553,MATCH(US!IF$5,'Gasoline and electricity'!$K$1:$K$553,0),2)</f>
        <v>0.136</v>
      </c>
      <c r="IG11" s="4">
        <f t="array" ref="IG11">INDEX('Gasoline and electricity'!$K$1:$L$553,MATCH(US!IG$5,'Gasoline and electricity'!$K$1:$K$553,0),2)</f>
        <v>0.139</v>
      </c>
      <c r="IH11" s="4">
        <f t="array" ref="IH11">INDEX('Gasoline and electricity'!$K$1:$L$553,MATCH(US!IH$5,'Gasoline and electricity'!$K$1:$K$553,0),2)</f>
        <v>0.14</v>
      </c>
      <c r="II11" s="4">
        <f t="array" ref="II11">INDEX('Gasoline and electricity'!$K$1:$L$553,MATCH(US!II$5,'Gasoline and electricity'!$K$1:$K$553,0),2)</f>
        <v>0.139</v>
      </c>
      <c r="IJ11" s="4">
        <f t="array" ref="IJ11">INDEX('Gasoline and electricity'!$K$1:$L$553,MATCH(US!IJ$5,'Gasoline and electricity'!$K$1:$K$553,0),2)</f>
        <v>0.139</v>
      </c>
      <c r="IK11" s="4">
        <f t="array" ref="IK11">INDEX('Gasoline and electricity'!$K$1:$L$553,MATCH(US!IK$5,'Gasoline and electricity'!$K$1:$K$553,0),2)</f>
        <v>0.136</v>
      </c>
      <c r="IL11" s="4">
        <f t="array" ref="IL11">INDEX('Gasoline and electricity'!$K$1:$L$553,MATCH(US!IL$5,'Gasoline and electricity'!$K$1:$K$553,0),2)</f>
        <v>0.133</v>
      </c>
      <c r="IM11" s="4">
        <f t="array" ref="IM11">INDEX('Gasoline and electricity'!$K$1:$L$553,MATCH(US!IM$5,'Gasoline and electricity'!$K$1:$K$553,0),2)</f>
        <v>0.133</v>
      </c>
      <c r="IN11" s="4">
        <f t="array" ref="IN11">INDEX('Gasoline and electricity'!$K$1:$L$553,MATCH(US!IN$5,'Gasoline and electricity'!$K$1:$K$553,0),2)</f>
        <v>0.134</v>
      </c>
      <c r="IO11" s="4">
        <f t="array" ref="IO11">INDEX('Gasoline and electricity'!$K$1:$L$553,MATCH(US!IO$5,'Gasoline and electricity'!$K$1:$K$553,0),2)</f>
        <v>0.134</v>
      </c>
      <c r="IP11" s="4">
        <f t="array" ref="IP11">INDEX('Gasoline and electricity'!$K$1:$L$553,MATCH(US!IP$5,'Gasoline and electricity'!$K$1:$K$553,0),2)</f>
        <v>0.134</v>
      </c>
      <c r="IQ11" s="4">
        <f t="array" ref="IQ11">INDEX('Gasoline and electricity'!$K$1:$L$553,MATCH(US!IQ$5,'Gasoline and electricity'!$K$1:$K$553,0),2)</f>
        <v>0.133</v>
      </c>
      <c r="IR11" s="4">
        <f t="array" ref="IR11">INDEX('Gasoline and electricity'!$K$1:$L$553,MATCH(US!IR$5,'Gasoline and electricity'!$K$1:$K$553,0),2)</f>
        <v>0.134</v>
      </c>
      <c r="IS11" s="4">
        <f t="array" ref="IS11">INDEX('Gasoline and electricity'!$K$1:$L$553,MATCH(US!IS$5,'Gasoline and electricity'!$K$1:$K$553,0),2)</f>
        <v>0.137</v>
      </c>
      <c r="IT11" s="4">
        <f t="array" ref="IT11">INDEX('Gasoline and electricity'!$K$1:$L$553,MATCH(US!IT$5,'Gasoline and electricity'!$K$1:$K$553,0),2)</f>
        <v>0.137</v>
      </c>
      <c r="IU11" s="4">
        <f t="array" ref="IU11">INDEX('Gasoline and electricity'!$K$1:$L$553,MATCH(US!IU$5,'Gasoline and electricity'!$K$1:$K$553,0),2)</f>
        <v>0.137</v>
      </c>
      <c r="IV11" s="4">
        <f t="array" ref="IV11">INDEX('Gasoline and electricity'!$K$1:$L$553,MATCH(US!IV$5,'Gasoline and electricity'!$K$1:$K$553,0),2)</f>
        <v>0.137</v>
      </c>
      <c r="IW11" s="4">
        <f t="array" ref="IW11">INDEX('Gasoline and electricity'!$K$1:$L$553,MATCH(US!IW$5,'Gasoline and electricity'!$K$1:$K$553,0),2)</f>
        <v>0.135</v>
      </c>
      <c r="IX11" s="4">
        <f t="array" ref="IX11">INDEX('Gasoline and electricity'!$K$1:$L$553,MATCH(US!IX$5,'Gasoline and electricity'!$K$1:$K$553,0),2)</f>
        <v>0.136</v>
      </c>
      <c r="IY11" s="4">
        <f t="array" ref="IY11">INDEX('Gasoline and electricity'!$K$1:$L$553,MATCH(US!IY$5,'Gasoline and electricity'!$K$1:$K$553,0),2)</f>
        <v>0.136</v>
      </c>
      <c r="IZ11" s="4">
        <f t="array" ref="IZ11">INDEX('Gasoline and electricity'!$K$1:$L$553,MATCH(US!IZ$5,'Gasoline and electricity'!$K$1:$K$553,0),2)</f>
        <v>0.136</v>
      </c>
      <c r="JA11" s="4">
        <f t="array" ref="JA11">INDEX('Gasoline and electricity'!$K$1:$L$553,MATCH(US!JA$5,'Gasoline and electricity'!$K$1:$K$553,0),2)</f>
        <v>0.137</v>
      </c>
      <c r="JB11" s="4">
        <f t="array" ref="JB11">INDEX('Gasoline and electricity'!$K$1:$L$553,MATCH(US!JB$5,'Gasoline and electricity'!$K$1:$K$553,0),2)</f>
        <v>0.138</v>
      </c>
      <c r="JC11" s="4">
        <f t="array" ref="JC11">INDEX('Gasoline and electricity'!$K$1:$L$553,MATCH(US!JC$5,'Gasoline and electricity'!$K$1:$K$553,0),2)</f>
        <v>0.139</v>
      </c>
      <c r="JD11" s="4">
        <f t="array" ref="JD11">INDEX('Gasoline and electricity'!$K$1:$L$553,MATCH(US!JD$5,'Gasoline and electricity'!$K$1:$K$553,0),2)</f>
        <v>0.14</v>
      </c>
      <c r="JE11" s="4">
        <f t="array" ref="JE11">INDEX('Gasoline and electricity'!$K$1:$L$553,MATCH(US!JE$5,'Gasoline and electricity'!$K$1:$K$553,0),2)</f>
        <v>0.142</v>
      </c>
      <c r="JF11" s="4">
        <f t="array" ref="JF11">INDEX('Gasoline and electricity'!$K$1:$L$553,MATCH(US!JF$5,'Gasoline and electricity'!$K$1:$K$553,0),2)</f>
        <v>0.143</v>
      </c>
      <c r="JG11" s="4">
        <f t="array" ref="JG11">INDEX('Gasoline and electricity'!$K$1:$L$553,MATCH(US!JG$5,'Gasoline and electricity'!$K$1:$K$553,0),2)</f>
        <v>0.144</v>
      </c>
      <c r="JH11" s="4">
        <f t="array" ref="JH11">INDEX('Gasoline and electricity'!$K$1:$L$553,MATCH(US!JH$5,'Gasoline and electricity'!$K$1:$K$553,0),2)</f>
        <v>0.144</v>
      </c>
      <c r="JI11" s="4">
        <f t="array" ref="JI11">INDEX('Gasoline and electricity'!$K$1:$L$553,MATCH(US!JI$5,'Gasoline and electricity'!$K$1:$K$553,0),2)</f>
        <v>0.142</v>
      </c>
      <c r="JJ11" s="4">
        <f t="array" ref="JJ11">INDEX('Gasoline and electricity'!$K$1:$L$553,MATCH(US!JJ$5,'Gasoline and electricity'!$K$1:$K$553,0),2)</f>
        <v>0.142</v>
      </c>
      <c r="JK11" s="4">
        <f t="array" ref="JK11">INDEX('Gasoline and electricity'!$K$1:$L$553,MATCH(US!JK$5,'Gasoline and electricity'!$K$1:$K$553,0),2)</f>
        <v>0.142</v>
      </c>
      <c r="JL11" s="4">
        <f t="array" ref="JL11">INDEX('Gasoline and electricity'!$K$1:$L$553,MATCH(US!JL$5,'Gasoline and electricity'!$K$1:$K$553,0),2)</f>
        <v>0.147</v>
      </c>
      <c r="JM11" s="4">
        <f t="array" ref="JM11">INDEX('Gasoline and electricity'!$K$1:$L$553,MATCH(US!JM$5,'Gasoline and electricity'!$K$1:$K$553,0),2)</f>
        <v>0.148</v>
      </c>
      <c r="JN11" s="4">
        <f t="array" ref="JN11">INDEX('Gasoline and electricity'!$K$1:$L$553,MATCH(US!JN$5,'Gasoline and electricity'!$K$1:$K$553,0),2)</f>
        <v>0.15</v>
      </c>
      <c r="JO11" s="4">
        <f t="array" ref="JO11">INDEX('Gasoline and electricity'!$K$1:$L$553,MATCH(US!JO$5,'Gasoline and electricity'!$K$1:$K$553,0),2)</f>
        <v>0.151</v>
      </c>
      <c r="JP11" s="4">
        <f t="array" ref="JP11">INDEX('Gasoline and electricity'!$K$1:$L$553,MATCH(US!JP$5,'Gasoline and electricity'!$K$1:$K$553,0),2)</f>
        <v>0.154</v>
      </c>
      <c r="JQ11" s="4">
        <f t="array" ref="JQ11">INDEX('Gasoline and electricity'!$K$1:$L$553,MATCH(US!JQ$5,'Gasoline and electricity'!$K$1:$K$553,0),2)</f>
        <v>0.16</v>
      </c>
      <c r="JR11" s="4">
        <f t="array" ref="JR11">INDEX('Gasoline and electricity'!$K$1:$L$553,MATCH(US!JR$5,'Gasoline and electricity'!$K$1:$K$553,0),2)</f>
        <v>0.164</v>
      </c>
      <c r="JS11" s="4">
        <f t="array" ref="JS11">INDEX('Gasoline and electricity'!$K$1:$L$553,MATCH(US!JS$5,'Gasoline and electricity'!$K$1:$K$553,0),2)</f>
        <v>0.167</v>
      </c>
      <c r="JT11" s="4">
        <f t="array" ref="JT11">INDEX('Gasoline and electricity'!$K$1:$L$553,MATCH(US!JT$5,'Gasoline and electricity'!$K$1:$K$553,0),2)</f>
        <v>0.167</v>
      </c>
      <c r="JU11" s="4">
        <f t="array" ref="JU11">INDEX('Gasoline and electricity'!$K$1:$L$553,MATCH(US!JU$5,'Gasoline and electricity'!$K$1:$K$553,0),2)</f>
        <v>0.166</v>
      </c>
      <c r="JV11" s="4">
        <f t="array" ref="JV11">INDEX('Gasoline and electricity'!$K$1:$L$553,MATCH(US!JV$5,'Gasoline and electricity'!$K$1:$K$553,0),2)</f>
        <v>0.163</v>
      </c>
      <c r="JW11" s="4">
        <f t="array" ref="JW11">INDEX('Gasoline and electricity'!$K$1:$L$553,MATCH(US!JW$5,'Gasoline and electricity'!$K$1:$K$553,0),2)</f>
        <v>0.165</v>
      </c>
      <c r="JX11" s="4">
        <f t="array" ref="JX11">INDEX('Gasoline and electricity'!$K$1:$L$553,MATCH(US!JX$5,'Gasoline and electricity'!$K$1:$K$553,0),2)</f>
        <v>0.168</v>
      </c>
      <c r="JY11" s="4">
        <f t="array" ref="JY11">INDEX('Gasoline and electricity'!$K$1:$L$553,MATCH(US!JY$5,'Gasoline and electricity'!$K$1:$K$553,0),2)</f>
        <v>0.168</v>
      </c>
      <c r="JZ11" s="4">
        <f t="array" ref="JZ11">INDEX('Gasoline and electricity'!$K$1:$L$553,MATCH(US!JZ$5,'Gasoline and electricity'!$K$1:$K$553,0),2)</f>
        <v>0.166</v>
      </c>
      <c r="KA11" s="4">
        <f t="array" ref="KA11">INDEX('Gasoline and electricity'!$K$1:$L$553,MATCH(US!KA$5,'Gasoline and electricity'!$K$1:$K$553,0),2)</f>
        <v>0.165</v>
      </c>
      <c r="KB11" s="4">
        <f t="array" ref="KB11">INDEX('Gasoline and electricity'!$K$1:$L$553,MATCH(US!KB$5,'Gasoline and electricity'!$K$1:$K$553,0),2)</f>
        <v>0.165</v>
      </c>
      <c r="KC11" s="4">
        <f t="array" ref="KC11">INDEX('Gasoline and electricity'!$K$1:$L$553,MATCH(US!KC$5,'Gasoline and electricity'!$K$1:$K$553,0),2)</f>
        <v>0.17</v>
      </c>
      <c r="KD11" s="4">
        <f t="array" ref="KD11">INDEX('Gasoline and electricity'!$K$1:$L$553,MATCH(US!KD$5,'Gasoline and electricity'!$K$1:$K$553,0),2)</f>
        <v>0.169</v>
      </c>
      <c r="KE11" s="4">
        <f t="array" ref="KE11">INDEX('Gasoline and electricity'!$K$1:$L$553,MATCH(US!KE$5,'Gasoline and electricity'!$K$1:$K$553,0),2)</f>
        <v>0.17</v>
      </c>
      <c r="KF11" s="4">
        <f t="array" ref="KF11">INDEX('Gasoline and electricity'!$K$1:$L$553,MATCH(US!KF$5,'Gasoline and electricity'!$K$1:$K$553,0),2)</f>
        <v>0.171</v>
      </c>
      <c r="KG11" s="4">
        <f t="array" ref="KG11">INDEX('Gasoline and electricity'!$K$1:$L$553,MATCH(US!KG$5,'Gasoline and electricity'!$K$1:$K$553,0),2)</f>
        <v>0.169</v>
      </c>
      <c r="KH11" s="4">
        <f t="array" ref="KH11">INDEX('Gasoline and electricity'!$K$1:$L$553,MATCH(US!KH$5,'Gasoline and electricity'!$K$1:$K$553,0),2)</f>
        <v>0.168</v>
      </c>
      <c r="KI11" s="4">
        <f t="array" ref="KI11">INDEX('Gasoline and electricity'!$K$1:$L$553,MATCH(US!KI$5,'Gasoline and electricity'!$K$1:$K$553,0),2)</f>
        <v>0.169</v>
      </c>
      <c r="KJ11" s="4">
        <f t="array" ref="KJ11">INDEX('Gasoline and electricity'!$K$1:$L$553,MATCH(US!KJ$5,'Gasoline and electricity'!$K$1:$K$553,0),2)</f>
        <v>0.173</v>
      </c>
      <c r="KK11" s="4">
        <f t="array" ref="KK11">INDEX('Gasoline and electricity'!$K$1:$L$553,MATCH(US!KK$5,'Gasoline and electricity'!$K$1:$K$553,0),2)</f>
        <v>0.173</v>
      </c>
      <c r="KL11" s="4">
        <f t="array" ref="KL11">INDEX('Gasoline and electricity'!$K$1:$L$553,MATCH(US!KL$5,'Gasoline and electricity'!$K$1:$K$553,0),2)</f>
        <v>0.174</v>
      </c>
      <c r="KM11" s="4">
        <f t="array" ref="KM11">INDEX('Gasoline and electricity'!$K$1:$L$553,MATCH(US!KM$5,'Gasoline and electricity'!$K$1:$K$553,0),2)</f>
        <v>0.173</v>
      </c>
      <c r="KN11" s="4">
        <f t="array" ref="KN11">INDEX('Gasoline and electricity'!$K$1:$L$553,MATCH(US!KN$5,'Gasoline and electricity'!$K$1:$K$553,0),2)</f>
        <v>0.175</v>
      </c>
      <c r="KO11" s="4">
        <f t="array" ref="KO11">INDEX('Gasoline and electricity'!$K$1:$L$553,MATCH(US!KO$5,'Gasoline and electricity'!$K$1:$K$553,0),2)</f>
        <v>0.178</v>
      </c>
      <c r="KP11" s="4">
        <f t="array" ref="KP11">INDEX('Gasoline and electricity'!$K$1:$L$553,MATCH(US!KP$5,'Gasoline and electricity'!$K$1:$K$553,0),2)</f>
        <v>0.178</v>
      </c>
      <c r="KQ11" s="4">
        <f t="array" ref="KQ11">INDEX('Gasoline and electricity'!$K$1:$L$553,MATCH(US!KQ$5,'Gasoline and electricity'!$K$1:$K$553,0),2)</f>
        <v>0.177</v>
      </c>
      <c r="KR11" s="4">
        <f t="array" ref="KR11">INDEX('Gasoline and electricity'!$K$1:$L$553,MATCH(US!KR$5,'Gasoline and electricity'!$K$1:$K$553,0),2)</f>
        <v>0.178</v>
      </c>
      <c r="KS11" s="4">
        <f t="array" ref="KS11">INDEX('Gasoline and electricity'!$K$1:$L$553,MATCH(US!KS$5,'Gasoline and electricity'!$K$1:$K$553,0),2)</f>
        <v>0.177</v>
      </c>
      <c r="KT11" s="4" t="str">
        <f t="array" ref="KT11">INDEX('Gasoline and electricity'!$K$1:$L$553,MATCH(US!KT$5,'Gasoline and electricity'!$K$1:$K$553,0),2)</f>
        <v>#N/A</v>
      </c>
    </row>
    <row r="12" ht="12.75" customHeight="1">
      <c r="A12" s="1" t="s">
        <v>34</v>
      </c>
      <c r="B12" s="3" t="s">
        <v>35</v>
      </c>
      <c r="C12" s="1" t="s">
        <v>36</v>
      </c>
      <c r="D12" s="1">
        <v>200.0</v>
      </c>
      <c r="E12" s="1">
        <v>0.0</v>
      </c>
      <c r="F12" s="4" t="s">
        <v>37</v>
      </c>
      <c r="G12" s="5" t="s">
        <v>38</v>
      </c>
    </row>
    <row r="13" ht="12.75" customHeight="1">
      <c r="A13" s="1" t="s">
        <v>39</v>
      </c>
      <c r="B13" s="1" t="s">
        <v>40</v>
      </c>
      <c r="C13" s="1" t="s">
        <v>36</v>
      </c>
      <c r="D13" s="1">
        <v>1500.0</v>
      </c>
      <c r="E13" s="1">
        <v>830.0</v>
      </c>
      <c r="F13" s="4" t="s">
        <v>22</v>
      </c>
      <c r="G13" s="1" t="s">
        <v>41</v>
      </c>
    </row>
    <row r="14" ht="12.75" customHeight="1">
      <c r="A14" s="1" t="s">
        <v>42</v>
      </c>
      <c r="B14" s="1" t="s">
        <v>43</v>
      </c>
      <c r="C14" s="1" t="s">
        <v>36</v>
      </c>
      <c r="D14" s="1">
        <v>40000.0</v>
      </c>
      <c r="E14" s="1">
        <f>10^6</f>
        <v>1000000</v>
      </c>
      <c r="F14" s="4" t="s">
        <v>22</v>
      </c>
      <c r="G14" s="1" t="s">
        <v>41</v>
      </c>
    </row>
    <row r="15" ht="12.75" customHeight="1">
      <c r="A15" s="5" t="s">
        <v>44</v>
      </c>
      <c r="B15" s="8" t="s">
        <v>45</v>
      </c>
      <c r="C15" s="5" t="s">
        <v>46</v>
      </c>
      <c r="D15" s="1">
        <f>(5.4+1.2+1.8)*1000</f>
        <v>8400</v>
      </c>
      <c r="E15" s="1">
        <f>(5.4+1.2+2.8)*1000</f>
        <v>9400</v>
      </c>
      <c r="F15" s="5" t="s">
        <v>47</v>
      </c>
      <c r="G15" s="9" t="s">
        <v>48</v>
      </c>
    </row>
    <row r="16" ht="12.75" customHeight="1">
      <c r="A16" s="5" t="s">
        <v>49</v>
      </c>
      <c r="B16" s="8" t="s">
        <v>50</v>
      </c>
      <c r="C16" s="5" t="s">
        <v>46</v>
      </c>
      <c r="D16" s="5">
        <v>6000.0</v>
      </c>
      <c r="E16" s="5">
        <v>6000.0</v>
      </c>
      <c r="F16" s="5" t="s">
        <v>14</v>
      </c>
      <c r="G16" s="9" t="s">
        <v>48</v>
      </c>
    </row>
    <row r="17" ht="12.75" customHeight="1">
      <c r="A17" s="5" t="s">
        <v>51</v>
      </c>
      <c r="B17" s="8" t="s">
        <v>52</v>
      </c>
      <c r="C17" s="5" t="s">
        <v>53</v>
      </c>
      <c r="D17" s="1">
        <f>8.887*B54</f>
        <v>0.2637091988</v>
      </c>
      <c r="E17" s="5">
        <f t="shared" ref="E17:E18" si="1">D17</f>
        <v>0.2637091988</v>
      </c>
      <c r="F17" s="5" t="s">
        <v>29</v>
      </c>
      <c r="G17" s="9" t="s">
        <v>54</v>
      </c>
    </row>
    <row r="18" ht="12.75" customHeight="1">
      <c r="A18" s="5" t="s">
        <v>55</v>
      </c>
      <c r="B18" s="8" t="s">
        <v>56</v>
      </c>
      <c r="C18" s="5" t="s">
        <v>53</v>
      </c>
      <c r="D18" s="1">
        <f>'Electricity emissions'!A36*'Electricity emissions'!B38</f>
        <v>0.3733518797</v>
      </c>
      <c r="E18" s="1">
        <f t="shared" si="1"/>
        <v>0.3733518797</v>
      </c>
      <c r="F18" s="5" t="s">
        <v>29</v>
      </c>
      <c r="G18" s="6" t="s">
        <v>57</v>
      </c>
    </row>
    <row r="19" ht="12.75" customHeight="1">
      <c r="A19" s="5" t="s">
        <v>58</v>
      </c>
      <c r="B19" s="5" t="s">
        <v>59</v>
      </c>
      <c r="C19" s="1" t="s">
        <v>60</v>
      </c>
      <c r="D19" s="10">
        <v>0.2</v>
      </c>
      <c r="E19" s="10">
        <v>0.2</v>
      </c>
      <c r="F19" s="5" t="s">
        <v>61</v>
      </c>
      <c r="G19" s="9" t="s">
        <v>62</v>
      </c>
    </row>
    <row r="20" ht="12.75" customHeight="1">
      <c r="A20" s="5" t="s">
        <v>63</v>
      </c>
      <c r="B20" s="5" t="s">
        <v>59</v>
      </c>
      <c r="C20" s="1" t="s">
        <v>60</v>
      </c>
      <c r="D20" s="10">
        <v>0.8</v>
      </c>
      <c r="E20" s="10">
        <v>0.8</v>
      </c>
      <c r="F20" s="5" t="s">
        <v>61</v>
      </c>
      <c r="G20" s="9" t="s">
        <v>62</v>
      </c>
    </row>
    <row r="21" ht="12.75" customHeight="1">
      <c r="A21" s="1" t="s">
        <v>64</v>
      </c>
      <c r="B21" s="8" t="s">
        <v>65</v>
      </c>
      <c r="C21" s="5" t="s">
        <v>66</v>
      </c>
      <c r="D21" s="5">
        <v>40.0</v>
      </c>
      <c r="E21" s="5">
        <v>70.0</v>
      </c>
      <c r="F21" s="11" t="s">
        <v>67</v>
      </c>
    </row>
    <row r="22" ht="12.75" customHeight="1">
      <c r="A22" s="1" t="s">
        <v>64</v>
      </c>
      <c r="B22" s="8" t="s">
        <v>68</v>
      </c>
      <c r="C22" s="5" t="s">
        <v>66</v>
      </c>
      <c r="E22" s="5">
        <v>20.0</v>
      </c>
      <c r="F22" s="11" t="s">
        <v>67</v>
      </c>
    </row>
    <row r="23" ht="12.75" customHeight="1">
      <c r="A23" s="1" t="s">
        <v>69</v>
      </c>
      <c r="B23" s="1" t="s">
        <v>70</v>
      </c>
      <c r="C23" s="1" t="s">
        <v>71</v>
      </c>
      <c r="D23" s="5" t="s">
        <v>72</v>
      </c>
      <c r="G23" s="5" t="s">
        <v>73</v>
      </c>
    </row>
    <row r="24" ht="12.75" customHeight="1">
      <c r="A24" s="1" t="s">
        <v>74</v>
      </c>
      <c r="B24" s="1" t="s">
        <v>75</v>
      </c>
      <c r="C24" s="1" t="s">
        <v>76</v>
      </c>
      <c r="D24" s="10">
        <v>0.0</v>
      </c>
      <c r="E24" s="10">
        <v>0.05</v>
      </c>
      <c r="F24" s="5" t="s">
        <v>77</v>
      </c>
      <c r="G24" s="9" t="s">
        <v>78</v>
      </c>
      <c r="H24" s="5" t="s">
        <v>79</v>
      </c>
    </row>
    <row r="25" ht="12.75" customHeight="1">
      <c r="A25" s="1" t="s">
        <v>80</v>
      </c>
      <c r="B25" s="3" t="s">
        <v>81</v>
      </c>
      <c r="C25" s="1" t="s">
        <v>82</v>
      </c>
      <c r="D25" s="5">
        <v>1.0</v>
      </c>
      <c r="E25" s="5">
        <v>2.0</v>
      </c>
      <c r="F25" s="5" t="s">
        <v>83</v>
      </c>
      <c r="G25" s="5" t="s">
        <v>84</v>
      </c>
    </row>
    <row r="26" ht="12.75" customHeight="1">
      <c r="A26" s="1" t="s">
        <v>85</v>
      </c>
      <c r="B26" s="1" t="s">
        <v>86</v>
      </c>
      <c r="C26" s="1" t="s">
        <v>87</v>
      </c>
      <c r="D26" s="5" t="s">
        <v>88</v>
      </c>
      <c r="F26" s="5" t="s">
        <v>89</v>
      </c>
    </row>
    <row r="27" ht="12.75" customHeight="1">
      <c r="A27" s="1" t="s">
        <v>90</v>
      </c>
      <c r="B27" s="1" t="s">
        <v>91</v>
      </c>
      <c r="C27" s="1" t="s">
        <v>92</v>
      </c>
      <c r="D27" s="5" t="s">
        <v>88</v>
      </c>
      <c r="F27" s="5" t="s">
        <v>93</v>
      </c>
    </row>
    <row r="28" ht="12.75" customHeight="1">
      <c r="A28" s="1" t="s">
        <v>94</v>
      </c>
      <c r="B28" s="1" t="s">
        <v>95</v>
      </c>
      <c r="C28" s="1" t="s">
        <v>92</v>
      </c>
      <c r="D28" s="5" t="s">
        <v>96</v>
      </c>
    </row>
    <row r="29" ht="12.75" customHeight="1">
      <c r="A29" s="1" t="s">
        <v>97</v>
      </c>
      <c r="B29" s="1" t="s">
        <v>98</v>
      </c>
      <c r="C29" s="1" t="s">
        <v>92</v>
      </c>
      <c r="D29" s="5" t="s">
        <v>99</v>
      </c>
    </row>
    <row r="30" ht="12.75" customHeight="1">
      <c r="A30" s="1" t="s">
        <v>100</v>
      </c>
      <c r="B30" s="1" t="s">
        <v>101</v>
      </c>
      <c r="C30" s="1" t="s">
        <v>102</v>
      </c>
      <c r="D30" s="5" t="s">
        <v>88</v>
      </c>
    </row>
    <row r="31" ht="12.75" customHeight="1">
      <c r="A31" s="1" t="s">
        <v>103</v>
      </c>
      <c r="B31" s="1" t="s">
        <v>104</v>
      </c>
      <c r="C31" s="1" t="s">
        <v>102</v>
      </c>
      <c r="D31" s="5" t="s">
        <v>96</v>
      </c>
    </row>
    <row r="32" ht="12.75" customHeight="1">
      <c r="A32" s="1" t="s">
        <v>105</v>
      </c>
      <c r="B32" s="1" t="s">
        <v>106</v>
      </c>
      <c r="C32" s="1" t="s">
        <v>102</v>
      </c>
      <c r="D32" s="5" t="s">
        <v>107</v>
      </c>
      <c r="F32" s="5"/>
    </row>
    <row r="33" ht="12.75" customHeight="1">
      <c r="A33" s="1" t="s">
        <v>108</v>
      </c>
      <c r="B33" s="1" t="s">
        <v>109</v>
      </c>
      <c r="C33" s="1" t="s">
        <v>76</v>
      </c>
      <c r="D33" s="10">
        <v>0.01</v>
      </c>
      <c r="E33" s="10">
        <v>0.03</v>
      </c>
      <c r="F33" s="5" t="s">
        <v>110</v>
      </c>
    </row>
    <row r="34" ht="12.75" customHeight="1">
      <c r="A34" s="1" t="s">
        <v>111</v>
      </c>
      <c r="B34" s="1" t="s">
        <v>112</v>
      </c>
      <c r="C34" s="1" t="s">
        <v>113</v>
      </c>
      <c r="D34" s="5" t="s">
        <v>88</v>
      </c>
    </row>
    <row r="35" ht="12.75" customHeight="1">
      <c r="A35" s="1" t="s">
        <v>114</v>
      </c>
      <c r="B35" s="3" t="s">
        <v>115</v>
      </c>
      <c r="C35" s="1" t="s">
        <v>76</v>
      </c>
      <c r="D35" s="12">
        <v>45627.0</v>
      </c>
    </row>
    <row r="36" ht="12.75" customHeight="1">
      <c r="A36" s="1" t="s">
        <v>116</v>
      </c>
      <c r="B36" s="1" t="s">
        <v>117</v>
      </c>
      <c r="C36" s="1" t="s">
        <v>87</v>
      </c>
      <c r="D36" s="5" t="s">
        <v>118</v>
      </c>
    </row>
    <row r="37" ht="12.75" customHeight="1">
      <c r="A37" s="1" t="s">
        <v>119</v>
      </c>
      <c r="B37" s="1" t="s">
        <v>120</v>
      </c>
      <c r="C37" s="1" t="s">
        <v>87</v>
      </c>
      <c r="D37" s="5" t="s">
        <v>121</v>
      </c>
    </row>
    <row r="38" ht="12.75" customHeight="1">
      <c r="A38" s="1" t="s">
        <v>122</v>
      </c>
      <c r="B38" s="5" t="s">
        <v>123</v>
      </c>
      <c r="C38" s="1" t="s">
        <v>76</v>
      </c>
      <c r="D38" s="10">
        <v>0.3</v>
      </c>
    </row>
    <row r="39" ht="12.75" customHeight="1">
      <c r="A39" s="1" t="s">
        <v>124</v>
      </c>
      <c r="B39" s="1" t="s">
        <v>125</v>
      </c>
      <c r="C39" s="1" t="s">
        <v>126</v>
      </c>
      <c r="D39" s="5" t="s">
        <v>127</v>
      </c>
    </row>
    <row r="40" ht="12.75" customHeight="1">
      <c r="A40" s="1" t="s">
        <v>128</v>
      </c>
      <c r="B40" s="1" t="s">
        <v>129</v>
      </c>
      <c r="C40" s="1" t="s">
        <v>130</v>
      </c>
      <c r="D40" s="5" t="s">
        <v>131</v>
      </c>
    </row>
    <row r="41" ht="12.75" customHeight="1">
      <c r="A41" s="1" t="s">
        <v>132</v>
      </c>
      <c r="B41" s="1" t="s">
        <v>133</v>
      </c>
      <c r="C41" s="1" t="s">
        <v>76</v>
      </c>
      <c r="D41" s="5" t="s">
        <v>134</v>
      </c>
    </row>
    <row r="42" ht="12.75" customHeight="1">
      <c r="A42" s="1" t="s">
        <v>135</v>
      </c>
      <c r="B42" s="8" t="s">
        <v>136</v>
      </c>
      <c r="C42" s="5" t="s">
        <v>137</v>
      </c>
      <c r="D42" s="5">
        <v>4.0</v>
      </c>
      <c r="E42" s="5">
        <v>7.0</v>
      </c>
      <c r="F42" s="13" t="s">
        <v>138</v>
      </c>
    </row>
    <row r="43" ht="12.75" customHeight="1">
      <c r="A43" s="1" t="s">
        <v>135</v>
      </c>
      <c r="B43" s="8" t="s">
        <v>139</v>
      </c>
      <c r="C43" s="5" t="s">
        <v>140</v>
      </c>
      <c r="D43" s="5">
        <v>0.5</v>
      </c>
      <c r="E43" s="5">
        <v>2.0</v>
      </c>
      <c r="F43" s="6" t="s">
        <v>141</v>
      </c>
    </row>
    <row r="44" ht="12.75" customHeight="1">
      <c r="B44" s="5" t="s">
        <v>142</v>
      </c>
      <c r="C44" s="5" t="s">
        <v>143</v>
      </c>
    </row>
    <row r="45" ht="12.75" customHeight="1">
      <c r="B45" s="5" t="s">
        <v>144</v>
      </c>
    </row>
    <row r="46" ht="12.75" customHeight="1">
      <c r="B46" s="5" t="s">
        <v>144</v>
      </c>
    </row>
    <row r="47" ht="12.75" customHeight="1">
      <c r="B47" s="5" t="s">
        <v>145</v>
      </c>
    </row>
    <row r="48" ht="12.75" customHeight="1">
      <c r="B48" s="5" t="s">
        <v>146</v>
      </c>
    </row>
    <row r="49" ht="12.75" customHeight="1"/>
    <row r="50" ht="12.75" customHeight="1">
      <c r="A50" s="5" t="s">
        <v>147</v>
      </c>
      <c r="B50" s="1">
        <f>12*5</f>
        <v>60</v>
      </c>
      <c r="C50" s="1" t="s">
        <v>148</v>
      </c>
    </row>
    <row r="51" ht="12.75" customHeight="1"/>
    <row r="52" ht="12.75" customHeight="1"/>
    <row r="53" ht="12.75" customHeight="1">
      <c r="A53" s="1" t="s">
        <v>149</v>
      </c>
      <c r="B53" s="1">
        <v>33.7</v>
      </c>
      <c r="C53" s="1" t="s">
        <v>150</v>
      </c>
    </row>
    <row r="54" ht="13.5" customHeight="1">
      <c r="A54" s="1" t="s">
        <v>151</v>
      </c>
      <c r="B54" s="1">
        <f>1/B53</f>
        <v>0.0296735905</v>
      </c>
    </row>
    <row r="55" ht="12.75" customHeight="1">
      <c r="A55" s="14"/>
    </row>
    <row r="56" ht="12.75" customHeight="1">
      <c r="A56" s="14" t="s">
        <v>152</v>
      </c>
    </row>
    <row r="57" ht="12.75" customHeight="1">
      <c r="B57" s="5" t="s">
        <v>153</v>
      </c>
      <c r="C57" s="15"/>
    </row>
    <row r="58" ht="12.75" customHeight="1">
      <c r="B58" s="9" t="s">
        <v>154</v>
      </c>
    </row>
    <row r="59" ht="12.75" customHeight="1">
      <c r="A59" s="5" t="s">
        <v>155</v>
      </c>
      <c r="B59" s="9" t="s">
        <v>156</v>
      </c>
      <c r="C59" s="16" t="s">
        <v>157</v>
      </c>
    </row>
    <row r="60" ht="12.75" customHeight="1">
      <c r="A60" s="5" t="s">
        <v>158</v>
      </c>
      <c r="B60" s="9" t="s">
        <v>159</v>
      </c>
    </row>
    <row r="61" ht="12.75" customHeight="1"/>
    <row r="62" ht="12.75" customHeight="1">
      <c r="A62" s="5" t="s">
        <v>160</v>
      </c>
      <c r="B62" s="5" t="s">
        <v>161</v>
      </c>
    </row>
    <row r="63" ht="12.75" customHeight="1">
      <c r="A63" s="5" t="s">
        <v>162</v>
      </c>
      <c r="B63" s="11" t="s">
        <v>163</v>
      </c>
      <c r="C63" s="9" t="s">
        <v>164</v>
      </c>
    </row>
    <row r="64" ht="12.75" customHeight="1">
      <c r="A64" s="5" t="s">
        <v>165</v>
      </c>
      <c r="B64" s="5" t="s">
        <v>166</v>
      </c>
    </row>
    <row r="65" ht="12.75" customHeight="1">
      <c r="A65" s="5" t="s">
        <v>167</v>
      </c>
      <c r="B65" s="5" t="s">
        <v>168</v>
      </c>
      <c r="C65" s="9" t="s">
        <v>169</v>
      </c>
    </row>
    <row r="66" ht="12.75" customHeight="1">
      <c r="B66" s="5" t="s">
        <v>170</v>
      </c>
      <c r="C66" s="9" t="s">
        <v>171</v>
      </c>
    </row>
    <row r="67" ht="12.75" customHeight="1">
      <c r="B67" s="5" t="s">
        <v>172</v>
      </c>
      <c r="C67" s="9" t="s">
        <v>173</v>
      </c>
    </row>
    <row r="68" ht="12.75" customHeight="1">
      <c r="B68" s="5" t="s">
        <v>174</v>
      </c>
      <c r="C68" s="9" t="s">
        <v>175</v>
      </c>
    </row>
    <row r="69" ht="12.75" customHeight="1">
      <c r="B69" s="5" t="s">
        <v>176</v>
      </c>
      <c r="C69" s="9" t="s">
        <v>177</v>
      </c>
      <c r="D69" s="9" t="s">
        <v>178</v>
      </c>
    </row>
    <row r="70" ht="12.75" customHeight="1">
      <c r="A70" s="5" t="s">
        <v>179</v>
      </c>
      <c r="B70" s="5" t="s">
        <v>180</v>
      </c>
      <c r="C70" s="9" t="s">
        <v>181</v>
      </c>
    </row>
    <row r="71" ht="12.75" customHeight="1">
      <c r="A71" s="5" t="s">
        <v>182</v>
      </c>
      <c r="B71" s="5" t="s">
        <v>183</v>
      </c>
    </row>
    <row r="72" ht="12.75" customHeight="1">
      <c r="B72" s="5" t="s">
        <v>184</v>
      </c>
      <c r="C72" s="9" t="s">
        <v>185</v>
      </c>
    </row>
    <row r="73" ht="12.75" customHeight="1">
      <c r="B73" s="8" t="s">
        <v>186</v>
      </c>
      <c r="C73" s="9" t="s">
        <v>187</v>
      </c>
    </row>
    <row r="74" ht="12.75" customHeight="1">
      <c r="B74" s="8" t="s">
        <v>188</v>
      </c>
      <c r="C74" s="9" t="s">
        <v>189</v>
      </c>
    </row>
    <row r="75" ht="12.75" customHeight="1">
      <c r="B75" s="5" t="s">
        <v>190</v>
      </c>
      <c r="C75" s="9" t="s">
        <v>191</v>
      </c>
    </row>
    <row r="76" ht="12.75" customHeight="1">
      <c r="B76" s="8" t="s">
        <v>192</v>
      </c>
      <c r="C76" s="9" t="s">
        <v>193</v>
      </c>
    </row>
    <row r="77" ht="12.75" customHeight="1">
      <c r="A77" s="5"/>
      <c r="B77" s="5" t="s">
        <v>194</v>
      </c>
      <c r="C77" s="9" t="s">
        <v>195</v>
      </c>
    </row>
    <row r="78" ht="12.75" customHeight="1">
      <c r="B78" s="8" t="s">
        <v>196</v>
      </c>
      <c r="C78" s="9" t="s">
        <v>197</v>
      </c>
    </row>
    <row r="79" ht="12.75" customHeight="1">
      <c r="B79" s="5" t="s">
        <v>198</v>
      </c>
      <c r="C79" s="9" t="s">
        <v>199</v>
      </c>
    </row>
    <row r="80" ht="12.75" customHeight="1">
      <c r="B80" s="5" t="s">
        <v>200</v>
      </c>
      <c r="C80" s="9" t="s">
        <v>201</v>
      </c>
    </row>
    <row r="81" ht="12.75" customHeight="1">
      <c r="A81" s="17"/>
      <c r="B81" s="18" t="s">
        <v>202</v>
      </c>
      <c r="C81" s="9" t="s">
        <v>203</v>
      </c>
      <c r="D81" s="5"/>
      <c r="J81" s="5" t="s">
        <v>204</v>
      </c>
      <c r="L81" s="5" t="s">
        <v>205</v>
      </c>
      <c r="M81" s="1">
        <f>AVERAGE(J98:J383)</f>
        <v>3.331468531</v>
      </c>
    </row>
    <row r="82" ht="12.75" customHeight="1">
      <c r="A82" s="17"/>
      <c r="B82" s="18" t="s">
        <v>206</v>
      </c>
      <c r="C82" s="9" t="s">
        <v>207</v>
      </c>
      <c r="D82" s="5"/>
      <c r="J82" s="5"/>
      <c r="L82" s="5"/>
    </row>
    <row r="83" ht="12.75" customHeight="1">
      <c r="A83" s="17"/>
      <c r="B83" s="19" t="s">
        <v>208</v>
      </c>
      <c r="C83" s="9" t="s">
        <v>209</v>
      </c>
      <c r="D83" s="5"/>
      <c r="J83" s="5"/>
      <c r="L83" s="5"/>
    </row>
    <row r="84" ht="12.75" customHeight="1">
      <c r="A84" s="18" t="s">
        <v>210</v>
      </c>
      <c r="B84" s="20" t="s">
        <v>211</v>
      </c>
      <c r="C84" s="9" t="s">
        <v>212</v>
      </c>
      <c r="D84" s="5"/>
      <c r="E84" s="9" t="s">
        <v>213</v>
      </c>
      <c r="F84" s="9" t="s">
        <v>214</v>
      </c>
      <c r="J84" s="5"/>
      <c r="L84" s="5"/>
    </row>
    <row r="85" ht="12.75" customHeight="1">
      <c r="B85" s="5" t="s">
        <v>215</v>
      </c>
      <c r="C85" s="21" t="s">
        <v>216</v>
      </c>
      <c r="D85" s="22">
        <v>286.0</v>
      </c>
      <c r="E85" s="9" t="s">
        <v>217</v>
      </c>
      <c r="F85" s="23">
        <v>45566.0</v>
      </c>
      <c r="G85" s="22">
        <v>389.0</v>
      </c>
      <c r="H85" s="1">
        <f>G85/10</f>
        <v>38.9</v>
      </c>
      <c r="I85" s="1">
        <f>AVERAGE(H85,E85)</f>
        <v>38.9</v>
      </c>
    </row>
    <row r="86" ht="12.75" customHeight="1">
      <c r="A86" s="5" t="s">
        <v>218</v>
      </c>
      <c r="B86" s="5" t="s">
        <v>219</v>
      </c>
      <c r="C86" s="21" t="s">
        <v>220</v>
      </c>
      <c r="D86" s="22"/>
      <c r="F86" s="23"/>
      <c r="G86" s="22"/>
    </row>
    <row r="87" ht="12.75" customHeight="1">
      <c r="B87" s="5"/>
      <c r="C87" s="24"/>
      <c r="D87" s="22"/>
      <c r="F87" s="23"/>
      <c r="G87" s="22"/>
    </row>
    <row r="88" ht="12.75" customHeight="1">
      <c r="A88" s="9" t="s">
        <v>221</v>
      </c>
      <c r="C88" s="23"/>
      <c r="D88" s="22"/>
      <c r="F88" s="23"/>
      <c r="G88" s="22"/>
    </row>
    <row r="89" ht="12.75" customHeight="1">
      <c r="C89" s="23"/>
      <c r="D89" s="22"/>
      <c r="F89" s="23"/>
      <c r="G89" s="22"/>
    </row>
    <row r="90" ht="12.75" customHeight="1">
      <c r="A90" s="5" t="s">
        <v>222</v>
      </c>
      <c r="C90" s="23"/>
      <c r="D90" s="22"/>
      <c r="F90" s="23"/>
      <c r="G90" s="22"/>
    </row>
    <row r="91" ht="12.75" customHeight="1">
      <c r="A91" s="5" t="s">
        <v>223</v>
      </c>
      <c r="B91" s="6" t="s">
        <v>224</v>
      </c>
      <c r="C91" s="24" t="s">
        <v>225</v>
      </c>
      <c r="D91" s="22"/>
      <c r="F91" s="23"/>
      <c r="G91" s="22"/>
    </row>
    <row r="92" ht="12.75" customHeight="1">
      <c r="C92" s="23"/>
      <c r="D92" s="22"/>
      <c r="F92" s="23"/>
      <c r="G92" s="22"/>
    </row>
    <row r="93" ht="12.75" customHeight="1">
      <c r="C93" s="23"/>
      <c r="D93" s="22"/>
      <c r="F93" s="23"/>
      <c r="G93" s="22"/>
    </row>
    <row r="94" ht="12.75" customHeight="1">
      <c r="C94" s="23"/>
      <c r="D94" s="22"/>
      <c r="F94" s="23"/>
      <c r="G94" s="22"/>
    </row>
    <row r="95" ht="12.75" customHeight="1">
      <c r="C95" s="23"/>
      <c r="D95" s="22"/>
      <c r="F95" s="23"/>
      <c r="G95" s="22"/>
    </row>
    <row r="96" ht="12.75" customHeight="1">
      <c r="C96" s="23"/>
      <c r="D96" s="22"/>
      <c r="F96" s="23"/>
      <c r="G96" s="22"/>
    </row>
    <row r="97" ht="12.75" customHeight="1">
      <c r="C97" s="23"/>
      <c r="D97" s="22"/>
      <c r="F97" s="23"/>
      <c r="G97" s="22"/>
    </row>
    <row r="98" ht="12.75" customHeight="1">
      <c r="A98" s="25">
        <v>45536.0</v>
      </c>
      <c r="B98" s="26">
        <v>31.64</v>
      </c>
      <c r="C98" s="23">
        <v>45536.0</v>
      </c>
      <c r="D98" s="22">
        <v>282.0</v>
      </c>
      <c r="E98" s="1">
        <f t="shared" ref="E98:E394" si="2">D98/10</f>
        <v>28.2</v>
      </c>
      <c r="F98" s="23">
        <v>45536.0</v>
      </c>
      <c r="G98" s="22">
        <v>383.0</v>
      </c>
      <c r="H98" s="1">
        <f t="shared" ref="H98:H394" si="3">G98/10</f>
        <v>38.3</v>
      </c>
      <c r="I98" s="1">
        <f t="shared" ref="I98:I394" si="4">AVERAGE(H98,E98)</f>
        <v>33.25</v>
      </c>
      <c r="J98" s="1">
        <f t="shared" ref="J98:J383" si="5">(I98-B98)</f>
        <v>1.61</v>
      </c>
    </row>
    <row r="99" ht="12.75" customHeight="1">
      <c r="A99" s="27">
        <v>45505.0</v>
      </c>
      <c r="B99" s="26">
        <v>31.05</v>
      </c>
      <c r="C99" s="23">
        <v>45505.0</v>
      </c>
      <c r="D99" s="22">
        <v>282.0</v>
      </c>
      <c r="E99" s="1">
        <f t="shared" si="2"/>
        <v>28.2</v>
      </c>
      <c r="F99" s="23">
        <v>45505.0</v>
      </c>
      <c r="G99" s="22">
        <v>381.0</v>
      </c>
      <c r="H99" s="1">
        <f t="shared" si="3"/>
        <v>38.1</v>
      </c>
      <c r="I99" s="1">
        <f t="shared" si="4"/>
        <v>33.15</v>
      </c>
      <c r="J99" s="1">
        <f t="shared" si="5"/>
        <v>2.1</v>
      </c>
    </row>
    <row r="100" ht="12.75" customHeight="1">
      <c r="A100" s="27">
        <v>45474.0</v>
      </c>
      <c r="B100" s="26">
        <v>32.55</v>
      </c>
      <c r="C100" s="23">
        <v>45474.0</v>
      </c>
      <c r="D100" s="22">
        <v>282.0</v>
      </c>
      <c r="E100" s="1">
        <f t="shared" si="2"/>
        <v>28.2</v>
      </c>
      <c r="F100" s="23">
        <v>45474.0</v>
      </c>
      <c r="G100" s="22">
        <v>381.0</v>
      </c>
      <c r="H100" s="1">
        <f t="shared" si="3"/>
        <v>38.1</v>
      </c>
      <c r="I100" s="1">
        <f t="shared" si="4"/>
        <v>33.15</v>
      </c>
      <c r="J100" s="1">
        <f t="shared" si="5"/>
        <v>0.6</v>
      </c>
    </row>
    <row r="101" ht="12.75" customHeight="1">
      <c r="A101" s="27">
        <v>45444.0</v>
      </c>
      <c r="B101" s="26">
        <v>32.99</v>
      </c>
      <c r="C101" s="23">
        <v>45444.0</v>
      </c>
      <c r="D101" s="22">
        <v>277.0</v>
      </c>
      <c r="E101" s="1">
        <f t="shared" si="2"/>
        <v>27.7</v>
      </c>
      <c r="F101" s="23">
        <v>45444.0</v>
      </c>
      <c r="G101" s="22">
        <v>419.0</v>
      </c>
      <c r="H101" s="1">
        <f t="shared" si="3"/>
        <v>41.9</v>
      </c>
      <c r="I101" s="1">
        <f t="shared" si="4"/>
        <v>34.8</v>
      </c>
      <c r="J101" s="1">
        <f t="shared" si="5"/>
        <v>1.81</v>
      </c>
    </row>
    <row r="102" ht="12.75" customHeight="1">
      <c r="A102" s="27">
        <v>45413.0</v>
      </c>
      <c r="B102" s="26">
        <v>34.3</v>
      </c>
      <c r="C102" s="23">
        <v>45413.0</v>
      </c>
      <c r="D102" s="22">
        <v>286.0</v>
      </c>
      <c r="E102" s="1">
        <f t="shared" si="2"/>
        <v>28.6</v>
      </c>
      <c r="F102" s="23">
        <v>45413.0</v>
      </c>
      <c r="G102" s="22">
        <v>413.0</v>
      </c>
      <c r="H102" s="1">
        <f t="shared" si="3"/>
        <v>41.3</v>
      </c>
      <c r="I102" s="1">
        <f t="shared" si="4"/>
        <v>34.95</v>
      </c>
      <c r="J102" s="1">
        <f t="shared" si="5"/>
        <v>0.65</v>
      </c>
    </row>
    <row r="103" ht="12.75" customHeight="1">
      <c r="A103" s="27">
        <v>45383.0</v>
      </c>
      <c r="B103" s="26">
        <v>34.26</v>
      </c>
      <c r="C103" s="23">
        <v>45383.0</v>
      </c>
      <c r="D103" s="22">
        <v>287.0</v>
      </c>
      <c r="E103" s="1">
        <f t="shared" si="2"/>
        <v>28.7</v>
      </c>
      <c r="F103" s="23">
        <v>45383.0</v>
      </c>
      <c r="G103" s="22">
        <v>413.0</v>
      </c>
      <c r="H103" s="1">
        <f t="shared" si="3"/>
        <v>41.3</v>
      </c>
      <c r="I103" s="1">
        <f t="shared" si="4"/>
        <v>35</v>
      </c>
      <c r="J103" s="1">
        <f t="shared" si="5"/>
        <v>0.74</v>
      </c>
    </row>
    <row r="104" ht="12.75" customHeight="1">
      <c r="A104" s="27">
        <v>45352.0</v>
      </c>
      <c r="B104" s="28">
        <v>32.48</v>
      </c>
      <c r="C104" s="23">
        <v>45352.0</v>
      </c>
      <c r="D104" s="22">
        <v>291.0</v>
      </c>
      <c r="E104" s="1">
        <f t="shared" si="2"/>
        <v>29.1</v>
      </c>
      <c r="F104" s="23">
        <v>45352.0</v>
      </c>
      <c r="G104" s="22">
        <v>413.0</v>
      </c>
      <c r="H104" s="1">
        <f t="shared" si="3"/>
        <v>41.3</v>
      </c>
      <c r="I104" s="1">
        <f t="shared" si="4"/>
        <v>35.2</v>
      </c>
      <c r="J104" s="1">
        <f t="shared" si="5"/>
        <v>2.72</v>
      </c>
    </row>
    <row r="105" ht="12.75" customHeight="1">
      <c r="A105" s="27">
        <v>45323.0</v>
      </c>
      <c r="B105" s="26">
        <v>31.24</v>
      </c>
      <c r="C105" s="23">
        <v>45323.0</v>
      </c>
      <c r="D105" s="22">
        <v>285.0</v>
      </c>
      <c r="E105" s="1">
        <f t="shared" si="2"/>
        <v>28.5</v>
      </c>
      <c r="F105" s="23">
        <v>45323.0</v>
      </c>
      <c r="G105" s="22">
        <v>412.0</v>
      </c>
      <c r="H105" s="1">
        <f t="shared" si="3"/>
        <v>41.2</v>
      </c>
      <c r="I105" s="1">
        <f t="shared" si="4"/>
        <v>34.85</v>
      </c>
      <c r="J105" s="1">
        <f t="shared" si="5"/>
        <v>3.61</v>
      </c>
    </row>
    <row r="106" ht="12.75" customHeight="1">
      <c r="A106" s="27">
        <v>45292.0</v>
      </c>
      <c r="B106" s="26">
        <v>29.49</v>
      </c>
      <c r="C106" s="23">
        <v>45292.0</v>
      </c>
      <c r="D106" s="22">
        <v>285.0</v>
      </c>
      <c r="E106" s="1">
        <f t="shared" si="2"/>
        <v>28.5</v>
      </c>
      <c r="F106" s="23">
        <v>45292.0</v>
      </c>
      <c r="G106" s="22">
        <v>412.0</v>
      </c>
      <c r="H106" s="1">
        <f t="shared" si="3"/>
        <v>41.2</v>
      </c>
      <c r="I106" s="1">
        <f t="shared" si="4"/>
        <v>34.85</v>
      </c>
      <c r="J106" s="1">
        <f t="shared" si="5"/>
        <v>5.36</v>
      </c>
    </row>
    <row r="107" ht="12.75" customHeight="1">
      <c r="A107" s="29">
        <v>45261.0</v>
      </c>
      <c r="B107" s="26">
        <v>29.12</v>
      </c>
      <c r="C107" s="23">
        <v>45261.0</v>
      </c>
      <c r="D107" s="22">
        <v>288.0</v>
      </c>
      <c r="E107" s="1">
        <f t="shared" si="2"/>
        <v>28.8</v>
      </c>
      <c r="F107" s="23">
        <v>45261.0</v>
      </c>
      <c r="G107" s="22">
        <v>350.0</v>
      </c>
      <c r="H107" s="1">
        <f t="shared" si="3"/>
        <v>35</v>
      </c>
      <c r="I107" s="1">
        <f t="shared" si="4"/>
        <v>31.9</v>
      </c>
      <c r="J107" s="1">
        <f t="shared" si="5"/>
        <v>2.78</v>
      </c>
    </row>
    <row r="108" ht="12.75" customHeight="1">
      <c r="A108" s="29">
        <v>45231.0</v>
      </c>
      <c r="B108" s="26">
        <v>29.54</v>
      </c>
      <c r="C108" s="23">
        <v>45231.0</v>
      </c>
      <c r="D108" s="22">
        <v>287.0</v>
      </c>
      <c r="E108" s="1">
        <f t="shared" si="2"/>
        <v>28.7</v>
      </c>
      <c r="F108" s="23">
        <v>45231.0</v>
      </c>
      <c r="G108" s="22">
        <v>350.0</v>
      </c>
      <c r="H108" s="1">
        <f t="shared" si="3"/>
        <v>35</v>
      </c>
      <c r="I108" s="1">
        <f t="shared" si="4"/>
        <v>31.85</v>
      </c>
      <c r="J108" s="1">
        <f t="shared" si="5"/>
        <v>2.31</v>
      </c>
    </row>
    <row r="109" ht="12.75" customHeight="1">
      <c r="A109" s="29">
        <v>45200.0</v>
      </c>
      <c r="B109" s="26">
        <v>31.78</v>
      </c>
      <c r="C109" s="23">
        <v>45200.0</v>
      </c>
      <c r="D109" s="22">
        <v>287.0</v>
      </c>
      <c r="E109" s="1">
        <f t="shared" si="2"/>
        <v>28.7</v>
      </c>
      <c r="F109" s="23">
        <v>45200.0</v>
      </c>
      <c r="G109" s="22">
        <v>350.0</v>
      </c>
      <c r="H109" s="1">
        <f t="shared" si="3"/>
        <v>35</v>
      </c>
      <c r="I109" s="1">
        <f t="shared" si="4"/>
        <v>31.85</v>
      </c>
      <c r="J109" s="1">
        <f t="shared" si="5"/>
        <v>0.07</v>
      </c>
    </row>
    <row r="110" ht="12.75" customHeight="1">
      <c r="A110" s="27">
        <v>45170.0</v>
      </c>
      <c r="B110" s="26">
        <v>30.01</v>
      </c>
      <c r="C110" s="23">
        <v>45170.0</v>
      </c>
      <c r="D110" s="22">
        <v>280.0</v>
      </c>
      <c r="E110" s="1">
        <f t="shared" si="2"/>
        <v>28</v>
      </c>
      <c r="F110" s="23">
        <v>45170.0</v>
      </c>
      <c r="G110" s="22">
        <v>354.0</v>
      </c>
      <c r="H110" s="1">
        <f t="shared" si="3"/>
        <v>35.4</v>
      </c>
      <c r="I110" s="1">
        <f t="shared" si="4"/>
        <v>31.7</v>
      </c>
      <c r="J110" s="1">
        <f t="shared" si="5"/>
        <v>1.69</v>
      </c>
    </row>
    <row r="111" ht="12.75" customHeight="1">
      <c r="A111" s="27">
        <v>45139.0</v>
      </c>
      <c r="B111" s="26">
        <v>29.97</v>
      </c>
      <c r="C111" s="23">
        <v>45139.0</v>
      </c>
      <c r="D111" s="22">
        <v>280.0</v>
      </c>
      <c r="E111" s="1">
        <f t="shared" si="2"/>
        <v>28</v>
      </c>
      <c r="F111" s="23">
        <v>45139.0</v>
      </c>
      <c r="G111" s="22">
        <v>349.0</v>
      </c>
      <c r="H111" s="1">
        <f t="shared" si="3"/>
        <v>34.9</v>
      </c>
      <c r="I111" s="1">
        <f t="shared" si="4"/>
        <v>31.45</v>
      </c>
      <c r="J111" s="1">
        <f t="shared" si="5"/>
        <v>1.48</v>
      </c>
    </row>
    <row r="112" ht="12.75" customHeight="1">
      <c r="A112" s="27">
        <v>45108.0</v>
      </c>
      <c r="B112" s="26">
        <v>29.46</v>
      </c>
      <c r="C112" s="23">
        <v>45108.0</v>
      </c>
      <c r="D112" s="22">
        <v>280.0</v>
      </c>
      <c r="E112" s="1">
        <f t="shared" si="2"/>
        <v>28</v>
      </c>
      <c r="F112" s="23">
        <v>45108.0</v>
      </c>
      <c r="G112" s="22">
        <v>349.0</v>
      </c>
      <c r="H112" s="1">
        <f t="shared" si="3"/>
        <v>34.9</v>
      </c>
      <c r="I112" s="1">
        <f t="shared" si="4"/>
        <v>31.45</v>
      </c>
      <c r="J112" s="1">
        <f t="shared" si="5"/>
        <v>1.99</v>
      </c>
    </row>
    <row r="113" ht="12.75" customHeight="1">
      <c r="A113" s="27">
        <v>45078.0</v>
      </c>
      <c r="B113" s="26">
        <v>31.24</v>
      </c>
      <c r="C113" s="23">
        <v>45078.0</v>
      </c>
      <c r="D113" s="22">
        <v>273.0</v>
      </c>
      <c r="E113" s="1">
        <f t="shared" si="2"/>
        <v>27.3</v>
      </c>
      <c r="F113" s="23">
        <v>45078.0</v>
      </c>
      <c r="G113" s="22">
        <v>330.0</v>
      </c>
      <c r="H113" s="1">
        <f t="shared" si="3"/>
        <v>33</v>
      </c>
      <c r="I113" s="1">
        <f t="shared" si="4"/>
        <v>30.15</v>
      </c>
      <c r="J113" s="1">
        <f t="shared" si="5"/>
        <v>-1.09</v>
      </c>
    </row>
    <row r="114" ht="12.75" customHeight="1">
      <c r="A114" s="27">
        <v>45047.0</v>
      </c>
      <c r="B114" s="26">
        <v>29.82</v>
      </c>
      <c r="C114" s="23">
        <v>45047.0</v>
      </c>
      <c r="D114" s="22">
        <v>269.0</v>
      </c>
      <c r="E114" s="1">
        <f t="shared" si="2"/>
        <v>26.9</v>
      </c>
      <c r="F114" s="23">
        <v>45047.0</v>
      </c>
      <c r="G114" s="22">
        <v>332.0</v>
      </c>
      <c r="H114" s="1">
        <f t="shared" si="3"/>
        <v>33.2</v>
      </c>
      <c r="I114" s="1">
        <f t="shared" si="4"/>
        <v>30.05</v>
      </c>
      <c r="J114" s="1">
        <f t="shared" si="5"/>
        <v>0.23</v>
      </c>
    </row>
    <row r="115" ht="12.75" customHeight="1">
      <c r="A115" s="27">
        <v>45017.0</v>
      </c>
      <c r="B115" s="26">
        <v>29.7</v>
      </c>
      <c r="C115" s="23">
        <v>45017.0</v>
      </c>
      <c r="D115" s="22">
        <v>269.0</v>
      </c>
      <c r="E115" s="1">
        <f t="shared" si="2"/>
        <v>26.9</v>
      </c>
      <c r="F115" s="23">
        <v>45017.0</v>
      </c>
      <c r="G115" s="22">
        <v>332.0</v>
      </c>
      <c r="H115" s="1">
        <f t="shared" si="3"/>
        <v>33.2</v>
      </c>
      <c r="I115" s="1">
        <f t="shared" si="4"/>
        <v>30.05</v>
      </c>
      <c r="J115" s="1">
        <f t="shared" si="5"/>
        <v>0.35</v>
      </c>
    </row>
    <row r="116" ht="12.75" customHeight="1">
      <c r="A116" s="27">
        <v>44986.0</v>
      </c>
      <c r="B116" s="26">
        <v>30.39</v>
      </c>
      <c r="C116" s="23">
        <v>44986.0</v>
      </c>
      <c r="D116" s="22">
        <v>269.0</v>
      </c>
      <c r="E116" s="1">
        <f t="shared" si="2"/>
        <v>26.9</v>
      </c>
      <c r="F116" s="23">
        <v>44986.0</v>
      </c>
      <c r="G116" s="22">
        <v>332.0</v>
      </c>
      <c r="H116" s="1">
        <f t="shared" si="3"/>
        <v>33.2</v>
      </c>
      <c r="I116" s="1">
        <f t="shared" si="4"/>
        <v>30.05</v>
      </c>
      <c r="J116" s="1">
        <f t="shared" si="5"/>
        <v>-0.34</v>
      </c>
    </row>
    <row r="117" ht="12.75" customHeight="1">
      <c r="A117" s="27">
        <v>44958.0</v>
      </c>
      <c r="B117" s="26">
        <v>27.25</v>
      </c>
      <c r="C117" s="23">
        <v>44958.0</v>
      </c>
      <c r="D117" s="22">
        <v>271.0</v>
      </c>
      <c r="E117" s="1">
        <f t="shared" si="2"/>
        <v>27.1</v>
      </c>
      <c r="F117" s="23">
        <v>44958.0</v>
      </c>
      <c r="G117" s="22">
        <v>317.0</v>
      </c>
      <c r="H117" s="1">
        <f t="shared" si="3"/>
        <v>31.7</v>
      </c>
      <c r="I117" s="1">
        <f t="shared" si="4"/>
        <v>29.4</v>
      </c>
      <c r="J117" s="1">
        <f t="shared" si="5"/>
        <v>2.15</v>
      </c>
    </row>
    <row r="118" ht="12.75" customHeight="1">
      <c r="A118" s="27">
        <v>44927.0</v>
      </c>
      <c r="B118" s="26">
        <v>26.47</v>
      </c>
      <c r="C118" s="23">
        <v>44927.0</v>
      </c>
      <c r="D118" s="22">
        <v>271.0</v>
      </c>
      <c r="E118" s="1">
        <f t="shared" si="2"/>
        <v>27.1</v>
      </c>
      <c r="F118" s="23">
        <v>44927.0</v>
      </c>
      <c r="G118" s="22">
        <v>317.0</v>
      </c>
      <c r="H118" s="1">
        <f t="shared" si="3"/>
        <v>31.7</v>
      </c>
      <c r="I118" s="1">
        <f t="shared" si="4"/>
        <v>29.4</v>
      </c>
      <c r="J118" s="1">
        <f t="shared" si="5"/>
        <v>2.93</v>
      </c>
    </row>
    <row r="119" ht="12.75" customHeight="1">
      <c r="A119" s="29">
        <v>44896.0</v>
      </c>
      <c r="B119" s="26">
        <v>26.04</v>
      </c>
      <c r="C119" s="23">
        <v>44896.0</v>
      </c>
      <c r="D119" s="22">
        <v>260.0</v>
      </c>
      <c r="E119" s="1">
        <f t="shared" si="2"/>
        <v>26</v>
      </c>
      <c r="F119" s="23">
        <v>44896.0</v>
      </c>
      <c r="G119" s="22">
        <v>307.0</v>
      </c>
      <c r="H119" s="1">
        <f t="shared" si="3"/>
        <v>30.7</v>
      </c>
      <c r="I119" s="1">
        <f t="shared" si="4"/>
        <v>28.35</v>
      </c>
      <c r="J119" s="1">
        <f t="shared" si="5"/>
        <v>2.31</v>
      </c>
    </row>
    <row r="120" ht="12.75" customHeight="1">
      <c r="A120" s="29">
        <v>44866.0</v>
      </c>
      <c r="B120" s="26">
        <v>25.52</v>
      </c>
      <c r="C120" s="23">
        <v>44866.0</v>
      </c>
      <c r="D120" s="22">
        <v>260.0</v>
      </c>
      <c r="E120" s="1">
        <f t="shared" si="2"/>
        <v>26</v>
      </c>
      <c r="F120" s="23">
        <v>44866.0</v>
      </c>
      <c r="G120" s="22">
        <v>307.0</v>
      </c>
      <c r="H120" s="1">
        <f t="shared" si="3"/>
        <v>30.7</v>
      </c>
      <c r="I120" s="1">
        <f t="shared" si="4"/>
        <v>28.35</v>
      </c>
      <c r="J120" s="1">
        <f t="shared" si="5"/>
        <v>2.83</v>
      </c>
    </row>
    <row r="121" ht="12.75" customHeight="1">
      <c r="A121" s="29">
        <v>44835.0</v>
      </c>
      <c r="B121" s="26">
        <v>25.76</v>
      </c>
      <c r="C121" s="23">
        <v>44835.0</v>
      </c>
      <c r="D121" s="22">
        <v>260.0</v>
      </c>
      <c r="E121" s="1">
        <f t="shared" si="2"/>
        <v>26</v>
      </c>
      <c r="F121" s="23">
        <v>44835.0</v>
      </c>
      <c r="G121" s="22">
        <v>307.0</v>
      </c>
      <c r="H121" s="1">
        <f t="shared" si="3"/>
        <v>30.7</v>
      </c>
      <c r="I121" s="1">
        <f t="shared" si="4"/>
        <v>28.35</v>
      </c>
      <c r="J121" s="1">
        <f t="shared" si="5"/>
        <v>2.59</v>
      </c>
    </row>
    <row r="122" ht="12.75" customHeight="1">
      <c r="A122" s="27">
        <v>44805.0</v>
      </c>
      <c r="B122" s="26">
        <v>25.96</v>
      </c>
      <c r="C122" s="23">
        <v>44805.0</v>
      </c>
      <c r="D122" s="22">
        <v>247.0</v>
      </c>
      <c r="E122" s="1">
        <f t="shared" si="2"/>
        <v>24.7</v>
      </c>
      <c r="F122" s="23">
        <v>44805.0</v>
      </c>
      <c r="G122" s="22">
        <v>311.0</v>
      </c>
      <c r="H122" s="1">
        <f t="shared" si="3"/>
        <v>31.1</v>
      </c>
      <c r="I122" s="1">
        <f t="shared" si="4"/>
        <v>27.9</v>
      </c>
      <c r="J122" s="1">
        <f t="shared" si="5"/>
        <v>1.94</v>
      </c>
    </row>
    <row r="123" ht="12.75" customHeight="1">
      <c r="A123" s="27">
        <v>44774.0</v>
      </c>
      <c r="B123" s="26">
        <v>26.49</v>
      </c>
      <c r="C123" s="23">
        <v>44774.0</v>
      </c>
      <c r="D123" s="22">
        <v>247.0</v>
      </c>
      <c r="E123" s="1">
        <f t="shared" si="2"/>
        <v>24.7</v>
      </c>
      <c r="F123" s="23">
        <v>44774.0</v>
      </c>
      <c r="G123" s="22">
        <v>311.0</v>
      </c>
      <c r="H123" s="1">
        <f t="shared" si="3"/>
        <v>31.1</v>
      </c>
      <c r="I123" s="1">
        <f t="shared" si="4"/>
        <v>27.9</v>
      </c>
      <c r="J123" s="1">
        <f t="shared" si="5"/>
        <v>1.41</v>
      </c>
    </row>
    <row r="124" ht="12.75" customHeight="1">
      <c r="A124" s="27">
        <v>44743.0</v>
      </c>
      <c r="B124" s="26">
        <v>26.18</v>
      </c>
      <c r="C124" s="23">
        <v>44743.0</v>
      </c>
      <c r="D124" s="22">
        <v>247.0</v>
      </c>
      <c r="E124" s="1">
        <f t="shared" si="2"/>
        <v>24.7</v>
      </c>
      <c r="F124" s="23">
        <v>44743.0</v>
      </c>
      <c r="G124" s="22">
        <v>311.0</v>
      </c>
      <c r="H124" s="1">
        <f t="shared" si="3"/>
        <v>31.1</v>
      </c>
      <c r="I124" s="1">
        <f t="shared" si="4"/>
        <v>27.9</v>
      </c>
      <c r="J124" s="1">
        <f t="shared" si="5"/>
        <v>1.72</v>
      </c>
    </row>
    <row r="125" ht="12.75" customHeight="1">
      <c r="A125" s="27">
        <v>44713.0</v>
      </c>
      <c r="B125" s="26">
        <v>28.16</v>
      </c>
      <c r="C125" s="23">
        <v>44713.0</v>
      </c>
      <c r="D125" s="22">
        <v>249.0</v>
      </c>
      <c r="E125" s="1">
        <f t="shared" si="2"/>
        <v>24.9</v>
      </c>
      <c r="F125" s="23">
        <v>44713.0</v>
      </c>
      <c r="G125" s="22">
        <v>311.0</v>
      </c>
      <c r="H125" s="1">
        <f t="shared" si="3"/>
        <v>31.1</v>
      </c>
      <c r="I125" s="1">
        <f t="shared" si="4"/>
        <v>28</v>
      </c>
      <c r="J125" s="1">
        <f t="shared" si="5"/>
        <v>-0.16</v>
      </c>
    </row>
    <row r="126" ht="12.75" customHeight="1">
      <c r="A126" s="27">
        <v>44682.0</v>
      </c>
      <c r="B126" s="26">
        <v>27.21</v>
      </c>
      <c r="C126" s="23">
        <v>44682.0</v>
      </c>
      <c r="D126" s="22">
        <v>254.0</v>
      </c>
      <c r="E126" s="1">
        <f t="shared" si="2"/>
        <v>25.4</v>
      </c>
      <c r="F126" s="23">
        <v>44682.0</v>
      </c>
      <c r="G126" s="22">
        <v>303.0</v>
      </c>
      <c r="H126" s="1">
        <f t="shared" si="3"/>
        <v>30.3</v>
      </c>
      <c r="I126" s="1">
        <f t="shared" si="4"/>
        <v>27.85</v>
      </c>
      <c r="J126" s="1">
        <f t="shared" si="5"/>
        <v>0.64</v>
      </c>
    </row>
    <row r="127" ht="12.75" customHeight="1">
      <c r="A127" s="27">
        <v>44652.0</v>
      </c>
      <c r="B127" s="26">
        <v>23.28</v>
      </c>
      <c r="C127" s="23">
        <v>44652.0</v>
      </c>
      <c r="D127" s="22">
        <v>251.0</v>
      </c>
      <c r="E127" s="1">
        <f t="shared" si="2"/>
        <v>25.1</v>
      </c>
      <c r="F127" s="23">
        <v>44652.0</v>
      </c>
      <c r="G127" s="22">
        <v>303.0</v>
      </c>
      <c r="H127" s="1">
        <f t="shared" si="3"/>
        <v>30.3</v>
      </c>
      <c r="I127" s="1">
        <f t="shared" si="4"/>
        <v>27.7</v>
      </c>
      <c r="J127" s="1">
        <f t="shared" si="5"/>
        <v>4.42</v>
      </c>
    </row>
    <row r="128" ht="12.75" customHeight="1">
      <c r="A128" s="27">
        <v>44621.0</v>
      </c>
      <c r="B128" s="26">
        <v>26.37</v>
      </c>
      <c r="C128" s="23">
        <v>44621.0</v>
      </c>
      <c r="D128" s="22">
        <v>258.0</v>
      </c>
      <c r="E128" s="1">
        <f t="shared" si="2"/>
        <v>25.8</v>
      </c>
      <c r="F128" s="23">
        <v>44621.0</v>
      </c>
      <c r="G128" s="22">
        <v>310.0</v>
      </c>
      <c r="H128" s="1">
        <f t="shared" si="3"/>
        <v>31</v>
      </c>
      <c r="I128" s="1">
        <f t="shared" si="4"/>
        <v>28.4</v>
      </c>
      <c r="J128" s="1">
        <f t="shared" si="5"/>
        <v>2.03</v>
      </c>
    </row>
    <row r="129" ht="12.75" customHeight="1">
      <c r="A129" s="27">
        <v>44593.0</v>
      </c>
      <c r="B129" s="26">
        <v>25.34</v>
      </c>
      <c r="C129" s="23">
        <v>44593.0</v>
      </c>
      <c r="D129" s="22">
        <v>248.0</v>
      </c>
      <c r="E129" s="1">
        <f t="shared" si="2"/>
        <v>24.8</v>
      </c>
      <c r="F129" s="23">
        <v>44593.0</v>
      </c>
      <c r="G129" s="22">
        <v>279.0</v>
      </c>
      <c r="H129" s="1">
        <f t="shared" si="3"/>
        <v>27.9</v>
      </c>
      <c r="I129" s="1">
        <f t="shared" si="4"/>
        <v>26.35</v>
      </c>
      <c r="J129" s="1">
        <f t="shared" si="5"/>
        <v>1.01</v>
      </c>
    </row>
    <row r="130" ht="12.75" customHeight="1">
      <c r="A130" s="27">
        <v>44562.0</v>
      </c>
      <c r="B130" s="26">
        <v>23.07</v>
      </c>
      <c r="C130" s="23">
        <v>44562.0</v>
      </c>
      <c r="D130" s="22">
        <v>248.0</v>
      </c>
      <c r="E130" s="1">
        <f t="shared" si="2"/>
        <v>24.8</v>
      </c>
      <c r="F130" s="23">
        <v>44562.0</v>
      </c>
      <c r="G130" s="22">
        <v>279.0</v>
      </c>
      <c r="H130" s="1">
        <f t="shared" si="3"/>
        <v>27.9</v>
      </c>
      <c r="I130" s="1">
        <f t="shared" si="4"/>
        <v>26.35</v>
      </c>
      <c r="J130" s="1">
        <f t="shared" si="5"/>
        <v>3.28</v>
      </c>
    </row>
    <row r="131" ht="12.75" customHeight="1">
      <c r="A131" s="29">
        <v>44531.0</v>
      </c>
      <c r="B131" s="26">
        <v>23.38</v>
      </c>
      <c r="C131" s="23">
        <v>44531.0</v>
      </c>
      <c r="D131" s="22">
        <v>240.0</v>
      </c>
      <c r="E131" s="1">
        <f t="shared" si="2"/>
        <v>24</v>
      </c>
      <c r="F131" s="23">
        <v>44531.0</v>
      </c>
      <c r="G131" s="22">
        <v>259.0</v>
      </c>
      <c r="H131" s="1">
        <f t="shared" si="3"/>
        <v>25.9</v>
      </c>
      <c r="I131" s="1">
        <f t="shared" si="4"/>
        <v>24.95</v>
      </c>
      <c r="J131" s="1">
        <f t="shared" si="5"/>
        <v>1.57</v>
      </c>
    </row>
    <row r="132" ht="12.75" customHeight="1">
      <c r="A132" s="29">
        <v>44501.0</v>
      </c>
      <c r="B132" s="26">
        <v>23.87</v>
      </c>
      <c r="C132" s="23">
        <v>44501.0</v>
      </c>
      <c r="D132" s="22">
        <v>240.0</v>
      </c>
      <c r="E132" s="1">
        <f t="shared" si="2"/>
        <v>24</v>
      </c>
      <c r="F132" s="23">
        <v>44501.0</v>
      </c>
      <c r="G132" s="22">
        <v>258.0</v>
      </c>
      <c r="H132" s="1">
        <f t="shared" si="3"/>
        <v>25.8</v>
      </c>
      <c r="I132" s="1">
        <f t="shared" si="4"/>
        <v>24.9</v>
      </c>
      <c r="J132" s="1">
        <f t="shared" si="5"/>
        <v>1.03</v>
      </c>
    </row>
    <row r="133" ht="12.75" customHeight="1">
      <c r="A133" s="29">
        <v>44470.0</v>
      </c>
      <c r="B133" s="26">
        <v>22.02</v>
      </c>
      <c r="C133" s="23">
        <v>44470.0</v>
      </c>
      <c r="D133" s="22">
        <v>239.0</v>
      </c>
      <c r="E133" s="1">
        <f t="shared" si="2"/>
        <v>23.9</v>
      </c>
      <c r="F133" s="23">
        <v>44470.0</v>
      </c>
      <c r="G133" s="22">
        <v>258.0</v>
      </c>
      <c r="H133" s="1">
        <f t="shared" si="3"/>
        <v>25.8</v>
      </c>
      <c r="I133" s="1">
        <f t="shared" si="4"/>
        <v>24.85</v>
      </c>
      <c r="J133" s="1">
        <f t="shared" si="5"/>
        <v>2.83</v>
      </c>
    </row>
    <row r="134" ht="12.75" customHeight="1">
      <c r="A134" s="27">
        <v>44440.0</v>
      </c>
      <c r="B134" s="26">
        <v>23.49</v>
      </c>
      <c r="C134" s="23">
        <v>44440.0</v>
      </c>
      <c r="D134" s="22">
        <v>222.0</v>
      </c>
      <c r="E134" s="1">
        <f t="shared" si="2"/>
        <v>22.2</v>
      </c>
      <c r="F134" s="23">
        <v>44440.0</v>
      </c>
      <c r="G134" s="22">
        <v>263.0</v>
      </c>
      <c r="H134" s="1">
        <f t="shared" si="3"/>
        <v>26.3</v>
      </c>
      <c r="I134" s="1">
        <f t="shared" si="4"/>
        <v>24.25</v>
      </c>
      <c r="J134" s="1">
        <f t="shared" si="5"/>
        <v>0.76</v>
      </c>
    </row>
    <row r="135" ht="12.75" customHeight="1">
      <c r="A135" s="27">
        <v>44409.0</v>
      </c>
      <c r="B135" s="26">
        <v>23.39</v>
      </c>
      <c r="C135" s="23">
        <v>44409.0</v>
      </c>
      <c r="D135" s="22">
        <v>221.0</v>
      </c>
      <c r="E135" s="1">
        <f t="shared" si="2"/>
        <v>22.1</v>
      </c>
      <c r="F135" s="23">
        <v>44409.0</v>
      </c>
      <c r="G135" s="22">
        <v>263.0</v>
      </c>
      <c r="H135" s="1">
        <f t="shared" si="3"/>
        <v>26.3</v>
      </c>
      <c r="I135" s="1">
        <f t="shared" si="4"/>
        <v>24.2</v>
      </c>
      <c r="J135" s="1">
        <f t="shared" si="5"/>
        <v>0.81</v>
      </c>
    </row>
    <row r="136" ht="12.75" customHeight="1">
      <c r="A136" s="27">
        <v>44378.0</v>
      </c>
      <c r="B136" s="26">
        <v>22.49</v>
      </c>
      <c r="C136" s="23">
        <v>44378.0</v>
      </c>
      <c r="D136" s="22">
        <v>221.0</v>
      </c>
      <c r="E136" s="1">
        <f t="shared" si="2"/>
        <v>22.1</v>
      </c>
      <c r="F136" s="23">
        <v>44378.0</v>
      </c>
      <c r="G136" s="22">
        <v>261.0</v>
      </c>
      <c r="H136" s="1">
        <f t="shared" si="3"/>
        <v>26.1</v>
      </c>
      <c r="I136" s="1">
        <f t="shared" si="4"/>
        <v>24.1</v>
      </c>
      <c r="J136" s="1">
        <f t="shared" si="5"/>
        <v>1.61</v>
      </c>
    </row>
    <row r="137" ht="12.75" customHeight="1">
      <c r="A137" s="27">
        <v>44348.0</v>
      </c>
      <c r="B137" s="26">
        <v>23.13</v>
      </c>
      <c r="C137" s="23">
        <v>44348.0</v>
      </c>
      <c r="D137" s="22">
        <v>218.0</v>
      </c>
      <c r="E137" s="1">
        <f t="shared" si="2"/>
        <v>21.8</v>
      </c>
      <c r="F137" s="23">
        <v>44348.0</v>
      </c>
      <c r="G137" s="22">
        <v>261.0</v>
      </c>
      <c r="H137" s="1">
        <f t="shared" si="3"/>
        <v>26.1</v>
      </c>
      <c r="I137" s="1">
        <f t="shared" si="4"/>
        <v>23.95</v>
      </c>
      <c r="J137" s="1">
        <f t="shared" si="5"/>
        <v>0.82</v>
      </c>
    </row>
    <row r="138" ht="12.75" customHeight="1">
      <c r="A138" s="27">
        <v>44317.0</v>
      </c>
      <c r="B138" s="26">
        <v>22.74</v>
      </c>
      <c r="C138" s="23">
        <v>44317.0</v>
      </c>
      <c r="D138" s="22">
        <v>220.0</v>
      </c>
      <c r="E138" s="1">
        <f t="shared" si="2"/>
        <v>22</v>
      </c>
      <c r="F138" s="23">
        <v>44317.0</v>
      </c>
      <c r="G138" s="22">
        <v>257.0</v>
      </c>
      <c r="H138" s="1">
        <f t="shared" si="3"/>
        <v>25.7</v>
      </c>
      <c r="I138" s="1">
        <f t="shared" si="4"/>
        <v>23.85</v>
      </c>
      <c r="J138" s="1">
        <f t="shared" si="5"/>
        <v>1.11</v>
      </c>
    </row>
    <row r="139" ht="12.75" customHeight="1">
      <c r="A139" s="27">
        <v>44287.0</v>
      </c>
      <c r="B139" s="26">
        <v>23.37</v>
      </c>
      <c r="C139" s="23">
        <v>44287.0</v>
      </c>
      <c r="D139" s="22">
        <v>220.0</v>
      </c>
      <c r="E139" s="1">
        <f t="shared" si="2"/>
        <v>22</v>
      </c>
      <c r="F139" s="23">
        <v>44287.0</v>
      </c>
      <c r="G139" s="22">
        <v>257.0</v>
      </c>
      <c r="H139" s="1">
        <f t="shared" si="3"/>
        <v>25.7</v>
      </c>
      <c r="I139" s="1">
        <f t="shared" si="4"/>
        <v>23.85</v>
      </c>
      <c r="J139" s="1">
        <f t="shared" si="5"/>
        <v>0.48</v>
      </c>
    </row>
    <row r="140" ht="12.75" customHeight="1">
      <c r="A140" s="27">
        <v>44256.0</v>
      </c>
      <c r="B140" s="26">
        <v>22.04</v>
      </c>
      <c r="C140" s="23">
        <v>44256.0</v>
      </c>
      <c r="D140" s="22">
        <v>219.0</v>
      </c>
      <c r="E140" s="1">
        <f t="shared" si="2"/>
        <v>21.9</v>
      </c>
      <c r="F140" s="23">
        <v>44256.0</v>
      </c>
      <c r="G140" s="22">
        <v>251.0</v>
      </c>
      <c r="H140" s="1">
        <f t="shared" si="3"/>
        <v>25.1</v>
      </c>
      <c r="I140" s="1">
        <f t="shared" si="4"/>
        <v>23.5</v>
      </c>
      <c r="J140" s="1">
        <f t="shared" si="5"/>
        <v>1.46</v>
      </c>
    </row>
    <row r="141" ht="12.75" customHeight="1">
      <c r="A141" s="27">
        <v>44228.0</v>
      </c>
      <c r="B141" s="26">
        <v>22.5</v>
      </c>
      <c r="C141" s="23">
        <v>44228.0</v>
      </c>
      <c r="D141" s="22">
        <v>219.0</v>
      </c>
      <c r="E141" s="1">
        <f t="shared" si="2"/>
        <v>21.9</v>
      </c>
      <c r="F141" s="23">
        <v>44228.0</v>
      </c>
      <c r="G141" s="22">
        <v>242.0</v>
      </c>
      <c r="H141" s="1">
        <f t="shared" si="3"/>
        <v>24.2</v>
      </c>
      <c r="I141" s="1">
        <f t="shared" si="4"/>
        <v>23.05</v>
      </c>
      <c r="J141" s="1">
        <f t="shared" si="5"/>
        <v>0.55</v>
      </c>
    </row>
    <row r="142" ht="12.75" customHeight="1">
      <c r="A142" s="27">
        <v>44197.0</v>
      </c>
      <c r="B142" s="26">
        <v>21.45</v>
      </c>
      <c r="C142" s="23">
        <v>44197.0</v>
      </c>
      <c r="D142" s="22">
        <v>207.0</v>
      </c>
      <c r="E142" s="1">
        <f t="shared" si="2"/>
        <v>20.7</v>
      </c>
      <c r="F142" s="23">
        <v>44197.0</v>
      </c>
      <c r="G142" s="22">
        <v>242.0</v>
      </c>
      <c r="H142" s="1">
        <f t="shared" si="3"/>
        <v>24.2</v>
      </c>
      <c r="I142" s="1">
        <f t="shared" si="4"/>
        <v>22.45</v>
      </c>
      <c r="J142" s="1">
        <f t="shared" si="5"/>
        <v>1</v>
      </c>
    </row>
    <row r="143" ht="12.75" customHeight="1">
      <c r="A143" s="29">
        <v>44166.0</v>
      </c>
      <c r="B143" s="26">
        <v>20.42</v>
      </c>
      <c r="C143" s="23">
        <v>44166.0</v>
      </c>
      <c r="D143" s="22">
        <v>208.0</v>
      </c>
      <c r="E143" s="1">
        <f t="shared" si="2"/>
        <v>20.8</v>
      </c>
      <c r="F143" s="23">
        <v>44166.0</v>
      </c>
      <c r="G143" s="22">
        <v>236.0</v>
      </c>
      <c r="H143" s="1">
        <f t="shared" si="3"/>
        <v>23.6</v>
      </c>
      <c r="I143" s="1">
        <f t="shared" si="4"/>
        <v>22.2</v>
      </c>
      <c r="J143" s="1">
        <f t="shared" si="5"/>
        <v>1.78</v>
      </c>
    </row>
    <row r="144" ht="12.75" customHeight="1">
      <c r="A144" s="29">
        <v>44136.0</v>
      </c>
      <c r="B144" s="26">
        <v>22.2</v>
      </c>
      <c r="C144" s="23">
        <v>44136.0</v>
      </c>
      <c r="D144" s="22">
        <v>208.0</v>
      </c>
      <c r="E144" s="1">
        <f t="shared" si="2"/>
        <v>20.8</v>
      </c>
      <c r="F144" s="23">
        <v>44136.0</v>
      </c>
      <c r="G144" s="22">
        <v>236.0</v>
      </c>
      <c r="H144" s="1">
        <f t="shared" si="3"/>
        <v>23.6</v>
      </c>
      <c r="I144" s="1">
        <f t="shared" si="4"/>
        <v>22.2</v>
      </c>
      <c r="J144" s="1">
        <f t="shared" si="5"/>
        <v>0</v>
      </c>
    </row>
    <row r="145" ht="12.75" customHeight="1">
      <c r="A145" s="29">
        <v>44105.0</v>
      </c>
      <c r="B145" s="26">
        <v>20.78</v>
      </c>
      <c r="C145" s="23">
        <v>44105.0</v>
      </c>
      <c r="D145" s="22">
        <v>208.0</v>
      </c>
      <c r="E145" s="1">
        <f t="shared" si="2"/>
        <v>20.8</v>
      </c>
      <c r="F145" s="23">
        <v>44105.0</v>
      </c>
      <c r="G145" s="22">
        <v>236.0</v>
      </c>
      <c r="H145" s="1">
        <f t="shared" si="3"/>
        <v>23.6</v>
      </c>
      <c r="I145" s="1">
        <f t="shared" si="4"/>
        <v>22.2</v>
      </c>
      <c r="J145" s="1">
        <f t="shared" si="5"/>
        <v>1.42</v>
      </c>
    </row>
    <row r="146" ht="12.75" customHeight="1">
      <c r="A146" s="27">
        <v>44075.0</v>
      </c>
      <c r="B146" s="26">
        <v>21.16</v>
      </c>
      <c r="C146" s="23">
        <v>44075.0</v>
      </c>
      <c r="D146" s="22">
        <v>199.0</v>
      </c>
      <c r="E146" s="1">
        <f t="shared" si="2"/>
        <v>19.9</v>
      </c>
      <c r="F146" s="23">
        <v>44075.0</v>
      </c>
      <c r="G146" s="22">
        <v>240.0</v>
      </c>
      <c r="H146" s="1">
        <f t="shared" si="3"/>
        <v>24</v>
      </c>
      <c r="I146" s="1">
        <f t="shared" si="4"/>
        <v>21.95</v>
      </c>
      <c r="J146" s="1">
        <f t="shared" si="5"/>
        <v>0.79</v>
      </c>
    </row>
    <row r="147" ht="12.75" customHeight="1">
      <c r="A147" s="27">
        <v>44044.0</v>
      </c>
      <c r="B147" s="26">
        <v>20.69</v>
      </c>
      <c r="C147" s="23">
        <v>44044.0</v>
      </c>
      <c r="D147" s="22">
        <v>200.0</v>
      </c>
      <c r="E147" s="1">
        <f t="shared" si="2"/>
        <v>20</v>
      </c>
      <c r="F147" s="23">
        <v>44044.0</v>
      </c>
      <c r="G147" s="22">
        <v>240.0</v>
      </c>
      <c r="H147" s="1">
        <f t="shared" si="3"/>
        <v>24</v>
      </c>
      <c r="I147" s="1">
        <f t="shared" si="4"/>
        <v>22</v>
      </c>
      <c r="J147" s="1">
        <f t="shared" si="5"/>
        <v>1.31</v>
      </c>
    </row>
    <row r="148" ht="12.75" customHeight="1">
      <c r="A148" s="27">
        <v>44013.0</v>
      </c>
      <c r="B148" s="26">
        <v>20.03</v>
      </c>
      <c r="C148" s="23">
        <v>44013.0</v>
      </c>
      <c r="D148" s="22">
        <v>200.0</v>
      </c>
      <c r="E148" s="1">
        <f t="shared" si="2"/>
        <v>20</v>
      </c>
      <c r="F148" s="23">
        <v>44013.0</v>
      </c>
      <c r="G148" s="22">
        <v>240.0</v>
      </c>
      <c r="H148" s="1">
        <f t="shared" si="3"/>
        <v>24</v>
      </c>
      <c r="I148" s="1">
        <f t="shared" si="4"/>
        <v>22</v>
      </c>
      <c r="J148" s="1">
        <f t="shared" si="5"/>
        <v>1.97</v>
      </c>
    </row>
    <row r="149" ht="12.75" customHeight="1">
      <c r="A149" s="27">
        <v>43983.0</v>
      </c>
      <c r="B149" s="26">
        <v>19.71</v>
      </c>
      <c r="C149" s="23">
        <v>43983.0</v>
      </c>
      <c r="D149" s="22">
        <v>198.0</v>
      </c>
      <c r="E149" s="1">
        <f t="shared" si="2"/>
        <v>19.8</v>
      </c>
      <c r="F149" s="23">
        <v>43983.0</v>
      </c>
      <c r="G149" s="22">
        <v>240.0</v>
      </c>
      <c r="H149" s="1">
        <f t="shared" si="3"/>
        <v>24</v>
      </c>
      <c r="I149" s="1">
        <f t="shared" si="4"/>
        <v>21.9</v>
      </c>
      <c r="J149" s="1">
        <f t="shared" si="5"/>
        <v>2.19</v>
      </c>
    </row>
    <row r="150" ht="12.75" customHeight="1">
      <c r="A150" s="27">
        <v>43952.0</v>
      </c>
      <c r="B150" s="26">
        <v>18.61</v>
      </c>
      <c r="C150" s="23">
        <v>43952.0</v>
      </c>
      <c r="D150" s="22">
        <v>199.0</v>
      </c>
      <c r="E150" s="1">
        <f t="shared" si="2"/>
        <v>19.9</v>
      </c>
      <c r="F150" s="23">
        <v>43952.0</v>
      </c>
      <c r="G150" s="22">
        <v>236.0</v>
      </c>
      <c r="H150" s="1">
        <f t="shared" si="3"/>
        <v>23.6</v>
      </c>
      <c r="I150" s="1">
        <f t="shared" si="4"/>
        <v>21.75</v>
      </c>
      <c r="J150" s="1">
        <f t="shared" si="5"/>
        <v>3.14</v>
      </c>
    </row>
    <row r="151" ht="12.75" customHeight="1">
      <c r="A151" s="27">
        <v>43922.0</v>
      </c>
      <c r="B151" s="26">
        <v>20.43</v>
      </c>
      <c r="C151" s="23">
        <v>43922.0</v>
      </c>
      <c r="D151" s="22">
        <v>191.0</v>
      </c>
      <c r="E151" s="1">
        <f t="shared" si="2"/>
        <v>19.1</v>
      </c>
      <c r="F151" s="23">
        <v>43922.0</v>
      </c>
      <c r="G151" s="22">
        <v>227.0</v>
      </c>
      <c r="H151" s="1">
        <f t="shared" si="3"/>
        <v>22.7</v>
      </c>
      <c r="I151" s="1">
        <f t="shared" si="4"/>
        <v>20.9</v>
      </c>
      <c r="J151" s="1">
        <f t="shared" si="5"/>
        <v>0.47</v>
      </c>
    </row>
    <row r="152" ht="12.75" customHeight="1">
      <c r="A152" s="27">
        <v>43891.0</v>
      </c>
      <c r="B152" s="26">
        <v>20.33</v>
      </c>
      <c r="C152" s="23">
        <v>43891.0</v>
      </c>
      <c r="D152" s="22">
        <v>193.0</v>
      </c>
      <c r="E152" s="1">
        <f t="shared" si="2"/>
        <v>19.3</v>
      </c>
      <c r="F152" s="23">
        <v>43891.0</v>
      </c>
      <c r="G152" s="22">
        <v>230.0</v>
      </c>
      <c r="H152" s="1">
        <f t="shared" si="3"/>
        <v>23</v>
      </c>
      <c r="I152" s="1">
        <f t="shared" si="4"/>
        <v>21.15</v>
      </c>
      <c r="J152" s="1">
        <f t="shared" si="5"/>
        <v>0.82</v>
      </c>
    </row>
    <row r="153" ht="12.75" customHeight="1">
      <c r="A153" s="27">
        <v>43862.0</v>
      </c>
      <c r="B153" s="26">
        <v>21.67</v>
      </c>
      <c r="C153" s="23">
        <v>43862.0</v>
      </c>
      <c r="D153" s="22">
        <v>193.0</v>
      </c>
      <c r="E153" s="1">
        <f t="shared" si="2"/>
        <v>19.3</v>
      </c>
      <c r="F153" s="23">
        <v>43862.0</v>
      </c>
      <c r="G153" s="22">
        <v>229.0</v>
      </c>
      <c r="H153" s="1">
        <f t="shared" si="3"/>
        <v>22.9</v>
      </c>
      <c r="I153" s="1">
        <f t="shared" si="4"/>
        <v>21.1</v>
      </c>
      <c r="J153" s="1">
        <f t="shared" si="5"/>
        <v>-0.57</v>
      </c>
    </row>
    <row r="154" ht="12.75" customHeight="1">
      <c r="A154" s="27">
        <v>43831.0</v>
      </c>
      <c r="B154" s="26">
        <v>19.91</v>
      </c>
      <c r="C154" s="23">
        <v>43831.0</v>
      </c>
      <c r="D154" s="22">
        <v>193.0</v>
      </c>
      <c r="E154" s="1">
        <f t="shared" si="2"/>
        <v>19.3</v>
      </c>
      <c r="F154" s="23">
        <v>43831.0</v>
      </c>
      <c r="G154" s="22">
        <v>229.0</v>
      </c>
      <c r="H154" s="1">
        <f t="shared" si="3"/>
        <v>22.9</v>
      </c>
      <c r="I154" s="1">
        <f t="shared" si="4"/>
        <v>21.1</v>
      </c>
      <c r="J154" s="1">
        <f t="shared" si="5"/>
        <v>1.19</v>
      </c>
    </row>
    <row r="155" ht="12.75" customHeight="1">
      <c r="A155" s="29">
        <v>43800.0</v>
      </c>
      <c r="B155" s="26">
        <v>19.15</v>
      </c>
      <c r="C155" s="23">
        <v>43800.0</v>
      </c>
      <c r="D155" s="22">
        <v>190.0</v>
      </c>
      <c r="E155" s="1">
        <f t="shared" si="2"/>
        <v>19</v>
      </c>
      <c r="F155" s="23">
        <v>43800.0</v>
      </c>
      <c r="G155" s="22">
        <v>223.0</v>
      </c>
      <c r="H155" s="1">
        <f t="shared" si="3"/>
        <v>22.3</v>
      </c>
      <c r="I155" s="1">
        <f t="shared" si="4"/>
        <v>20.65</v>
      </c>
      <c r="J155" s="1">
        <f t="shared" si="5"/>
        <v>1.5</v>
      </c>
    </row>
    <row r="156" ht="12.75" customHeight="1">
      <c r="A156" s="29">
        <v>43770.0</v>
      </c>
      <c r="B156" s="26">
        <v>20.11</v>
      </c>
      <c r="C156" s="23">
        <v>43770.0</v>
      </c>
      <c r="D156" s="22">
        <v>190.0</v>
      </c>
      <c r="E156" s="1">
        <f t="shared" si="2"/>
        <v>19</v>
      </c>
      <c r="F156" s="23">
        <v>43770.0</v>
      </c>
      <c r="G156" s="22">
        <v>223.0</v>
      </c>
      <c r="H156" s="1">
        <f t="shared" si="3"/>
        <v>22.3</v>
      </c>
      <c r="I156" s="1">
        <f t="shared" si="4"/>
        <v>20.65</v>
      </c>
      <c r="J156" s="1">
        <f t="shared" si="5"/>
        <v>0.54</v>
      </c>
    </row>
    <row r="157" ht="12.75" customHeight="1">
      <c r="A157" s="29">
        <v>43739.0</v>
      </c>
      <c r="B157" s="26">
        <v>14.9</v>
      </c>
      <c r="C157" s="23">
        <v>43739.0</v>
      </c>
      <c r="D157" s="22">
        <v>190.0</v>
      </c>
      <c r="E157" s="1">
        <f t="shared" si="2"/>
        <v>19</v>
      </c>
      <c r="F157" s="23">
        <v>43739.0</v>
      </c>
      <c r="G157" s="22">
        <v>223.0</v>
      </c>
      <c r="H157" s="1">
        <f t="shared" si="3"/>
        <v>22.3</v>
      </c>
      <c r="I157" s="1">
        <f t="shared" si="4"/>
        <v>20.65</v>
      </c>
      <c r="J157" s="1">
        <f t="shared" si="5"/>
        <v>5.75</v>
      </c>
    </row>
    <row r="158" ht="12.75" customHeight="1">
      <c r="A158" s="27">
        <v>43709.0</v>
      </c>
      <c r="B158" s="26">
        <v>20.65</v>
      </c>
      <c r="C158" s="23">
        <v>43709.0</v>
      </c>
      <c r="D158" s="22">
        <v>188.0</v>
      </c>
      <c r="E158" s="1">
        <f t="shared" si="2"/>
        <v>18.8</v>
      </c>
      <c r="F158" s="23">
        <v>43709.0</v>
      </c>
      <c r="G158" s="22">
        <v>222.0</v>
      </c>
      <c r="H158" s="1">
        <f t="shared" si="3"/>
        <v>22.2</v>
      </c>
      <c r="I158" s="1">
        <f t="shared" si="4"/>
        <v>20.5</v>
      </c>
      <c r="J158" s="1">
        <f t="shared" si="5"/>
        <v>-0.15</v>
      </c>
    </row>
    <row r="159" ht="12.75" customHeight="1">
      <c r="A159" s="27">
        <v>43678.0</v>
      </c>
      <c r="B159" s="26">
        <v>19.78</v>
      </c>
      <c r="C159" s="23">
        <v>43678.0</v>
      </c>
      <c r="D159" s="22">
        <v>187.0</v>
      </c>
      <c r="E159" s="1">
        <f t="shared" si="2"/>
        <v>18.7</v>
      </c>
      <c r="F159" s="23">
        <v>43678.0</v>
      </c>
      <c r="G159" s="22">
        <v>222.0</v>
      </c>
      <c r="H159" s="1">
        <f t="shared" si="3"/>
        <v>22.2</v>
      </c>
      <c r="I159" s="1">
        <f t="shared" si="4"/>
        <v>20.45</v>
      </c>
      <c r="J159" s="1">
        <f t="shared" si="5"/>
        <v>0.67</v>
      </c>
    </row>
    <row r="160" ht="12.75" customHeight="1">
      <c r="A160" s="27">
        <v>43647.0</v>
      </c>
      <c r="B160" s="26">
        <v>19.88</v>
      </c>
      <c r="C160" s="23">
        <v>43647.0</v>
      </c>
      <c r="D160" s="22">
        <v>191.0</v>
      </c>
      <c r="E160" s="1">
        <f t="shared" si="2"/>
        <v>19.1</v>
      </c>
      <c r="F160" s="23">
        <v>43647.0</v>
      </c>
      <c r="G160" s="22">
        <v>222.0</v>
      </c>
      <c r="H160" s="1">
        <f t="shared" si="3"/>
        <v>22.2</v>
      </c>
      <c r="I160" s="1">
        <f t="shared" si="4"/>
        <v>20.65</v>
      </c>
      <c r="J160" s="1">
        <f t="shared" si="5"/>
        <v>0.77</v>
      </c>
    </row>
    <row r="161" ht="12.75" customHeight="1">
      <c r="A161" s="27">
        <v>43617.0</v>
      </c>
      <c r="B161" s="26">
        <v>20.77</v>
      </c>
      <c r="C161" s="23">
        <v>43617.0</v>
      </c>
      <c r="D161" s="22">
        <v>189.0</v>
      </c>
      <c r="E161" s="1">
        <f t="shared" si="2"/>
        <v>18.9</v>
      </c>
      <c r="F161" s="23">
        <v>43617.0</v>
      </c>
      <c r="G161" s="22">
        <v>221.0</v>
      </c>
      <c r="H161" s="1">
        <f t="shared" si="3"/>
        <v>22.1</v>
      </c>
      <c r="I161" s="1">
        <f t="shared" si="4"/>
        <v>20.5</v>
      </c>
      <c r="J161" s="1">
        <f t="shared" si="5"/>
        <v>-0.27</v>
      </c>
    </row>
    <row r="162" ht="12.75" customHeight="1">
      <c r="A162" s="27">
        <v>43586.0</v>
      </c>
      <c r="B162" s="26">
        <v>18.82</v>
      </c>
      <c r="C162" s="23">
        <v>43586.0</v>
      </c>
      <c r="D162" s="22">
        <v>186.0</v>
      </c>
      <c r="E162" s="1">
        <f t="shared" si="2"/>
        <v>18.6</v>
      </c>
      <c r="F162" s="23">
        <v>43586.0</v>
      </c>
      <c r="G162" s="22">
        <v>221.0</v>
      </c>
      <c r="H162" s="1">
        <f t="shared" si="3"/>
        <v>22.1</v>
      </c>
      <c r="I162" s="1">
        <f t="shared" si="4"/>
        <v>20.35</v>
      </c>
      <c r="J162" s="1">
        <f t="shared" si="5"/>
        <v>1.53</v>
      </c>
    </row>
    <row r="163" ht="12.75" customHeight="1">
      <c r="A163" s="27">
        <v>43556.0</v>
      </c>
      <c r="B163" s="26">
        <v>17.97</v>
      </c>
      <c r="C163" s="23">
        <v>43556.0</v>
      </c>
      <c r="D163" s="22">
        <v>186.0</v>
      </c>
      <c r="E163" s="1">
        <f t="shared" si="2"/>
        <v>18.6</v>
      </c>
      <c r="F163" s="23">
        <v>43556.0</v>
      </c>
      <c r="G163" s="22">
        <v>211.0</v>
      </c>
      <c r="H163" s="1">
        <f t="shared" si="3"/>
        <v>21.1</v>
      </c>
      <c r="I163" s="1">
        <f t="shared" si="4"/>
        <v>19.85</v>
      </c>
      <c r="J163" s="1">
        <f t="shared" si="5"/>
        <v>1.88</v>
      </c>
    </row>
    <row r="164" ht="12.75" customHeight="1">
      <c r="A164" s="27">
        <v>43525.0</v>
      </c>
      <c r="B164" s="26">
        <v>19.26</v>
      </c>
      <c r="C164" s="23">
        <v>43525.0</v>
      </c>
      <c r="D164" s="22">
        <v>185.0</v>
      </c>
      <c r="E164" s="1">
        <f t="shared" si="2"/>
        <v>18.5</v>
      </c>
      <c r="F164" s="23">
        <v>43525.0</v>
      </c>
      <c r="G164" s="22">
        <v>208.0</v>
      </c>
      <c r="H164" s="1">
        <f t="shared" si="3"/>
        <v>20.8</v>
      </c>
      <c r="I164" s="1">
        <f t="shared" si="4"/>
        <v>19.65</v>
      </c>
      <c r="J164" s="1">
        <f t="shared" si="5"/>
        <v>0.39</v>
      </c>
    </row>
    <row r="165" ht="12.75" customHeight="1">
      <c r="A165" s="27">
        <v>43497.0</v>
      </c>
      <c r="B165" s="26">
        <v>19.79</v>
      </c>
      <c r="C165" s="23">
        <v>43497.0</v>
      </c>
      <c r="D165" s="22">
        <v>183.0</v>
      </c>
      <c r="E165" s="1">
        <f t="shared" si="2"/>
        <v>18.3</v>
      </c>
      <c r="F165" s="23">
        <v>43497.0</v>
      </c>
      <c r="G165" s="22">
        <v>206.0</v>
      </c>
      <c r="H165" s="1">
        <f t="shared" si="3"/>
        <v>20.6</v>
      </c>
      <c r="I165" s="1">
        <f t="shared" si="4"/>
        <v>19.45</v>
      </c>
      <c r="J165" s="1">
        <f t="shared" si="5"/>
        <v>-0.34</v>
      </c>
    </row>
    <row r="166" ht="12.75" customHeight="1">
      <c r="A166" s="27">
        <v>43466.0</v>
      </c>
      <c r="B166" s="26">
        <v>18.31</v>
      </c>
      <c r="C166" s="23">
        <v>43466.0</v>
      </c>
      <c r="D166" s="22">
        <v>183.0</v>
      </c>
      <c r="E166" s="1">
        <f t="shared" si="2"/>
        <v>18.3</v>
      </c>
      <c r="F166" s="23">
        <v>43466.0</v>
      </c>
      <c r="G166" s="22">
        <v>206.0</v>
      </c>
      <c r="H166" s="1">
        <f t="shared" si="3"/>
        <v>20.6</v>
      </c>
      <c r="I166" s="1">
        <f t="shared" si="4"/>
        <v>19.45</v>
      </c>
      <c r="J166" s="1">
        <f t="shared" si="5"/>
        <v>1.14</v>
      </c>
    </row>
    <row r="167" ht="12.75" customHeight="1">
      <c r="A167" s="29">
        <v>43435.0</v>
      </c>
      <c r="B167" s="26">
        <v>19.45</v>
      </c>
      <c r="C167" s="23">
        <v>43435.0</v>
      </c>
      <c r="D167" s="22">
        <v>184.0</v>
      </c>
      <c r="E167" s="1">
        <f t="shared" si="2"/>
        <v>18.4</v>
      </c>
      <c r="F167" s="23">
        <v>43435.0</v>
      </c>
      <c r="G167" s="22">
        <v>209.0</v>
      </c>
      <c r="H167" s="1">
        <f t="shared" si="3"/>
        <v>20.9</v>
      </c>
      <c r="I167" s="1">
        <f t="shared" si="4"/>
        <v>19.65</v>
      </c>
      <c r="J167" s="1">
        <f t="shared" si="5"/>
        <v>0.2</v>
      </c>
    </row>
    <row r="168" ht="12.75" customHeight="1">
      <c r="A168" s="29">
        <v>43405.0</v>
      </c>
      <c r="B168" s="26">
        <v>19.51</v>
      </c>
      <c r="C168" s="23">
        <v>43405.0</v>
      </c>
      <c r="D168" s="22">
        <v>184.0</v>
      </c>
      <c r="E168" s="1">
        <f t="shared" si="2"/>
        <v>18.4</v>
      </c>
      <c r="F168" s="23">
        <v>43405.0</v>
      </c>
      <c r="G168" s="22">
        <v>209.0</v>
      </c>
      <c r="H168" s="1">
        <f t="shared" si="3"/>
        <v>20.9</v>
      </c>
      <c r="I168" s="1">
        <f t="shared" si="4"/>
        <v>19.65</v>
      </c>
      <c r="J168" s="1">
        <f t="shared" si="5"/>
        <v>0.14</v>
      </c>
    </row>
    <row r="169" ht="12.75" customHeight="1">
      <c r="A169" s="29">
        <v>43374.0</v>
      </c>
      <c r="B169" s="26">
        <v>15.66</v>
      </c>
      <c r="C169" s="23">
        <v>43374.0</v>
      </c>
      <c r="D169" s="22">
        <v>184.0</v>
      </c>
      <c r="E169" s="1">
        <f t="shared" si="2"/>
        <v>18.4</v>
      </c>
      <c r="F169" s="23">
        <v>43374.0</v>
      </c>
      <c r="G169" s="22">
        <v>214.0</v>
      </c>
      <c r="H169" s="1">
        <f t="shared" si="3"/>
        <v>21.4</v>
      </c>
      <c r="I169" s="1">
        <f t="shared" si="4"/>
        <v>19.9</v>
      </c>
      <c r="J169" s="1">
        <f t="shared" si="5"/>
        <v>4.24</v>
      </c>
    </row>
    <row r="170" ht="12.75" customHeight="1">
      <c r="A170" s="27">
        <v>43344.0</v>
      </c>
      <c r="B170" s="26">
        <v>19.31</v>
      </c>
      <c r="C170" s="23">
        <v>43344.0</v>
      </c>
      <c r="D170" s="22">
        <v>170.0</v>
      </c>
      <c r="E170" s="1">
        <f t="shared" si="2"/>
        <v>17</v>
      </c>
      <c r="F170" s="23">
        <v>43344.0</v>
      </c>
      <c r="G170" s="22">
        <v>214.0</v>
      </c>
      <c r="H170" s="1">
        <f t="shared" si="3"/>
        <v>21.4</v>
      </c>
      <c r="I170" s="1">
        <f t="shared" si="4"/>
        <v>19.2</v>
      </c>
      <c r="J170" s="1">
        <f t="shared" si="5"/>
        <v>-0.11</v>
      </c>
    </row>
    <row r="171" ht="12.75" customHeight="1">
      <c r="A171" s="27">
        <v>43313.0</v>
      </c>
      <c r="B171" s="26">
        <v>19.85</v>
      </c>
      <c r="C171" s="23">
        <v>43313.0</v>
      </c>
      <c r="D171" s="22">
        <v>182.0</v>
      </c>
      <c r="E171" s="1">
        <f t="shared" si="2"/>
        <v>18.2</v>
      </c>
      <c r="F171" s="23">
        <v>43313.0</v>
      </c>
      <c r="G171" s="22">
        <v>211.0</v>
      </c>
      <c r="H171" s="1">
        <f t="shared" si="3"/>
        <v>21.1</v>
      </c>
      <c r="I171" s="1">
        <f t="shared" si="4"/>
        <v>19.65</v>
      </c>
      <c r="J171" s="1">
        <f t="shared" si="5"/>
        <v>-0.2</v>
      </c>
    </row>
    <row r="172" ht="12.75" customHeight="1">
      <c r="A172" s="27">
        <v>43282.0</v>
      </c>
      <c r="B172" s="26">
        <v>19.59</v>
      </c>
      <c r="C172" s="23">
        <v>43282.0</v>
      </c>
      <c r="D172" s="22">
        <v>182.0</v>
      </c>
      <c r="E172" s="1">
        <f t="shared" si="2"/>
        <v>18.2</v>
      </c>
      <c r="F172" s="23">
        <v>43282.0</v>
      </c>
      <c r="G172" s="22">
        <v>211.0</v>
      </c>
      <c r="H172" s="1">
        <f t="shared" si="3"/>
        <v>21.1</v>
      </c>
      <c r="I172" s="1">
        <f t="shared" si="4"/>
        <v>19.65</v>
      </c>
      <c r="J172" s="1">
        <f t="shared" si="5"/>
        <v>0.06</v>
      </c>
    </row>
    <row r="173" ht="12.75" customHeight="1">
      <c r="A173" s="27">
        <v>43252.0</v>
      </c>
      <c r="B173" s="26">
        <v>19.81</v>
      </c>
      <c r="C173" s="23">
        <v>43252.0</v>
      </c>
      <c r="D173" s="22">
        <v>178.0</v>
      </c>
      <c r="E173" s="1">
        <f t="shared" si="2"/>
        <v>17.8</v>
      </c>
      <c r="F173" s="23">
        <v>43252.0</v>
      </c>
      <c r="G173" s="22">
        <v>211.0</v>
      </c>
      <c r="H173" s="1">
        <f t="shared" si="3"/>
        <v>21.1</v>
      </c>
      <c r="I173" s="1">
        <f t="shared" si="4"/>
        <v>19.45</v>
      </c>
      <c r="J173" s="1">
        <f t="shared" si="5"/>
        <v>-0.36</v>
      </c>
    </row>
    <row r="174" ht="12.75" customHeight="1">
      <c r="A174" s="27">
        <v>43221.0</v>
      </c>
      <c r="B174" s="26">
        <v>18.85</v>
      </c>
      <c r="C174" s="23">
        <v>43221.0</v>
      </c>
      <c r="D174" s="22">
        <v>180.0</v>
      </c>
      <c r="E174" s="1">
        <f t="shared" si="2"/>
        <v>18</v>
      </c>
      <c r="F174" s="23">
        <v>43221.0</v>
      </c>
      <c r="G174" s="22">
        <v>211.0</v>
      </c>
      <c r="H174" s="1">
        <f t="shared" si="3"/>
        <v>21.1</v>
      </c>
      <c r="I174" s="1">
        <f t="shared" si="4"/>
        <v>19.55</v>
      </c>
      <c r="J174" s="1">
        <f t="shared" si="5"/>
        <v>0.7</v>
      </c>
    </row>
    <row r="175" ht="12.75" customHeight="1">
      <c r="A175" s="27">
        <v>43191.0</v>
      </c>
      <c r="B175" s="26">
        <v>16.03</v>
      </c>
      <c r="C175" s="23">
        <v>43191.0</v>
      </c>
      <c r="D175" s="22">
        <v>180.0</v>
      </c>
      <c r="E175" s="1">
        <f t="shared" si="2"/>
        <v>18</v>
      </c>
      <c r="F175" s="23">
        <v>43191.0</v>
      </c>
      <c r="G175" s="22">
        <v>205.0</v>
      </c>
      <c r="H175" s="1">
        <f t="shared" si="3"/>
        <v>20.5</v>
      </c>
      <c r="I175" s="1">
        <f t="shared" si="4"/>
        <v>19.25</v>
      </c>
      <c r="J175" s="1">
        <f t="shared" si="5"/>
        <v>3.22</v>
      </c>
    </row>
    <row r="176" ht="12.75" customHeight="1">
      <c r="A176" s="27">
        <v>43160.0</v>
      </c>
      <c r="B176" s="26">
        <v>18.44</v>
      </c>
      <c r="C176" s="23">
        <v>43160.0</v>
      </c>
      <c r="D176" s="22">
        <v>181.0</v>
      </c>
      <c r="E176" s="1">
        <f t="shared" si="2"/>
        <v>18.1</v>
      </c>
      <c r="F176" s="23">
        <v>43160.0</v>
      </c>
      <c r="G176" s="22">
        <v>212.0</v>
      </c>
      <c r="H176" s="1">
        <f t="shared" si="3"/>
        <v>21.2</v>
      </c>
      <c r="I176" s="1">
        <f t="shared" si="4"/>
        <v>19.65</v>
      </c>
      <c r="J176" s="1">
        <f t="shared" si="5"/>
        <v>1.21</v>
      </c>
    </row>
    <row r="177" ht="12.75" customHeight="1">
      <c r="A177" s="27">
        <v>43132.0</v>
      </c>
      <c r="B177" s="26">
        <v>19.1</v>
      </c>
      <c r="C177" s="23">
        <v>43132.0</v>
      </c>
      <c r="D177" s="22">
        <v>181.0</v>
      </c>
      <c r="E177" s="1">
        <f t="shared" si="2"/>
        <v>18.1</v>
      </c>
      <c r="F177" s="23">
        <v>43132.0</v>
      </c>
      <c r="G177" s="22">
        <v>205.0</v>
      </c>
      <c r="H177" s="1">
        <f t="shared" si="3"/>
        <v>20.5</v>
      </c>
      <c r="I177" s="1">
        <f t="shared" si="4"/>
        <v>19.3</v>
      </c>
      <c r="J177" s="1">
        <f t="shared" si="5"/>
        <v>0.2</v>
      </c>
    </row>
    <row r="178" ht="12.75" customHeight="1">
      <c r="A178" s="27">
        <v>43101.0</v>
      </c>
      <c r="B178" s="26">
        <v>19.1</v>
      </c>
      <c r="C178" s="23">
        <v>43101.0</v>
      </c>
      <c r="D178" s="22">
        <v>181.0</v>
      </c>
      <c r="E178" s="1">
        <f t="shared" si="2"/>
        <v>18.1</v>
      </c>
      <c r="F178" s="23">
        <v>43101.0</v>
      </c>
      <c r="G178" s="22">
        <v>205.0</v>
      </c>
      <c r="H178" s="1">
        <f t="shared" si="3"/>
        <v>20.5</v>
      </c>
      <c r="I178" s="1">
        <f t="shared" si="4"/>
        <v>19.3</v>
      </c>
      <c r="J178" s="1">
        <f t="shared" si="5"/>
        <v>0.2</v>
      </c>
    </row>
    <row r="179" ht="12.75" customHeight="1">
      <c r="A179" s="29">
        <v>43070.0</v>
      </c>
      <c r="B179" s="26">
        <v>18.62</v>
      </c>
      <c r="C179" s="23">
        <v>43070.0</v>
      </c>
      <c r="D179" s="22">
        <v>187.0</v>
      </c>
      <c r="E179" s="1">
        <f t="shared" si="2"/>
        <v>18.7</v>
      </c>
      <c r="F179" s="23">
        <v>43070.0</v>
      </c>
      <c r="G179" s="22">
        <v>204.0</v>
      </c>
      <c r="H179" s="1">
        <f t="shared" si="3"/>
        <v>20.4</v>
      </c>
      <c r="I179" s="1">
        <f t="shared" si="4"/>
        <v>19.55</v>
      </c>
      <c r="J179" s="1">
        <f t="shared" si="5"/>
        <v>0.93</v>
      </c>
    </row>
    <row r="180" ht="12.75" customHeight="1">
      <c r="A180" s="29">
        <v>43040.0</v>
      </c>
      <c r="B180" s="26">
        <v>18.71</v>
      </c>
      <c r="C180" s="23">
        <v>43040.0</v>
      </c>
      <c r="D180" s="22">
        <v>186.0</v>
      </c>
      <c r="E180" s="1">
        <f t="shared" si="2"/>
        <v>18.6</v>
      </c>
      <c r="F180" s="23">
        <v>43040.0</v>
      </c>
      <c r="G180" s="22">
        <v>204.0</v>
      </c>
      <c r="H180" s="1">
        <f t="shared" si="3"/>
        <v>20.4</v>
      </c>
      <c r="I180" s="1">
        <f t="shared" si="4"/>
        <v>19.5</v>
      </c>
      <c r="J180" s="1">
        <f t="shared" si="5"/>
        <v>0.79</v>
      </c>
    </row>
    <row r="181" ht="12.75" customHeight="1">
      <c r="A181" s="29">
        <v>43009.0</v>
      </c>
      <c r="B181" s="26">
        <v>15.7</v>
      </c>
      <c r="C181" s="23">
        <v>43009.0</v>
      </c>
      <c r="D181" s="22">
        <v>187.0</v>
      </c>
      <c r="E181" s="1">
        <f t="shared" si="2"/>
        <v>18.7</v>
      </c>
      <c r="F181" s="23">
        <v>43009.0</v>
      </c>
      <c r="G181" s="22">
        <v>210.0</v>
      </c>
      <c r="H181" s="1">
        <f t="shared" si="3"/>
        <v>21</v>
      </c>
      <c r="I181" s="1">
        <f t="shared" si="4"/>
        <v>19.85</v>
      </c>
      <c r="J181" s="1">
        <f t="shared" si="5"/>
        <v>4.15</v>
      </c>
    </row>
    <row r="182" ht="12.75" customHeight="1">
      <c r="A182" s="27">
        <v>42979.0</v>
      </c>
      <c r="B182" s="26">
        <v>19.33</v>
      </c>
      <c r="C182" s="23">
        <v>42979.0</v>
      </c>
      <c r="D182" s="22">
        <v>178.0</v>
      </c>
      <c r="E182" s="1">
        <f t="shared" si="2"/>
        <v>17.8</v>
      </c>
      <c r="F182" s="23">
        <v>42979.0</v>
      </c>
      <c r="G182" s="22">
        <v>210.0</v>
      </c>
      <c r="H182" s="1">
        <f t="shared" si="3"/>
        <v>21</v>
      </c>
      <c r="I182" s="1">
        <f t="shared" si="4"/>
        <v>19.4</v>
      </c>
      <c r="J182" s="1">
        <f t="shared" si="5"/>
        <v>0.07</v>
      </c>
    </row>
    <row r="183" ht="12.75" customHeight="1">
      <c r="A183" s="27">
        <v>42948.0</v>
      </c>
      <c r="B183" s="26">
        <v>19.16</v>
      </c>
      <c r="C183" s="23">
        <v>42948.0</v>
      </c>
      <c r="D183" s="22">
        <v>178.0</v>
      </c>
      <c r="E183" s="1">
        <f t="shared" si="2"/>
        <v>17.8</v>
      </c>
      <c r="F183" s="23">
        <v>42948.0</v>
      </c>
      <c r="G183" s="22">
        <v>210.0</v>
      </c>
      <c r="H183" s="1">
        <f t="shared" si="3"/>
        <v>21</v>
      </c>
      <c r="I183" s="1">
        <f t="shared" si="4"/>
        <v>19.4</v>
      </c>
      <c r="J183" s="1">
        <f t="shared" si="5"/>
        <v>0.24</v>
      </c>
    </row>
    <row r="184" ht="12.75" customHeight="1">
      <c r="A184" s="27">
        <v>42917.0</v>
      </c>
      <c r="B184" s="26">
        <v>18.52</v>
      </c>
      <c r="C184" s="23">
        <v>42917.0</v>
      </c>
      <c r="D184" s="22">
        <v>178.0</v>
      </c>
      <c r="E184" s="1">
        <f t="shared" si="2"/>
        <v>17.8</v>
      </c>
      <c r="F184" s="23">
        <v>42917.0</v>
      </c>
      <c r="G184" s="22">
        <v>210.0</v>
      </c>
      <c r="H184" s="1">
        <f t="shared" si="3"/>
        <v>21</v>
      </c>
      <c r="I184" s="1">
        <f t="shared" si="4"/>
        <v>19.4</v>
      </c>
      <c r="J184" s="1">
        <f t="shared" si="5"/>
        <v>0.88</v>
      </c>
    </row>
    <row r="185" ht="12.75" customHeight="1">
      <c r="A185" s="27">
        <v>42887.0</v>
      </c>
      <c r="B185" s="26">
        <v>19.12</v>
      </c>
      <c r="C185" s="23">
        <v>42887.0</v>
      </c>
      <c r="D185" s="22">
        <v>178.0</v>
      </c>
      <c r="E185" s="1">
        <f t="shared" si="2"/>
        <v>17.8</v>
      </c>
      <c r="F185" s="23">
        <v>42887.0</v>
      </c>
      <c r="G185" s="22">
        <v>210.0</v>
      </c>
      <c r="H185" s="1">
        <f t="shared" si="3"/>
        <v>21</v>
      </c>
      <c r="I185" s="1">
        <f t="shared" si="4"/>
        <v>19.4</v>
      </c>
      <c r="J185" s="1">
        <f t="shared" si="5"/>
        <v>0.28</v>
      </c>
    </row>
    <row r="186" ht="12.75" customHeight="1">
      <c r="A186" s="27">
        <v>42856.0</v>
      </c>
      <c r="B186" s="26">
        <v>18.06</v>
      </c>
      <c r="C186" s="23">
        <v>42856.0</v>
      </c>
      <c r="D186" s="22">
        <v>186.0</v>
      </c>
      <c r="E186" s="1">
        <f t="shared" si="2"/>
        <v>18.6</v>
      </c>
      <c r="F186" s="23">
        <v>42856.0</v>
      </c>
      <c r="G186" s="22">
        <v>210.0</v>
      </c>
      <c r="H186" s="1">
        <f t="shared" si="3"/>
        <v>21</v>
      </c>
      <c r="I186" s="1">
        <f t="shared" si="4"/>
        <v>19.8</v>
      </c>
      <c r="J186" s="1">
        <f t="shared" si="5"/>
        <v>1.74</v>
      </c>
    </row>
    <row r="187" ht="12.75" customHeight="1">
      <c r="A187" s="27">
        <v>42826.0</v>
      </c>
      <c r="B187" s="26">
        <v>14.12</v>
      </c>
      <c r="C187" s="23">
        <v>42826.0</v>
      </c>
      <c r="D187" s="22">
        <v>186.0</v>
      </c>
      <c r="E187" s="1">
        <f t="shared" si="2"/>
        <v>18.6</v>
      </c>
      <c r="F187" s="23">
        <v>42826.0</v>
      </c>
      <c r="G187" s="22">
        <v>204.0</v>
      </c>
      <c r="H187" s="1">
        <f t="shared" si="3"/>
        <v>20.4</v>
      </c>
      <c r="I187" s="1">
        <f t="shared" si="4"/>
        <v>19.5</v>
      </c>
      <c r="J187" s="1">
        <f t="shared" si="5"/>
        <v>5.38</v>
      </c>
    </row>
    <row r="188" ht="12.75" customHeight="1">
      <c r="A188" s="27">
        <v>42795.0</v>
      </c>
      <c r="B188" s="26">
        <v>19.18</v>
      </c>
      <c r="C188" s="23">
        <v>42795.0</v>
      </c>
      <c r="D188" s="22">
        <v>184.0</v>
      </c>
      <c r="E188" s="1">
        <f t="shared" si="2"/>
        <v>18.4</v>
      </c>
      <c r="F188" s="23">
        <v>42795.0</v>
      </c>
      <c r="G188" s="22">
        <v>201.0</v>
      </c>
      <c r="H188" s="1">
        <f t="shared" si="3"/>
        <v>20.1</v>
      </c>
      <c r="I188" s="1">
        <f t="shared" si="4"/>
        <v>19.25</v>
      </c>
      <c r="J188" s="1">
        <f t="shared" si="5"/>
        <v>0.07</v>
      </c>
    </row>
    <row r="189" ht="12.75" customHeight="1">
      <c r="A189" s="27">
        <v>42767.0</v>
      </c>
      <c r="B189" s="26">
        <v>19.0</v>
      </c>
      <c r="C189" s="23">
        <v>42767.0</v>
      </c>
      <c r="D189" s="22">
        <v>184.0</v>
      </c>
      <c r="E189" s="1">
        <f t="shared" si="2"/>
        <v>18.4</v>
      </c>
      <c r="F189" s="23">
        <v>42767.0</v>
      </c>
      <c r="G189" s="22">
        <v>189.0</v>
      </c>
      <c r="H189" s="1">
        <f t="shared" si="3"/>
        <v>18.9</v>
      </c>
      <c r="I189" s="1">
        <f t="shared" si="4"/>
        <v>18.65</v>
      </c>
      <c r="J189" s="1">
        <f t="shared" si="5"/>
        <v>-0.35</v>
      </c>
    </row>
    <row r="190" ht="12.75" customHeight="1">
      <c r="A190" s="27">
        <v>42736.0</v>
      </c>
      <c r="B190" s="26">
        <v>18.37</v>
      </c>
      <c r="C190" s="23">
        <v>42736.0</v>
      </c>
      <c r="D190" s="22">
        <v>184.0</v>
      </c>
      <c r="E190" s="1">
        <f t="shared" si="2"/>
        <v>18.4</v>
      </c>
      <c r="F190" s="23">
        <v>42736.0</v>
      </c>
      <c r="G190" s="22">
        <v>189.0</v>
      </c>
      <c r="H190" s="1">
        <f t="shared" si="3"/>
        <v>18.9</v>
      </c>
      <c r="I190" s="1">
        <f t="shared" si="4"/>
        <v>18.65</v>
      </c>
      <c r="J190" s="1">
        <f t="shared" si="5"/>
        <v>0.28</v>
      </c>
    </row>
    <row r="191" ht="12.75" customHeight="1">
      <c r="A191" s="29">
        <v>42705.0</v>
      </c>
      <c r="B191" s="26">
        <v>18.16</v>
      </c>
      <c r="C191" s="23">
        <v>42705.0</v>
      </c>
      <c r="D191" s="22">
        <v>190.0</v>
      </c>
      <c r="E191" s="1">
        <f t="shared" si="2"/>
        <v>19</v>
      </c>
      <c r="F191" s="23">
        <v>42705.0</v>
      </c>
      <c r="G191" s="22">
        <v>190.0</v>
      </c>
      <c r="H191" s="1">
        <f t="shared" si="3"/>
        <v>19</v>
      </c>
      <c r="I191" s="1">
        <f t="shared" si="4"/>
        <v>19</v>
      </c>
      <c r="J191" s="1">
        <f t="shared" si="5"/>
        <v>0.84</v>
      </c>
    </row>
    <row r="192" ht="12.75" customHeight="1">
      <c r="A192" s="29">
        <v>42675.0</v>
      </c>
      <c r="B192" s="26">
        <v>17.93</v>
      </c>
      <c r="C192" s="23">
        <v>42675.0</v>
      </c>
      <c r="D192" s="22">
        <v>190.0</v>
      </c>
      <c r="E192" s="1">
        <f t="shared" si="2"/>
        <v>19</v>
      </c>
      <c r="F192" s="23">
        <v>42675.0</v>
      </c>
      <c r="G192" s="22">
        <v>190.0</v>
      </c>
      <c r="H192" s="1">
        <f t="shared" si="3"/>
        <v>19</v>
      </c>
      <c r="I192" s="1">
        <f t="shared" si="4"/>
        <v>19</v>
      </c>
      <c r="J192" s="1">
        <f t="shared" si="5"/>
        <v>1.07</v>
      </c>
    </row>
    <row r="193" ht="12.75" customHeight="1">
      <c r="A193" s="29">
        <v>42644.0</v>
      </c>
      <c r="B193" s="26">
        <v>13.93</v>
      </c>
      <c r="C193" s="23">
        <v>42644.0</v>
      </c>
      <c r="D193" s="22">
        <v>222.0</v>
      </c>
      <c r="E193" s="1">
        <f t="shared" si="2"/>
        <v>22.2</v>
      </c>
      <c r="F193" s="23">
        <v>42644.0</v>
      </c>
      <c r="G193" s="22">
        <v>201.0</v>
      </c>
      <c r="H193" s="1">
        <f t="shared" si="3"/>
        <v>20.1</v>
      </c>
      <c r="I193" s="1">
        <f t="shared" si="4"/>
        <v>21.15</v>
      </c>
      <c r="J193" s="1">
        <f t="shared" si="5"/>
        <v>7.22</v>
      </c>
    </row>
    <row r="194" ht="12.75" customHeight="1">
      <c r="A194" s="27">
        <v>42614.0</v>
      </c>
      <c r="B194" s="26">
        <v>18.22</v>
      </c>
      <c r="C194" s="23">
        <v>42614.0</v>
      </c>
      <c r="D194" s="22">
        <v>210.0</v>
      </c>
      <c r="E194" s="1">
        <f t="shared" si="2"/>
        <v>21</v>
      </c>
      <c r="F194" s="23">
        <v>42614.0</v>
      </c>
      <c r="G194" s="22">
        <v>200.0</v>
      </c>
      <c r="H194" s="1">
        <f t="shared" si="3"/>
        <v>20</v>
      </c>
      <c r="I194" s="1">
        <f t="shared" si="4"/>
        <v>20.5</v>
      </c>
      <c r="J194" s="1">
        <f t="shared" si="5"/>
        <v>2.28</v>
      </c>
    </row>
    <row r="195" ht="12.75" customHeight="1">
      <c r="A195" s="27">
        <v>42583.0</v>
      </c>
      <c r="B195" s="26">
        <v>18.87</v>
      </c>
      <c r="C195" s="23">
        <v>42583.0</v>
      </c>
      <c r="D195" s="22">
        <v>210.0</v>
      </c>
      <c r="E195" s="1">
        <f t="shared" si="2"/>
        <v>21</v>
      </c>
      <c r="F195" s="23">
        <v>42583.0</v>
      </c>
      <c r="G195" s="22">
        <v>200.0</v>
      </c>
      <c r="H195" s="1">
        <f t="shared" si="3"/>
        <v>20</v>
      </c>
      <c r="I195" s="1">
        <f t="shared" si="4"/>
        <v>20.5</v>
      </c>
      <c r="J195" s="1">
        <f t="shared" si="5"/>
        <v>1.63</v>
      </c>
    </row>
    <row r="196" ht="12.75" customHeight="1">
      <c r="A196" s="27">
        <v>42552.0</v>
      </c>
      <c r="B196" s="26">
        <v>18.47</v>
      </c>
      <c r="C196" s="23">
        <v>42552.0</v>
      </c>
      <c r="D196" s="22">
        <v>210.0</v>
      </c>
      <c r="E196" s="1">
        <f t="shared" si="2"/>
        <v>21</v>
      </c>
      <c r="F196" s="23">
        <v>42552.0</v>
      </c>
      <c r="G196" s="22">
        <v>200.0</v>
      </c>
      <c r="H196" s="1">
        <f t="shared" si="3"/>
        <v>20</v>
      </c>
      <c r="I196" s="1">
        <f t="shared" si="4"/>
        <v>20.5</v>
      </c>
      <c r="J196" s="1">
        <f t="shared" si="5"/>
        <v>2.03</v>
      </c>
    </row>
    <row r="197" ht="12.75" customHeight="1">
      <c r="A197" s="27">
        <v>42522.0</v>
      </c>
      <c r="B197" s="26">
        <v>18.09</v>
      </c>
      <c r="C197" s="23">
        <v>42522.0</v>
      </c>
      <c r="D197" s="22">
        <v>210.0</v>
      </c>
      <c r="E197" s="1">
        <f t="shared" si="2"/>
        <v>21</v>
      </c>
      <c r="F197" s="23">
        <v>42522.0</v>
      </c>
      <c r="G197" s="22">
        <v>200.0</v>
      </c>
      <c r="H197" s="1">
        <f t="shared" si="3"/>
        <v>20</v>
      </c>
      <c r="I197" s="1">
        <f t="shared" si="4"/>
        <v>20.5</v>
      </c>
      <c r="J197" s="1">
        <f t="shared" si="5"/>
        <v>2.41</v>
      </c>
    </row>
    <row r="198" ht="12.75" customHeight="1">
      <c r="A198" s="27">
        <v>42522.0</v>
      </c>
      <c r="B198" s="26">
        <v>18.09</v>
      </c>
      <c r="C198" s="23">
        <v>42491.0</v>
      </c>
      <c r="D198" s="22">
        <v>211.0</v>
      </c>
      <c r="E198" s="1">
        <f t="shared" si="2"/>
        <v>21.1</v>
      </c>
      <c r="F198" s="23">
        <v>42491.0</v>
      </c>
      <c r="G198" s="22">
        <v>202.0</v>
      </c>
      <c r="H198" s="1">
        <f t="shared" si="3"/>
        <v>20.2</v>
      </c>
      <c r="I198" s="1">
        <f t="shared" si="4"/>
        <v>20.65</v>
      </c>
      <c r="J198" s="1">
        <f t="shared" si="5"/>
        <v>2.56</v>
      </c>
    </row>
    <row r="199" ht="12.75" customHeight="1">
      <c r="A199" s="27">
        <v>42491.0</v>
      </c>
      <c r="B199" s="26">
        <v>17.71</v>
      </c>
      <c r="C199" s="23">
        <v>42461.0</v>
      </c>
      <c r="D199" s="22">
        <v>211.0</v>
      </c>
      <c r="E199" s="1">
        <f t="shared" si="2"/>
        <v>21.1</v>
      </c>
      <c r="F199" s="23">
        <v>42461.0</v>
      </c>
      <c r="G199" s="22">
        <v>190.0</v>
      </c>
      <c r="H199" s="1">
        <f t="shared" si="3"/>
        <v>19</v>
      </c>
      <c r="I199" s="1">
        <f t="shared" si="4"/>
        <v>20.05</v>
      </c>
      <c r="J199" s="1">
        <f t="shared" si="5"/>
        <v>2.34</v>
      </c>
    </row>
    <row r="200" ht="12.75" customHeight="1">
      <c r="A200" s="27">
        <v>42461.0</v>
      </c>
      <c r="B200" s="26">
        <v>12.39</v>
      </c>
      <c r="C200" s="23">
        <v>42430.0</v>
      </c>
      <c r="D200" s="22">
        <v>213.0</v>
      </c>
      <c r="E200" s="1">
        <f t="shared" si="2"/>
        <v>21.3</v>
      </c>
      <c r="F200" s="23">
        <v>42430.0</v>
      </c>
      <c r="G200" s="22">
        <v>191.0</v>
      </c>
      <c r="H200" s="1">
        <f t="shared" si="3"/>
        <v>19.1</v>
      </c>
      <c r="I200" s="1">
        <f t="shared" si="4"/>
        <v>20.2</v>
      </c>
      <c r="J200" s="1">
        <f t="shared" si="5"/>
        <v>7.81</v>
      </c>
    </row>
    <row r="201" ht="12.75" customHeight="1">
      <c r="A201" s="27">
        <v>42430.0</v>
      </c>
      <c r="B201" s="26">
        <v>17.65</v>
      </c>
      <c r="C201" s="23">
        <v>42401.0</v>
      </c>
      <c r="D201" s="22">
        <v>213.0</v>
      </c>
      <c r="E201" s="1">
        <f t="shared" si="2"/>
        <v>21.3</v>
      </c>
      <c r="F201" s="23">
        <v>42401.0</v>
      </c>
      <c r="G201" s="22">
        <v>187.0</v>
      </c>
      <c r="H201" s="1">
        <f t="shared" si="3"/>
        <v>18.7</v>
      </c>
      <c r="I201" s="1">
        <f t="shared" si="4"/>
        <v>20</v>
      </c>
      <c r="J201" s="1">
        <f t="shared" si="5"/>
        <v>2.35</v>
      </c>
    </row>
    <row r="202" ht="12.75" customHeight="1">
      <c r="A202" s="27">
        <v>42401.0</v>
      </c>
      <c r="B202" s="26">
        <v>17.68</v>
      </c>
      <c r="C202" s="23">
        <v>42370.0</v>
      </c>
      <c r="D202" s="22">
        <v>213.0</v>
      </c>
      <c r="E202" s="1">
        <f t="shared" si="2"/>
        <v>21.3</v>
      </c>
      <c r="F202" s="23">
        <v>42370.0</v>
      </c>
      <c r="G202" s="22">
        <v>187.0</v>
      </c>
      <c r="H202" s="1">
        <f t="shared" si="3"/>
        <v>18.7</v>
      </c>
      <c r="I202" s="1">
        <f t="shared" si="4"/>
        <v>20</v>
      </c>
      <c r="J202" s="1">
        <f t="shared" si="5"/>
        <v>2.32</v>
      </c>
    </row>
    <row r="203" ht="12.75" customHeight="1">
      <c r="A203" s="27">
        <v>42370.0</v>
      </c>
      <c r="B203" s="26">
        <v>17.77</v>
      </c>
      <c r="C203" s="23">
        <v>42339.0</v>
      </c>
      <c r="D203" s="22">
        <v>209.0</v>
      </c>
      <c r="E203" s="1">
        <f t="shared" si="2"/>
        <v>20.9</v>
      </c>
      <c r="F203" s="23">
        <v>42339.0</v>
      </c>
      <c r="G203" s="22">
        <v>172.0</v>
      </c>
      <c r="H203" s="1">
        <f t="shared" si="3"/>
        <v>17.2</v>
      </c>
      <c r="I203" s="1">
        <f t="shared" si="4"/>
        <v>19.05</v>
      </c>
      <c r="J203" s="1">
        <f t="shared" si="5"/>
        <v>1.28</v>
      </c>
    </row>
    <row r="204" ht="12.75" customHeight="1">
      <c r="A204" s="29">
        <v>42339.0</v>
      </c>
      <c r="B204" s="26">
        <v>17.29</v>
      </c>
      <c r="C204" s="23">
        <v>42309.0</v>
      </c>
      <c r="D204" s="22">
        <v>213.0</v>
      </c>
      <c r="E204" s="1">
        <f t="shared" si="2"/>
        <v>21.3</v>
      </c>
      <c r="F204" s="23">
        <v>42309.0</v>
      </c>
      <c r="G204" s="22">
        <v>172.0</v>
      </c>
      <c r="H204" s="1">
        <f t="shared" si="3"/>
        <v>17.2</v>
      </c>
      <c r="I204" s="1">
        <f t="shared" si="4"/>
        <v>19.25</v>
      </c>
      <c r="J204" s="1">
        <f t="shared" si="5"/>
        <v>1.96</v>
      </c>
    </row>
    <row r="205" ht="12.75" customHeight="1">
      <c r="A205" s="29">
        <v>42309.0</v>
      </c>
      <c r="B205" s="26">
        <v>17.33</v>
      </c>
      <c r="C205" s="23">
        <v>42278.0</v>
      </c>
      <c r="D205" s="22">
        <v>213.0</v>
      </c>
      <c r="E205" s="1">
        <f t="shared" si="2"/>
        <v>21.3</v>
      </c>
      <c r="F205" s="23">
        <v>42278.0</v>
      </c>
      <c r="G205" s="22">
        <v>227.0</v>
      </c>
      <c r="H205" s="1">
        <f t="shared" si="3"/>
        <v>22.7</v>
      </c>
      <c r="I205" s="1">
        <f t="shared" si="4"/>
        <v>22</v>
      </c>
      <c r="J205" s="1">
        <f t="shared" si="5"/>
        <v>4.67</v>
      </c>
    </row>
    <row r="206" ht="12.75" customHeight="1">
      <c r="A206" s="29">
        <v>42278.0</v>
      </c>
      <c r="B206" s="26">
        <v>14.96</v>
      </c>
      <c r="C206" s="23">
        <v>42248.0</v>
      </c>
      <c r="D206" s="22">
        <v>205.0</v>
      </c>
      <c r="E206" s="1">
        <f t="shared" si="2"/>
        <v>20.5</v>
      </c>
      <c r="F206" s="23">
        <v>42248.0</v>
      </c>
      <c r="G206" s="22">
        <v>227.0</v>
      </c>
      <c r="H206" s="1">
        <f t="shared" si="3"/>
        <v>22.7</v>
      </c>
      <c r="I206" s="1">
        <f t="shared" si="4"/>
        <v>21.6</v>
      </c>
      <c r="J206" s="1">
        <f t="shared" si="5"/>
        <v>6.64</v>
      </c>
    </row>
    <row r="207" ht="12.75" customHeight="1">
      <c r="A207" s="27">
        <v>42248.0</v>
      </c>
      <c r="B207" s="26">
        <v>18.35</v>
      </c>
      <c r="C207" s="23">
        <v>42217.0</v>
      </c>
      <c r="D207" s="22">
        <v>205.0</v>
      </c>
      <c r="E207" s="1">
        <f t="shared" si="2"/>
        <v>20.5</v>
      </c>
      <c r="F207" s="23">
        <v>42217.0</v>
      </c>
      <c r="G207" s="22">
        <v>233.0</v>
      </c>
      <c r="H207" s="1">
        <f t="shared" si="3"/>
        <v>23.3</v>
      </c>
      <c r="I207" s="1">
        <f t="shared" si="4"/>
        <v>21.9</v>
      </c>
      <c r="J207" s="1">
        <f t="shared" si="5"/>
        <v>3.55</v>
      </c>
    </row>
    <row r="208" ht="12.75" customHeight="1">
      <c r="A208" s="27">
        <v>42217.0</v>
      </c>
      <c r="B208" s="26">
        <v>18.2</v>
      </c>
      <c r="C208" s="23">
        <v>42186.0</v>
      </c>
      <c r="D208" s="22">
        <v>206.0</v>
      </c>
      <c r="E208" s="1">
        <f t="shared" si="2"/>
        <v>20.6</v>
      </c>
      <c r="F208" s="23">
        <v>42186.0</v>
      </c>
      <c r="G208" s="22">
        <v>233.0</v>
      </c>
      <c r="H208" s="1">
        <f t="shared" si="3"/>
        <v>23.3</v>
      </c>
      <c r="I208" s="1">
        <f t="shared" si="4"/>
        <v>21.95</v>
      </c>
      <c r="J208" s="1">
        <f t="shared" si="5"/>
        <v>3.75</v>
      </c>
    </row>
    <row r="209" ht="12.75" customHeight="1">
      <c r="A209" s="27">
        <v>42186.0</v>
      </c>
      <c r="B209" s="26">
        <v>17.96</v>
      </c>
      <c r="C209" s="23">
        <v>42156.0</v>
      </c>
      <c r="D209" s="22">
        <v>206.0</v>
      </c>
      <c r="E209" s="1">
        <f t="shared" si="2"/>
        <v>20.6</v>
      </c>
      <c r="F209" s="23">
        <v>42156.0</v>
      </c>
      <c r="G209" s="22">
        <v>233.0</v>
      </c>
      <c r="H209" s="1">
        <f t="shared" si="3"/>
        <v>23.3</v>
      </c>
      <c r="I209" s="1">
        <f t="shared" si="4"/>
        <v>21.95</v>
      </c>
      <c r="J209" s="1">
        <f t="shared" si="5"/>
        <v>3.99</v>
      </c>
    </row>
    <row r="210" ht="12.75" customHeight="1">
      <c r="A210" s="27">
        <v>42156.0</v>
      </c>
      <c r="B210" s="26">
        <v>17.19</v>
      </c>
      <c r="C210" s="23">
        <v>42125.0</v>
      </c>
      <c r="D210" s="22">
        <v>217.0</v>
      </c>
      <c r="E210" s="1">
        <f t="shared" si="2"/>
        <v>21.7</v>
      </c>
      <c r="F210" s="23">
        <v>42125.0</v>
      </c>
      <c r="G210" s="22">
        <v>233.0</v>
      </c>
      <c r="H210" s="1">
        <f t="shared" si="3"/>
        <v>23.3</v>
      </c>
      <c r="I210" s="1">
        <f t="shared" si="4"/>
        <v>22.5</v>
      </c>
      <c r="J210" s="1">
        <f t="shared" si="5"/>
        <v>5.31</v>
      </c>
    </row>
    <row r="211" ht="12.75" customHeight="1">
      <c r="A211" s="27">
        <v>42125.0</v>
      </c>
      <c r="B211" s="26">
        <v>17.31</v>
      </c>
      <c r="C211" s="23">
        <v>42095.0</v>
      </c>
      <c r="D211" s="22">
        <v>217.0</v>
      </c>
      <c r="E211" s="1">
        <f t="shared" si="2"/>
        <v>21.7</v>
      </c>
      <c r="F211" s="23">
        <v>42095.0</v>
      </c>
      <c r="G211" s="22">
        <v>225.0</v>
      </c>
      <c r="H211" s="1">
        <f t="shared" si="3"/>
        <v>22.5</v>
      </c>
      <c r="I211" s="1">
        <f t="shared" si="4"/>
        <v>22.1</v>
      </c>
      <c r="J211" s="1">
        <f t="shared" si="5"/>
        <v>4.79</v>
      </c>
    </row>
    <row r="212" ht="12.75" customHeight="1">
      <c r="A212" s="27">
        <v>42095.0</v>
      </c>
      <c r="B212" s="26">
        <v>12.45</v>
      </c>
      <c r="C212" s="23">
        <v>42064.0</v>
      </c>
      <c r="D212" s="22">
        <v>215.0</v>
      </c>
      <c r="E212" s="1">
        <f t="shared" si="2"/>
        <v>21.5</v>
      </c>
      <c r="F212" s="23">
        <v>42064.0</v>
      </c>
      <c r="G212" s="22">
        <v>224.0</v>
      </c>
      <c r="H212" s="1">
        <f t="shared" si="3"/>
        <v>22.4</v>
      </c>
      <c r="I212" s="1">
        <f t="shared" si="4"/>
        <v>21.95</v>
      </c>
      <c r="J212" s="1">
        <f t="shared" si="5"/>
        <v>9.5</v>
      </c>
    </row>
    <row r="213" ht="12.75" customHeight="1">
      <c r="A213" s="27">
        <v>42064.0</v>
      </c>
      <c r="B213" s="26">
        <v>17.01</v>
      </c>
      <c r="C213" s="23">
        <v>42036.0</v>
      </c>
      <c r="D213" s="22">
        <v>216.0</v>
      </c>
      <c r="E213" s="1">
        <f t="shared" si="2"/>
        <v>21.6</v>
      </c>
      <c r="F213" s="23">
        <v>42036.0</v>
      </c>
      <c r="G213" s="22">
        <v>222.0</v>
      </c>
      <c r="H213" s="1">
        <f t="shared" si="3"/>
        <v>22.2</v>
      </c>
      <c r="I213" s="1">
        <f t="shared" si="4"/>
        <v>21.9</v>
      </c>
      <c r="J213" s="1">
        <f t="shared" si="5"/>
        <v>4.89</v>
      </c>
    </row>
    <row r="214" ht="12.75" customHeight="1">
      <c r="A214" s="27">
        <v>42036.0</v>
      </c>
      <c r="B214" s="26">
        <v>17.13</v>
      </c>
      <c r="C214" s="23">
        <v>42005.0</v>
      </c>
      <c r="D214" s="22">
        <v>216.0</v>
      </c>
      <c r="E214" s="1">
        <f t="shared" si="2"/>
        <v>21.6</v>
      </c>
      <c r="F214" s="23">
        <v>42005.0</v>
      </c>
      <c r="G214" s="22">
        <v>222.0</v>
      </c>
      <c r="H214" s="1">
        <f t="shared" si="3"/>
        <v>22.2</v>
      </c>
      <c r="I214" s="1">
        <f t="shared" si="4"/>
        <v>21.9</v>
      </c>
      <c r="J214" s="1">
        <f t="shared" si="5"/>
        <v>4.77</v>
      </c>
    </row>
    <row r="215" ht="12.75" customHeight="1">
      <c r="A215" s="27">
        <v>42005.0</v>
      </c>
      <c r="B215" s="26">
        <v>17.4</v>
      </c>
      <c r="C215" s="23">
        <v>41974.0</v>
      </c>
      <c r="D215" s="22">
        <v>223.0</v>
      </c>
      <c r="E215" s="1">
        <f t="shared" si="2"/>
        <v>22.3</v>
      </c>
      <c r="F215" s="23">
        <v>41974.0</v>
      </c>
      <c r="G215" s="22">
        <v>213.0</v>
      </c>
      <c r="H215" s="1">
        <f t="shared" si="3"/>
        <v>21.3</v>
      </c>
      <c r="I215" s="1">
        <f t="shared" si="4"/>
        <v>21.8</v>
      </c>
      <c r="J215" s="1">
        <f t="shared" si="5"/>
        <v>4.4</v>
      </c>
    </row>
    <row r="216" ht="12.75" customHeight="1">
      <c r="A216" s="29">
        <v>41974.0</v>
      </c>
      <c r="B216" s="26">
        <v>17.03</v>
      </c>
      <c r="C216" s="23">
        <v>41944.0</v>
      </c>
      <c r="D216" s="22">
        <v>223.0</v>
      </c>
      <c r="E216" s="1">
        <f t="shared" si="2"/>
        <v>22.3</v>
      </c>
      <c r="F216" s="23">
        <v>41944.0</v>
      </c>
      <c r="G216" s="22">
        <v>213.0</v>
      </c>
      <c r="H216" s="1">
        <f t="shared" si="3"/>
        <v>21.3</v>
      </c>
      <c r="I216" s="1">
        <f t="shared" si="4"/>
        <v>21.8</v>
      </c>
      <c r="J216" s="1">
        <f t="shared" si="5"/>
        <v>4.77</v>
      </c>
    </row>
    <row r="217" ht="12.75" customHeight="1">
      <c r="A217" s="29">
        <v>41944.0</v>
      </c>
      <c r="B217" s="26">
        <v>17.0</v>
      </c>
      <c r="C217" s="23">
        <v>41913.0</v>
      </c>
      <c r="D217" s="22">
        <v>223.0</v>
      </c>
      <c r="E217" s="1">
        <f t="shared" si="2"/>
        <v>22.3</v>
      </c>
      <c r="F217" s="23">
        <v>41913.0</v>
      </c>
      <c r="G217" s="22">
        <v>222.0</v>
      </c>
      <c r="H217" s="1">
        <f t="shared" si="3"/>
        <v>22.2</v>
      </c>
      <c r="I217" s="1">
        <f t="shared" si="4"/>
        <v>22.25</v>
      </c>
      <c r="J217" s="1">
        <f t="shared" si="5"/>
        <v>5.25</v>
      </c>
    </row>
    <row r="218" ht="12.75" customHeight="1">
      <c r="A218" s="29">
        <v>41913.0</v>
      </c>
      <c r="B218" s="26">
        <v>13.35</v>
      </c>
      <c r="C218" s="23">
        <v>41883.0</v>
      </c>
      <c r="D218" s="22">
        <v>216.0</v>
      </c>
      <c r="E218" s="1">
        <f t="shared" si="2"/>
        <v>21.6</v>
      </c>
      <c r="F218" s="23">
        <v>41883.0</v>
      </c>
      <c r="G218" s="22">
        <v>223.0</v>
      </c>
      <c r="H218" s="1">
        <f t="shared" si="3"/>
        <v>22.3</v>
      </c>
      <c r="I218" s="1">
        <f t="shared" si="4"/>
        <v>21.95</v>
      </c>
      <c r="J218" s="1">
        <f t="shared" si="5"/>
        <v>8.6</v>
      </c>
    </row>
    <row r="219" ht="12.75" customHeight="1">
      <c r="A219" s="27">
        <v>41883.0</v>
      </c>
      <c r="B219" s="26">
        <v>17.97</v>
      </c>
      <c r="C219" s="23">
        <v>41852.0</v>
      </c>
      <c r="D219" s="22">
        <v>215.0</v>
      </c>
      <c r="E219" s="1">
        <f t="shared" si="2"/>
        <v>21.5</v>
      </c>
      <c r="F219" s="23">
        <v>41852.0</v>
      </c>
      <c r="G219" s="22">
        <v>223.0</v>
      </c>
      <c r="H219" s="1">
        <f t="shared" si="3"/>
        <v>22.3</v>
      </c>
      <c r="I219" s="1">
        <f t="shared" si="4"/>
        <v>21.9</v>
      </c>
      <c r="J219" s="1">
        <f t="shared" si="5"/>
        <v>3.93</v>
      </c>
    </row>
    <row r="220" ht="12.75" customHeight="1">
      <c r="A220" s="27">
        <v>41852.0</v>
      </c>
      <c r="B220" s="26">
        <v>18.07</v>
      </c>
      <c r="C220" s="23">
        <v>41821.0</v>
      </c>
      <c r="D220" s="22">
        <v>215.0</v>
      </c>
      <c r="E220" s="1">
        <f t="shared" si="2"/>
        <v>21.5</v>
      </c>
      <c r="F220" s="23">
        <v>41821.0</v>
      </c>
      <c r="G220" s="22">
        <v>233.0</v>
      </c>
      <c r="H220" s="1">
        <f t="shared" si="3"/>
        <v>23.3</v>
      </c>
      <c r="I220" s="1">
        <f t="shared" si="4"/>
        <v>22.4</v>
      </c>
      <c r="J220" s="1">
        <f t="shared" si="5"/>
        <v>4.33</v>
      </c>
    </row>
    <row r="221" ht="12.75" customHeight="1">
      <c r="A221" s="27">
        <v>41821.0</v>
      </c>
      <c r="B221" s="26">
        <v>17.63</v>
      </c>
      <c r="C221" s="23">
        <v>41791.0</v>
      </c>
      <c r="D221" s="22">
        <v>224.0</v>
      </c>
      <c r="E221" s="1">
        <f t="shared" si="2"/>
        <v>22.4</v>
      </c>
      <c r="F221" s="23">
        <v>41791.0</v>
      </c>
      <c r="G221" s="22">
        <v>233.0</v>
      </c>
      <c r="H221" s="1">
        <f t="shared" si="3"/>
        <v>23.3</v>
      </c>
      <c r="I221" s="1">
        <f t="shared" si="4"/>
        <v>22.85</v>
      </c>
      <c r="J221" s="1">
        <f t="shared" si="5"/>
        <v>5.22</v>
      </c>
    </row>
    <row r="222" ht="12.75" customHeight="1">
      <c r="A222" s="27">
        <v>41791.0</v>
      </c>
      <c r="B222" s="26">
        <v>16.9</v>
      </c>
      <c r="C222" s="23">
        <v>41760.0</v>
      </c>
      <c r="D222" s="22">
        <v>215.0</v>
      </c>
      <c r="E222" s="1">
        <f t="shared" si="2"/>
        <v>21.5</v>
      </c>
      <c r="F222" s="23">
        <v>41760.0</v>
      </c>
      <c r="G222" s="22">
        <v>232.0</v>
      </c>
      <c r="H222" s="1">
        <f t="shared" si="3"/>
        <v>23.2</v>
      </c>
      <c r="I222" s="1">
        <f t="shared" si="4"/>
        <v>22.35</v>
      </c>
      <c r="J222" s="1">
        <f t="shared" si="5"/>
        <v>5.45</v>
      </c>
    </row>
    <row r="223" ht="12.75" customHeight="1">
      <c r="A223" s="27">
        <v>41760.0</v>
      </c>
      <c r="B223" s="26">
        <v>16.46</v>
      </c>
      <c r="C223" s="23">
        <v>41730.0</v>
      </c>
      <c r="D223" s="22">
        <v>178.0</v>
      </c>
      <c r="E223" s="1">
        <f t="shared" si="2"/>
        <v>17.8</v>
      </c>
      <c r="F223" s="23">
        <v>41730.0</v>
      </c>
      <c r="G223" s="22">
        <v>182.0</v>
      </c>
      <c r="H223" s="1">
        <f t="shared" si="3"/>
        <v>18.2</v>
      </c>
      <c r="I223" s="1">
        <f t="shared" si="4"/>
        <v>18</v>
      </c>
      <c r="J223" s="1">
        <f t="shared" si="5"/>
        <v>1.54</v>
      </c>
    </row>
    <row r="224" ht="12.75" customHeight="1">
      <c r="A224" s="27">
        <v>41730.0</v>
      </c>
      <c r="B224" s="26">
        <v>10.12</v>
      </c>
      <c r="C224" s="23">
        <v>41699.0</v>
      </c>
      <c r="D224" s="22">
        <v>215.0</v>
      </c>
      <c r="E224" s="1">
        <f t="shared" si="2"/>
        <v>21.5</v>
      </c>
      <c r="F224" s="23">
        <v>41699.0</v>
      </c>
      <c r="G224" s="22">
        <v>222.0</v>
      </c>
      <c r="H224" s="1">
        <f t="shared" si="3"/>
        <v>22.2</v>
      </c>
      <c r="I224" s="1">
        <f t="shared" si="4"/>
        <v>21.85</v>
      </c>
      <c r="J224" s="1">
        <f t="shared" si="5"/>
        <v>11.73</v>
      </c>
    </row>
    <row r="225" ht="12.75" customHeight="1">
      <c r="A225" s="27">
        <v>41699.0</v>
      </c>
      <c r="B225" s="26">
        <v>15.86</v>
      </c>
      <c r="C225" s="23">
        <v>41671.0</v>
      </c>
      <c r="D225" s="22">
        <v>215.0</v>
      </c>
      <c r="E225" s="1">
        <f t="shared" si="2"/>
        <v>21.5</v>
      </c>
      <c r="F225" s="23">
        <v>41671.0</v>
      </c>
      <c r="G225" s="22">
        <v>221.0</v>
      </c>
      <c r="H225" s="1">
        <f t="shared" si="3"/>
        <v>22.1</v>
      </c>
      <c r="I225" s="1">
        <f t="shared" si="4"/>
        <v>21.8</v>
      </c>
      <c r="J225" s="1">
        <f t="shared" si="5"/>
        <v>5.94</v>
      </c>
    </row>
    <row r="226" ht="12.75" customHeight="1">
      <c r="A226" s="27">
        <v>41671.0</v>
      </c>
      <c r="B226" s="26">
        <v>16.11</v>
      </c>
      <c r="C226" s="23">
        <v>41640.0</v>
      </c>
      <c r="D226" s="22">
        <v>215.0</v>
      </c>
      <c r="E226" s="1">
        <f t="shared" si="2"/>
        <v>21.5</v>
      </c>
      <c r="F226" s="23">
        <v>41640.0</v>
      </c>
      <c r="G226" s="22">
        <v>221.0</v>
      </c>
      <c r="H226" s="1">
        <f t="shared" si="3"/>
        <v>22.1</v>
      </c>
      <c r="I226" s="1">
        <f t="shared" si="4"/>
        <v>21.8</v>
      </c>
      <c r="J226" s="1">
        <f t="shared" si="5"/>
        <v>5.69</v>
      </c>
    </row>
    <row r="227" ht="12.75" customHeight="1">
      <c r="A227" s="27">
        <v>41640.0</v>
      </c>
      <c r="B227" s="26">
        <v>16.57</v>
      </c>
      <c r="C227" s="23">
        <v>41609.0</v>
      </c>
      <c r="D227" s="22">
        <v>220.0</v>
      </c>
      <c r="E227" s="1">
        <f t="shared" si="2"/>
        <v>22</v>
      </c>
      <c r="F227" s="23">
        <v>41609.0</v>
      </c>
      <c r="G227" s="22">
        <v>219.0</v>
      </c>
      <c r="H227" s="1">
        <f t="shared" si="3"/>
        <v>21.9</v>
      </c>
      <c r="I227" s="1">
        <f t="shared" si="4"/>
        <v>21.95</v>
      </c>
      <c r="J227" s="1">
        <f t="shared" si="5"/>
        <v>5.38</v>
      </c>
    </row>
    <row r="228" ht="12.75" customHeight="1">
      <c r="A228" s="29">
        <v>41609.0</v>
      </c>
      <c r="B228" s="26">
        <v>16.22</v>
      </c>
      <c r="C228" s="23">
        <v>41579.0</v>
      </c>
      <c r="D228" s="22">
        <v>215.0</v>
      </c>
      <c r="E228" s="1">
        <f t="shared" si="2"/>
        <v>21.5</v>
      </c>
      <c r="F228" s="23">
        <v>41579.0</v>
      </c>
      <c r="G228" s="22">
        <v>219.0</v>
      </c>
      <c r="H228" s="1">
        <f t="shared" si="3"/>
        <v>21.9</v>
      </c>
      <c r="I228" s="1">
        <f t="shared" si="4"/>
        <v>21.7</v>
      </c>
      <c r="J228" s="1">
        <f t="shared" si="5"/>
        <v>5.48</v>
      </c>
    </row>
    <row r="229" ht="12.75" customHeight="1">
      <c r="A229" s="29">
        <v>41579.0</v>
      </c>
      <c r="B229" s="26">
        <v>16.53</v>
      </c>
      <c r="C229" s="23">
        <v>41548.0</v>
      </c>
      <c r="D229" s="22">
        <v>215.0</v>
      </c>
      <c r="E229" s="1">
        <f t="shared" si="2"/>
        <v>21.5</v>
      </c>
      <c r="F229" s="23">
        <v>41548.0</v>
      </c>
      <c r="G229" s="22">
        <v>231.0</v>
      </c>
      <c r="H229" s="1">
        <f t="shared" si="3"/>
        <v>23.1</v>
      </c>
      <c r="I229" s="1">
        <f t="shared" si="4"/>
        <v>22.3</v>
      </c>
      <c r="J229" s="1">
        <f t="shared" si="5"/>
        <v>5.77</v>
      </c>
    </row>
    <row r="230" ht="12.75" customHeight="1">
      <c r="A230" s="29">
        <v>41548.0</v>
      </c>
      <c r="B230" s="26">
        <v>16.19</v>
      </c>
      <c r="C230" s="23">
        <v>41518.0</v>
      </c>
      <c r="D230" s="22">
        <v>203.0</v>
      </c>
      <c r="E230" s="1">
        <f t="shared" si="2"/>
        <v>20.3</v>
      </c>
      <c r="F230" s="23">
        <v>41518.0</v>
      </c>
      <c r="G230" s="22">
        <v>228.0</v>
      </c>
      <c r="H230" s="1">
        <f t="shared" si="3"/>
        <v>22.8</v>
      </c>
      <c r="I230" s="1">
        <f t="shared" si="4"/>
        <v>21.55</v>
      </c>
      <c r="J230" s="1">
        <f t="shared" si="5"/>
        <v>5.36</v>
      </c>
    </row>
    <row r="231" ht="12.75" customHeight="1">
      <c r="A231" s="27">
        <v>41518.0</v>
      </c>
      <c r="B231" s="26">
        <v>16.99</v>
      </c>
      <c r="C231" s="23">
        <v>41487.0</v>
      </c>
      <c r="D231" s="22">
        <v>203.0</v>
      </c>
      <c r="E231" s="1">
        <f t="shared" si="2"/>
        <v>20.3</v>
      </c>
      <c r="F231" s="23">
        <v>41487.0</v>
      </c>
      <c r="G231" s="22">
        <v>228.0</v>
      </c>
      <c r="H231" s="1">
        <f t="shared" si="3"/>
        <v>22.8</v>
      </c>
      <c r="I231" s="1">
        <f t="shared" si="4"/>
        <v>21.55</v>
      </c>
      <c r="J231" s="1">
        <f t="shared" si="5"/>
        <v>4.56</v>
      </c>
    </row>
    <row r="232" ht="12.75" customHeight="1">
      <c r="A232" s="27">
        <v>41487.0</v>
      </c>
      <c r="B232" s="26">
        <v>16.32</v>
      </c>
      <c r="C232" s="23">
        <v>41456.0</v>
      </c>
      <c r="D232" s="22">
        <v>203.0</v>
      </c>
      <c r="E232" s="1">
        <f t="shared" si="2"/>
        <v>20.3</v>
      </c>
      <c r="F232" s="23">
        <v>41456.0</v>
      </c>
      <c r="G232" s="22">
        <v>228.0</v>
      </c>
      <c r="H232" s="1">
        <f t="shared" si="3"/>
        <v>22.8</v>
      </c>
      <c r="I232" s="1">
        <f t="shared" si="4"/>
        <v>21.55</v>
      </c>
      <c r="J232" s="1">
        <f t="shared" si="5"/>
        <v>5.23</v>
      </c>
    </row>
    <row r="233" ht="12.75" customHeight="1">
      <c r="A233" s="27">
        <v>41456.0</v>
      </c>
      <c r="B233" s="26">
        <v>16.83</v>
      </c>
      <c r="C233" s="23">
        <v>41426.0</v>
      </c>
      <c r="D233" s="22">
        <v>203.0</v>
      </c>
      <c r="E233" s="1">
        <f t="shared" si="2"/>
        <v>20.3</v>
      </c>
      <c r="F233" s="23">
        <v>41426.0</v>
      </c>
      <c r="G233" s="22">
        <v>228.0</v>
      </c>
      <c r="H233" s="1">
        <f t="shared" si="3"/>
        <v>22.8</v>
      </c>
      <c r="I233" s="1">
        <f t="shared" si="4"/>
        <v>21.55</v>
      </c>
      <c r="J233" s="1">
        <f t="shared" si="5"/>
        <v>4.72</v>
      </c>
    </row>
    <row r="234" ht="12.75" customHeight="1">
      <c r="A234" s="27">
        <v>41426.0</v>
      </c>
      <c r="B234" s="26">
        <v>17.13</v>
      </c>
      <c r="C234" s="23">
        <v>41395.0</v>
      </c>
      <c r="D234" s="22">
        <v>216.0</v>
      </c>
      <c r="E234" s="1">
        <f t="shared" si="2"/>
        <v>21.6</v>
      </c>
      <c r="F234" s="23">
        <v>41395.0</v>
      </c>
      <c r="G234" s="22">
        <v>228.0</v>
      </c>
      <c r="H234" s="1">
        <f t="shared" si="3"/>
        <v>22.8</v>
      </c>
      <c r="I234" s="1">
        <f t="shared" si="4"/>
        <v>22.2</v>
      </c>
      <c r="J234" s="1">
        <f t="shared" si="5"/>
        <v>5.07</v>
      </c>
    </row>
    <row r="235" ht="12.75" customHeight="1">
      <c r="A235" s="27">
        <v>41395.0</v>
      </c>
      <c r="B235" s="26">
        <v>15.92</v>
      </c>
      <c r="C235" s="23">
        <v>41365.0</v>
      </c>
      <c r="D235" s="22">
        <v>216.0</v>
      </c>
      <c r="E235" s="1">
        <f t="shared" si="2"/>
        <v>21.6</v>
      </c>
      <c r="F235" s="23">
        <v>41365.0</v>
      </c>
      <c r="G235" s="22">
        <v>212.0</v>
      </c>
      <c r="H235" s="1">
        <f t="shared" si="3"/>
        <v>21.2</v>
      </c>
      <c r="I235" s="1">
        <f t="shared" si="4"/>
        <v>21.4</v>
      </c>
      <c r="J235" s="1">
        <f t="shared" si="5"/>
        <v>5.48</v>
      </c>
    </row>
    <row r="236" ht="12.75" customHeight="1">
      <c r="A236" s="27">
        <v>41365.0</v>
      </c>
      <c r="B236" s="26">
        <v>15.28</v>
      </c>
      <c r="C236" s="23">
        <v>41334.0</v>
      </c>
      <c r="D236" s="22">
        <v>232.0</v>
      </c>
      <c r="E236" s="1">
        <f t="shared" si="2"/>
        <v>23.2</v>
      </c>
      <c r="F236" s="23">
        <v>41334.0</v>
      </c>
      <c r="G236" s="22">
        <v>212.0</v>
      </c>
      <c r="H236" s="1">
        <f t="shared" si="3"/>
        <v>21.2</v>
      </c>
      <c r="I236" s="1">
        <f t="shared" si="4"/>
        <v>22.2</v>
      </c>
      <c r="J236" s="1">
        <f t="shared" si="5"/>
        <v>6.92</v>
      </c>
    </row>
    <row r="237" ht="12.75" customHeight="1">
      <c r="A237" s="27">
        <v>41334.0</v>
      </c>
      <c r="B237" s="26">
        <v>15.25</v>
      </c>
      <c r="C237" s="23">
        <v>41306.0</v>
      </c>
      <c r="D237" s="22">
        <v>232.0</v>
      </c>
      <c r="E237" s="1">
        <f t="shared" si="2"/>
        <v>23.2</v>
      </c>
      <c r="F237" s="23">
        <v>41306.0</v>
      </c>
      <c r="G237" s="22">
        <v>212.0</v>
      </c>
      <c r="H237" s="1">
        <f t="shared" si="3"/>
        <v>21.2</v>
      </c>
      <c r="I237" s="1">
        <f t="shared" si="4"/>
        <v>22.2</v>
      </c>
      <c r="J237" s="1">
        <f t="shared" si="5"/>
        <v>6.95</v>
      </c>
    </row>
    <row r="238" ht="12.75" customHeight="1">
      <c r="A238" s="27">
        <v>41306.0</v>
      </c>
      <c r="B238" s="26">
        <v>15.31</v>
      </c>
      <c r="C238" s="23">
        <v>41275.0</v>
      </c>
      <c r="D238" s="22">
        <v>232.0</v>
      </c>
      <c r="E238" s="1">
        <f t="shared" si="2"/>
        <v>23.2</v>
      </c>
      <c r="F238" s="23">
        <v>41275.0</v>
      </c>
      <c r="G238" s="22">
        <v>212.0</v>
      </c>
      <c r="H238" s="1">
        <f t="shared" si="3"/>
        <v>21.2</v>
      </c>
      <c r="I238" s="1">
        <f t="shared" si="4"/>
        <v>22.2</v>
      </c>
      <c r="J238" s="1">
        <f t="shared" si="5"/>
        <v>6.89</v>
      </c>
    </row>
    <row r="239" ht="12.75" customHeight="1">
      <c r="A239" s="27">
        <v>41275.0</v>
      </c>
      <c r="B239" s="26">
        <v>16.16</v>
      </c>
      <c r="C239" s="23">
        <v>41244.0</v>
      </c>
      <c r="D239" s="22">
        <v>211.0</v>
      </c>
      <c r="E239" s="1">
        <f t="shared" si="2"/>
        <v>21.1</v>
      </c>
      <c r="F239" s="23">
        <v>41244.0</v>
      </c>
      <c r="G239" s="22">
        <v>207.0</v>
      </c>
      <c r="H239" s="1">
        <f t="shared" si="3"/>
        <v>20.7</v>
      </c>
      <c r="I239" s="1">
        <f t="shared" si="4"/>
        <v>20.9</v>
      </c>
      <c r="J239" s="1">
        <f t="shared" si="5"/>
        <v>4.74</v>
      </c>
    </row>
    <row r="240" ht="12.75" customHeight="1">
      <c r="A240" s="29">
        <v>41244.0</v>
      </c>
      <c r="B240" s="26">
        <v>15.49</v>
      </c>
      <c r="C240" s="23">
        <v>41214.0</v>
      </c>
      <c r="D240" s="22">
        <v>211.0</v>
      </c>
      <c r="E240" s="1">
        <f t="shared" si="2"/>
        <v>21.1</v>
      </c>
      <c r="F240" s="23">
        <v>41214.0</v>
      </c>
      <c r="G240" s="22">
        <v>207.0</v>
      </c>
      <c r="H240" s="1">
        <f t="shared" si="3"/>
        <v>20.7</v>
      </c>
      <c r="I240" s="1">
        <f t="shared" si="4"/>
        <v>20.9</v>
      </c>
      <c r="J240" s="1">
        <f t="shared" si="5"/>
        <v>5.41</v>
      </c>
    </row>
    <row r="241" ht="12.75" customHeight="1">
      <c r="A241" s="29">
        <v>41214.0</v>
      </c>
      <c r="B241" s="26">
        <v>14.88</v>
      </c>
      <c r="C241" s="23">
        <v>41183.0</v>
      </c>
      <c r="D241" s="22">
        <v>211.0</v>
      </c>
      <c r="E241" s="1">
        <f t="shared" si="2"/>
        <v>21.1</v>
      </c>
      <c r="F241" s="23">
        <v>41183.0</v>
      </c>
      <c r="G241" s="22">
        <v>218.0</v>
      </c>
      <c r="H241" s="1">
        <f t="shared" si="3"/>
        <v>21.8</v>
      </c>
      <c r="I241" s="1">
        <f t="shared" si="4"/>
        <v>21.45</v>
      </c>
      <c r="J241" s="1">
        <f t="shared" si="5"/>
        <v>6.57</v>
      </c>
    </row>
    <row r="242" ht="12.75" customHeight="1">
      <c r="A242" s="29">
        <v>41183.0</v>
      </c>
      <c r="B242" s="26">
        <v>14.22</v>
      </c>
      <c r="C242" s="23">
        <v>41153.0</v>
      </c>
      <c r="D242" s="22">
        <v>193.0</v>
      </c>
      <c r="E242" s="1">
        <f t="shared" si="2"/>
        <v>19.3</v>
      </c>
      <c r="F242" s="23">
        <v>41153.0</v>
      </c>
      <c r="G242" s="22">
        <v>218.0</v>
      </c>
      <c r="H242" s="1">
        <f t="shared" si="3"/>
        <v>21.8</v>
      </c>
      <c r="I242" s="1">
        <f t="shared" si="4"/>
        <v>20.55</v>
      </c>
      <c r="J242" s="1">
        <f t="shared" si="5"/>
        <v>6.33</v>
      </c>
    </row>
    <row r="243" ht="12.75" customHeight="1">
      <c r="A243" s="27">
        <v>41153.0</v>
      </c>
      <c r="B243" s="26">
        <v>16.82</v>
      </c>
      <c r="C243" s="23">
        <v>41122.0</v>
      </c>
      <c r="D243" s="22">
        <v>193.0</v>
      </c>
      <c r="E243" s="1">
        <f t="shared" si="2"/>
        <v>19.3</v>
      </c>
      <c r="F243" s="23">
        <v>41122.0</v>
      </c>
      <c r="G243" s="22">
        <v>218.0</v>
      </c>
      <c r="H243" s="1">
        <f t="shared" si="3"/>
        <v>21.8</v>
      </c>
      <c r="I243" s="1">
        <f t="shared" si="4"/>
        <v>20.55</v>
      </c>
      <c r="J243" s="1">
        <f t="shared" si="5"/>
        <v>3.73</v>
      </c>
    </row>
    <row r="244" ht="12.75" customHeight="1">
      <c r="A244" s="27">
        <v>41122.0</v>
      </c>
      <c r="B244" s="26">
        <v>16.46</v>
      </c>
      <c r="C244" s="23">
        <v>41091.0</v>
      </c>
      <c r="D244" s="22">
        <v>193.0</v>
      </c>
      <c r="E244" s="1">
        <f t="shared" si="2"/>
        <v>19.3</v>
      </c>
      <c r="F244" s="23">
        <v>41091.0</v>
      </c>
      <c r="G244" s="22">
        <v>218.0</v>
      </c>
      <c r="H244" s="1">
        <f t="shared" si="3"/>
        <v>21.8</v>
      </c>
      <c r="I244" s="1">
        <f t="shared" si="4"/>
        <v>20.55</v>
      </c>
      <c r="J244" s="1">
        <f t="shared" si="5"/>
        <v>4.09</v>
      </c>
    </row>
    <row r="245" ht="12.75" customHeight="1">
      <c r="A245" s="27">
        <v>41091.0</v>
      </c>
      <c r="B245" s="26">
        <v>15.22</v>
      </c>
      <c r="C245" s="23">
        <v>41061.0</v>
      </c>
      <c r="D245" s="22">
        <v>193.0</v>
      </c>
      <c r="E245" s="1">
        <f t="shared" si="2"/>
        <v>19.3</v>
      </c>
      <c r="F245" s="23">
        <v>41061.0</v>
      </c>
      <c r="G245" s="22">
        <v>220.0</v>
      </c>
      <c r="H245" s="1">
        <f t="shared" si="3"/>
        <v>22</v>
      </c>
      <c r="I245" s="1">
        <f t="shared" si="4"/>
        <v>20.65</v>
      </c>
      <c r="J245" s="1">
        <f t="shared" si="5"/>
        <v>5.43</v>
      </c>
    </row>
    <row r="246" ht="12.75" customHeight="1">
      <c r="A246" s="27">
        <v>41061.0</v>
      </c>
      <c r="B246" s="26">
        <v>15.92</v>
      </c>
      <c r="C246" s="23">
        <v>41030.0</v>
      </c>
      <c r="D246" s="22">
        <v>204.0</v>
      </c>
      <c r="E246" s="1">
        <f t="shared" si="2"/>
        <v>20.4</v>
      </c>
      <c r="F246" s="23">
        <v>41030.0</v>
      </c>
      <c r="G246" s="22">
        <v>220.0</v>
      </c>
      <c r="H246" s="1">
        <f t="shared" si="3"/>
        <v>22</v>
      </c>
      <c r="I246" s="1">
        <f t="shared" si="4"/>
        <v>21.2</v>
      </c>
      <c r="J246" s="1">
        <f t="shared" si="5"/>
        <v>5.28</v>
      </c>
    </row>
    <row r="247" ht="12.75" customHeight="1">
      <c r="A247" s="27">
        <v>41030.0</v>
      </c>
      <c r="B247" s="26">
        <v>15.02</v>
      </c>
      <c r="C247" s="23">
        <v>41000.0</v>
      </c>
      <c r="D247" s="22">
        <v>204.0</v>
      </c>
      <c r="E247" s="1">
        <f t="shared" si="2"/>
        <v>20.4</v>
      </c>
      <c r="F247" s="23">
        <v>41000.0</v>
      </c>
      <c r="G247" s="22">
        <v>209.0</v>
      </c>
      <c r="H247" s="1">
        <f t="shared" si="3"/>
        <v>20.9</v>
      </c>
      <c r="I247" s="1">
        <f t="shared" si="4"/>
        <v>20.65</v>
      </c>
      <c r="J247" s="1">
        <f t="shared" si="5"/>
        <v>5.63</v>
      </c>
    </row>
    <row r="248" ht="12.75" customHeight="1">
      <c r="A248" s="27">
        <v>41000.0</v>
      </c>
      <c r="B248" s="26">
        <v>14.66</v>
      </c>
      <c r="C248" s="23">
        <v>40969.0</v>
      </c>
      <c r="D248" s="22">
        <v>204.0</v>
      </c>
      <c r="E248" s="1">
        <f t="shared" si="2"/>
        <v>20.4</v>
      </c>
      <c r="F248" s="23">
        <v>40969.0</v>
      </c>
      <c r="G248" s="22">
        <v>209.0</v>
      </c>
      <c r="H248" s="1">
        <f t="shared" si="3"/>
        <v>20.9</v>
      </c>
      <c r="I248" s="1">
        <f t="shared" si="4"/>
        <v>20.65</v>
      </c>
      <c r="J248" s="1">
        <f t="shared" si="5"/>
        <v>5.99</v>
      </c>
    </row>
    <row r="249" ht="12.75" customHeight="1">
      <c r="A249" s="27">
        <v>40969.0</v>
      </c>
      <c r="B249" s="26">
        <v>14.7</v>
      </c>
      <c r="C249" s="23">
        <v>40940.0</v>
      </c>
      <c r="D249" s="22">
        <v>204.0</v>
      </c>
      <c r="E249" s="1">
        <f t="shared" si="2"/>
        <v>20.4</v>
      </c>
      <c r="F249" s="23">
        <v>40940.0</v>
      </c>
      <c r="G249" s="22">
        <v>207.0</v>
      </c>
      <c r="H249" s="1">
        <f t="shared" si="3"/>
        <v>20.7</v>
      </c>
      <c r="I249" s="1">
        <f t="shared" si="4"/>
        <v>20.55</v>
      </c>
      <c r="J249" s="1">
        <f t="shared" si="5"/>
        <v>5.85</v>
      </c>
    </row>
    <row r="250" ht="12.75" customHeight="1">
      <c r="A250" s="27">
        <v>40940.0</v>
      </c>
      <c r="B250" s="26">
        <v>14.56</v>
      </c>
      <c r="C250" s="23">
        <v>40909.0</v>
      </c>
      <c r="D250" s="22">
        <v>204.0</v>
      </c>
      <c r="E250" s="1">
        <f t="shared" si="2"/>
        <v>20.4</v>
      </c>
      <c r="F250" s="23">
        <v>40909.0</v>
      </c>
      <c r="G250" s="22">
        <v>207.0</v>
      </c>
      <c r="H250" s="1">
        <f t="shared" si="3"/>
        <v>20.7</v>
      </c>
      <c r="I250" s="1">
        <f t="shared" si="4"/>
        <v>20.55</v>
      </c>
      <c r="J250" s="1">
        <f t="shared" si="5"/>
        <v>5.99</v>
      </c>
    </row>
    <row r="251" ht="12.75" customHeight="1">
      <c r="A251" s="27">
        <v>40909.0</v>
      </c>
      <c r="B251" s="26">
        <v>15.29</v>
      </c>
      <c r="C251" s="23">
        <v>40878.0</v>
      </c>
      <c r="D251" s="22">
        <v>204.0</v>
      </c>
      <c r="E251" s="1">
        <f t="shared" si="2"/>
        <v>20.4</v>
      </c>
      <c r="F251" s="23">
        <v>40878.0</v>
      </c>
      <c r="G251" s="22">
        <v>203.0</v>
      </c>
      <c r="H251" s="1">
        <f t="shared" si="3"/>
        <v>20.3</v>
      </c>
      <c r="I251" s="1">
        <f t="shared" si="4"/>
        <v>20.35</v>
      </c>
      <c r="J251" s="1">
        <f t="shared" si="5"/>
        <v>5.06</v>
      </c>
    </row>
    <row r="252" ht="12.75" customHeight="1">
      <c r="A252" s="29">
        <v>40878.0</v>
      </c>
      <c r="B252" s="26">
        <v>14.78</v>
      </c>
      <c r="C252" s="23">
        <v>40848.0</v>
      </c>
      <c r="D252" s="22">
        <v>204.0</v>
      </c>
      <c r="E252" s="1">
        <f t="shared" si="2"/>
        <v>20.4</v>
      </c>
      <c r="F252" s="23">
        <v>40848.0</v>
      </c>
      <c r="G252" s="22">
        <v>203.0</v>
      </c>
      <c r="H252" s="1">
        <f t="shared" si="3"/>
        <v>20.3</v>
      </c>
      <c r="I252" s="1">
        <f t="shared" si="4"/>
        <v>20.35</v>
      </c>
      <c r="J252" s="1">
        <f t="shared" si="5"/>
        <v>5.57</v>
      </c>
    </row>
    <row r="253" ht="12.75" customHeight="1">
      <c r="A253" s="29">
        <v>40848.0</v>
      </c>
      <c r="B253" s="26">
        <v>14.87</v>
      </c>
      <c r="C253" s="23">
        <v>40817.0</v>
      </c>
      <c r="D253" s="22">
        <v>199.0</v>
      </c>
      <c r="E253" s="1">
        <f t="shared" si="2"/>
        <v>19.9</v>
      </c>
      <c r="F253" s="23">
        <v>40817.0</v>
      </c>
      <c r="G253" s="22">
        <v>216.0</v>
      </c>
      <c r="H253" s="1">
        <f t="shared" si="3"/>
        <v>21.6</v>
      </c>
      <c r="I253" s="1">
        <f t="shared" si="4"/>
        <v>20.75</v>
      </c>
      <c r="J253" s="1">
        <f t="shared" si="5"/>
        <v>5.88</v>
      </c>
    </row>
    <row r="254" ht="12.75" customHeight="1">
      <c r="A254" s="29">
        <v>40817.0</v>
      </c>
      <c r="B254" s="26">
        <v>14.16</v>
      </c>
      <c r="C254" s="23">
        <v>40787.0</v>
      </c>
      <c r="D254" s="22">
        <v>186.0</v>
      </c>
      <c r="E254" s="1">
        <f t="shared" si="2"/>
        <v>18.6</v>
      </c>
      <c r="F254" s="23">
        <v>40787.0</v>
      </c>
      <c r="G254" s="22">
        <v>216.0</v>
      </c>
      <c r="H254" s="1">
        <f t="shared" si="3"/>
        <v>21.6</v>
      </c>
      <c r="I254" s="1">
        <f t="shared" si="4"/>
        <v>20.1</v>
      </c>
      <c r="J254" s="1">
        <f t="shared" si="5"/>
        <v>5.94</v>
      </c>
    </row>
    <row r="255" ht="12.75" customHeight="1">
      <c r="A255" s="27">
        <v>40787.0</v>
      </c>
      <c r="B255" s="26">
        <v>14.8</v>
      </c>
      <c r="C255" s="23">
        <v>40756.0</v>
      </c>
      <c r="D255" s="22">
        <v>186.0</v>
      </c>
      <c r="E255" s="1">
        <f t="shared" si="2"/>
        <v>18.6</v>
      </c>
      <c r="F255" s="23">
        <v>40756.0</v>
      </c>
      <c r="G255" s="22">
        <v>216.0</v>
      </c>
      <c r="H255" s="1">
        <f t="shared" si="3"/>
        <v>21.6</v>
      </c>
      <c r="I255" s="1">
        <f t="shared" si="4"/>
        <v>20.1</v>
      </c>
      <c r="J255" s="1">
        <f t="shared" si="5"/>
        <v>5.3</v>
      </c>
    </row>
    <row r="256" ht="12.75" customHeight="1">
      <c r="A256" s="27">
        <v>40756.0</v>
      </c>
      <c r="B256" s="26">
        <v>15.15</v>
      </c>
      <c r="C256" s="23">
        <v>40725.0</v>
      </c>
      <c r="D256" s="22">
        <v>185.0</v>
      </c>
      <c r="E256" s="1">
        <f t="shared" si="2"/>
        <v>18.5</v>
      </c>
      <c r="F256" s="23">
        <v>40725.0</v>
      </c>
      <c r="G256" s="22">
        <v>216.0</v>
      </c>
      <c r="H256" s="1">
        <f t="shared" si="3"/>
        <v>21.6</v>
      </c>
      <c r="I256" s="1">
        <f t="shared" si="4"/>
        <v>20.05</v>
      </c>
      <c r="J256" s="1">
        <f t="shared" si="5"/>
        <v>4.9</v>
      </c>
    </row>
    <row r="257" ht="12.75" customHeight="1">
      <c r="A257" s="27">
        <v>40725.0</v>
      </c>
      <c r="B257" s="26">
        <v>15.7</v>
      </c>
      <c r="C257" s="23">
        <v>40695.0</v>
      </c>
      <c r="D257" s="22">
        <v>184.0</v>
      </c>
      <c r="E257" s="1">
        <f t="shared" si="2"/>
        <v>18.4</v>
      </c>
      <c r="F257" s="23">
        <v>40695.0</v>
      </c>
      <c r="G257" s="22">
        <v>226.0</v>
      </c>
      <c r="H257" s="1">
        <f t="shared" si="3"/>
        <v>22.6</v>
      </c>
      <c r="I257" s="1">
        <f t="shared" si="4"/>
        <v>20.5</v>
      </c>
      <c r="J257" s="1">
        <f t="shared" si="5"/>
        <v>4.8</v>
      </c>
    </row>
    <row r="258" ht="12.75" customHeight="1">
      <c r="A258" s="27">
        <v>40695.0</v>
      </c>
      <c r="B258" s="26">
        <v>14.81</v>
      </c>
      <c r="C258" s="23">
        <v>40664.0</v>
      </c>
      <c r="D258" s="22">
        <v>206.0</v>
      </c>
      <c r="E258" s="1">
        <f t="shared" si="2"/>
        <v>20.6</v>
      </c>
      <c r="F258" s="23">
        <v>40664.0</v>
      </c>
      <c r="G258" s="22">
        <v>226.0</v>
      </c>
      <c r="H258" s="1">
        <f t="shared" si="3"/>
        <v>22.6</v>
      </c>
      <c r="I258" s="1">
        <f t="shared" si="4"/>
        <v>21.6</v>
      </c>
      <c r="J258" s="1">
        <f t="shared" si="5"/>
        <v>6.79</v>
      </c>
    </row>
    <row r="259" ht="12.75" customHeight="1">
      <c r="A259" s="27">
        <v>40664.0</v>
      </c>
      <c r="B259" s="26">
        <v>14.62</v>
      </c>
      <c r="C259" s="23">
        <v>40634.0</v>
      </c>
      <c r="D259" s="22">
        <v>206.0</v>
      </c>
      <c r="E259" s="1">
        <f t="shared" si="2"/>
        <v>20.6</v>
      </c>
      <c r="F259" s="23">
        <v>40634.0</v>
      </c>
      <c r="G259" s="22">
        <v>211.0</v>
      </c>
      <c r="H259" s="1">
        <f t="shared" si="3"/>
        <v>21.1</v>
      </c>
      <c r="I259" s="1">
        <f t="shared" si="4"/>
        <v>20.85</v>
      </c>
      <c r="J259" s="1">
        <f t="shared" si="5"/>
        <v>6.23</v>
      </c>
    </row>
    <row r="260" ht="12.75" customHeight="1">
      <c r="A260" s="27">
        <v>40634.0</v>
      </c>
      <c r="B260" s="26">
        <v>14.12</v>
      </c>
      <c r="C260" s="23">
        <v>40603.0</v>
      </c>
      <c r="D260" s="22">
        <v>207.0</v>
      </c>
      <c r="E260" s="1">
        <f t="shared" si="2"/>
        <v>20.7</v>
      </c>
      <c r="F260" s="23">
        <v>40603.0</v>
      </c>
      <c r="G260" s="22">
        <v>211.0</v>
      </c>
      <c r="H260" s="1">
        <f t="shared" si="3"/>
        <v>21.1</v>
      </c>
      <c r="I260" s="1">
        <f t="shared" si="4"/>
        <v>20.9</v>
      </c>
      <c r="J260" s="1">
        <f t="shared" si="5"/>
        <v>6.78</v>
      </c>
    </row>
    <row r="261" ht="12.75" customHeight="1">
      <c r="A261" s="27">
        <v>40603.0</v>
      </c>
      <c r="B261" s="26">
        <v>14.27</v>
      </c>
      <c r="C261" s="23">
        <v>40575.0</v>
      </c>
      <c r="D261" s="22">
        <v>206.0</v>
      </c>
      <c r="E261" s="1">
        <f t="shared" si="2"/>
        <v>20.6</v>
      </c>
      <c r="F261" s="23">
        <v>40575.0</v>
      </c>
      <c r="G261" s="22">
        <v>206.0</v>
      </c>
      <c r="H261" s="1">
        <f t="shared" si="3"/>
        <v>20.6</v>
      </c>
      <c r="I261" s="1">
        <f t="shared" si="4"/>
        <v>20.6</v>
      </c>
      <c r="J261" s="1">
        <f t="shared" si="5"/>
        <v>6.33</v>
      </c>
    </row>
    <row r="262" ht="12.75" customHeight="1">
      <c r="A262" s="27">
        <v>40575.0</v>
      </c>
      <c r="B262" s="26">
        <v>14.38</v>
      </c>
      <c r="C262" s="23">
        <v>40544.0</v>
      </c>
      <c r="D262" s="22">
        <v>206.0</v>
      </c>
      <c r="E262" s="1">
        <f t="shared" si="2"/>
        <v>20.6</v>
      </c>
      <c r="F262" s="23">
        <v>40544.0</v>
      </c>
      <c r="G262" s="22">
        <v>206.0</v>
      </c>
      <c r="H262" s="1">
        <f t="shared" si="3"/>
        <v>20.6</v>
      </c>
      <c r="I262" s="1">
        <f t="shared" si="4"/>
        <v>20.6</v>
      </c>
      <c r="J262" s="1">
        <f t="shared" si="5"/>
        <v>6.22</v>
      </c>
    </row>
    <row r="263" ht="12.75" customHeight="1">
      <c r="A263" s="27">
        <v>40544.0</v>
      </c>
      <c r="B263" s="26">
        <v>15.24</v>
      </c>
      <c r="C263" s="23">
        <v>40513.0</v>
      </c>
      <c r="D263" s="22">
        <v>203.0</v>
      </c>
      <c r="E263" s="1">
        <f t="shared" si="2"/>
        <v>20.3</v>
      </c>
      <c r="F263" s="23">
        <v>40513.0</v>
      </c>
      <c r="G263" s="22">
        <v>208.0</v>
      </c>
      <c r="H263" s="1">
        <f t="shared" si="3"/>
        <v>20.8</v>
      </c>
      <c r="I263" s="1">
        <f t="shared" si="4"/>
        <v>20.55</v>
      </c>
      <c r="J263" s="1">
        <f t="shared" si="5"/>
        <v>5.31</v>
      </c>
    </row>
    <row r="264" ht="12.75" customHeight="1">
      <c r="A264" s="29">
        <v>40513.0</v>
      </c>
      <c r="B264" s="26">
        <v>14.96</v>
      </c>
      <c r="C264" s="23">
        <v>40483.0</v>
      </c>
      <c r="D264" s="22">
        <v>202.0</v>
      </c>
      <c r="E264" s="1">
        <f t="shared" si="2"/>
        <v>20.2</v>
      </c>
      <c r="F264" s="23">
        <v>40483.0</v>
      </c>
      <c r="G264" s="22">
        <v>208.0</v>
      </c>
      <c r="H264" s="1">
        <f t="shared" si="3"/>
        <v>20.8</v>
      </c>
      <c r="I264" s="1">
        <f t="shared" si="4"/>
        <v>20.5</v>
      </c>
      <c r="J264" s="1">
        <f t="shared" si="5"/>
        <v>5.54</v>
      </c>
    </row>
    <row r="265" ht="12.75" customHeight="1">
      <c r="A265" s="29">
        <v>40483.0</v>
      </c>
      <c r="B265" s="26">
        <v>14.67</v>
      </c>
      <c r="C265" s="23">
        <v>40452.0</v>
      </c>
      <c r="D265" s="22">
        <v>205.0</v>
      </c>
      <c r="E265" s="1">
        <f t="shared" si="2"/>
        <v>20.5</v>
      </c>
      <c r="F265" s="23">
        <v>40452.0</v>
      </c>
      <c r="G265" s="22">
        <v>222.0</v>
      </c>
      <c r="H265" s="1">
        <f t="shared" si="3"/>
        <v>22.2</v>
      </c>
      <c r="I265" s="1">
        <f t="shared" si="4"/>
        <v>21.35</v>
      </c>
      <c r="J265" s="1">
        <f t="shared" si="5"/>
        <v>6.68</v>
      </c>
    </row>
    <row r="266" ht="12.75" customHeight="1">
      <c r="A266" s="29">
        <v>40452.0</v>
      </c>
      <c r="B266" s="26">
        <v>14.11</v>
      </c>
      <c r="C266" s="23">
        <v>40422.0</v>
      </c>
      <c r="D266" s="22">
        <v>191.0</v>
      </c>
      <c r="E266" s="1">
        <f t="shared" si="2"/>
        <v>19.1</v>
      </c>
      <c r="F266" s="23">
        <v>40422.0</v>
      </c>
      <c r="G266" s="22">
        <v>222.0</v>
      </c>
      <c r="H266" s="1">
        <f t="shared" si="3"/>
        <v>22.2</v>
      </c>
      <c r="I266" s="1">
        <f t="shared" si="4"/>
        <v>20.65</v>
      </c>
      <c r="J266" s="1">
        <f t="shared" si="5"/>
        <v>6.54</v>
      </c>
    </row>
    <row r="267" ht="12.75" customHeight="1">
      <c r="A267" s="27">
        <v>40422.0</v>
      </c>
      <c r="B267" s="26">
        <v>14.85</v>
      </c>
      <c r="C267" s="23">
        <v>40391.0</v>
      </c>
      <c r="D267" s="22">
        <v>190.0</v>
      </c>
      <c r="E267" s="1">
        <f t="shared" si="2"/>
        <v>19</v>
      </c>
      <c r="F267" s="23">
        <v>40391.0</v>
      </c>
      <c r="G267" s="22">
        <v>222.0</v>
      </c>
      <c r="H267" s="1">
        <f t="shared" si="3"/>
        <v>22.2</v>
      </c>
      <c r="I267" s="1">
        <f t="shared" si="4"/>
        <v>20.6</v>
      </c>
      <c r="J267" s="1">
        <f t="shared" si="5"/>
        <v>5.75</v>
      </c>
    </row>
    <row r="268" ht="12.75" customHeight="1">
      <c r="A268" s="27">
        <v>40391.0</v>
      </c>
      <c r="B268" s="26">
        <v>15.19</v>
      </c>
      <c r="C268" s="23">
        <v>40360.0</v>
      </c>
      <c r="D268" s="22">
        <v>192.0</v>
      </c>
      <c r="E268" s="1">
        <f t="shared" si="2"/>
        <v>19.2</v>
      </c>
      <c r="F268" s="23">
        <v>40360.0</v>
      </c>
      <c r="G268" s="22">
        <v>222.0</v>
      </c>
      <c r="H268" s="1">
        <f t="shared" si="3"/>
        <v>22.2</v>
      </c>
      <c r="I268" s="1">
        <f t="shared" si="4"/>
        <v>20.7</v>
      </c>
      <c r="J268" s="1">
        <f t="shared" si="5"/>
        <v>5.51</v>
      </c>
    </row>
    <row r="269" ht="12.75" customHeight="1">
      <c r="A269" s="27">
        <v>40360.0</v>
      </c>
      <c r="B269" s="26">
        <v>15.03</v>
      </c>
      <c r="C269" s="23">
        <v>40330.0</v>
      </c>
      <c r="D269" s="22">
        <v>190.0</v>
      </c>
      <c r="E269" s="1">
        <f t="shared" si="2"/>
        <v>19</v>
      </c>
      <c r="F269" s="23">
        <v>40330.0</v>
      </c>
      <c r="G269" s="22">
        <v>222.0</v>
      </c>
      <c r="H269" s="1">
        <f t="shared" si="3"/>
        <v>22.2</v>
      </c>
      <c r="I269" s="1">
        <f t="shared" si="4"/>
        <v>20.6</v>
      </c>
      <c r="J269" s="1">
        <f t="shared" si="5"/>
        <v>5.57</v>
      </c>
    </row>
    <row r="270" ht="12.75" customHeight="1">
      <c r="A270" s="27">
        <v>40330.0</v>
      </c>
      <c r="B270" s="26">
        <v>15.0</v>
      </c>
      <c r="C270" s="23">
        <v>40299.0</v>
      </c>
      <c r="D270" s="22">
        <v>203.0</v>
      </c>
      <c r="E270" s="1">
        <f t="shared" si="2"/>
        <v>20.3</v>
      </c>
      <c r="F270" s="23">
        <v>40299.0</v>
      </c>
      <c r="G270" s="22">
        <v>239.0</v>
      </c>
      <c r="H270" s="1">
        <f t="shared" si="3"/>
        <v>23.9</v>
      </c>
      <c r="I270" s="1">
        <f t="shared" si="4"/>
        <v>22.1</v>
      </c>
      <c r="J270" s="1">
        <f t="shared" si="5"/>
        <v>7.1</v>
      </c>
    </row>
    <row r="271" ht="12.75" customHeight="1">
      <c r="A271" s="27">
        <v>40299.0</v>
      </c>
      <c r="B271" s="26">
        <v>14.9</v>
      </c>
      <c r="C271" s="23">
        <v>40269.0</v>
      </c>
      <c r="D271" s="22">
        <v>201.0</v>
      </c>
      <c r="E271" s="1">
        <f t="shared" si="2"/>
        <v>20.1</v>
      </c>
      <c r="F271" s="23">
        <v>40269.0</v>
      </c>
      <c r="G271" s="22">
        <v>218.0</v>
      </c>
      <c r="H271" s="1">
        <f t="shared" si="3"/>
        <v>21.8</v>
      </c>
      <c r="I271" s="1">
        <f t="shared" si="4"/>
        <v>20.95</v>
      </c>
      <c r="J271" s="1">
        <f t="shared" si="5"/>
        <v>6.05</v>
      </c>
    </row>
    <row r="272" ht="12.75" customHeight="1">
      <c r="A272" s="27">
        <v>40269.0</v>
      </c>
      <c r="B272" s="26">
        <v>13.91</v>
      </c>
      <c r="C272" s="23">
        <v>40238.0</v>
      </c>
      <c r="D272" s="22">
        <v>204.0</v>
      </c>
      <c r="E272" s="1">
        <f t="shared" si="2"/>
        <v>20.4</v>
      </c>
      <c r="F272" s="23">
        <v>40238.0</v>
      </c>
      <c r="G272" s="22">
        <v>218.0</v>
      </c>
      <c r="H272" s="1">
        <f t="shared" si="3"/>
        <v>21.8</v>
      </c>
      <c r="I272" s="1">
        <f t="shared" si="4"/>
        <v>21.1</v>
      </c>
      <c r="J272" s="1">
        <f t="shared" si="5"/>
        <v>7.19</v>
      </c>
    </row>
    <row r="273" ht="12.75" customHeight="1">
      <c r="A273" s="27">
        <v>40238.0</v>
      </c>
      <c r="B273" s="26">
        <v>14.78</v>
      </c>
      <c r="C273" s="23">
        <v>40210.0</v>
      </c>
      <c r="D273" s="22">
        <v>188.0</v>
      </c>
      <c r="E273" s="1">
        <f t="shared" si="2"/>
        <v>18.8</v>
      </c>
      <c r="F273" s="23">
        <v>40210.0</v>
      </c>
      <c r="G273" s="22">
        <v>212.0</v>
      </c>
      <c r="H273" s="1">
        <f t="shared" si="3"/>
        <v>21.2</v>
      </c>
      <c r="I273" s="1">
        <f t="shared" si="4"/>
        <v>20</v>
      </c>
      <c r="J273" s="1">
        <f t="shared" si="5"/>
        <v>5.22</v>
      </c>
    </row>
    <row r="274" ht="12.75" customHeight="1">
      <c r="A274" s="27">
        <v>40210.0</v>
      </c>
      <c r="B274" s="26">
        <v>14.21</v>
      </c>
      <c r="C274" s="23">
        <v>40179.0</v>
      </c>
      <c r="D274" s="22">
        <v>187.0</v>
      </c>
      <c r="E274" s="1">
        <f t="shared" si="2"/>
        <v>18.7</v>
      </c>
      <c r="F274" s="23">
        <v>40179.0</v>
      </c>
      <c r="G274" s="22">
        <v>212.0</v>
      </c>
      <c r="H274" s="1">
        <f t="shared" si="3"/>
        <v>21.2</v>
      </c>
      <c r="I274" s="1">
        <f t="shared" si="4"/>
        <v>19.95</v>
      </c>
      <c r="J274" s="1">
        <f t="shared" si="5"/>
        <v>5.74</v>
      </c>
    </row>
    <row r="275" ht="12.75" customHeight="1">
      <c r="A275" s="27">
        <v>40179.0</v>
      </c>
      <c r="B275" s="26">
        <v>15.18</v>
      </c>
      <c r="C275" s="23">
        <v>40148.0</v>
      </c>
      <c r="D275" s="22">
        <v>198.0</v>
      </c>
      <c r="E275" s="1">
        <f t="shared" si="2"/>
        <v>19.8</v>
      </c>
      <c r="F275" s="23">
        <v>40148.0</v>
      </c>
      <c r="G275" s="22">
        <v>202.0</v>
      </c>
      <c r="H275" s="1">
        <f t="shared" si="3"/>
        <v>20.2</v>
      </c>
      <c r="I275" s="1">
        <f t="shared" si="4"/>
        <v>20</v>
      </c>
      <c r="J275" s="1">
        <f t="shared" si="5"/>
        <v>4.82</v>
      </c>
    </row>
    <row r="276" ht="12.75" customHeight="1">
      <c r="A276" s="29">
        <v>40148.0</v>
      </c>
      <c r="B276" s="26">
        <v>14.73</v>
      </c>
      <c r="C276" s="23">
        <v>40118.0</v>
      </c>
      <c r="D276" s="22">
        <v>197.0</v>
      </c>
      <c r="E276" s="1">
        <f t="shared" si="2"/>
        <v>19.7</v>
      </c>
      <c r="F276" s="23">
        <v>40118.0</v>
      </c>
      <c r="G276" s="22">
        <v>202.0</v>
      </c>
      <c r="H276" s="1">
        <f t="shared" si="3"/>
        <v>20.2</v>
      </c>
      <c r="I276" s="1">
        <f t="shared" si="4"/>
        <v>19.95</v>
      </c>
      <c r="J276" s="1">
        <f t="shared" si="5"/>
        <v>5.22</v>
      </c>
    </row>
    <row r="277" ht="12.75" customHeight="1">
      <c r="A277" s="29">
        <v>40118.0</v>
      </c>
      <c r="B277" s="26">
        <v>13.56</v>
      </c>
      <c r="C277" s="23">
        <v>40087.0</v>
      </c>
      <c r="D277" s="22">
        <v>199.0</v>
      </c>
      <c r="E277" s="1">
        <f t="shared" si="2"/>
        <v>19.9</v>
      </c>
      <c r="F277" s="23">
        <v>40087.0</v>
      </c>
      <c r="G277" s="22">
        <v>220.0</v>
      </c>
      <c r="H277" s="1">
        <f t="shared" si="3"/>
        <v>22</v>
      </c>
      <c r="I277" s="1">
        <f t="shared" si="4"/>
        <v>20.95</v>
      </c>
      <c r="J277" s="1">
        <f t="shared" si="5"/>
        <v>7.39</v>
      </c>
    </row>
    <row r="278" ht="12.75" customHeight="1">
      <c r="A278" s="29">
        <v>40087.0</v>
      </c>
      <c r="B278" s="26">
        <v>13.85</v>
      </c>
      <c r="C278" s="23">
        <v>40057.0</v>
      </c>
      <c r="D278" s="22">
        <v>182.0</v>
      </c>
      <c r="E278" s="1">
        <f t="shared" si="2"/>
        <v>18.2</v>
      </c>
      <c r="F278" s="23">
        <v>40057.0</v>
      </c>
      <c r="G278" s="22">
        <v>220.0</v>
      </c>
      <c r="H278" s="1">
        <f t="shared" si="3"/>
        <v>22</v>
      </c>
      <c r="I278" s="1">
        <f t="shared" si="4"/>
        <v>20.1</v>
      </c>
      <c r="J278" s="1">
        <f t="shared" si="5"/>
        <v>6.25</v>
      </c>
    </row>
    <row r="279" ht="12.75" customHeight="1">
      <c r="A279" s="27">
        <v>40057.0</v>
      </c>
      <c r="B279" s="26">
        <v>15.53</v>
      </c>
      <c r="C279" s="23">
        <v>40026.0</v>
      </c>
      <c r="D279" s="22">
        <v>183.0</v>
      </c>
      <c r="E279" s="1">
        <f t="shared" si="2"/>
        <v>18.3</v>
      </c>
      <c r="F279" s="23">
        <v>40026.0</v>
      </c>
      <c r="G279" s="22">
        <v>220.0</v>
      </c>
      <c r="H279" s="1">
        <f t="shared" si="3"/>
        <v>22</v>
      </c>
      <c r="I279" s="1">
        <f t="shared" si="4"/>
        <v>20.15</v>
      </c>
      <c r="J279" s="1">
        <f t="shared" si="5"/>
        <v>4.62</v>
      </c>
    </row>
    <row r="280" ht="12.75" customHeight="1">
      <c r="A280" s="27">
        <v>40026.0</v>
      </c>
      <c r="B280" s="26">
        <v>15.93</v>
      </c>
      <c r="C280" s="23">
        <v>39995.0</v>
      </c>
      <c r="D280" s="22">
        <v>184.0</v>
      </c>
      <c r="E280" s="1">
        <f t="shared" si="2"/>
        <v>18.4</v>
      </c>
      <c r="F280" s="23">
        <v>39995.0</v>
      </c>
      <c r="G280" s="22">
        <v>220.0</v>
      </c>
      <c r="H280" s="1">
        <f t="shared" si="3"/>
        <v>22</v>
      </c>
      <c r="I280" s="1">
        <f t="shared" si="4"/>
        <v>20.2</v>
      </c>
      <c r="J280" s="1">
        <f t="shared" si="5"/>
        <v>4.27</v>
      </c>
    </row>
    <row r="281" ht="12.75" customHeight="1">
      <c r="A281" s="27">
        <v>39995.0</v>
      </c>
      <c r="B281" s="26">
        <v>15.66</v>
      </c>
      <c r="C281" s="23">
        <v>39965.0</v>
      </c>
      <c r="D281" s="22">
        <v>185.0</v>
      </c>
      <c r="E281" s="1">
        <f t="shared" si="2"/>
        <v>18.5</v>
      </c>
      <c r="F281" s="23">
        <v>39965.0</v>
      </c>
      <c r="G281" s="22">
        <v>220.0</v>
      </c>
      <c r="H281" s="1">
        <f t="shared" si="3"/>
        <v>22</v>
      </c>
      <c r="I281" s="1">
        <f t="shared" si="4"/>
        <v>20.25</v>
      </c>
      <c r="J281" s="1">
        <f t="shared" si="5"/>
        <v>4.59</v>
      </c>
    </row>
    <row r="282" ht="12.75" customHeight="1">
      <c r="A282" s="27">
        <v>39965.0</v>
      </c>
      <c r="B282" s="26">
        <v>14.77</v>
      </c>
      <c r="C282" s="23">
        <v>39934.0</v>
      </c>
      <c r="D282" s="22">
        <v>193.0</v>
      </c>
      <c r="E282" s="1">
        <f t="shared" si="2"/>
        <v>19.3</v>
      </c>
      <c r="F282" s="23">
        <v>39934.0</v>
      </c>
      <c r="G282" s="22">
        <v>220.0</v>
      </c>
      <c r="H282" s="1">
        <f t="shared" si="3"/>
        <v>22</v>
      </c>
      <c r="I282" s="1">
        <f t="shared" si="4"/>
        <v>20.65</v>
      </c>
      <c r="J282" s="1">
        <f t="shared" si="5"/>
        <v>5.88</v>
      </c>
    </row>
    <row r="283" ht="12.75" customHeight="1">
      <c r="A283" s="27">
        <v>39934.0</v>
      </c>
      <c r="B283" s="26">
        <v>15.01</v>
      </c>
      <c r="C283" s="23">
        <v>39904.0</v>
      </c>
      <c r="D283" s="22">
        <v>180.0</v>
      </c>
      <c r="E283" s="1">
        <f t="shared" si="2"/>
        <v>18</v>
      </c>
      <c r="F283" s="23">
        <v>39904.0</v>
      </c>
      <c r="G283" s="22">
        <v>202.0</v>
      </c>
      <c r="H283" s="1">
        <f t="shared" si="3"/>
        <v>20.2</v>
      </c>
      <c r="I283" s="1">
        <f t="shared" si="4"/>
        <v>19.1</v>
      </c>
      <c r="J283" s="1">
        <f t="shared" si="5"/>
        <v>4.09</v>
      </c>
    </row>
    <row r="284" ht="12.75" customHeight="1">
      <c r="A284" s="27">
        <v>39904.0</v>
      </c>
      <c r="B284" s="26">
        <v>13.96</v>
      </c>
      <c r="C284" s="23">
        <v>39873.0</v>
      </c>
      <c r="D284" s="22">
        <v>179.0</v>
      </c>
      <c r="E284" s="1">
        <f t="shared" si="2"/>
        <v>17.9</v>
      </c>
      <c r="F284" s="23">
        <v>39873.0</v>
      </c>
      <c r="G284" s="22">
        <v>202.0</v>
      </c>
      <c r="H284" s="1">
        <f t="shared" si="3"/>
        <v>20.2</v>
      </c>
      <c r="I284" s="1">
        <f t="shared" si="4"/>
        <v>19.05</v>
      </c>
      <c r="J284" s="1">
        <f t="shared" si="5"/>
        <v>5.09</v>
      </c>
    </row>
    <row r="285" ht="12.75" customHeight="1">
      <c r="A285" s="27">
        <v>39873.0</v>
      </c>
      <c r="B285" s="26">
        <v>14.14</v>
      </c>
      <c r="C285" s="23">
        <v>39845.0</v>
      </c>
      <c r="D285" s="22">
        <v>179.0</v>
      </c>
      <c r="E285" s="1">
        <f t="shared" si="2"/>
        <v>17.9</v>
      </c>
      <c r="F285" s="23">
        <v>39845.0</v>
      </c>
      <c r="G285" s="22">
        <v>194.0</v>
      </c>
      <c r="H285" s="1">
        <f t="shared" si="3"/>
        <v>19.4</v>
      </c>
      <c r="I285" s="1">
        <f t="shared" si="4"/>
        <v>18.65</v>
      </c>
      <c r="J285" s="1">
        <f t="shared" si="5"/>
        <v>4.51</v>
      </c>
    </row>
    <row r="286" ht="12.75" customHeight="1">
      <c r="A286" s="27">
        <v>39845.0</v>
      </c>
      <c r="B286" s="26">
        <v>14.14</v>
      </c>
      <c r="C286" s="23">
        <v>39814.0</v>
      </c>
      <c r="D286" s="22">
        <v>179.0</v>
      </c>
      <c r="E286" s="1">
        <f t="shared" si="2"/>
        <v>17.9</v>
      </c>
      <c r="F286" s="23">
        <v>39814.0</v>
      </c>
      <c r="G286" s="22">
        <v>194.0</v>
      </c>
      <c r="H286" s="1">
        <f t="shared" si="3"/>
        <v>19.4</v>
      </c>
      <c r="I286" s="1">
        <f t="shared" si="4"/>
        <v>18.65</v>
      </c>
      <c r="J286" s="1">
        <f t="shared" si="5"/>
        <v>4.51</v>
      </c>
    </row>
    <row r="287" ht="12.75" customHeight="1">
      <c r="A287" s="27">
        <v>39814.0</v>
      </c>
      <c r="B287" s="26">
        <v>14.7</v>
      </c>
      <c r="C287" s="23">
        <v>39783.0</v>
      </c>
      <c r="D287" s="22">
        <v>180.0</v>
      </c>
      <c r="E287" s="1">
        <f t="shared" si="2"/>
        <v>18</v>
      </c>
      <c r="F287" s="23">
        <v>39783.0</v>
      </c>
      <c r="G287" s="22">
        <v>194.0</v>
      </c>
      <c r="H287" s="1">
        <f t="shared" si="3"/>
        <v>19.4</v>
      </c>
      <c r="I287" s="1">
        <f t="shared" si="4"/>
        <v>18.7</v>
      </c>
      <c r="J287" s="1">
        <f t="shared" si="5"/>
        <v>4</v>
      </c>
    </row>
    <row r="288" ht="12.75" customHeight="1">
      <c r="A288" s="29">
        <v>39783.0</v>
      </c>
      <c r="B288" s="26">
        <v>13.7</v>
      </c>
      <c r="C288" s="23">
        <v>39753.0</v>
      </c>
      <c r="D288" s="22">
        <v>183.0</v>
      </c>
      <c r="E288" s="1">
        <f t="shared" si="2"/>
        <v>18.3</v>
      </c>
      <c r="F288" s="23">
        <v>39753.0</v>
      </c>
      <c r="G288" s="22">
        <v>194.0</v>
      </c>
      <c r="H288" s="1">
        <f t="shared" si="3"/>
        <v>19.4</v>
      </c>
      <c r="I288" s="1">
        <f t="shared" si="4"/>
        <v>18.85</v>
      </c>
      <c r="J288" s="1">
        <f t="shared" si="5"/>
        <v>5.15</v>
      </c>
    </row>
    <row r="289" ht="12.75" customHeight="1">
      <c r="A289" s="29">
        <v>39753.0</v>
      </c>
      <c r="B289" s="26">
        <v>14.22</v>
      </c>
      <c r="C289" s="23">
        <v>39722.0</v>
      </c>
      <c r="D289" s="22">
        <v>182.0</v>
      </c>
      <c r="E289" s="1">
        <f t="shared" si="2"/>
        <v>18.2</v>
      </c>
      <c r="F289" s="23">
        <v>39722.0</v>
      </c>
      <c r="G289" s="22">
        <v>210.0</v>
      </c>
      <c r="H289" s="1">
        <f t="shared" si="3"/>
        <v>21</v>
      </c>
      <c r="I289" s="1">
        <f t="shared" si="4"/>
        <v>19.6</v>
      </c>
      <c r="J289" s="1">
        <f t="shared" si="5"/>
        <v>5.38</v>
      </c>
    </row>
    <row r="290" ht="12.75" customHeight="1">
      <c r="A290" s="29">
        <v>39722.0</v>
      </c>
      <c r="B290" s="26">
        <v>13.09</v>
      </c>
      <c r="C290" s="23">
        <v>39692.0</v>
      </c>
      <c r="D290" s="22">
        <v>172.0</v>
      </c>
      <c r="E290" s="1">
        <f t="shared" si="2"/>
        <v>17.2</v>
      </c>
      <c r="F290" s="23">
        <v>39692.0</v>
      </c>
      <c r="G290" s="22">
        <v>194.0</v>
      </c>
      <c r="H290" s="1">
        <f t="shared" si="3"/>
        <v>19.4</v>
      </c>
      <c r="I290" s="1">
        <f t="shared" si="4"/>
        <v>18.3</v>
      </c>
      <c r="J290" s="1">
        <f t="shared" si="5"/>
        <v>5.21</v>
      </c>
    </row>
    <row r="291" ht="12.75" customHeight="1">
      <c r="A291" s="27">
        <v>39692.0</v>
      </c>
      <c r="B291" s="26">
        <v>14.02</v>
      </c>
      <c r="C291" s="23">
        <v>39661.0</v>
      </c>
      <c r="D291" s="22">
        <v>172.0</v>
      </c>
      <c r="E291" s="1">
        <f t="shared" si="2"/>
        <v>17.2</v>
      </c>
      <c r="F291" s="23">
        <v>39661.0</v>
      </c>
      <c r="G291" s="22">
        <v>194.0</v>
      </c>
      <c r="H291" s="1">
        <f t="shared" si="3"/>
        <v>19.4</v>
      </c>
      <c r="I291" s="1">
        <f t="shared" si="4"/>
        <v>18.3</v>
      </c>
      <c r="J291" s="1">
        <f t="shared" si="5"/>
        <v>4.28</v>
      </c>
    </row>
    <row r="292" ht="12.75" customHeight="1">
      <c r="A292" s="27">
        <v>39661.0</v>
      </c>
      <c r="B292" s="26">
        <v>14.56</v>
      </c>
      <c r="C292" s="23">
        <v>39630.0</v>
      </c>
      <c r="D292" s="22">
        <v>173.0</v>
      </c>
      <c r="E292" s="1">
        <f t="shared" si="2"/>
        <v>17.3</v>
      </c>
      <c r="F292" s="23">
        <v>39630.0</v>
      </c>
      <c r="G292" s="22">
        <v>194.0</v>
      </c>
      <c r="H292" s="1">
        <f t="shared" si="3"/>
        <v>19.4</v>
      </c>
      <c r="I292" s="1">
        <f t="shared" si="4"/>
        <v>18.35</v>
      </c>
      <c r="J292" s="1">
        <f t="shared" si="5"/>
        <v>3.79</v>
      </c>
    </row>
    <row r="293" ht="12.75" customHeight="1">
      <c r="A293" s="27">
        <v>39630.0</v>
      </c>
      <c r="B293" s="26">
        <v>14.4</v>
      </c>
      <c r="C293" s="23">
        <v>39600.0</v>
      </c>
      <c r="D293" s="22">
        <v>172.0</v>
      </c>
      <c r="E293" s="1">
        <f t="shared" si="2"/>
        <v>17.2</v>
      </c>
      <c r="F293" s="23">
        <v>39600.0</v>
      </c>
      <c r="G293" s="22">
        <v>194.0</v>
      </c>
      <c r="H293" s="1">
        <f t="shared" si="3"/>
        <v>19.4</v>
      </c>
      <c r="I293" s="1">
        <f t="shared" si="4"/>
        <v>18.3</v>
      </c>
      <c r="J293" s="1">
        <f t="shared" si="5"/>
        <v>3.9</v>
      </c>
    </row>
    <row r="294" ht="12.75" customHeight="1">
      <c r="A294" s="27">
        <v>39600.0</v>
      </c>
      <c r="B294" s="26">
        <v>14.5</v>
      </c>
      <c r="C294" s="23">
        <v>39569.0</v>
      </c>
      <c r="D294" s="22">
        <v>185.0</v>
      </c>
      <c r="E294" s="1">
        <f t="shared" si="2"/>
        <v>18.5</v>
      </c>
      <c r="F294" s="23">
        <v>39569.0</v>
      </c>
      <c r="G294" s="22">
        <v>194.0</v>
      </c>
      <c r="H294" s="1">
        <f t="shared" si="3"/>
        <v>19.4</v>
      </c>
      <c r="I294" s="1">
        <f t="shared" si="4"/>
        <v>18.95</v>
      </c>
      <c r="J294" s="1">
        <f t="shared" si="5"/>
        <v>4.45</v>
      </c>
    </row>
    <row r="295" ht="12.75" customHeight="1">
      <c r="A295" s="27">
        <v>39569.0</v>
      </c>
      <c r="B295" s="26">
        <v>13.55</v>
      </c>
      <c r="C295" s="23">
        <v>39539.0</v>
      </c>
      <c r="D295" s="22">
        <v>186.0</v>
      </c>
      <c r="E295" s="1">
        <f t="shared" si="2"/>
        <v>18.6</v>
      </c>
      <c r="F295" s="23">
        <v>39539.0</v>
      </c>
      <c r="G295" s="22">
        <v>182.0</v>
      </c>
      <c r="H295" s="1">
        <f t="shared" si="3"/>
        <v>18.2</v>
      </c>
      <c r="I295" s="1">
        <f t="shared" si="4"/>
        <v>18.4</v>
      </c>
      <c r="J295" s="1">
        <f t="shared" si="5"/>
        <v>4.85</v>
      </c>
    </row>
    <row r="296" ht="12.75" customHeight="1">
      <c r="A296" s="27">
        <v>39539.0</v>
      </c>
      <c r="B296" s="26">
        <v>12.93</v>
      </c>
      <c r="C296" s="23">
        <v>39508.0</v>
      </c>
      <c r="D296" s="22">
        <v>186.0</v>
      </c>
      <c r="E296" s="1">
        <f t="shared" si="2"/>
        <v>18.6</v>
      </c>
      <c r="F296" s="23">
        <v>39508.0</v>
      </c>
      <c r="G296" s="22">
        <v>182.0</v>
      </c>
      <c r="H296" s="1">
        <f t="shared" si="3"/>
        <v>18.2</v>
      </c>
      <c r="I296" s="1">
        <f t="shared" si="4"/>
        <v>18.4</v>
      </c>
      <c r="J296" s="1">
        <f t="shared" si="5"/>
        <v>5.47</v>
      </c>
    </row>
    <row r="297" ht="12.75" customHeight="1">
      <c r="A297" s="27">
        <v>39508.0</v>
      </c>
      <c r="B297" s="26">
        <v>13.15</v>
      </c>
      <c r="C297" s="23">
        <v>39479.0</v>
      </c>
      <c r="D297" s="22">
        <v>185.0</v>
      </c>
      <c r="E297" s="1">
        <f t="shared" si="2"/>
        <v>18.5</v>
      </c>
      <c r="F297" s="23">
        <v>39479.0</v>
      </c>
      <c r="G297" s="22">
        <v>178.0</v>
      </c>
      <c r="H297" s="1">
        <f t="shared" si="3"/>
        <v>17.8</v>
      </c>
      <c r="I297" s="1">
        <f t="shared" si="4"/>
        <v>18.15</v>
      </c>
      <c r="J297" s="1">
        <f t="shared" si="5"/>
        <v>5</v>
      </c>
    </row>
    <row r="298" ht="12.75" customHeight="1">
      <c r="A298" s="27">
        <v>39479.0</v>
      </c>
      <c r="B298" s="26">
        <v>13.36</v>
      </c>
      <c r="C298" s="23">
        <v>39448.0</v>
      </c>
      <c r="D298" s="22">
        <v>185.0</v>
      </c>
      <c r="E298" s="1">
        <f t="shared" si="2"/>
        <v>18.5</v>
      </c>
      <c r="F298" s="23">
        <v>39448.0</v>
      </c>
      <c r="G298" s="22">
        <v>178.0</v>
      </c>
      <c r="H298" s="1">
        <f t="shared" si="3"/>
        <v>17.8</v>
      </c>
      <c r="I298" s="1">
        <f t="shared" si="4"/>
        <v>18.15</v>
      </c>
      <c r="J298" s="1">
        <f t="shared" si="5"/>
        <v>4.79</v>
      </c>
    </row>
    <row r="299" ht="12.75" customHeight="1">
      <c r="A299" s="27">
        <v>39448.0</v>
      </c>
      <c r="B299" s="26">
        <v>13.73</v>
      </c>
      <c r="C299" s="23">
        <v>39417.0</v>
      </c>
      <c r="D299" s="22">
        <v>188.0</v>
      </c>
      <c r="E299" s="1">
        <f t="shared" si="2"/>
        <v>18.8</v>
      </c>
      <c r="F299" s="23">
        <v>39417.0</v>
      </c>
      <c r="G299" s="22">
        <v>181.0</v>
      </c>
      <c r="H299" s="1">
        <f t="shared" si="3"/>
        <v>18.1</v>
      </c>
      <c r="I299" s="1">
        <f t="shared" si="4"/>
        <v>18.45</v>
      </c>
      <c r="J299" s="1">
        <f t="shared" si="5"/>
        <v>4.72</v>
      </c>
    </row>
    <row r="300" ht="12.75" customHeight="1">
      <c r="A300" s="29">
        <v>39417.0</v>
      </c>
      <c r="B300" s="26">
        <v>14.46</v>
      </c>
      <c r="C300" s="23">
        <v>39387.0</v>
      </c>
      <c r="D300" s="22">
        <v>188.0</v>
      </c>
      <c r="E300" s="1">
        <f t="shared" si="2"/>
        <v>18.8</v>
      </c>
      <c r="F300" s="23">
        <v>39387.0</v>
      </c>
      <c r="G300" s="22">
        <v>181.0</v>
      </c>
      <c r="H300" s="1">
        <f t="shared" si="3"/>
        <v>18.1</v>
      </c>
      <c r="I300" s="1">
        <f t="shared" si="4"/>
        <v>18.45</v>
      </c>
      <c r="J300" s="1">
        <f t="shared" si="5"/>
        <v>3.99</v>
      </c>
    </row>
    <row r="301" ht="12.75" customHeight="1">
      <c r="A301" s="29">
        <v>39387.0</v>
      </c>
      <c r="B301" s="26">
        <v>14.37</v>
      </c>
      <c r="C301" s="23">
        <v>39356.0</v>
      </c>
      <c r="D301" s="22">
        <v>177.0</v>
      </c>
      <c r="E301" s="1">
        <f t="shared" si="2"/>
        <v>17.7</v>
      </c>
      <c r="F301" s="23">
        <v>39356.0</v>
      </c>
      <c r="G301" s="22">
        <v>196.0</v>
      </c>
      <c r="H301" s="1">
        <f t="shared" si="3"/>
        <v>19.6</v>
      </c>
      <c r="I301" s="1">
        <f t="shared" si="4"/>
        <v>18.65</v>
      </c>
      <c r="J301" s="1">
        <f t="shared" si="5"/>
        <v>4.28</v>
      </c>
    </row>
    <row r="302" ht="12.75" customHeight="1">
      <c r="A302" s="29">
        <v>39356.0</v>
      </c>
      <c r="B302" s="26">
        <v>12.53</v>
      </c>
      <c r="C302" s="23">
        <v>39326.0</v>
      </c>
      <c r="D302" s="22">
        <v>177.0</v>
      </c>
      <c r="E302" s="1">
        <f t="shared" si="2"/>
        <v>17.7</v>
      </c>
      <c r="F302" s="23">
        <v>39326.0</v>
      </c>
      <c r="G302" s="22">
        <v>196.0</v>
      </c>
      <c r="H302" s="1">
        <f t="shared" si="3"/>
        <v>19.6</v>
      </c>
      <c r="I302" s="1">
        <f t="shared" si="4"/>
        <v>18.65</v>
      </c>
      <c r="J302" s="1">
        <f t="shared" si="5"/>
        <v>6.12</v>
      </c>
    </row>
    <row r="303" ht="12.75" customHeight="1">
      <c r="A303" s="27">
        <v>39326.0</v>
      </c>
      <c r="B303" s="26">
        <v>15.1</v>
      </c>
      <c r="C303" s="23">
        <v>39295.0</v>
      </c>
      <c r="D303" s="22">
        <v>176.0</v>
      </c>
      <c r="E303" s="1">
        <f t="shared" si="2"/>
        <v>17.6</v>
      </c>
      <c r="F303" s="23">
        <v>39295.0</v>
      </c>
      <c r="G303" s="22">
        <v>196.0</v>
      </c>
      <c r="H303" s="1">
        <f t="shared" si="3"/>
        <v>19.6</v>
      </c>
      <c r="I303" s="1">
        <f t="shared" si="4"/>
        <v>18.6</v>
      </c>
      <c r="J303" s="1">
        <f t="shared" si="5"/>
        <v>3.5</v>
      </c>
    </row>
    <row r="304" ht="12.75" customHeight="1">
      <c r="A304" s="27">
        <v>39295.0</v>
      </c>
      <c r="B304" s="26">
        <v>15.11</v>
      </c>
      <c r="C304" s="23">
        <v>39264.0</v>
      </c>
      <c r="D304" s="22">
        <v>176.0</v>
      </c>
      <c r="E304" s="1">
        <f t="shared" si="2"/>
        <v>17.6</v>
      </c>
      <c r="F304" s="23">
        <v>39264.0</v>
      </c>
      <c r="G304" s="22">
        <v>196.0</v>
      </c>
      <c r="H304" s="1">
        <f t="shared" si="3"/>
        <v>19.6</v>
      </c>
      <c r="I304" s="1">
        <f t="shared" si="4"/>
        <v>18.6</v>
      </c>
      <c r="J304" s="1">
        <f t="shared" si="5"/>
        <v>3.49</v>
      </c>
    </row>
    <row r="305" ht="12.75" customHeight="1">
      <c r="A305" s="27">
        <v>39264.0</v>
      </c>
      <c r="B305" s="26">
        <v>15.13</v>
      </c>
      <c r="C305" s="23">
        <v>39234.0</v>
      </c>
      <c r="D305" s="22">
        <v>178.0</v>
      </c>
      <c r="E305" s="1">
        <f t="shared" si="2"/>
        <v>17.8</v>
      </c>
      <c r="F305" s="23">
        <v>39234.0</v>
      </c>
      <c r="G305" s="22">
        <v>196.0</v>
      </c>
      <c r="H305" s="1">
        <f t="shared" si="3"/>
        <v>19.6</v>
      </c>
      <c r="I305" s="1">
        <f t="shared" si="4"/>
        <v>18.7</v>
      </c>
      <c r="J305" s="1">
        <f t="shared" si="5"/>
        <v>3.57</v>
      </c>
    </row>
    <row r="306" ht="12.75" customHeight="1">
      <c r="A306" s="27">
        <v>39234.0</v>
      </c>
      <c r="B306" s="26">
        <v>14.72</v>
      </c>
      <c r="C306" s="23">
        <v>39203.0</v>
      </c>
      <c r="D306" s="22">
        <v>190.0</v>
      </c>
      <c r="E306" s="1">
        <f t="shared" si="2"/>
        <v>19</v>
      </c>
      <c r="F306" s="23">
        <v>39203.0</v>
      </c>
      <c r="G306" s="22">
        <v>196.0</v>
      </c>
      <c r="H306" s="1">
        <f t="shared" si="3"/>
        <v>19.6</v>
      </c>
      <c r="I306" s="1">
        <f t="shared" si="4"/>
        <v>19.3</v>
      </c>
      <c r="J306" s="1">
        <f t="shared" si="5"/>
        <v>4.58</v>
      </c>
    </row>
    <row r="307" ht="12.75" customHeight="1">
      <c r="A307" s="27">
        <v>39203.0</v>
      </c>
      <c r="B307" s="26">
        <v>14.15</v>
      </c>
      <c r="C307" s="23">
        <v>39173.0</v>
      </c>
      <c r="D307" s="22">
        <v>192.0</v>
      </c>
      <c r="E307" s="1">
        <f t="shared" si="2"/>
        <v>19.2</v>
      </c>
      <c r="F307" s="23">
        <v>39173.0</v>
      </c>
      <c r="G307" s="22">
        <v>181.0</v>
      </c>
      <c r="H307" s="1">
        <f t="shared" si="3"/>
        <v>18.1</v>
      </c>
      <c r="I307" s="1">
        <f t="shared" si="4"/>
        <v>18.65</v>
      </c>
      <c r="J307" s="1">
        <f t="shared" si="5"/>
        <v>4.5</v>
      </c>
    </row>
    <row r="308" ht="12.75" customHeight="1">
      <c r="A308" s="27">
        <v>39173.0</v>
      </c>
      <c r="B308" s="26">
        <v>13.74</v>
      </c>
      <c r="C308" s="23">
        <v>39142.0</v>
      </c>
      <c r="D308" s="22">
        <v>188.0</v>
      </c>
      <c r="E308" s="1">
        <f t="shared" si="2"/>
        <v>18.8</v>
      </c>
      <c r="F308" s="23">
        <v>39142.0</v>
      </c>
      <c r="G308" s="22">
        <v>181.0</v>
      </c>
      <c r="H308" s="1">
        <f t="shared" si="3"/>
        <v>18.1</v>
      </c>
      <c r="I308" s="1">
        <f t="shared" si="4"/>
        <v>18.45</v>
      </c>
      <c r="J308" s="1">
        <f t="shared" si="5"/>
        <v>4.71</v>
      </c>
    </row>
    <row r="309" ht="12.75" customHeight="1">
      <c r="A309" s="27">
        <v>39142.0</v>
      </c>
      <c r="B309" s="26">
        <v>13.82</v>
      </c>
      <c r="C309" s="23">
        <v>39114.0</v>
      </c>
      <c r="D309" s="22">
        <v>198.0</v>
      </c>
      <c r="E309" s="1">
        <f t="shared" si="2"/>
        <v>19.8</v>
      </c>
      <c r="F309" s="23">
        <v>39114.0</v>
      </c>
      <c r="G309" s="22">
        <v>183.0</v>
      </c>
      <c r="H309" s="1">
        <f t="shared" si="3"/>
        <v>18.3</v>
      </c>
      <c r="I309" s="1">
        <f t="shared" si="4"/>
        <v>19.05</v>
      </c>
      <c r="J309" s="1">
        <f t="shared" si="5"/>
        <v>5.23</v>
      </c>
    </row>
    <row r="310" ht="12.75" customHeight="1">
      <c r="A310" s="27">
        <v>39114.0</v>
      </c>
      <c r="B310" s="26">
        <v>14.18</v>
      </c>
      <c r="C310" s="23">
        <v>39083.0</v>
      </c>
      <c r="D310" s="22">
        <v>197.0</v>
      </c>
      <c r="E310" s="1">
        <f t="shared" si="2"/>
        <v>19.7</v>
      </c>
      <c r="F310" s="23">
        <v>39083.0</v>
      </c>
      <c r="G310" s="22">
        <v>183.0</v>
      </c>
      <c r="H310" s="1">
        <f t="shared" si="3"/>
        <v>18.3</v>
      </c>
      <c r="I310" s="1">
        <f t="shared" si="4"/>
        <v>19</v>
      </c>
      <c r="J310" s="1">
        <f t="shared" si="5"/>
        <v>4.82</v>
      </c>
    </row>
    <row r="311" ht="12.75" customHeight="1">
      <c r="A311" s="27">
        <v>39083.0</v>
      </c>
      <c r="B311" s="26">
        <v>14.98</v>
      </c>
      <c r="C311" s="23">
        <v>39052.0</v>
      </c>
      <c r="D311" s="22">
        <v>197.0</v>
      </c>
      <c r="E311" s="1">
        <f t="shared" si="2"/>
        <v>19.7</v>
      </c>
      <c r="F311" s="23">
        <v>39052.0</v>
      </c>
      <c r="G311" s="22">
        <v>183.0</v>
      </c>
      <c r="H311" s="1">
        <f t="shared" si="3"/>
        <v>18.3</v>
      </c>
      <c r="I311" s="1">
        <f t="shared" si="4"/>
        <v>19</v>
      </c>
      <c r="J311" s="1">
        <f t="shared" si="5"/>
        <v>4.02</v>
      </c>
    </row>
    <row r="312" ht="12.75" customHeight="1">
      <c r="A312" s="29">
        <v>39052.0</v>
      </c>
      <c r="B312" s="26">
        <v>14.47</v>
      </c>
      <c r="C312" s="23">
        <v>39022.0</v>
      </c>
      <c r="D312" s="22">
        <v>199.0</v>
      </c>
      <c r="E312" s="1">
        <f t="shared" si="2"/>
        <v>19.9</v>
      </c>
      <c r="F312" s="23">
        <v>39022.0</v>
      </c>
      <c r="G312" s="22">
        <v>183.0</v>
      </c>
      <c r="H312" s="1">
        <f t="shared" si="3"/>
        <v>18.3</v>
      </c>
      <c r="I312" s="1">
        <f t="shared" si="4"/>
        <v>19.1</v>
      </c>
      <c r="J312" s="1">
        <f t="shared" si="5"/>
        <v>4.63</v>
      </c>
    </row>
    <row r="313" ht="12.75" customHeight="1">
      <c r="A313" s="29">
        <v>39022.0</v>
      </c>
      <c r="B313" s="26">
        <v>14.47</v>
      </c>
      <c r="C313" s="23">
        <v>38991.0</v>
      </c>
      <c r="D313" s="22">
        <v>200.0</v>
      </c>
      <c r="E313" s="1">
        <f t="shared" si="2"/>
        <v>20</v>
      </c>
      <c r="F313" s="23">
        <v>38991.0</v>
      </c>
      <c r="G313" s="22">
        <v>198.0</v>
      </c>
      <c r="H313" s="1">
        <f t="shared" si="3"/>
        <v>19.8</v>
      </c>
      <c r="I313" s="1">
        <f t="shared" si="4"/>
        <v>19.9</v>
      </c>
      <c r="J313" s="1">
        <f t="shared" si="5"/>
        <v>5.43</v>
      </c>
    </row>
    <row r="314" ht="12.75" customHeight="1">
      <c r="A314" s="29">
        <v>38991.0</v>
      </c>
      <c r="B314" s="26">
        <v>12.2</v>
      </c>
      <c r="C314" s="23">
        <v>38961.0</v>
      </c>
      <c r="D314" s="22">
        <v>187.0</v>
      </c>
      <c r="E314" s="1">
        <f t="shared" si="2"/>
        <v>18.7</v>
      </c>
      <c r="F314" s="23">
        <v>38961.0</v>
      </c>
      <c r="G314" s="22">
        <v>198.0</v>
      </c>
      <c r="H314" s="1">
        <f t="shared" si="3"/>
        <v>19.8</v>
      </c>
      <c r="I314" s="1">
        <f t="shared" si="4"/>
        <v>19.25</v>
      </c>
      <c r="J314" s="1">
        <f t="shared" si="5"/>
        <v>7.05</v>
      </c>
    </row>
    <row r="315" ht="12.75" customHeight="1">
      <c r="A315" s="27">
        <v>38961.0</v>
      </c>
      <c r="B315" s="26">
        <v>14.57</v>
      </c>
      <c r="C315" s="23">
        <v>38930.0</v>
      </c>
      <c r="D315" s="22">
        <v>190.0</v>
      </c>
      <c r="E315" s="1">
        <f t="shared" si="2"/>
        <v>19</v>
      </c>
      <c r="F315" s="23">
        <v>38930.0</v>
      </c>
      <c r="G315" s="22">
        <v>191.0</v>
      </c>
      <c r="H315" s="1">
        <f t="shared" si="3"/>
        <v>19.1</v>
      </c>
      <c r="I315" s="1">
        <f t="shared" si="4"/>
        <v>19.05</v>
      </c>
      <c r="J315" s="1">
        <f t="shared" si="5"/>
        <v>4.48</v>
      </c>
    </row>
    <row r="316" ht="12.75" customHeight="1">
      <c r="A316" s="27">
        <v>38930.0</v>
      </c>
      <c r="B316" s="26">
        <v>14.89</v>
      </c>
      <c r="C316" s="23">
        <v>38899.0</v>
      </c>
      <c r="D316" s="22">
        <v>190.0</v>
      </c>
      <c r="E316" s="1">
        <f t="shared" si="2"/>
        <v>19</v>
      </c>
      <c r="F316" s="23">
        <v>38899.0</v>
      </c>
      <c r="G316" s="22">
        <v>191.0</v>
      </c>
      <c r="H316" s="1">
        <f t="shared" si="3"/>
        <v>19.1</v>
      </c>
      <c r="I316" s="1">
        <f t="shared" si="4"/>
        <v>19.05</v>
      </c>
      <c r="J316" s="1">
        <f t="shared" si="5"/>
        <v>4.16</v>
      </c>
    </row>
    <row r="317" ht="12.75" customHeight="1">
      <c r="A317" s="27">
        <v>38899.0</v>
      </c>
      <c r="B317" s="26">
        <v>16.65</v>
      </c>
      <c r="C317" s="23">
        <v>38869.0</v>
      </c>
      <c r="D317" s="22">
        <v>191.0</v>
      </c>
      <c r="E317" s="1">
        <f t="shared" si="2"/>
        <v>19.1</v>
      </c>
      <c r="F317" s="23">
        <v>38869.0</v>
      </c>
      <c r="G317" s="22">
        <v>190.0</v>
      </c>
      <c r="H317" s="1">
        <f t="shared" si="3"/>
        <v>19</v>
      </c>
      <c r="I317" s="1">
        <f t="shared" si="4"/>
        <v>19.05</v>
      </c>
      <c r="J317" s="1">
        <f t="shared" si="5"/>
        <v>2.4</v>
      </c>
    </row>
    <row r="318" ht="12.75" customHeight="1">
      <c r="A318" s="27">
        <v>38869.0</v>
      </c>
      <c r="B318" s="26">
        <v>15.17</v>
      </c>
      <c r="C318" s="23">
        <v>38838.0</v>
      </c>
      <c r="D318" s="22">
        <v>197.0</v>
      </c>
      <c r="E318" s="1">
        <f t="shared" si="2"/>
        <v>19.7</v>
      </c>
      <c r="F318" s="23">
        <v>38838.0</v>
      </c>
      <c r="G318" s="22">
        <v>190.0</v>
      </c>
      <c r="H318" s="1">
        <f t="shared" si="3"/>
        <v>19</v>
      </c>
      <c r="I318" s="1">
        <f t="shared" si="4"/>
        <v>19.35</v>
      </c>
      <c r="J318" s="1">
        <f t="shared" si="5"/>
        <v>4.18</v>
      </c>
    </row>
    <row r="319" ht="12.75" customHeight="1">
      <c r="A319" s="27">
        <v>38838.0</v>
      </c>
      <c r="B319" s="26">
        <v>14.04</v>
      </c>
      <c r="C319" s="23">
        <v>38808.0</v>
      </c>
      <c r="D319" s="22">
        <v>194.0</v>
      </c>
      <c r="E319" s="1">
        <f t="shared" si="2"/>
        <v>19.4</v>
      </c>
      <c r="F319" s="23">
        <v>38808.0</v>
      </c>
      <c r="G319" s="22">
        <v>177.0</v>
      </c>
      <c r="H319" s="1">
        <f t="shared" si="3"/>
        <v>17.7</v>
      </c>
      <c r="I319" s="1">
        <f t="shared" si="4"/>
        <v>18.55</v>
      </c>
      <c r="J319" s="1">
        <f t="shared" si="5"/>
        <v>4.51</v>
      </c>
    </row>
    <row r="320" ht="12.75" customHeight="1">
      <c r="A320" s="27">
        <v>38808.0</v>
      </c>
      <c r="B320" s="26">
        <v>13.99</v>
      </c>
      <c r="C320" s="23">
        <v>38777.0</v>
      </c>
      <c r="D320" s="22">
        <v>195.0</v>
      </c>
      <c r="E320" s="1">
        <f t="shared" si="2"/>
        <v>19.5</v>
      </c>
      <c r="F320" s="23">
        <v>38777.0</v>
      </c>
      <c r="G320" s="22">
        <v>174.0</v>
      </c>
      <c r="H320" s="1">
        <f t="shared" si="3"/>
        <v>17.4</v>
      </c>
      <c r="I320" s="1">
        <f t="shared" si="4"/>
        <v>18.45</v>
      </c>
      <c r="J320" s="1">
        <f t="shared" si="5"/>
        <v>4.46</v>
      </c>
    </row>
    <row r="321" ht="12.75" customHeight="1">
      <c r="A321" s="27">
        <v>38777.0</v>
      </c>
      <c r="B321" s="26">
        <v>13.72</v>
      </c>
      <c r="C321" s="23">
        <v>38749.0</v>
      </c>
      <c r="D321" s="22">
        <v>194.0</v>
      </c>
      <c r="E321" s="1">
        <f t="shared" si="2"/>
        <v>19.4</v>
      </c>
      <c r="F321" s="23">
        <v>38749.0</v>
      </c>
      <c r="G321" s="22">
        <v>171.0</v>
      </c>
      <c r="H321" s="1">
        <f t="shared" si="3"/>
        <v>17.1</v>
      </c>
      <c r="I321" s="1">
        <f t="shared" si="4"/>
        <v>18.25</v>
      </c>
      <c r="J321" s="1">
        <f t="shared" si="5"/>
        <v>4.53</v>
      </c>
    </row>
    <row r="322" ht="12.75" customHeight="1">
      <c r="A322" s="27">
        <v>38749.0</v>
      </c>
      <c r="B322" s="26">
        <v>13.45</v>
      </c>
      <c r="C322" s="23">
        <v>38718.0</v>
      </c>
      <c r="D322" s="22">
        <v>164.0</v>
      </c>
      <c r="E322" s="1">
        <f t="shared" si="2"/>
        <v>16.4</v>
      </c>
      <c r="F322" s="23">
        <v>38718.0</v>
      </c>
      <c r="G322" s="22">
        <v>171.0</v>
      </c>
      <c r="H322" s="1">
        <f t="shared" si="3"/>
        <v>17.1</v>
      </c>
      <c r="I322" s="1">
        <f t="shared" si="4"/>
        <v>16.75</v>
      </c>
      <c r="J322" s="1">
        <f t="shared" si="5"/>
        <v>3.3</v>
      </c>
    </row>
    <row r="323" ht="12.75" customHeight="1">
      <c r="A323" s="27">
        <v>38718.0</v>
      </c>
      <c r="B323" s="26">
        <v>13.14</v>
      </c>
      <c r="C323" s="23">
        <v>38687.0</v>
      </c>
      <c r="D323" s="22">
        <v>148.0</v>
      </c>
      <c r="E323" s="1">
        <f t="shared" si="2"/>
        <v>14.8</v>
      </c>
      <c r="F323" s="23">
        <v>38687.0</v>
      </c>
      <c r="G323" s="22">
        <v>147.0</v>
      </c>
      <c r="H323" s="1">
        <f t="shared" si="3"/>
        <v>14.7</v>
      </c>
      <c r="I323" s="1">
        <f t="shared" si="4"/>
        <v>14.75</v>
      </c>
      <c r="J323" s="1">
        <f t="shared" si="5"/>
        <v>1.61</v>
      </c>
    </row>
    <row r="324" ht="12.75" customHeight="1">
      <c r="A324" s="29">
        <v>38687.0</v>
      </c>
      <c r="B324" s="26">
        <v>12.91</v>
      </c>
      <c r="C324" s="23">
        <v>38657.0</v>
      </c>
      <c r="D324" s="22">
        <v>148.0</v>
      </c>
      <c r="E324" s="1">
        <f t="shared" si="2"/>
        <v>14.8</v>
      </c>
      <c r="F324" s="23">
        <v>38657.0</v>
      </c>
      <c r="G324" s="22">
        <v>147.0</v>
      </c>
      <c r="H324" s="1">
        <f t="shared" si="3"/>
        <v>14.7</v>
      </c>
      <c r="I324" s="1">
        <f t="shared" si="4"/>
        <v>14.75</v>
      </c>
      <c r="J324" s="1">
        <f t="shared" si="5"/>
        <v>1.84</v>
      </c>
    </row>
    <row r="325" ht="12.75" customHeight="1">
      <c r="A325" s="29">
        <v>38657.0</v>
      </c>
      <c r="B325" s="26">
        <v>12.8</v>
      </c>
      <c r="C325" s="23">
        <v>38626.0</v>
      </c>
      <c r="D325" s="22">
        <v>148.0</v>
      </c>
      <c r="E325" s="1">
        <f t="shared" si="2"/>
        <v>14.8</v>
      </c>
      <c r="F325" s="23">
        <v>38626.0</v>
      </c>
      <c r="G325" s="22">
        <v>153.0</v>
      </c>
      <c r="H325" s="1">
        <f t="shared" si="3"/>
        <v>15.3</v>
      </c>
      <c r="I325" s="1">
        <f t="shared" si="4"/>
        <v>15.05</v>
      </c>
      <c r="J325" s="1">
        <f t="shared" si="5"/>
        <v>2.25</v>
      </c>
    </row>
    <row r="326" ht="12.75" customHeight="1">
      <c r="A326" s="29">
        <v>38626.0</v>
      </c>
      <c r="B326" s="26">
        <v>11.3</v>
      </c>
      <c r="C326" s="23">
        <v>38596.0</v>
      </c>
      <c r="D326" s="22">
        <v>144.0</v>
      </c>
      <c r="E326" s="1">
        <f t="shared" si="2"/>
        <v>14.4</v>
      </c>
      <c r="F326" s="23">
        <v>38596.0</v>
      </c>
      <c r="G326" s="22">
        <v>152.0</v>
      </c>
      <c r="H326" s="1">
        <f t="shared" si="3"/>
        <v>15.2</v>
      </c>
      <c r="I326" s="1">
        <f t="shared" si="4"/>
        <v>14.8</v>
      </c>
      <c r="J326" s="1">
        <f t="shared" si="5"/>
        <v>3.5</v>
      </c>
    </row>
    <row r="327" ht="12.75" customHeight="1">
      <c r="A327" s="27">
        <v>38596.0</v>
      </c>
      <c r="B327" s="26">
        <v>12.14</v>
      </c>
      <c r="C327" s="23">
        <v>38565.0</v>
      </c>
      <c r="D327" s="22">
        <v>145.0</v>
      </c>
      <c r="E327" s="1">
        <f t="shared" si="2"/>
        <v>14.5</v>
      </c>
      <c r="F327" s="23">
        <v>38565.0</v>
      </c>
      <c r="G327" s="22">
        <v>152.0</v>
      </c>
      <c r="H327" s="1">
        <f t="shared" si="3"/>
        <v>15.2</v>
      </c>
      <c r="I327" s="1">
        <f t="shared" si="4"/>
        <v>14.85</v>
      </c>
      <c r="J327" s="1">
        <f t="shared" si="5"/>
        <v>2.71</v>
      </c>
    </row>
    <row r="328" ht="12.75" customHeight="1">
      <c r="A328" s="27">
        <v>38565.0</v>
      </c>
      <c r="B328" s="26">
        <v>13.43</v>
      </c>
      <c r="C328" s="23">
        <v>38534.0</v>
      </c>
      <c r="D328" s="22">
        <v>143.0</v>
      </c>
      <c r="E328" s="1">
        <f t="shared" si="2"/>
        <v>14.3</v>
      </c>
      <c r="F328" s="23">
        <v>38534.0</v>
      </c>
      <c r="G328" s="22">
        <v>152.0</v>
      </c>
      <c r="H328" s="1">
        <f t="shared" si="3"/>
        <v>15.2</v>
      </c>
      <c r="I328" s="1">
        <f t="shared" si="4"/>
        <v>14.75</v>
      </c>
      <c r="J328" s="1">
        <f t="shared" si="5"/>
        <v>1.32</v>
      </c>
    </row>
    <row r="329" ht="12.75" customHeight="1">
      <c r="A329" s="27">
        <v>38534.0</v>
      </c>
      <c r="B329" s="26">
        <v>13.16</v>
      </c>
      <c r="C329" s="23">
        <v>38504.0</v>
      </c>
      <c r="D329" s="22">
        <v>145.0</v>
      </c>
      <c r="E329" s="1">
        <f t="shared" si="2"/>
        <v>14.5</v>
      </c>
      <c r="F329" s="23">
        <v>38504.0</v>
      </c>
      <c r="G329" s="22">
        <v>152.0</v>
      </c>
      <c r="H329" s="1">
        <f t="shared" si="3"/>
        <v>15.2</v>
      </c>
      <c r="I329" s="1">
        <f t="shared" si="4"/>
        <v>14.85</v>
      </c>
      <c r="J329" s="1">
        <f t="shared" si="5"/>
        <v>1.69</v>
      </c>
    </row>
    <row r="330" ht="12.75" customHeight="1">
      <c r="A330" s="27">
        <v>38504.0</v>
      </c>
      <c r="B330" s="26">
        <v>13.4</v>
      </c>
      <c r="C330" s="23">
        <v>38473.0</v>
      </c>
      <c r="D330" s="22">
        <v>146.0</v>
      </c>
      <c r="E330" s="1">
        <f t="shared" si="2"/>
        <v>14.6</v>
      </c>
      <c r="F330" s="23">
        <v>38473.0</v>
      </c>
      <c r="G330" s="22">
        <v>152.0</v>
      </c>
      <c r="H330" s="1">
        <f t="shared" si="3"/>
        <v>15.2</v>
      </c>
      <c r="I330" s="1">
        <f t="shared" si="4"/>
        <v>14.9</v>
      </c>
      <c r="J330" s="1">
        <f t="shared" si="5"/>
        <v>1.5</v>
      </c>
    </row>
    <row r="331" ht="12.75" customHeight="1">
      <c r="A331" s="27">
        <v>38473.0</v>
      </c>
      <c r="B331" s="26">
        <v>12.57</v>
      </c>
      <c r="C331" s="23">
        <v>38443.0</v>
      </c>
      <c r="D331" s="22">
        <v>134.0</v>
      </c>
      <c r="E331" s="1">
        <f t="shared" si="2"/>
        <v>13.4</v>
      </c>
      <c r="F331" s="23">
        <v>38443.0</v>
      </c>
      <c r="G331" s="22">
        <v>146.0</v>
      </c>
      <c r="H331" s="1">
        <f t="shared" si="3"/>
        <v>14.6</v>
      </c>
      <c r="I331" s="1">
        <f t="shared" si="4"/>
        <v>14</v>
      </c>
      <c r="J331" s="1">
        <f t="shared" si="5"/>
        <v>1.43</v>
      </c>
    </row>
    <row r="332" ht="12.75" customHeight="1">
      <c r="A332" s="27">
        <v>38443.0</v>
      </c>
      <c r="B332" s="26">
        <v>12.12</v>
      </c>
      <c r="C332" s="23">
        <v>38412.0</v>
      </c>
      <c r="D332" s="22">
        <v>136.0</v>
      </c>
      <c r="E332" s="1">
        <f t="shared" si="2"/>
        <v>13.6</v>
      </c>
      <c r="F332" s="23">
        <v>38412.0</v>
      </c>
      <c r="G332" s="22">
        <v>146.0</v>
      </c>
      <c r="H332" s="1">
        <f t="shared" si="3"/>
        <v>14.6</v>
      </c>
      <c r="I332" s="1">
        <f t="shared" si="4"/>
        <v>14.1</v>
      </c>
      <c r="J332" s="1">
        <f t="shared" si="5"/>
        <v>1.98</v>
      </c>
    </row>
    <row r="333" ht="12.75" customHeight="1">
      <c r="A333" s="27">
        <v>38412.0</v>
      </c>
      <c r="B333" s="26">
        <v>11.28</v>
      </c>
      <c r="C333" s="23">
        <v>38384.0</v>
      </c>
      <c r="D333" s="22">
        <v>136.0</v>
      </c>
      <c r="E333" s="1">
        <f t="shared" si="2"/>
        <v>13.6</v>
      </c>
      <c r="F333" s="23">
        <v>38384.0</v>
      </c>
      <c r="G333" s="22">
        <v>147.0</v>
      </c>
      <c r="H333" s="1">
        <f t="shared" si="3"/>
        <v>14.7</v>
      </c>
      <c r="I333" s="1">
        <f t="shared" si="4"/>
        <v>14.15</v>
      </c>
      <c r="J333" s="1">
        <f t="shared" si="5"/>
        <v>2.87</v>
      </c>
    </row>
    <row r="334" ht="12.75" customHeight="1">
      <c r="A334" s="27">
        <v>38384.0</v>
      </c>
      <c r="B334" s="26">
        <v>12.33</v>
      </c>
      <c r="C334" s="23">
        <v>38353.0</v>
      </c>
      <c r="D334" s="22">
        <v>139.0</v>
      </c>
      <c r="E334" s="1">
        <f t="shared" si="2"/>
        <v>13.9</v>
      </c>
      <c r="F334" s="23">
        <v>38353.0</v>
      </c>
      <c r="G334" s="22">
        <v>147.0</v>
      </c>
      <c r="H334" s="1">
        <f t="shared" si="3"/>
        <v>14.7</v>
      </c>
      <c r="I334" s="1">
        <f t="shared" si="4"/>
        <v>14.3</v>
      </c>
      <c r="J334" s="1">
        <f t="shared" si="5"/>
        <v>1.97</v>
      </c>
    </row>
    <row r="335" ht="12.75" customHeight="1">
      <c r="A335" s="27">
        <v>38353.0</v>
      </c>
      <c r="B335" s="26">
        <v>12.19</v>
      </c>
      <c r="C335" s="23">
        <v>38322.0</v>
      </c>
      <c r="D335" s="22">
        <v>137.0</v>
      </c>
      <c r="E335" s="1">
        <f t="shared" si="2"/>
        <v>13.7</v>
      </c>
      <c r="F335" s="23">
        <v>38322.0</v>
      </c>
      <c r="G335" s="22">
        <v>141.0</v>
      </c>
      <c r="H335" s="1">
        <f t="shared" si="3"/>
        <v>14.1</v>
      </c>
      <c r="I335" s="1">
        <f t="shared" si="4"/>
        <v>13.9</v>
      </c>
      <c r="J335" s="1">
        <f t="shared" si="5"/>
        <v>1.71</v>
      </c>
    </row>
    <row r="336" ht="12.75" customHeight="1">
      <c r="A336" s="29">
        <v>38322.0</v>
      </c>
      <c r="B336" s="26">
        <v>12.4</v>
      </c>
      <c r="C336" s="23">
        <v>38292.0</v>
      </c>
      <c r="D336" s="22">
        <v>136.0</v>
      </c>
      <c r="E336" s="1">
        <f t="shared" si="2"/>
        <v>13.6</v>
      </c>
      <c r="F336" s="23">
        <v>38292.0</v>
      </c>
      <c r="G336" s="22">
        <v>141.0</v>
      </c>
      <c r="H336" s="1">
        <f t="shared" si="3"/>
        <v>14.1</v>
      </c>
      <c r="I336" s="1">
        <f t="shared" si="4"/>
        <v>13.85</v>
      </c>
      <c r="J336" s="1">
        <f t="shared" si="5"/>
        <v>1.45</v>
      </c>
    </row>
    <row r="337" ht="12.75" customHeight="1">
      <c r="A337" s="29">
        <v>38292.0</v>
      </c>
      <c r="B337" s="26">
        <v>12.5</v>
      </c>
      <c r="C337" s="23">
        <v>38261.0</v>
      </c>
      <c r="D337" s="22">
        <v>133.0</v>
      </c>
      <c r="E337" s="1">
        <f t="shared" si="2"/>
        <v>13.3</v>
      </c>
      <c r="F337" s="23">
        <v>38261.0</v>
      </c>
      <c r="G337" s="22">
        <v>145.0</v>
      </c>
      <c r="H337" s="1">
        <f t="shared" si="3"/>
        <v>14.5</v>
      </c>
      <c r="I337" s="1">
        <f t="shared" si="4"/>
        <v>13.9</v>
      </c>
      <c r="J337" s="1">
        <f t="shared" si="5"/>
        <v>1.4</v>
      </c>
    </row>
    <row r="338" ht="12.75" customHeight="1">
      <c r="A338" s="29">
        <v>38261.0</v>
      </c>
      <c r="B338" s="26">
        <v>11.43</v>
      </c>
      <c r="C338" s="23">
        <v>38231.0</v>
      </c>
      <c r="D338" s="22">
        <v>134.0</v>
      </c>
      <c r="E338" s="1">
        <f t="shared" si="2"/>
        <v>13.4</v>
      </c>
      <c r="F338" s="23">
        <v>38231.0</v>
      </c>
      <c r="G338" s="22">
        <v>145.0</v>
      </c>
      <c r="H338" s="1">
        <f t="shared" si="3"/>
        <v>14.5</v>
      </c>
      <c r="I338" s="1">
        <f t="shared" si="4"/>
        <v>13.95</v>
      </c>
      <c r="J338" s="1">
        <f t="shared" si="5"/>
        <v>2.52</v>
      </c>
    </row>
    <row r="339" ht="12.75" customHeight="1">
      <c r="A339" s="27">
        <v>38231.0</v>
      </c>
      <c r="B339" s="26">
        <v>12.18</v>
      </c>
      <c r="C339" s="23">
        <v>38200.0</v>
      </c>
      <c r="D339" s="22">
        <v>134.0</v>
      </c>
      <c r="E339" s="1">
        <f t="shared" si="2"/>
        <v>13.4</v>
      </c>
      <c r="F339" s="23">
        <v>38200.0</v>
      </c>
      <c r="G339" s="22">
        <v>145.0</v>
      </c>
      <c r="H339" s="1">
        <f t="shared" si="3"/>
        <v>14.5</v>
      </c>
      <c r="I339" s="1">
        <f t="shared" si="4"/>
        <v>13.95</v>
      </c>
      <c r="J339" s="1">
        <f t="shared" si="5"/>
        <v>1.77</v>
      </c>
    </row>
    <row r="340" ht="12.75" customHeight="1">
      <c r="A340" s="27">
        <v>38200.0</v>
      </c>
      <c r="B340" s="26">
        <v>12.5</v>
      </c>
      <c r="C340" s="23">
        <v>38169.0</v>
      </c>
      <c r="D340" s="22">
        <v>129.0</v>
      </c>
      <c r="E340" s="1">
        <f t="shared" si="2"/>
        <v>12.9</v>
      </c>
      <c r="F340" s="23">
        <v>38169.0</v>
      </c>
      <c r="G340" s="22">
        <v>145.0</v>
      </c>
      <c r="H340" s="1">
        <f t="shared" si="3"/>
        <v>14.5</v>
      </c>
      <c r="I340" s="1">
        <f t="shared" si="4"/>
        <v>13.7</v>
      </c>
      <c r="J340" s="1">
        <f t="shared" si="5"/>
        <v>1.2</v>
      </c>
    </row>
    <row r="341" ht="12.75" customHeight="1">
      <c r="A341" s="27">
        <v>38169.0</v>
      </c>
      <c r="B341" s="26">
        <v>12.19</v>
      </c>
      <c r="C341" s="23">
        <v>38139.0</v>
      </c>
      <c r="D341" s="22">
        <v>131.0</v>
      </c>
      <c r="E341" s="1">
        <f t="shared" si="2"/>
        <v>13.1</v>
      </c>
      <c r="F341" s="23">
        <v>38139.0</v>
      </c>
      <c r="G341" s="22">
        <v>145.0</v>
      </c>
      <c r="H341" s="1">
        <f t="shared" si="3"/>
        <v>14.5</v>
      </c>
      <c r="I341" s="1">
        <f t="shared" si="4"/>
        <v>13.8</v>
      </c>
      <c r="J341" s="1">
        <f t="shared" si="5"/>
        <v>1.61</v>
      </c>
    </row>
    <row r="342" ht="12.75" customHeight="1">
      <c r="A342" s="27">
        <v>38139.0</v>
      </c>
      <c r="B342" s="26">
        <v>12.4</v>
      </c>
      <c r="C342" s="23">
        <v>38108.0</v>
      </c>
      <c r="D342" s="22">
        <v>133.0</v>
      </c>
      <c r="E342" s="1">
        <f t="shared" si="2"/>
        <v>13.3</v>
      </c>
      <c r="F342" s="23">
        <v>38108.0</v>
      </c>
      <c r="G342" s="22">
        <v>147.0</v>
      </c>
      <c r="H342" s="1">
        <f t="shared" si="3"/>
        <v>14.7</v>
      </c>
      <c r="I342" s="1">
        <f t="shared" si="4"/>
        <v>14</v>
      </c>
      <c r="J342" s="1">
        <f t="shared" si="5"/>
        <v>1.6</v>
      </c>
    </row>
    <row r="343" ht="12.75" customHeight="1">
      <c r="A343" s="27">
        <v>38108.0</v>
      </c>
      <c r="B343" s="26">
        <v>11.97</v>
      </c>
      <c r="C343" s="23">
        <v>38078.0</v>
      </c>
      <c r="D343" s="22">
        <v>133.0</v>
      </c>
      <c r="E343" s="1">
        <f t="shared" si="2"/>
        <v>13.3</v>
      </c>
      <c r="F343" s="23">
        <v>38078.0</v>
      </c>
      <c r="G343" s="22">
        <v>142.0</v>
      </c>
      <c r="H343" s="1">
        <f t="shared" si="3"/>
        <v>14.2</v>
      </c>
      <c r="I343" s="1">
        <f t="shared" si="4"/>
        <v>13.75</v>
      </c>
      <c r="J343" s="1">
        <f t="shared" si="5"/>
        <v>1.78</v>
      </c>
    </row>
    <row r="344" ht="12.75" customHeight="1">
      <c r="A344" s="27">
        <v>38078.0</v>
      </c>
      <c r="B344" s="26">
        <v>11.43</v>
      </c>
      <c r="C344" s="23">
        <v>38047.0</v>
      </c>
      <c r="D344" s="22">
        <v>133.0</v>
      </c>
      <c r="E344" s="1">
        <f t="shared" si="2"/>
        <v>13.3</v>
      </c>
      <c r="F344" s="23">
        <v>38047.0</v>
      </c>
      <c r="G344" s="22">
        <v>142.0</v>
      </c>
      <c r="H344" s="1">
        <f t="shared" si="3"/>
        <v>14.2</v>
      </c>
      <c r="I344" s="1">
        <f t="shared" si="4"/>
        <v>13.75</v>
      </c>
      <c r="J344" s="1">
        <f t="shared" si="5"/>
        <v>2.32</v>
      </c>
    </row>
    <row r="345" ht="12.75" customHeight="1">
      <c r="A345" s="27">
        <v>38047.0</v>
      </c>
      <c r="B345" s="26">
        <v>12.14</v>
      </c>
      <c r="C345" s="23">
        <v>38018.0</v>
      </c>
      <c r="D345" s="22">
        <v>133.0</v>
      </c>
      <c r="E345" s="1">
        <f t="shared" si="2"/>
        <v>13.3</v>
      </c>
      <c r="F345" s="23">
        <v>38018.0</v>
      </c>
      <c r="G345" s="22">
        <v>150.0</v>
      </c>
      <c r="H345" s="1">
        <f t="shared" si="3"/>
        <v>15</v>
      </c>
      <c r="I345" s="1">
        <f t="shared" si="4"/>
        <v>14.15</v>
      </c>
      <c r="J345" s="1">
        <f t="shared" si="5"/>
        <v>2.01</v>
      </c>
    </row>
    <row r="346" ht="12.75" customHeight="1">
      <c r="A346" s="27">
        <v>38018.0</v>
      </c>
      <c r="B346" s="26">
        <v>12.39</v>
      </c>
      <c r="C346" s="23">
        <v>37987.0</v>
      </c>
      <c r="D346" s="22">
        <v>136.0</v>
      </c>
      <c r="E346" s="1">
        <f t="shared" si="2"/>
        <v>13.6</v>
      </c>
      <c r="F346" s="23">
        <v>37987.0</v>
      </c>
      <c r="G346" s="22">
        <v>150.0</v>
      </c>
      <c r="H346" s="1">
        <f t="shared" si="3"/>
        <v>15</v>
      </c>
      <c r="I346" s="1">
        <f t="shared" si="4"/>
        <v>14.3</v>
      </c>
      <c r="J346" s="1">
        <f t="shared" si="5"/>
        <v>1.91</v>
      </c>
    </row>
    <row r="347" ht="12.75" customHeight="1">
      <c r="A347" s="27">
        <v>37987.0</v>
      </c>
      <c r="B347" s="26">
        <v>12.59</v>
      </c>
      <c r="C347" s="23">
        <v>37956.0</v>
      </c>
      <c r="D347" s="22">
        <v>138.0</v>
      </c>
      <c r="E347" s="1">
        <f t="shared" si="2"/>
        <v>13.8</v>
      </c>
      <c r="F347" s="23">
        <v>37956.0</v>
      </c>
      <c r="G347" s="22">
        <v>150.0</v>
      </c>
      <c r="H347" s="1">
        <f t="shared" si="3"/>
        <v>15</v>
      </c>
      <c r="I347" s="1">
        <f t="shared" si="4"/>
        <v>14.4</v>
      </c>
      <c r="J347" s="1">
        <f t="shared" si="5"/>
        <v>1.81</v>
      </c>
    </row>
    <row r="348" ht="12.75" customHeight="1">
      <c r="A348" s="29">
        <v>37956.0</v>
      </c>
      <c r="B348" s="26">
        <v>12.45</v>
      </c>
      <c r="C348" s="23">
        <v>37926.0</v>
      </c>
      <c r="D348" s="22">
        <v>138.0</v>
      </c>
      <c r="E348" s="1">
        <f t="shared" si="2"/>
        <v>13.8</v>
      </c>
      <c r="F348" s="23">
        <v>37926.0</v>
      </c>
      <c r="G348" s="22">
        <v>150.0</v>
      </c>
      <c r="H348" s="1">
        <f t="shared" si="3"/>
        <v>15</v>
      </c>
      <c r="I348" s="1">
        <f t="shared" si="4"/>
        <v>14.4</v>
      </c>
      <c r="J348" s="1">
        <f t="shared" si="5"/>
        <v>1.95</v>
      </c>
    </row>
    <row r="349" ht="12.75" customHeight="1">
      <c r="A349" s="29">
        <v>37926.0</v>
      </c>
      <c r="B349" s="26">
        <v>12.54</v>
      </c>
      <c r="C349" s="23">
        <v>37895.0</v>
      </c>
      <c r="D349" s="22">
        <v>138.0</v>
      </c>
      <c r="E349" s="1">
        <f t="shared" si="2"/>
        <v>13.8</v>
      </c>
      <c r="F349" s="23">
        <v>37895.0</v>
      </c>
      <c r="G349" s="22">
        <v>158.0</v>
      </c>
      <c r="H349" s="1">
        <f t="shared" si="3"/>
        <v>15.8</v>
      </c>
      <c r="I349" s="1">
        <f t="shared" si="4"/>
        <v>14.8</v>
      </c>
      <c r="J349" s="1">
        <f t="shared" si="5"/>
        <v>2.26</v>
      </c>
    </row>
    <row r="350" ht="12.75" customHeight="1">
      <c r="A350" s="29">
        <v>37895.0</v>
      </c>
      <c r="B350" s="26">
        <v>10.47</v>
      </c>
      <c r="C350" s="23">
        <v>37865.0</v>
      </c>
      <c r="D350" s="22">
        <v>133.0</v>
      </c>
      <c r="E350" s="1">
        <f t="shared" si="2"/>
        <v>13.3</v>
      </c>
      <c r="F350" s="23">
        <v>37865.0</v>
      </c>
      <c r="G350" s="22">
        <v>158.0</v>
      </c>
      <c r="H350" s="1">
        <f t="shared" si="3"/>
        <v>15.8</v>
      </c>
      <c r="I350" s="1">
        <f t="shared" si="4"/>
        <v>14.55</v>
      </c>
      <c r="J350" s="1">
        <f t="shared" si="5"/>
        <v>4.08</v>
      </c>
    </row>
    <row r="351" ht="12.75" customHeight="1">
      <c r="A351" s="27">
        <v>37865.0</v>
      </c>
      <c r="B351" s="26">
        <v>10.08</v>
      </c>
      <c r="C351" s="23">
        <v>37834.0</v>
      </c>
      <c r="D351" s="22">
        <v>133.0</v>
      </c>
      <c r="E351" s="1">
        <f t="shared" si="2"/>
        <v>13.3</v>
      </c>
      <c r="F351" s="23">
        <v>37834.0</v>
      </c>
      <c r="G351" s="22">
        <v>158.0</v>
      </c>
      <c r="H351" s="1">
        <f t="shared" si="3"/>
        <v>15.8</v>
      </c>
      <c r="I351" s="1">
        <f t="shared" si="4"/>
        <v>14.55</v>
      </c>
      <c r="J351" s="1">
        <f t="shared" si="5"/>
        <v>4.47</v>
      </c>
    </row>
    <row r="352" ht="12.75" customHeight="1">
      <c r="A352" s="27">
        <v>37834.0</v>
      </c>
      <c r="B352" s="26">
        <v>12.9</v>
      </c>
      <c r="C352" s="23">
        <v>37803.0</v>
      </c>
      <c r="D352" s="22">
        <v>152.0</v>
      </c>
      <c r="E352" s="1">
        <f t="shared" si="2"/>
        <v>15.2</v>
      </c>
      <c r="F352" s="23">
        <v>37803.0</v>
      </c>
      <c r="G352" s="22">
        <v>158.0</v>
      </c>
      <c r="H352" s="1">
        <f t="shared" si="3"/>
        <v>15.8</v>
      </c>
      <c r="I352" s="1">
        <f t="shared" si="4"/>
        <v>15.5</v>
      </c>
      <c r="J352" s="1">
        <f t="shared" si="5"/>
        <v>2.6</v>
      </c>
    </row>
    <row r="353" ht="12.75" customHeight="1">
      <c r="A353" s="27">
        <v>37803.0</v>
      </c>
      <c r="B353" s="26">
        <v>13.5</v>
      </c>
      <c r="C353" s="23">
        <v>37773.0</v>
      </c>
      <c r="D353" s="22">
        <v>152.0</v>
      </c>
      <c r="E353" s="1">
        <f t="shared" si="2"/>
        <v>15.2</v>
      </c>
      <c r="F353" s="23">
        <v>37773.0</v>
      </c>
      <c r="G353" s="22">
        <v>158.0</v>
      </c>
      <c r="H353" s="1">
        <f t="shared" si="3"/>
        <v>15.8</v>
      </c>
      <c r="I353" s="1">
        <f t="shared" si="4"/>
        <v>15.5</v>
      </c>
      <c r="J353" s="1">
        <f t="shared" si="5"/>
        <v>2</v>
      </c>
    </row>
    <row r="354" ht="12.75" customHeight="1">
      <c r="A354" s="27">
        <v>37773.0</v>
      </c>
      <c r="B354" s="26">
        <v>13.12</v>
      </c>
      <c r="C354" s="23">
        <v>37742.0</v>
      </c>
      <c r="D354" s="22">
        <v>162.0</v>
      </c>
      <c r="E354" s="1">
        <f t="shared" si="2"/>
        <v>16.2</v>
      </c>
      <c r="F354" s="23">
        <v>37742.0</v>
      </c>
      <c r="G354" s="22">
        <v>162.0</v>
      </c>
      <c r="H354" s="1">
        <f t="shared" si="3"/>
        <v>16.2</v>
      </c>
      <c r="I354" s="1">
        <f t="shared" si="4"/>
        <v>16.2</v>
      </c>
      <c r="J354" s="1">
        <f t="shared" si="5"/>
        <v>3.08</v>
      </c>
    </row>
    <row r="355" ht="12.75" customHeight="1">
      <c r="A355" s="27">
        <v>37742.0</v>
      </c>
      <c r="B355" s="26">
        <v>12.74</v>
      </c>
      <c r="C355" s="23">
        <v>37712.0</v>
      </c>
      <c r="D355" s="22">
        <v>169.0</v>
      </c>
      <c r="E355" s="1">
        <f t="shared" si="2"/>
        <v>16.9</v>
      </c>
      <c r="F355" s="23">
        <v>37712.0</v>
      </c>
      <c r="G355" s="22">
        <v>155.0</v>
      </c>
      <c r="H355" s="1">
        <f t="shared" si="3"/>
        <v>15.5</v>
      </c>
      <c r="I355" s="1">
        <f t="shared" si="4"/>
        <v>16.2</v>
      </c>
      <c r="J355" s="1">
        <f t="shared" si="5"/>
        <v>3.46</v>
      </c>
    </row>
    <row r="356" ht="12.75" customHeight="1">
      <c r="A356" s="27">
        <v>37712.0</v>
      </c>
      <c r="B356" s="26">
        <v>12.51</v>
      </c>
      <c r="C356" s="23">
        <v>37681.0</v>
      </c>
      <c r="D356" s="22">
        <v>180.0</v>
      </c>
      <c r="E356" s="1">
        <f t="shared" si="2"/>
        <v>18</v>
      </c>
      <c r="F356" s="23">
        <v>37681.0</v>
      </c>
      <c r="G356" s="22">
        <v>155.0</v>
      </c>
      <c r="H356" s="1">
        <f t="shared" si="3"/>
        <v>15.5</v>
      </c>
      <c r="I356" s="1">
        <f t="shared" si="4"/>
        <v>16.75</v>
      </c>
      <c r="J356" s="1">
        <f t="shared" si="5"/>
        <v>4.24</v>
      </c>
    </row>
    <row r="357" ht="12.75" customHeight="1">
      <c r="A357" s="27">
        <v>37681.0</v>
      </c>
      <c r="B357" s="26">
        <v>11.42</v>
      </c>
      <c r="C357" s="23">
        <v>37653.0</v>
      </c>
      <c r="D357" s="22">
        <v>180.0</v>
      </c>
      <c r="E357" s="1">
        <f t="shared" si="2"/>
        <v>18</v>
      </c>
      <c r="F357" s="23">
        <v>37653.0</v>
      </c>
      <c r="G357" s="22">
        <v>155.0</v>
      </c>
      <c r="H357" s="1">
        <f t="shared" si="3"/>
        <v>15.5</v>
      </c>
      <c r="I357" s="1">
        <f t="shared" si="4"/>
        <v>16.75</v>
      </c>
      <c r="J357" s="1">
        <f t="shared" si="5"/>
        <v>5.33</v>
      </c>
    </row>
    <row r="358" ht="12.75" customHeight="1">
      <c r="A358" s="27">
        <v>37653.0</v>
      </c>
      <c r="B358" s="26">
        <v>12.41</v>
      </c>
      <c r="C358" s="23">
        <v>37622.0</v>
      </c>
      <c r="D358" s="22">
        <v>180.0</v>
      </c>
      <c r="E358" s="1">
        <f t="shared" si="2"/>
        <v>18</v>
      </c>
      <c r="F358" s="23">
        <v>37622.0</v>
      </c>
      <c r="G358" s="22">
        <v>155.0</v>
      </c>
      <c r="H358" s="1">
        <f t="shared" si="3"/>
        <v>15.5</v>
      </c>
      <c r="I358" s="1">
        <f t="shared" si="4"/>
        <v>16.75</v>
      </c>
      <c r="J358" s="1">
        <f t="shared" si="5"/>
        <v>4.34</v>
      </c>
    </row>
    <row r="359" ht="12.75" customHeight="1">
      <c r="A359" s="27">
        <v>37622.0</v>
      </c>
      <c r="B359" s="26">
        <v>12.81</v>
      </c>
      <c r="C359" s="23">
        <v>37591.0</v>
      </c>
      <c r="D359" s="22">
        <v>180.0</v>
      </c>
      <c r="E359" s="1">
        <f t="shared" si="2"/>
        <v>18</v>
      </c>
      <c r="F359" s="23">
        <v>37591.0</v>
      </c>
      <c r="G359" s="22">
        <v>155.0</v>
      </c>
      <c r="H359" s="1">
        <f t="shared" si="3"/>
        <v>15.5</v>
      </c>
      <c r="I359" s="1">
        <f t="shared" si="4"/>
        <v>16.75</v>
      </c>
      <c r="J359" s="1">
        <f t="shared" si="5"/>
        <v>3.94</v>
      </c>
    </row>
    <row r="360" ht="12.75" customHeight="1">
      <c r="A360" s="29">
        <v>37591.0</v>
      </c>
      <c r="B360" s="26">
        <v>13.31</v>
      </c>
      <c r="C360" s="23">
        <v>37561.0</v>
      </c>
      <c r="D360" s="22">
        <v>180.0</v>
      </c>
      <c r="E360" s="1">
        <f t="shared" si="2"/>
        <v>18</v>
      </c>
      <c r="F360" s="23">
        <v>37561.0</v>
      </c>
      <c r="G360" s="22">
        <v>155.0</v>
      </c>
      <c r="H360" s="1">
        <f t="shared" si="3"/>
        <v>15.5</v>
      </c>
      <c r="I360" s="1">
        <f t="shared" si="4"/>
        <v>16.75</v>
      </c>
      <c r="J360" s="1">
        <f t="shared" si="5"/>
        <v>3.44</v>
      </c>
    </row>
    <row r="361" ht="12.75" customHeight="1">
      <c r="A361" s="29">
        <v>37561.0</v>
      </c>
      <c r="B361" s="26">
        <v>12.55</v>
      </c>
      <c r="C361" s="23">
        <v>37530.0</v>
      </c>
      <c r="D361" s="22">
        <v>180.0</v>
      </c>
      <c r="E361" s="1">
        <f t="shared" si="2"/>
        <v>18</v>
      </c>
      <c r="F361" s="23">
        <v>37530.0</v>
      </c>
      <c r="G361" s="22">
        <v>162.0</v>
      </c>
      <c r="H361" s="1">
        <f t="shared" si="3"/>
        <v>16.2</v>
      </c>
      <c r="I361" s="1">
        <f t="shared" si="4"/>
        <v>17.1</v>
      </c>
      <c r="J361" s="1">
        <f t="shared" si="5"/>
        <v>4.55</v>
      </c>
    </row>
    <row r="362" ht="12.75" customHeight="1">
      <c r="A362" s="29">
        <v>37530.0</v>
      </c>
      <c r="B362" s="26">
        <v>11.98</v>
      </c>
      <c r="C362" s="23">
        <v>37500.0</v>
      </c>
      <c r="D362" s="22">
        <v>179.0</v>
      </c>
      <c r="E362" s="1">
        <f t="shared" si="2"/>
        <v>17.9</v>
      </c>
      <c r="F362" s="23">
        <v>37500.0</v>
      </c>
      <c r="G362" s="22">
        <v>162.0</v>
      </c>
      <c r="H362" s="1">
        <f t="shared" si="3"/>
        <v>16.2</v>
      </c>
      <c r="I362" s="1">
        <f t="shared" si="4"/>
        <v>17.05</v>
      </c>
      <c r="J362" s="1">
        <f t="shared" si="5"/>
        <v>5.07</v>
      </c>
    </row>
    <row r="363" ht="12.75" customHeight="1">
      <c r="A363" s="27">
        <v>37500.0</v>
      </c>
      <c r="B363" s="26">
        <v>11.61</v>
      </c>
      <c r="C363" s="23">
        <v>37469.0</v>
      </c>
      <c r="D363" s="22">
        <v>179.0</v>
      </c>
      <c r="E363" s="1">
        <f t="shared" si="2"/>
        <v>17.9</v>
      </c>
      <c r="F363" s="23">
        <v>37469.0</v>
      </c>
      <c r="G363" s="22">
        <v>162.0</v>
      </c>
      <c r="H363" s="1">
        <f t="shared" si="3"/>
        <v>16.2</v>
      </c>
      <c r="I363" s="1">
        <f t="shared" si="4"/>
        <v>17.05</v>
      </c>
      <c r="J363" s="1">
        <f t="shared" si="5"/>
        <v>5.44</v>
      </c>
    </row>
    <row r="364" ht="12.75" customHeight="1">
      <c r="A364" s="27">
        <v>37469.0</v>
      </c>
      <c r="B364" s="26">
        <v>12.92</v>
      </c>
      <c r="C364" s="23">
        <v>37438.0</v>
      </c>
      <c r="D364" s="22">
        <v>179.0</v>
      </c>
      <c r="E364" s="1">
        <f t="shared" si="2"/>
        <v>17.9</v>
      </c>
      <c r="F364" s="23">
        <v>37438.0</v>
      </c>
      <c r="G364" s="22">
        <v>162.0</v>
      </c>
      <c r="H364" s="1">
        <f t="shared" si="3"/>
        <v>16.2</v>
      </c>
      <c r="I364" s="1">
        <f t="shared" si="4"/>
        <v>17.05</v>
      </c>
      <c r="J364" s="1">
        <f t="shared" si="5"/>
        <v>4.13</v>
      </c>
    </row>
    <row r="365" ht="12.75" customHeight="1">
      <c r="A365" s="27">
        <v>37438.0</v>
      </c>
      <c r="B365" s="26">
        <v>13.28</v>
      </c>
      <c r="C365" s="23">
        <v>37408.0</v>
      </c>
      <c r="D365" s="22">
        <v>179.0</v>
      </c>
      <c r="E365" s="1">
        <f t="shared" si="2"/>
        <v>17.9</v>
      </c>
      <c r="F365" s="23">
        <v>37408.0</v>
      </c>
      <c r="G365" s="22">
        <v>162.0</v>
      </c>
      <c r="H365" s="1">
        <f t="shared" si="3"/>
        <v>16.2</v>
      </c>
      <c r="I365" s="1">
        <f t="shared" si="4"/>
        <v>17.05</v>
      </c>
      <c r="J365" s="1">
        <f t="shared" si="5"/>
        <v>3.77</v>
      </c>
    </row>
    <row r="366" ht="12.75" customHeight="1">
      <c r="A366" s="27">
        <v>37408.0</v>
      </c>
      <c r="B366" s="26">
        <v>12.87</v>
      </c>
      <c r="C366" s="23">
        <v>37377.0</v>
      </c>
      <c r="D366" s="22">
        <v>179.0</v>
      </c>
      <c r="E366" s="1">
        <f t="shared" si="2"/>
        <v>17.9</v>
      </c>
      <c r="F366" s="23">
        <v>37377.0</v>
      </c>
      <c r="G366" s="22">
        <v>162.0</v>
      </c>
      <c r="H366" s="1">
        <f t="shared" si="3"/>
        <v>16.2</v>
      </c>
      <c r="I366" s="1">
        <f t="shared" si="4"/>
        <v>17.05</v>
      </c>
      <c r="J366" s="1">
        <f t="shared" si="5"/>
        <v>4.18</v>
      </c>
    </row>
    <row r="367" ht="12.75" customHeight="1">
      <c r="A367" s="27">
        <v>37377.0</v>
      </c>
      <c r="B367" s="26">
        <v>12.82</v>
      </c>
      <c r="C367" s="23">
        <v>37347.0</v>
      </c>
      <c r="D367" s="22">
        <v>179.0</v>
      </c>
      <c r="E367" s="1">
        <f t="shared" si="2"/>
        <v>17.9</v>
      </c>
      <c r="F367" s="23">
        <v>37347.0</v>
      </c>
      <c r="G367" s="22">
        <v>161.0</v>
      </c>
      <c r="H367" s="1">
        <f t="shared" si="3"/>
        <v>16.1</v>
      </c>
      <c r="I367" s="1">
        <f t="shared" si="4"/>
        <v>17</v>
      </c>
      <c r="J367" s="1">
        <f t="shared" si="5"/>
        <v>4.18</v>
      </c>
    </row>
    <row r="368" ht="12.75" customHeight="1">
      <c r="A368" s="27">
        <v>37347.0</v>
      </c>
      <c r="B368" s="26">
        <v>12.05</v>
      </c>
      <c r="C368" s="23">
        <v>37316.0</v>
      </c>
      <c r="D368" s="22">
        <v>179.0</v>
      </c>
      <c r="E368" s="1">
        <f t="shared" si="2"/>
        <v>17.9</v>
      </c>
      <c r="F368" s="23">
        <v>37316.0</v>
      </c>
      <c r="G368" s="22">
        <v>160.0</v>
      </c>
      <c r="H368" s="1">
        <f t="shared" si="3"/>
        <v>16</v>
      </c>
      <c r="I368" s="1">
        <f t="shared" si="4"/>
        <v>16.95</v>
      </c>
      <c r="J368" s="1">
        <f t="shared" si="5"/>
        <v>4.9</v>
      </c>
    </row>
    <row r="369" ht="12.75" customHeight="1">
      <c r="A369" s="27">
        <v>37316.0</v>
      </c>
      <c r="B369" s="26">
        <v>12.58</v>
      </c>
      <c r="C369" s="23">
        <v>37288.0</v>
      </c>
      <c r="D369" s="22">
        <v>179.0</v>
      </c>
      <c r="E369" s="1">
        <f t="shared" si="2"/>
        <v>17.9</v>
      </c>
      <c r="F369" s="23">
        <v>37288.0</v>
      </c>
      <c r="G369" s="22">
        <v>160.0</v>
      </c>
      <c r="H369" s="1">
        <f t="shared" si="3"/>
        <v>16</v>
      </c>
      <c r="I369" s="1">
        <f t="shared" si="4"/>
        <v>16.95</v>
      </c>
      <c r="J369" s="1">
        <f t="shared" si="5"/>
        <v>4.37</v>
      </c>
    </row>
    <row r="370" ht="12.75" customHeight="1">
      <c r="A370" s="27">
        <v>37288.0</v>
      </c>
      <c r="B370" s="26">
        <v>12.58</v>
      </c>
      <c r="C370" s="23">
        <v>37257.0</v>
      </c>
      <c r="D370" s="22">
        <v>179.0</v>
      </c>
      <c r="E370" s="1">
        <f t="shared" si="2"/>
        <v>17.9</v>
      </c>
      <c r="F370" s="23">
        <v>37257.0</v>
      </c>
      <c r="G370" s="22">
        <v>160.0</v>
      </c>
      <c r="H370" s="1">
        <f t="shared" si="3"/>
        <v>16</v>
      </c>
      <c r="I370" s="1">
        <f t="shared" si="4"/>
        <v>16.95</v>
      </c>
      <c r="J370" s="1">
        <f t="shared" si="5"/>
        <v>4.37</v>
      </c>
    </row>
    <row r="371" ht="12.75" customHeight="1">
      <c r="A371" s="27">
        <v>37257.0</v>
      </c>
      <c r="B371" s="26">
        <v>13.03</v>
      </c>
      <c r="C371" s="23">
        <v>37226.0</v>
      </c>
      <c r="D371" s="22">
        <v>179.0</v>
      </c>
      <c r="E371" s="1">
        <f t="shared" si="2"/>
        <v>17.9</v>
      </c>
      <c r="F371" s="23">
        <v>37226.0</v>
      </c>
      <c r="G371" s="22">
        <v>160.0</v>
      </c>
      <c r="H371" s="1">
        <f t="shared" si="3"/>
        <v>16</v>
      </c>
      <c r="I371" s="1">
        <f t="shared" si="4"/>
        <v>16.95</v>
      </c>
      <c r="J371" s="1">
        <f t="shared" si="5"/>
        <v>3.92</v>
      </c>
    </row>
    <row r="372" ht="12.75" customHeight="1">
      <c r="A372" s="29">
        <v>37226.0</v>
      </c>
      <c r="B372" s="26">
        <v>12.26</v>
      </c>
      <c r="C372" s="23">
        <v>37196.0</v>
      </c>
      <c r="D372" s="22">
        <v>176.0</v>
      </c>
      <c r="E372" s="1">
        <f t="shared" si="2"/>
        <v>17.6</v>
      </c>
      <c r="F372" s="23">
        <v>37196.0</v>
      </c>
      <c r="G372" s="22">
        <v>160.0</v>
      </c>
      <c r="H372" s="1">
        <f t="shared" si="3"/>
        <v>16</v>
      </c>
      <c r="I372" s="1">
        <f t="shared" si="4"/>
        <v>16.8</v>
      </c>
      <c r="J372" s="1">
        <f t="shared" si="5"/>
        <v>4.54</v>
      </c>
    </row>
    <row r="373" ht="12.75" customHeight="1">
      <c r="A373" s="29">
        <v>37196.0</v>
      </c>
      <c r="B373" s="26">
        <v>12.12</v>
      </c>
      <c r="C373" s="23">
        <v>37165.0</v>
      </c>
      <c r="D373" s="22">
        <v>176.0</v>
      </c>
      <c r="E373" s="1">
        <f t="shared" si="2"/>
        <v>17.6</v>
      </c>
      <c r="F373" s="23">
        <v>37165.0</v>
      </c>
      <c r="G373" s="22">
        <v>168.0</v>
      </c>
      <c r="H373" s="1">
        <f t="shared" si="3"/>
        <v>16.8</v>
      </c>
      <c r="I373" s="1">
        <f t="shared" si="4"/>
        <v>17.2</v>
      </c>
      <c r="J373" s="1">
        <f t="shared" si="5"/>
        <v>5.08</v>
      </c>
    </row>
    <row r="374" ht="12.75" customHeight="1">
      <c r="A374" s="29">
        <v>37165.0</v>
      </c>
      <c r="B374" s="26">
        <v>12.49</v>
      </c>
      <c r="C374" s="23">
        <v>37135.0</v>
      </c>
      <c r="D374" s="22">
        <v>175.0</v>
      </c>
      <c r="E374" s="1">
        <f t="shared" si="2"/>
        <v>17.5</v>
      </c>
      <c r="F374" s="23">
        <v>37135.0</v>
      </c>
      <c r="G374" s="22">
        <v>168.0</v>
      </c>
      <c r="H374" s="1">
        <f t="shared" si="3"/>
        <v>16.8</v>
      </c>
      <c r="I374" s="1">
        <f t="shared" si="4"/>
        <v>17.15</v>
      </c>
      <c r="J374" s="1">
        <f t="shared" si="5"/>
        <v>4.66</v>
      </c>
    </row>
    <row r="375" ht="12.75" customHeight="1">
      <c r="A375" s="27">
        <v>37135.0</v>
      </c>
      <c r="B375" s="26">
        <v>12.87</v>
      </c>
      <c r="C375" s="23">
        <v>37104.0</v>
      </c>
      <c r="D375" s="22">
        <v>175.0</v>
      </c>
      <c r="E375" s="1">
        <f t="shared" si="2"/>
        <v>17.5</v>
      </c>
      <c r="F375" s="23">
        <v>37104.0</v>
      </c>
      <c r="G375" s="22">
        <v>168.0</v>
      </c>
      <c r="H375" s="1">
        <f t="shared" si="3"/>
        <v>16.8</v>
      </c>
      <c r="I375" s="1">
        <f t="shared" si="4"/>
        <v>17.15</v>
      </c>
      <c r="J375" s="1">
        <f t="shared" si="5"/>
        <v>4.28</v>
      </c>
    </row>
    <row r="376" ht="12.75" customHeight="1">
      <c r="A376" s="27">
        <v>37104.0</v>
      </c>
      <c r="B376" s="26">
        <v>12.8</v>
      </c>
      <c r="C376" s="23">
        <v>37073.0</v>
      </c>
      <c r="D376" s="22">
        <v>172.0</v>
      </c>
      <c r="E376" s="1">
        <f t="shared" si="2"/>
        <v>17.2</v>
      </c>
      <c r="F376" s="23">
        <v>37073.0</v>
      </c>
      <c r="G376" s="22">
        <v>168.0</v>
      </c>
      <c r="H376" s="1">
        <f t="shared" si="3"/>
        <v>16.8</v>
      </c>
      <c r="I376" s="1">
        <f t="shared" si="4"/>
        <v>17</v>
      </c>
      <c r="J376" s="1">
        <f t="shared" si="5"/>
        <v>4.2</v>
      </c>
    </row>
    <row r="377" ht="12.75" customHeight="1">
      <c r="A377" s="27">
        <v>37073.0</v>
      </c>
      <c r="B377" s="26">
        <v>13.05</v>
      </c>
      <c r="C377" s="23">
        <v>37043.0</v>
      </c>
      <c r="D377" s="22">
        <v>172.0</v>
      </c>
      <c r="E377" s="1">
        <f t="shared" si="2"/>
        <v>17.2</v>
      </c>
      <c r="F377" s="23">
        <v>37043.0</v>
      </c>
      <c r="G377" s="22">
        <v>168.0</v>
      </c>
      <c r="H377" s="1">
        <f t="shared" si="3"/>
        <v>16.8</v>
      </c>
      <c r="I377" s="1">
        <f t="shared" si="4"/>
        <v>17</v>
      </c>
      <c r="J377" s="1">
        <f t="shared" si="5"/>
        <v>3.95</v>
      </c>
    </row>
    <row r="378" ht="12.75" customHeight="1">
      <c r="A378" s="27">
        <v>37043.0</v>
      </c>
      <c r="B378" s="26">
        <v>12.87</v>
      </c>
      <c r="C378" s="23">
        <v>37012.0</v>
      </c>
      <c r="D378" s="22">
        <v>129.0</v>
      </c>
      <c r="E378" s="1">
        <f t="shared" si="2"/>
        <v>12.9</v>
      </c>
      <c r="F378" s="23">
        <v>37012.0</v>
      </c>
      <c r="G378" s="22">
        <v>125.0</v>
      </c>
      <c r="H378" s="1">
        <f t="shared" si="3"/>
        <v>12.5</v>
      </c>
      <c r="I378" s="1">
        <f t="shared" si="4"/>
        <v>12.7</v>
      </c>
      <c r="J378" s="1">
        <f t="shared" si="5"/>
        <v>-0.17</v>
      </c>
    </row>
    <row r="379" ht="12.75" customHeight="1">
      <c r="A379" s="27">
        <v>37012.0</v>
      </c>
      <c r="B379" s="26">
        <v>11.97</v>
      </c>
      <c r="C379" s="23">
        <v>36982.0</v>
      </c>
      <c r="D379" s="22">
        <v>126.0</v>
      </c>
      <c r="E379" s="1">
        <f t="shared" si="2"/>
        <v>12.6</v>
      </c>
      <c r="F379" s="23">
        <v>36982.0</v>
      </c>
      <c r="G379" s="22">
        <v>124.0</v>
      </c>
      <c r="H379" s="1">
        <f t="shared" si="3"/>
        <v>12.4</v>
      </c>
      <c r="I379" s="1">
        <f t="shared" si="4"/>
        <v>12.5</v>
      </c>
      <c r="J379" s="1">
        <f t="shared" si="5"/>
        <v>0.53</v>
      </c>
    </row>
    <row r="380" ht="12.75" customHeight="1">
      <c r="A380" s="27">
        <v>36982.0</v>
      </c>
      <c r="B380" s="26">
        <v>11.14</v>
      </c>
      <c r="C380" s="23">
        <v>36951.0</v>
      </c>
      <c r="D380" s="22">
        <v>125.0</v>
      </c>
      <c r="E380" s="1">
        <f t="shared" si="2"/>
        <v>12.5</v>
      </c>
      <c r="F380" s="23">
        <v>36951.0</v>
      </c>
      <c r="G380" s="22">
        <v>124.0</v>
      </c>
      <c r="H380" s="1">
        <f t="shared" si="3"/>
        <v>12.4</v>
      </c>
      <c r="I380" s="1">
        <f t="shared" si="4"/>
        <v>12.45</v>
      </c>
      <c r="J380" s="1">
        <f t="shared" si="5"/>
        <v>1.31</v>
      </c>
    </row>
    <row r="381" ht="12.75" customHeight="1">
      <c r="A381" s="27">
        <v>36951.0</v>
      </c>
      <c r="B381" s="26">
        <v>11.29</v>
      </c>
      <c r="C381" s="23">
        <v>36923.0</v>
      </c>
      <c r="D381" s="22">
        <v>125.0</v>
      </c>
      <c r="E381" s="1">
        <f t="shared" si="2"/>
        <v>12.5</v>
      </c>
      <c r="F381" s="23">
        <v>36923.0</v>
      </c>
      <c r="G381" s="22">
        <v>124.0</v>
      </c>
      <c r="H381" s="1">
        <f t="shared" si="3"/>
        <v>12.4</v>
      </c>
      <c r="I381" s="1">
        <f t="shared" si="4"/>
        <v>12.45</v>
      </c>
      <c r="J381" s="1">
        <f t="shared" si="5"/>
        <v>1.16</v>
      </c>
    </row>
    <row r="382" ht="12.75" customHeight="1">
      <c r="A382" s="27">
        <v>36923.0</v>
      </c>
      <c r="B382" s="26">
        <v>11.14</v>
      </c>
      <c r="C382" s="23">
        <v>36892.0</v>
      </c>
      <c r="D382" s="22">
        <v>124.0</v>
      </c>
      <c r="E382" s="1">
        <f t="shared" si="2"/>
        <v>12.4</v>
      </c>
      <c r="F382" s="23">
        <v>36892.0</v>
      </c>
      <c r="G382" s="22">
        <v>124.0</v>
      </c>
      <c r="H382" s="1">
        <f t="shared" si="3"/>
        <v>12.4</v>
      </c>
      <c r="I382" s="1">
        <f t="shared" si="4"/>
        <v>12.4</v>
      </c>
      <c r="J382" s="1">
        <f t="shared" si="5"/>
        <v>1.26</v>
      </c>
    </row>
    <row r="383" ht="12.75" customHeight="1">
      <c r="A383" s="27">
        <v>36892.0</v>
      </c>
      <c r="B383" s="26">
        <v>10.89</v>
      </c>
      <c r="C383" s="23">
        <v>36861.0</v>
      </c>
      <c r="D383" s="22">
        <v>116.0</v>
      </c>
      <c r="E383" s="1">
        <f t="shared" si="2"/>
        <v>11.6</v>
      </c>
      <c r="F383" s="23">
        <v>36861.0</v>
      </c>
      <c r="G383" s="22">
        <v>115.0</v>
      </c>
      <c r="H383" s="1">
        <f t="shared" si="3"/>
        <v>11.5</v>
      </c>
      <c r="I383" s="1">
        <f t="shared" si="4"/>
        <v>11.55</v>
      </c>
      <c r="J383" s="1">
        <f t="shared" si="5"/>
        <v>0.66</v>
      </c>
    </row>
    <row r="384" ht="12.75" customHeight="1">
      <c r="C384" s="23">
        <v>36831.0</v>
      </c>
      <c r="D384" s="22">
        <v>116.0</v>
      </c>
      <c r="E384" s="1">
        <f t="shared" si="2"/>
        <v>11.6</v>
      </c>
      <c r="F384" s="23">
        <v>36831.0</v>
      </c>
      <c r="G384" s="22">
        <v>115.0</v>
      </c>
      <c r="H384" s="1">
        <f t="shared" si="3"/>
        <v>11.5</v>
      </c>
      <c r="I384" s="1">
        <f t="shared" si="4"/>
        <v>11.55</v>
      </c>
    </row>
    <row r="385" ht="12.75" customHeight="1">
      <c r="C385" s="23">
        <v>36800.0</v>
      </c>
      <c r="D385" s="22">
        <v>116.0</v>
      </c>
      <c r="E385" s="1">
        <f t="shared" si="2"/>
        <v>11.6</v>
      </c>
      <c r="F385" s="23">
        <v>36800.0</v>
      </c>
      <c r="G385" s="22">
        <v>115.0</v>
      </c>
      <c r="H385" s="1">
        <f t="shared" si="3"/>
        <v>11.5</v>
      </c>
      <c r="I385" s="1">
        <f t="shared" si="4"/>
        <v>11.55</v>
      </c>
    </row>
    <row r="386" ht="12.75" customHeight="1">
      <c r="C386" s="23">
        <v>36770.0</v>
      </c>
      <c r="D386" s="22">
        <v>116.0</v>
      </c>
      <c r="E386" s="1">
        <f t="shared" si="2"/>
        <v>11.6</v>
      </c>
      <c r="F386" s="23">
        <v>36770.0</v>
      </c>
      <c r="G386" s="22">
        <v>115.0</v>
      </c>
      <c r="H386" s="1">
        <f t="shared" si="3"/>
        <v>11.5</v>
      </c>
      <c r="I386" s="1">
        <f t="shared" si="4"/>
        <v>11.55</v>
      </c>
    </row>
    <row r="387" ht="12.75" customHeight="1">
      <c r="C387" s="23">
        <v>36739.0</v>
      </c>
      <c r="D387" s="22">
        <v>116.0</v>
      </c>
      <c r="E387" s="1">
        <f t="shared" si="2"/>
        <v>11.6</v>
      </c>
      <c r="F387" s="23">
        <v>36739.0</v>
      </c>
      <c r="G387" s="22">
        <v>115.0</v>
      </c>
      <c r="H387" s="1">
        <f t="shared" si="3"/>
        <v>11.5</v>
      </c>
      <c r="I387" s="1">
        <f t="shared" si="4"/>
        <v>11.55</v>
      </c>
    </row>
    <row r="388" ht="12.75" customHeight="1">
      <c r="C388" s="23">
        <v>36708.0</v>
      </c>
      <c r="D388" s="22">
        <v>116.0</v>
      </c>
      <c r="E388" s="1">
        <f t="shared" si="2"/>
        <v>11.6</v>
      </c>
      <c r="F388" s="23">
        <v>36708.0</v>
      </c>
      <c r="G388" s="22">
        <v>115.0</v>
      </c>
      <c r="H388" s="1">
        <f t="shared" si="3"/>
        <v>11.5</v>
      </c>
      <c r="I388" s="1">
        <f t="shared" si="4"/>
        <v>11.55</v>
      </c>
    </row>
    <row r="389" ht="12.75" customHeight="1">
      <c r="C389" s="23">
        <v>36678.0</v>
      </c>
      <c r="D389" s="22">
        <v>116.0</v>
      </c>
      <c r="E389" s="1">
        <f t="shared" si="2"/>
        <v>11.6</v>
      </c>
      <c r="F389" s="23">
        <v>36678.0</v>
      </c>
      <c r="G389" s="22">
        <v>115.0</v>
      </c>
      <c r="H389" s="1">
        <f t="shared" si="3"/>
        <v>11.5</v>
      </c>
      <c r="I389" s="1">
        <f t="shared" si="4"/>
        <v>11.55</v>
      </c>
    </row>
    <row r="390" ht="12.75" customHeight="1">
      <c r="C390" s="23">
        <v>36647.0</v>
      </c>
      <c r="D390" s="22">
        <v>117.0</v>
      </c>
      <c r="E390" s="1">
        <f t="shared" si="2"/>
        <v>11.7</v>
      </c>
      <c r="F390" s="23">
        <v>36647.0</v>
      </c>
      <c r="G390" s="22">
        <v>115.0</v>
      </c>
      <c r="H390" s="1">
        <f t="shared" si="3"/>
        <v>11.5</v>
      </c>
      <c r="I390" s="1">
        <f t="shared" si="4"/>
        <v>11.6</v>
      </c>
    </row>
    <row r="391" ht="12.75" customHeight="1">
      <c r="C391" s="23">
        <v>36617.0</v>
      </c>
      <c r="D391" s="22">
        <v>116.0</v>
      </c>
      <c r="E391" s="1">
        <f t="shared" si="2"/>
        <v>11.6</v>
      </c>
      <c r="F391" s="23">
        <v>36617.0</v>
      </c>
      <c r="G391" s="22">
        <v>115.0</v>
      </c>
      <c r="H391" s="1">
        <f t="shared" si="3"/>
        <v>11.5</v>
      </c>
      <c r="I391" s="1">
        <f t="shared" si="4"/>
        <v>11.55</v>
      </c>
    </row>
    <row r="392" ht="12.75" customHeight="1">
      <c r="C392" s="23">
        <v>36586.0</v>
      </c>
      <c r="D392" s="22">
        <v>116.0</v>
      </c>
      <c r="E392" s="1">
        <f t="shared" si="2"/>
        <v>11.6</v>
      </c>
      <c r="F392" s="23">
        <v>36586.0</v>
      </c>
      <c r="G392" s="22">
        <v>115.0</v>
      </c>
      <c r="H392" s="1">
        <f t="shared" si="3"/>
        <v>11.5</v>
      </c>
      <c r="I392" s="1">
        <f t="shared" si="4"/>
        <v>11.55</v>
      </c>
    </row>
    <row r="393" ht="12.75" customHeight="1">
      <c r="C393" s="23">
        <v>36557.0</v>
      </c>
      <c r="D393" s="22">
        <v>116.0</v>
      </c>
      <c r="E393" s="1">
        <f t="shared" si="2"/>
        <v>11.6</v>
      </c>
      <c r="F393" s="23">
        <v>36557.0</v>
      </c>
      <c r="G393" s="22">
        <v>115.0</v>
      </c>
      <c r="H393" s="1">
        <f t="shared" si="3"/>
        <v>11.5</v>
      </c>
      <c r="I393" s="1">
        <f t="shared" si="4"/>
        <v>11.55</v>
      </c>
    </row>
    <row r="394" ht="12.75" customHeight="1">
      <c r="C394" s="23">
        <v>36526.0</v>
      </c>
      <c r="D394" s="22">
        <v>116.0</v>
      </c>
      <c r="E394" s="1">
        <f t="shared" si="2"/>
        <v>11.6</v>
      </c>
      <c r="F394" s="23">
        <v>36526.0</v>
      </c>
      <c r="G394" s="22">
        <v>115.0</v>
      </c>
      <c r="H394" s="1">
        <f t="shared" si="3"/>
        <v>11.5</v>
      </c>
      <c r="I394" s="1">
        <f t="shared" si="4"/>
        <v>11.55</v>
      </c>
    </row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</sheetData>
  <autoFilter ref="$F$81:$G$394">
    <sortState ref="F81:G394">
      <sortCondition descending="1" ref="F81:F394"/>
    </sortState>
  </autoFilter>
  <hyperlinks>
    <hyperlink r:id="rId1" ref="G10"/>
    <hyperlink r:id="rId2" ref="G11"/>
    <hyperlink r:id="rId3" ref="G15"/>
    <hyperlink r:id="rId4" ref="G16"/>
    <hyperlink r:id="rId5" ref="G17"/>
    <hyperlink r:id="rId6" ref="G18"/>
    <hyperlink r:id="rId7" ref="G19"/>
    <hyperlink r:id="rId8" ref="G20"/>
    <hyperlink r:id="rId9" location="0" ref="G24"/>
    <hyperlink r:id="rId10" ref="F42"/>
    <hyperlink r:id="rId11" ref="F43"/>
    <hyperlink r:id="rId12" ref="B58"/>
    <hyperlink r:id="rId13" ref="B59"/>
    <hyperlink r:id="rId14" ref="B60"/>
    <hyperlink r:id="rId15" ref="C63"/>
    <hyperlink r:id="rId16" ref="C65"/>
    <hyperlink r:id="rId17" ref="C66"/>
    <hyperlink r:id="rId18" ref="C67"/>
    <hyperlink r:id="rId19" location=":~:text=The%20California%20percent%20using%20public,fallen%201.2%25%20from%205.1%25." ref="C68"/>
    <hyperlink r:id="rId20" ref="C69"/>
    <hyperlink r:id="rId21" ref="D69"/>
    <hyperlink r:id="rId22" ref="C70"/>
    <hyperlink r:id="rId23" ref="C72"/>
    <hyperlink r:id="rId24" ref="C73"/>
    <hyperlink r:id="rId25" location="0" ref="C74"/>
    <hyperlink r:id="rId26" ref="C75"/>
    <hyperlink r:id="rId27" ref="C76"/>
    <hyperlink r:id="rId28" ref="C77"/>
    <hyperlink r:id="rId29" ref="C78"/>
    <hyperlink r:id="rId30" ref="C79"/>
    <hyperlink r:id="rId31" ref="C80"/>
    <hyperlink r:id="rId32" ref="C81"/>
    <hyperlink r:id="rId33" ref="C82"/>
    <hyperlink r:id="rId34" ref="C83"/>
    <hyperlink r:id="rId35" ref="B84"/>
    <hyperlink r:id="rId36" ref="C84"/>
    <hyperlink r:id="rId37" ref="E84"/>
    <hyperlink r:id="rId38" ref="F84"/>
    <hyperlink r:id="rId39" ref="C85"/>
    <hyperlink r:id="rId40" ref="E85"/>
    <hyperlink r:id="rId41" ref="C86"/>
    <hyperlink r:id="rId42" ref="A88"/>
    <hyperlink r:id="rId43" ref="B91"/>
  </hyperlinks>
  <printOptions/>
  <pageMargins bottom="0.75" footer="0.0" header="0.0" left="0.7" right="0.7" top="0.75"/>
  <pageSetup orientation="landscape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3.0"/>
    <col customWidth="1" min="11" max="11" width="16.0"/>
  </cols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>
      <c r="A2" s="5" t="s">
        <v>226</v>
      </c>
    </row>
    <row r="3">
      <c r="A3" s="5" t="s">
        <v>227</v>
      </c>
    </row>
    <row r="4">
      <c r="A4" s="5" t="s">
        <v>228</v>
      </c>
      <c r="B4" s="5">
        <v>1.609</v>
      </c>
    </row>
    <row r="7">
      <c r="A7" s="18" t="s">
        <v>229</v>
      </c>
      <c r="B7" s="26">
        <v>2000.0</v>
      </c>
      <c r="C7" s="26">
        <v>2001.0</v>
      </c>
      <c r="D7" s="26">
        <v>2002.0</v>
      </c>
      <c r="E7" s="26">
        <v>2003.0</v>
      </c>
      <c r="F7" s="26">
        <v>2004.0</v>
      </c>
      <c r="G7" s="26">
        <v>2005.0</v>
      </c>
      <c r="H7" s="26">
        <v>2006.0</v>
      </c>
      <c r="I7" s="26">
        <v>2007.0</v>
      </c>
      <c r="J7" s="26">
        <v>2008.0</v>
      </c>
      <c r="K7" s="26">
        <v>2009.0</v>
      </c>
      <c r="L7" s="26">
        <v>2010.0</v>
      </c>
      <c r="M7" s="26">
        <v>2011.0</v>
      </c>
      <c r="N7" s="26">
        <v>2012.0</v>
      </c>
      <c r="O7" s="26">
        <v>2013.0</v>
      </c>
      <c r="P7" s="26">
        <v>2014.0</v>
      </c>
      <c r="Q7" s="26">
        <v>2015.0</v>
      </c>
      <c r="R7" s="26">
        <v>2016.0</v>
      </c>
      <c r="S7" s="26">
        <v>2017.0</v>
      </c>
      <c r="T7" s="26">
        <v>2018.0</v>
      </c>
      <c r="U7" s="26">
        <v>2019.0</v>
      </c>
      <c r="V7" s="26">
        <v>2020.0</v>
      </c>
      <c r="W7" s="26">
        <v>2021.0</v>
      </c>
      <c r="X7" s="26">
        <v>2022.0</v>
      </c>
      <c r="Y7" s="5">
        <v>2023.0</v>
      </c>
      <c r="Z7" s="5">
        <v>2024.0</v>
      </c>
      <c r="AA7" s="5" t="s">
        <v>230</v>
      </c>
    </row>
    <row r="8">
      <c r="A8" s="18" t="s">
        <v>231</v>
      </c>
      <c r="B8" s="26" t="s">
        <v>232</v>
      </c>
      <c r="C8" s="26" t="s">
        <v>233</v>
      </c>
      <c r="D8" s="26" t="s">
        <v>234</v>
      </c>
      <c r="E8" s="26" t="s">
        <v>235</v>
      </c>
      <c r="F8" s="26" t="s">
        <v>236</v>
      </c>
      <c r="G8" s="26" t="s">
        <v>237</v>
      </c>
      <c r="H8" s="26" t="s">
        <v>238</v>
      </c>
      <c r="I8" s="26" t="s">
        <v>239</v>
      </c>
      <c r="J8" s="26" t="s">
        <v>240</v>
      </c>
      <c r="K8" s="26" t="s">
        <v>241</v>
      </c>
      <c r="L8" s="26" t="s">
        <v>242</v>
      </c>
      <c r="M8" s="26" t="s">
        <v>243</v>
      </c>
      <c r="N8" s="26" t="s">
        <v>244</v>
      </c>
      <c r="O8" s="26" t="s">
        <v>245</v>
      </c>
      <c r="P8" s="26" t="s">
        <v>246</v>
      </c>
      <c r="Q8" s="26" t="s">
        <v>247</v>
      </c>
      <c r="R8" s="26" t="s">
        <v>248</v>
      </c>
      <c r="S8" s="26" t="s">
        <v>249</v>
      </c>
      <c r="T8" s="26" t="s">
        <v>250</v>
      </c>
      <c r="U8" s="26" t="s">
        <v>251</v>
      </c>
      <c r="V8" s="26" t="s">
        <v>252</v>
      </c>
      <c r="W8" s="26" t="s">
        <v>253</v>
      </c>
      <c r="X8" s="26" t="s">
        <v>254</v>
      </c>
      <c r="AA8" s="9" t="s">
        <v>255</v>
      </c>
    </row>
    <row r="9">
      <c r="A9" s="17" t="s">
        <v>256</v>
      </c>
      <c r="B9" s="26" t="s">
        <v>257</v>
      </c>
      <c r="C9" s="26" t="s">
        <v>258</v>
      </c>
      <c r="D9" s="26" t="s">
        <v>259</v>
      </c>
      <c r="E9" s="26" t="s">
        <v>260</v>
      </c>
      <c r="F9" s="26" t="s">
        <v>261</v>
      </c>
      <c r="G9" s="26" t="s">
        <v>262</v>
      </c>
      <c r="H9" s="26" t="s">
        <v>263</v>
      </c>
      <c r="I9" s="26" t="s">
        <v>264</v>
      </c>
      <c r="J9" s="26" t="s">
        <v>265</v>
      </c>
      <c r="K9" s="26" t="s">
        <v>266</v>
      </c>
      <c r="L9" s="26" t="s">
        <v>267</v>
      </c>
      <c r="M9" s="26" t="s">
        <v>268</v>
      </c>
      <c r="N9" s="26" t="s">
        <v>269</v>
      </c>
      <c r="O9" s="26" t="s">
        <v>270</v>
      </c>
      <c r="P9" s="26" t="s">
        <v>271</v>
      </c>
      <c r="Q9" s="26" t="s">
        <v>272</v>
      </c>
      <c r="R9" s="26" t="s">
        <v>273</v>
      </c>
      <c r="S9" s="26" t="s">
        <v>274</v>
      </c>
      <c r="T9" s="26" t="s">
        <v>275</v>
      </c>
      <c r="U9" s="26" t="s">
        <v>276</v>
      </c>
      <c r="V9" s="26" t="s">
        <v>277</v>
      </c>
      <c r="W9" s="26" t="s">
        <v>278</v>
      </c>
      <c r="X9" s="26" t="s">
        <v>279</v>
      </c>
      <c r="AA9" s="9" t="s">
        <v>255</v>
      </c>
    </row>
    <row r="10">
      <c r="A10" s="17" t="s">
        <v>280</v>
      </c>
      <c r="B10" s="26" t="s">
        <v>281</v>
      </c>
      <c r="C10" s="26" t="s">
        <v>282</v>
      </c>
      <c r="D10" s="26" t="s">
        <v>283</v>
      </c>
      <c r="E10" s="26" t="s">
        <v>284</v>
      </c>
      <c r="F10" s="26" t="s">
        <v>285</v>
      </c>
      <c r="G10" s="26" t="s">
        <v>286</v>
      </c>
      <c r="H10" s="26" t="s">
        <v>287</v>
      </c>
      <c r="I10" s="26" t="s">
        <v>288</v>
      </c>
      <c r="J10" s="26" t="s">
        <v>289</v>
      </c>
      <c r="K10" s="26" t="s">
        <v>290</v>
      </c>
      <c r="L10" s="26" t="s">
        <v>291</v>
      </c>
      <c r="M10" s="26" t="s">
        <v>292</v>
      </c>
      <c r="N10" s="26" t="s">
        <v>293</v>
      </c>
      <c r="O10" s="26" t="s">
        <v>294</v>
      </c>
      <c r="P10" s="26" t="s">
        <v>295</v>
      </c>
      <c r="Q10" s="26" t="s">
        <v>296</v>
      </c>
      <c r="R10" s="26" t="s">
        <v>297</v>
      </c>
      <c r="S10" s="26" t="s">
        <v>298</v>
      </c>
      <c r="T10" s="26" t="s">
        <v>299</v>
      </c>
      <c r="U10" s="26" t="s">
        <v>300</v>
      </c>
      <c r="V10" s="26" t="s">
        <v>301</v>
      </c>
      <c r="W10" s="26" t="s">
        <v>302</v>
      </c>
      <c r="X10" s="26" t="s">
        <v>303</v>
      </c>
      <c r="AA10" s="9" t="s">
        <v>255</v>
      </c>
    </row>
    <row r="11">
      <c r="A11" s="17" t="s">
        <v>304</v>
      </c>
      <c r="B11" s="26" t="s">
        <v>305</v>
      </c>
      <c r="C11" s="26" t="s">
        <v>306</v>
      </c>
      <c r="D11" s="26" t="s">
        <v>307</v>
      </c>
      <c r="E11" s="26" t="s">
        <v>308</v>
      </c>
      <c r="F11" s="26" t="s">
        <v>309</v>
      </c>
      <c r="G11" s="26" t="s">
        <v>310</v>
      </c>
      <c r="H11" s="26" t="s">
        <v>311</v>
      </c>
      <c r="I11" s="26" t="s">
        <v>312</v>
      </c>
      <c r="J11" s="26" t="s">
        <v>313</v>
      </c>
      <c r="K11" s="26" t="s">
        <v>314</v>
      </c>
      <c r="L11" s="26" t="s">
        <v>315</v>
      </c>
      <c r="M11" s="26" t="s">
        <v>316</v>
      </c>
      <c r="N11" s="26" t="s">
        <v>317</v>
      </c>
      <c r="O11" s="26" t="s">
        <v>318</v>
      </c>
      <c r="P11" s="26" t="s">
        <v>319</v>
      </c>
      <c r="Q11" s="26" t="s">
        <v>320</v>
      </c>
      <c r="R11" s="26" t="s">
        <v>321</v>
      </c>
      <c r="S11" s="26" t="s">
        <v>322</v>
      </c>
      <c r="T11" s="26" t="s">
        <v>323</v>
      </c>
      <c r="U11" s="26" t="s">
        <v>324</v>
      </c>
      <c r="V11" s="26" t="s">
        <v>325</v>
      </c>
      <c r="W11" s="26" t="s">
        <v>326</v>
      </c>
      <c r="X11" s="26" t="s">
        <v>327</v>
      </c>
      <c r="AA11" s="9" t="s">
        <v>255</v>
      </c>
    </row>
    <row r="12">
      <c r="A12" s="17" t="s">
        <v>328</v>
      </c>
      <c r="B12" s="26" t="s">
        <v>329</v>
      </c>
      <c r="C12" s="26" t="s">
        <v>330</v>
      </c>
      <c r="D12" s="26" t="s">
        <v>331</v>
      </c>
      <c r="E12" s="26" t="s">
        <v>332</v>
      </c>
      <c r="F12" s="26" t="s">
        <v>333</v>
      </c>
      <c r="G12" s="26" t="s">
        <v>334</v>
      </c>
      <c r="H12" s="26" t="s">
        <v>335</v>
      </c>
      <c r="I12" s="26" t="s">
        <v>336</v>
      </c>
      <c r="J12" s="26" t="s">
        <v>337</v>
      </c>
      <c r="K12" s="26" t="s">
        <v>338</v>
      </c>
      <c r="L12" s="26" t="s">
        <v>339</v>
      </c>
      <c r="M12" s="26" t="s">
        <v>340</v>
      </c>
      <c r="N12" s="26" t="s">
        <v>341</v>
      </c>
      <c r="O12" s="26" t="s">
        <v>342</v>
      </c>
      <c r="P12" s="26" t="s">
        <v>343</v>
      </c>
      <c r="Q12" s="26" t="s">
        <v>344</v>
      </c>
      <c r="R12" s="26" t="s">
        <v>345</v>
      </c>
      <c r="S12" s="26" t="s">
        <v>346</v>
      </c>
      <c r="T12" s="26" t="s">
        <v>347</v>
      </c>
      <c r="U12" s="26" t="s">
        <v>348</v>
      </c>
      <c r="V12" s="26" t="s">
        <v>349</v>
      </c>
      <c r="W12" s="26" t="s">
        <v>350</v>
      </c>
      <c r="X12" s="26" t="s">
        <v>351</v>
      </c>
      <c r="Z12" s="16">
        <v>1586413.0</v>
      </c>
      <c r="AA12" s="9" t="s">
        <v>255</v>
      </c>
    </row>
    <row r="13">
      <c r="A13" s="5" t="s">
        <v>352</v>
      </c>
      <c r="B13" s="1">
        <f t="shared" ref="B13:X13" si="1">B11/B12</f>
        <v>1.303803405</v>
      </c>
      <c r="C13" s="1">
        <f t="shared" si="1"/>
        <v>1.330944113</v>
      </c>
      <c r="D13" s="1">
        <f t="shared" si="1"/>
        <v>1.322566399</v>
      </c>
      <c r="E13" s="1">
        <f t="shared" si="1"/>
        <v>1.335026063</v>
      </c>
      <c r="F13" s="1">
        <f t="shared" si="1"/>
        <v>1.379529836</v>
      </c>
      <c r="G13" s="1">
        <f t="shared" si="1"/>
        <v>1.418917263</v>
      </c>
      <c r="H13" s="1">
        <f t="shared" si="1"/>
        <v>1.441364748</v>
      </c>
      <c r="I13" s="1">
        <f t="shared" si="1"/>
        <v>1.446061976</v>
      </c>
      <c r="J13" s="1">
        <f t="shared" si="1"/>
        <v>1.412926429</v>
      </c>
      <c r="K13" s="1">
        <f t="shared" si="1"/>
        <v>1.454065669</v>
      </c>
      <c r="L13" s="1">
        <f t="shared" si="1"/>
        <v>1.305668934</v>
      </c>
      <c r="M13" s="1">
        <f t="shared" si="1"/>
        <v>1.223003278</v>
      </c>
      <c r="N13" s="1">
        <f t="shared" si="1"/>
        <v>1.144669784</v>
      </c>
      <c r="O13" s="1">
        <f t="shared" si="1"/>
        <v>1.151074553</v>
      </c>
      <c r="P13" s="1">
        <f t="shared" si="1"/>
        <v>1.15609761</v>
      </c>
      <c r="Q13" s="1">
        <f t="shared" si="1"/>
        <v>1.152395104</v>
      </c>
      <c r="R13" s="1">
        <f t="shared" si="1"/>
        <v>1.153499373</v>
      </c>
      <c r="S13" s="1">
        <f t="shared" si="1"/>
        <v>1.150053747</v>
      </c>
      <c r="T13" s="1">
        <f t="shared" si="1"/>
        <v>1.147300902</v>
      </c>
      <c r="U13" s="1">
        <f t="shared" si="1"/>
        <v>1.148220472</v>
      </c>
      <c r="V13" s="1">
        <f t="shared" si="1"/>
        <v>1.125640032</v>
      </c>
      <c r="W13" s="1">
        <f t="shared" si="1"/>
        <v>1.15625498</v>
      </c>
      <c r="X13" s="1">
        <f t="shared" si="1"/>
        <v>1.126194159</v>
      </c>
      <c r="Z13" s="30">
        <f>Z12/X12</f>
        <v>0.05741195305</v>
      </c>
    </row>
    <row r="14">
      <c r="A14" s="5" t="s">
        <v>353</v>
      </c>
      <c r="B14" s="1">
        <f t="shared" ref="B14:X14" si="2">B8/B$11</f>
        <v>47.36184869</v>
      </c>
      <c r="C14" s="1">
        <f t="shared" si="2"/>
        <v>46.7864558</v>
      </c>
      <c r="D14" s="1">
        <f t="shared" si="2"/>
        <v>46.52436735</v>
      </c>
      <c r="E14" s="1">
        <f t="shared" si="2"/>
        <v>43.88026572</v>
      </c>
      <c r="F14" s="1">
        <f t="shared" si="2"/>
        <v>41.23393123</v>
      </c>
      <c r="G14" s="1">
        <f t="shared" si="2"/>
        <v>41.79073572</v>
      </c>
      <c r="H14" s="1">
        <f t="shared" si="2"/>
        <v>42.37518521</v>
      </c>
      <c r="I14" s="1">
        <f t="shared" si="2"/>
        <v>42.48677018</v>
      </c>
      <c r="J14" s="1">
        <f t="shared" si="2"/>
        <v>43.57921322</v>
      </c>
      <c r="K14" s="1">
        <f t="shared" si="2"/>
        <v>42.81836709</v>
      </c>
      <c r="L14" s="1">
        <f t="shared" si="2"/>
        <v>45.25369565</v>
      </c>
      <c r="M14" s="1">
        <f t="shared" si="2"/>
        <v>47.53449756</v>
      </c>
      <c r="N14" s="1">
        <f t="shared" si="2"/>
        <v>51.22049094</v>
      </c>
      <c r="O14" s="1">
        <f t="shared" si="2"/>
        <v>51.35573938</v>
      </c>
      <c r="P14" s="1">
        <f t="shared" si="2"/>
        <v>50.84597564</v>
      </c>
      <c r="Q14" s="1">
        <f t="shared" si="2"/>
        <v>48.77979794</v>
      </c>
      <c r="R14" s="1">
        <f t="shared" si="2"/>
        <v>46.26422419</v>
      </c>
      <c r="S14" s="1">
        <f t="shared" si="2"/>
        <v>43.00796804</v>
      </c>
      <c r="T14" s="1">
        <f t="shared" si="2"/>
        <v>41.68204417</v>
      </c>
      <c r="U14" s="1">
        <f t="shared" si="2"/>
        <v>40.56033218</v>
      </c>
      <c r="V14" s="1">
        <f t="shared" si="2"/>
        <v>32.90626756</v>
      </c>
      <c r="W14" s="1">
        <f t="shared" si="2"/>
        <v>15.61271984</v>
      </c>
      <c r="X14" s="1">
        <f t="shared" si="2"/>
        <v>22.6764242</v>
      </c>
      <c r="Z14" s="30">
        <f>Z13/12</f>
        <v>0.004784329421</v>
      </c>
    </row>
    <row r="15">
      <c r="A15" s="5" t="s">
        <v>354</v>
      </c>
      <c r="B15" s="1">
        <f t="shared" ref="B15:X15" si="3">1000*B9/B$11</f>
        <v>519.1095216</v>
      </c>
      <c r="C15" s="1">
        <f t="shared" si="3"/>
        <v>510.4837516</v>
      </c>
      <c r="D15" s="1">
        <f t="shared" si="3"/>
        <v>519.4652956</v>
      </c>
      <c r="E15" s="1">
        <f t="shared" si="3"/>
        <v>507.7465769</v>
      </c>
      <c r="F15" s="1">
        <f t="shared" si="3"/>
        <v>496.1679767</v>
      </c>
      <c r="G15" s="1">
        <f t="shared" si="3"/>
        <v>480.6301997</v>
      </c>
      <c r="H15" s="1">
        <f t="shared" si="3"/>
        <v>467.4194429</v>
      </c>
      <c r="I15" s="1">
        <f t="shared" si="3"/>
        <v>453.8673049</v>
      </c>
      <c r="J15" s="1">
        <f t="shared" si="3"/>
        <v>441.6560792</v>
      </c>
      <c r="K15" s="1">
        <f t="shared" si="3"/>
        <v>423.2846429</v>
      </c>
      <c r="L15" s="1">
        <f t="shared" si="3"/>
        <v>469.3034111</v>
      </c>
      <c r="M15" s="1">
        <f t="shared" si="3"/>
        <v>489.2964249</v>
      </c>
      <c r="N15" s="1">
        <f t="shared" si="3"/>
        <v>513.3608041</v>
      </c>
      <c r="O15" s="1">
        <f t="shared" si="3"/>
        <v>505.857493</v>
      </c>
      <c r="P15" s="1">
        <f t="shared" si="3"/>
        <v>511.0429764</v>
      </c>
      <c r="Q15" s="1">
        <f t="shared" si="3"/>
        <v>482.2028349</v>
      </c>
      <c r="R15" s="1">
        <f t="shared" si="3"/>
        <v>481.128921</v>
      </c>
      <c r="S15" s="1">
        <f t="shared" si="3"/>
        <v>474.5413895</v>
      </c>
      <c r="T15" s="1">
        <f t="shared" si="3"/>
        <v>468.5689933</v>
      </c>
      <c r="U15" s="1">
        <f t="shared" si="3"/>
        <v>461.8830054</v>
      </c>
      <c r="V15" s="1">
        <f t="shared" si="3"/>
        <v>377.8910752</v>
      </c>
      <c r="W15" s="1">
        <f t="shared" si="3"/>
        <v>408.6929779</v>
      </c>
      <c r="X15" s="1">
        <f t="shared" si="3"/>
        <v>402.2200761</v>
      </c>
    </row>
    <row r="16">
      <c r="A16" s="5" t="s">
        <v>355</v>
      </c>
      <c r="B16" s="1">
        <f t="shared" ref="B16:X16" si="4">10^6*B10/B$11</f>
        <v>11071.19235</v>
      </c>
      <c r="C16" s="1">
        <f t="shared" si="4"/>
        <v>10791.32566</v>
      </c>
      <c r="D16" s="1">
        <f t="shared" si="4"/>
        <v>10835.82248</v>
      </c>
      <c r="E16" s="1">
        <f t="shared" si="4"/>
        <v>10697.93874</v>
      </c>
      <c r="F16" s="1">
        <f t="shared" si="4"/>
        <v>10475.19714</v>
      </c>
      <c r="G16" s="1">
        <f t="shared" si="4"/>
        <v>10135.1967</v>
      </c>
      <c r="H16" s="1">
        <f t="shared" si="4"/>
        <v>9869.128077</v>
      </c>
      <c r="I16" s="1">
        <f t="shared" si="4"/>
        <v>9674.619917</v>
      </c>
      <c r="J16" s="1">
        <f t="shared" si="4"/>
        <v>9774.674119</v>
      </c>
      <c r="K16" s="1">
        <f t="shared" si="4"/>
        <v>9423.634915</v>
      </c>
      <c r="L16" s="1">
        <f t="shared" si="4"/>
        <v>10409.75194</v>
      </c>
      <c r="M16" s="1">
        <f t="shared" si="4"/>
        <v>10994.52337</v>
      </c>
      <c r="N16" s="1">
        <f t="shared" si="4"/>
        <v>11777.84576</v>
      </c>
      <c r="O16" s="1">
        <f t="shared" si="4"/>
        <v>11737.64434</v>
      </c>
      <c r="P16" s="1">
        <f t="shared" si="4"/>
        <v>11603.20916</v>
      </c>
      <c r="Q16" s="1">
        <f t="shared" si="4"/>
        <v>11403.56251</v>
      </c>
      <c r="R16" s="1">
        <f t="shared" si="4"/>
        <v>11254.24799</v>
      </c>
      <c r="S16" s="1">
        <f t="shared" si="4"/>
        <v>11166.11578</v>
      </c>
      <c r="T16" s="1">
        <f t="shared" si="4"/>
        <v>11243.37638</v>
      </c>
      <c r="U16" s="1">
        <f t="shared" si="4"/>
        <v>10907.71288</v>
      </c>
      <c r="V16" s="1">
        <f t="shared" si="4"/>
        <v>9862.7944</v>
      </c>
      <c r="W16" s="1">
        <f t="shared" si="4"/>
        <v>9914.893815</v>
      </c>
      <c r="X16" s="1">
        <f t="shared" si="4"/>
        <v>10130.22351</v>
      </c>
    </row>
    <row r="17">
      <c r="A17" s="14" t="s">
        <v>356</v>
      </c>
      <c r="B17" s="31">
        <f t="shared" ref="B17:X17" si="5">$B$4*B16/12</f>
        <v>1484.462374</v>
      </c>
      <c r="C17" s="31">
        <f t="shared" si="5"/>
        <v>1446.936916</v>
      </c>
      <c r="D17" s="31">
        <f t="shared" si="5"/>
        <v>1452.903197</v>
      </c>
      <c r="E17" s="31">
        <f t="shared" si="5"/>
        <v>1434.415287</v>
      </c>
      <c r="F17" s="31">
        <f t="shared" si="5"/>
        <v>1404.549349</v>
      </c>
      <c r="G17" s="31">
        <f t="shared" si="5"/>
        <v>1358.960957</v>
      </c>
      <c r="H17" s="31">
        <f t="shared" si="5"/>
        <v>1323.28559</v>
      </c>
      <c r="I17" s="31">
        <f t="shared" si="5"/>
        <v>1297.205287</v>
      </c>
      <c r="J17" s="31">
        <f t="shared" si="5"/>
        <v>1310.620888</v>
      </c>
      <c r="K17" s="31">
        <f t="shared" si="5"/>
        <v>1263.552382</v>
      </c>
      <c r="L17" s="31">
        <f t="shared" si="5"/>
        <v>1395.77424</v>
      </c>
      <c r="M17" s="31">
        <f t="shared" si="5"/>
        <v>1474.182342</v>
      </c>
      <c r="N17" s="31">
        <f t="shared" si="5"/>
        <v>1579.212819</v>
      </c>
      <c r="O17" s="31">
        <f t="shared" si="5"/>
        <v>1573.822478</v>
      </c>
      <c r="P17" s="31">
        <f t="shared" si="5"/>
        <v>1555.796961</v>
      </c>
      <c r="Q17" s="31">
        <f t="shared" si="5"/>
        <v>1529.027673</v>
      </c>
      <c r="R17" s="31">
        <f t="shared" si="5"/>
        <v>1509.007085</v>
      </c>
      <c r="S17" s="31">
        <f t="shared" si="5"/>
        <v>1497.190025</v>
      </c>
      <c r="T17" s="31">
        <f t="shared" si="5"/>
        <v>1507.549383</v>
      </c>
      <c r="U17" s="31">
        <f t="shared" si="5"/>
        <v>1462.542502</v>
      </c>
      <c r="V17" s="31">
        <f t="shared" si="5"/>
        <v>1322.436349</v>
      </c>
      <c r="W17" s="31">
        <f t="shared" si="5"/>
        <v>1329.422012</v>
      </c>
      <c r="X17" s="31">
        <f t="shared" si="5"/>
        <v>1358.294135</v>
      </c>
    </row>
  </sheetData>
  <hyperlinks>
    <hyperlink r:id="rId1" ref="AA8"/>
    <hyperlink r:id="rId2" ref="AA9"/>
    <hyperlink r:id="rId3" ref="AA10"/>
    <hyperlink r:id="rId4" ref="AA11"/>
    <hyperlink r:id="rId5" ref="AA12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357</v>
      </c>
      <c r="B1" s="17" t="s">
        <v>358</v>
      </c>
      <c r="C1" s="17" t="s">
        <v>359</v>
      </c>
      <c r="D1" s="17" t="s">
        <v>360</v>
      </c>
      <c r="E1" s="17" t="s">
        <v>361</v>
      </c>
      <c r="F1" s="17" t="s">
        <v>362</v>
      </c>
      <c r="G1" s="17" t="s">
        <v>363</v>
      </c>
      <c r="H1" s="17" t="s">
        <v>364</v>
      </c>
      <c r="I1" s="17" t="s">
        <v>365</v>
      </c>
      <c r="J1" s="17" t="s">
        <v>366</v>
      </c>
      <c r="K1" s="17" t="s">
        <v>367</v>
      </c>
      <c r="L1" s="17" t="s">
        <v>368</v>
      </c>
      <c r="M1" s="17" t="s">
        <v>369</v>
      </c>
      <c r="N1" s="17" t="s">
        <v>370</v>
      </c>
      <c r="O1" s="17" t="s">
        <v>371</v>
      </c>
      <c r="P1" s="17" t="s">
        <v>372</v>
      </c>
      <c r="Q1" s="17" t="s">
        <v>373</v>
      </c>
      <c r="R1" s="17" t="s">
        <v>374</v>
      </c>
      <c r="S1" s="17" t="s">
        <v>375</v>
      </c>
      <c r="T1" s="17" t="s">
        <v>376</v>
      </c>
      <c r="U1" s="17" t="s">
        <v>377</v>
      </c>
      <c r="V1" s="17" t="s">
        <v>378</v>
      </c>
      <c r="W1" s="17" t="s">
        <v>379</v>
      </c>
      <c r="X1" s="17" t="s">
        <v>380</v>
      </c>
      <c r="Y1" s="17" t="s">
        <v>381</v>
      </c>
      <c r="Z1" s="17" t="s">
        <v>382</v>
      </c>
      <c r="AA1" s="17" t="s">
        <v>383</v>
      </c>
      <c r="AB1" s="17" t="s">
        <v>384</v>
      </c>
      <c r="AC1" s="17" t="s">
        <v>385</v>
      </c>
      <c r="AD1" s="17" t="s">
        <v>386</v>
      </c>
      <c r="AE1" s="17" t="s">
        <v>387</v>
      </c>
      <c r="AF1" s="17" t="s">
        <v>388</v>
      </c>
      <c r="AG1" s="17" t="s">
        <v>389</v>
      </c>
      <c r="AH1" s="17" t="s">
        <v>390</v>
      </c>
      <c r="AI1" s="17" t="s">
        <v>391</v>
      </c>
      <c r="AJ1" s="17" t="s">
        <v>392</v>
      </c>
      <c r="AK1" s="17" t="s">
        <v>393</v>
      </c>
      <c r="AL1" s="17" t="s">
        <v>394</v>
      </c>
      <c r="AM1" s="17" t="s">
        <v>395</v>
      </c>
      <c r="AN1" s="17" t="s">
        <v>396</v>
      </c>
      <c r="AO1" s="17" t="s">
        <v>397</v>
      </c>
      <c r="AP1" s="17" t="s">
        <v>398</v>
      </c>
      <c r="AQ1" s="17" t="s">
        <v>399</v>
      </c>
      <c r="AR1" s="17" t="s">
        <v>400</v>
      </c>
      <c r="AS1" s="32"/>
      <c r="AT1" s="17" t="s">
        <v>401</v>
      </c>
      <c r="AU1" s="17" t="s">
        <v>402</v>
      </c>
      <c r="AV1" s="17" t="s">
        <v>363</v>
      </c>
      <c r="AW1" s="17" t="s">
        <v>403</v>
      </c>
      <c r="AX1" s="17" t="s">
        <v>362</v>
      </c>
      <c r="AY1" s="17" t="s">
        <v>404</v>
      </c>
      <c r="AZ1" s="17" t="s">
        <v>405</v>
      </c>
      <c r="BA1" s="33"/>
      <c r="BB1" s="20" t="s">
        <v>406</v>
      </c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</row>
    <row r="2">
      <c r="A2" s="20" t="s">
        <v>407</v>
      </c>
      <c r="B2" s="20" t="s">
        <v>408</v>
      </c>
      <c r="C2" s="17" t="s">
        <v>409</v>
      </c>
      <c r="D2" s="17" t="s">
        <v>410</v>
      </c>
      <c r="E2" s="34" t="s">
        <v>411</v>
      </c>
      <c r="F2" s="26" t="s">
        <v>412</v>
      </c>
      <c r="G2" s="35">
        <v>102.0</v>
      </c>
      <c r="H2" s="17" t="s">
        <v>413</v>
      </c>
      <c r="I2" s="17" t="s">
        <v>414</v>
      </c>
      <c r="J2" s="17" t="s">
        <v>415</v>
      </c>
      <c r="K2" s="17" t="s">
        <v>416</v>
      </c>
      <c r="L2" s="26">
        <v>5.0</v>
      </c>
      <c r="M2" s="17" t="s">
        <v>417</v>
      </c>
      <c r="N2" s="17" t="s">
        <v>418</v>
      </c>
      <c r="O2" s="26">
        <v>1000.0</v>
      </c>
      <c r="P2" s="26">
        <v>-1.0</v>
      </c>
      <c r="Q2" s="17" t="s">
        <v>419</v>
      </c>
      <c r="R2" s="17" t="s">
        <v>420</v>
      </c>
      <c r="S2" s="17" t="s">
        <v>421</v>
      </c>
      <c r="T2" s="17" t="s">
        <v>422</v>
      </c>
      <c r="U2" s="17" t="s">
        <v>423</v>
      </c>
      <c r="V2" s="17" t="s">
        <v>424</v>
      </c>
      <c r="W2" s="17" t="s">
        <v>403</v>
      </c>
      <c r="X2" s="17" t="s">
        <v>425</v>
      </c>
      <c r="Y2" s="17" t="s">
        <v>404</v>
      </c>
      <c r="Z2" s="17" t="s">
        <v>426</v>
      </c>
      <c r="AA2" s="17" t="s">
        <v>401</v>
      </c>
      <c r="AB2" s="17" t="s">
        <v>427</v>
      </c>
      <c r="AC2" s="17" t="s">
        <v>428</v>
      </c>
      <c r="AD2" s="17" t="s">
        <v>429</v>
      </c>
      <c r="AE2" s="26">
        <v>730.0</v>
      </c>
      <c r="AF2" s="36">
        <v>40.97</v>
      </c>
      <c r="AG2" s="36">
        <v>40.99</v>
      </c>
      <c r="AH2" s="26" t="s">
        <v>430</v>
      </c>
      <c r="AI2" s="26">
        <v>42649.0</v>
      </c>
      <c r="AJ2" s="26">
        <v>42649.0</v>
      </c>
      <c r="AK2" s="26" t="s">
        <v>431</v>
      </c>
      <c r="AL2" s="26">
        <v>7170.0</v>
      </c>
      <c r="AM2" s="26">
        <v>1991.0</v>
      </c>
      <c r="AN2" s="32"/>
      <c r="AO2" s="32"/>
      <c r="AP2" s="32"/>
      <c r="AQ2" s="32"/>
      <c r="AR2" s="32"/>
      <c r="AS2" s="32"/>
      <c r="AT2" s="26">
        <v>137.0</v>
      </c>
      <c r="AU2" s="26" t="s">
        <v>432</v>
      </c>
      <c r="AV2" s="35">
        <v>102.0</v>
      </c>
      <c r="AW2" s="26">
        <v>201.0</v>
      </c>
      <c r="AX2" s="26" t="s">
        <v>412</v>
      </c>
      <c r="AY2" s="26">
        <v>420.0</v>
      </c>
      <c r="AZ2" s="37">
        <v>45297.0</v>
      </c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</row>
    <row r="3">
      <c r="A3" s="20" t="s">
        <v>433</v>
      </c>
      <c r="B3" s="20" t="s">
        <v>408</v>
      </c>
      <c r="C3" s="17" t="s">
        <v>434</v>
      </c>
      <c r="D3" s="17" t="s">
        <v>435</v>
      </c>
      <c r="E3" s="34" t="s">
        <v>436</v>
      </c>
      <c r="F3" s="26">
        <v>75.0</v>
      </c>
      <c r="G3" s="35">
        <v>87.0</v>
      </c>
      <c r="H3" s="17" t="s">
        <v>413</v>
      </c>
      <c r="I3" s="17" t="s">
        <v>414</v>
      </c>
      <c r="J3" s="17" t="s">
        <v>415</v>
      </c>
      <c r="K3" s="17" t="s">
        <v>416</v>
      </c>
      <c r="L3" s="26">
        <v>5.0</v>
      </c>
      <c r="M3" s="17" t="s">
        <v>417</v>
      </c>
      <c r="N3" s="17" t="s">
        <v>418</v>
      </c>
      <c r="O3" s="26">
        <v>1000.0</v>
      </c>
      <c r="P3" s="26">
        <v>-1.0</v>
      </c>
      <c r="Q3" s="17" t="s">
        <v>419</v>
      </c>
      <c r="R3" s="17" t="s">
        <v>420</v>
      </c>
      <c r="S3" s="17" t="s">
        <v>421</v>
      </c>
      <c r="T3" s="17" t="s">
        <v>422</v>
      </c>
      <c r="U3" s="17" t="s">
        <v>423</v>
      </c>
      <c r="V3" s="17" t="s">
        <v>437</v>
      </c>
      <c r="W3" s="17" t="s">
        <v>403</v>
      </c>
      <c r="X3" s="17" t="s">
        <v>425</v>
      </c>
      <c r="Y3" s="17" t="s">
        <v>438</v>
      </c>
      <c r="Z3" s="17" t="s">
        <v>439</v>
      </c>
      <c r="AA3" s="17" t="s">
        <v>440</v>
      </c>
      <c r="AB3" s="17" t="s">
        <v>441</v>
      </c>
      <c r="AC3" s="17" t="s">
        <v>428</v>
      </c>
      <c r="AD3" s="17" t="s">
        <v>442</v>
      </c>
      <c r="AE3" s="26">
        <v>840.0</v>
      </c>
      <c r="AF3" s="36">
        <v>44.99</v>
      </c>
      <c r="AG3" s="36">
        <v>45.99</v>
      </c>
      <c r="AH3" s="26" t="s">
        <v>443</v>
      </c>
      <c r="AI3" s="26">
        <v>47572.0</v>
      </c>
      <c r="AJ3" s="26">
        <v>47572.0</v>
      </c>
      <c r="AK3" s="26" t="s">
        <v>444</v>
      </c>
      <c r="AL3" s="26">
        <v>3612.0</v>
      </c>
      <c r="AM3" s="26">
        <v>3034.0</v>
      </c>
      <c r="AN3" s="32"/>
      <c r="AO3" s="32"/>
      <c r="AP3" s="32"/>
      <c r="AQ3" s="32"/>
      <c r="AR3" s="32"/>
      <c r="AS3" s="32"/>
      <c r="AT3" s="26">
        <v>138.0</v>
      </c>
      <c r="AU3" s="26" t="s">
        <v>445</v>
      </c>
      <c r="AV3" s="35">
        <v>87.0</v>
      </c>
      <c r="AW3" s="26">
        <v>201.0</v>
      </c>
      <c r="AX3" s="26">
        <v>75.0</v>
      </c>
      <c r="AY3" s="26">
        <v>545.0</v>
      </c>
      <c r="AZ3" s="37">
        <v>45327.0</v>
      </c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</row>
    <row r="4">
      <c r="A4" s="20" t="s">
        <v>446</v>
      </c>
      <c r="B4" s="20" t="s">
        <v>408</v>
      </c>
      <c r="C4" s="17" t="s">
        <v>447</v>
      </c>
      <c r="D4" s="17" t="s">
        <v>410</v>
      </c>
      <c r="E4" s="34" t="s">
        <v>411</v>
      </c>
      <c r="F4" s="26">
        <v>75.0</v>
      </c>
      <c r="G4" s="35">
        <v>101.0</v>
      </c>
      <c r="H4" s="17" t="s">
        <v>413</v>
      </c>
      <c r="I4" s="17" t="s">
        <v>414</v>
      </c>
      <c r="J4" s="17" t="s">
        <v>415</v>
      </c>
      <c r="K4" s="17" t="s">
        <v>416</v>
      </c>
      <c r="L4" s="26">
        <v>5.0</v>
      </c>
      <c r="M4" s="17" t="s">
        <v>417</v>
      </c>
      <c r="N4" s="17" t="s">
        <v>418</v>
      </c>
      <c r="O4" s="26">
        <v>1000.0</v>
      </c>
      <c r="P4" s="26">
        <v>-1.0</v>
      </c>
      <c r="Q4" s="17" t="s">
        <v>419</v>
      </c>
      <c r="R4" s="17" t="s">
        <v>420</v>
      </c>
      <c r="S4" s="17" t="s">
        <v>421</v>
      </c>
      <c r="T4" s="17" t="s">
        <v>422</v>
      </c>
      <c r="U4" s="17" t="s">
        <v>423</v>
      </c>
      <c r="V4" s="17" t="s">
        <v>448</v>
      </c>
      <c r="W4" s="17" t="s">
        <v>403</v>
      </c>
      <c r="X4" s="17" t="s">
        <v>425</v>
      </c>
      <c r="Y4" s="17" t="s">
        <v>404</v>
      </c>
      <c r="Z4" s="17" t="s">
        <v>449</v>
      </c>
      <c r="AA4" s="17" t="s">
        <v>401</v>
      </c>
      <c r="AB4" s="17" t="s">
        <v>450</v>
      </c>
      <c r="AC4" s="17" t="s">
        <v>428</v>
      </c>
      <c r="AD4" s="17" t="s">
        <v>451</v>
      </c>
      <c r="AE4" s="26">
        <v>810.0</v>
      </c>
      <c r="AF4" s="36">
        <v>49.99</v>
      </c>
      <c r="AG4" s="36">
        <v>50.99</v>
      </c>
      <c r="AH4" s="26" t="s">
        <v>452</v>
      </c>
      <c r="AI4" s="26">
        <v>52822.0</v>
      </c>
      <c r="AJ4" s="26">
        <v>52822.0</v>
      </c>
      <c r="AK4" s="26" t="s">
        <v>431</v>
      </c>
      <c r="AL4" s="26">
        <v>3902.0</v>
      </c>
      <c r="AM4" s="26">
        <v>1992.0</v>
      </c>
      <c r="AN4" s="32"/>
      <c r="AO4" s="32"/>
      <c r="AP4" s="32"/>
      <c r="AQ4" s="32"/>
      <c r="AR4" s="32"/>
      <c r="AS4" s="32"/>
      <c r="AT4" s="26">
        <v>143.0</v>
      </c>
      <c r="AU4" s="26" t="s">
        <v>453</v>
      </c>
      <c r="AV4" s="35">
        <v>101.0</v>
      </c>
      <c r="AW4" s="26">
        <v>201.0</v>
      </c>
      <c r="AX4" s="26">
        <v>75.0</v>
      </c>
      <c r="AY4" s="26">
        <v>525.0</v>
      </c>
      <c r="AZ4" s="37">
        <v>45386.0</v>
      </c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</row>
    <row r="5">
      <c r="A5" s="20" t="s">
        <v>454</v>
      </c>
      <c r="B5" s="20" t="s">
        <v>455</v>
      </c>
      <c r="C5" s="17" t="s">
        <v>456</v>
      </c>
      <c r="D5" s="17" t="s">
        <v>457</v>
      </c>
      <c r="E5" s="34" t="s">
        <v>436</v>
      </c>
      <c r="F5" s="26">
        <v>50.0</v>
      </c>
      <c r="G5" s="35">
        <v>134.0</v>
      </c>
      <c r="H5" s="17" t="s">
        <v>413</v>
      </c>
      <c r="I5" s="17" t="s">
        <v>414</v>
      </c>
      <c r="J5" s="17" t="s">
        <v>415</v>
      </c>
      <c r="K5" s="17" t="s">
        <v>416</v>
      </c>
      <c r="L5" s="26">
        <v>5.0</v>
      </c>
      <c r="M5" s="17" t="s">
        <v>417</v>
      </c>
      <c r="N5" s="17" t="s">
        <v>418</v>
      </c>
      <c r="O5" s="26">
        <v>750.0</v>
      </c>
      <c r="P5" s="26">
        <v>5.0</v>
      </c>
      <c r="Q5" s="26">
        <v>5.0</v>
      </c>
      <c r="R5" s="17" t="s">
        <v>419</v>
      </c>
      <c r="S5" s="17" t="s">
        <v>420</v>
      </c>
      <c r="T5" s="17" t="s">
        <v>421</v>
      </c>
      <c r="U5" s="17" t="s">
        <v>423</v>
      </c>
      <c r="V5" s="17" t="s">
        <v>458</v>
      </c>
      <c r="W5" s="17" t="s">
        <v>403</v>
      </c>
      <c r="X5" s="17" t="s">
        <v>459</v>
      </c>
      <c r="Y5" s="17" t="s">
        <v>438</v>
      </c>
      <c r="Z5" s="17" t="s">
        <v>460</v>
      </c>
      <c r="AA5" s="17" t="s">
        <v>440</v>
      </c>
      <c r="AB5" s="17" t="s">
        <v>461</v>
      </c>
      <c r="AC5" s="17" t="s">
        <v>428</v>
      </c>
      <c r="AD5" s="17" t="s">
        <v>462</v>
      </c>
      <c r="AE5" s="26">
        <v>780.0</v>
      </c>
      <c r="AF5" s="36">
        <v>43.9</v>
      </c>
      <c r="AG5" s="36">
        <v>45.895</v>
      </c>
      <c r="AH5" s="17" t="s">
        <v>463</v>
      </c>
      <c r="AI5" s="26">
        <v>44897.0</v>
      </c>
      <c r="AJ5" s="26">
        <v>44897.0</v>
      </c>
      <c r="AK5" s="26" t="s">
        <v>464</v>
      </c>
      <c r="AL5" s="26">
        <v>795.0</v>
      </c>
      <c r="AM5" s="26">
        <v>1717.0</v>
      </c>
      <c r="AN5" s="17" t="s">
        <v>465</v>
      </c>
      <c r="AO5" s="17" t="s">
        <v>422</v>
      </c>
      <c r="AP5" s="32"/>
      <c r="AQ5" s="32"/>
      <c r="AR5" s="32"/>
      <c r="AS5" s="32"/>
      <c r="AT5" s="26">
        <v>149.0</v>
      </c>
      <c r="AU5" s="26" t="s">
        <v>466</v>
      </c>
      <c r="AV5" s="35">
        <v>134.0</v>
      </c>
      <c r="AW5" s="26">
        <v>185.0</v>
      </c>
      <c r="AX5" s="26">
        <v>50.0</v>
      </c>
      <c r="AY5" s="26">
        <v>335.0</v>
      </c>
      <c r="AZ5" s="37">
        <v>45512.0</v>
      </c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</row>
    <row r="6">
      <c r="A6" s="20" t="s">
        <v>467</v>
      </c>
      <c r="B6" s="20" t="s">
        <v>455</v>
      </c>
      <c r="C6" s="17" t="s">
        <v>468</v>
      </c>
      <c r="D6" s="17" t="s">
        <v>469</v>
      </c>
      <c r="E6" s="34" t="s">
        <v>411</v>
      </c>
      <c r="F6" s="26">
        <v>74.0</v>
      </c>
      <c r="G6" s="35">
        <v>107.0</v>
      </c>
      <c r="H6" s="17" t="s">
        <v>413</v>
      </c>
      <c r="I6" s="17" t="s">
        <v>414</v>
      </c>
      <c r="J6" s="17" t="s">
        <v>415</v>
      </c>
      <c r="K6" s="17" t="s">
        <v>416</v>
      </c>
      <c r="L6" s="26">
        <v>5.0</v>
      </c>
      <c r="M6" s="17" t="s">
        <v>417</v>
      </c>
      <c r="N6" s="17" t="s">
        <v>418</v>
      </c>
      <c r="O6" s="26">
        <v>1500.0</v>
      </c>
      <c r="P6" s="26">
        <v>5.0</v>
      </c>
      <c r="Q6" s="26">
        <v>5.0</v>
      </c>
      <c r="R6" s="17" t="s">
        <v>419</v>
      </c>
      <c r="S6" s="17" t="s">
        <v>420</v>
      </c>
      <c r="T6" s="17" t="s">
        <v>421</v>
      </c>
      <c r="U6" s="17" t="s">
        <v>423</v>
      </c>
      <c r="V6" s="17" t="s">
        <v>470</v>
      </c>
      <c r="W6" s="17" t="s">
        <v>403</v>
      </c>
      <c r="X6" s="17" t="s">
        <v>459</v>
      </c>
      <c r="Y6" s="17" t="s">
        <v>404</v>
      </c>
      <c r="Z6" s="17" t="s">
        <v>471</v>
      </c>
      <c r="AA6" s="17" t="s">
        <v>401</v>
      </c>
      <c r="AB6" s="17" t="s">
        <v>461</v>
      </c>
      <c r="AC6" s="17" t="s">
        <v>428</v>
      </c>
      <c r="AD6" s="17" t="s">
        <v>472</v>
      </c>
      <c r="AE6" s="26">
        <v>1290.0</v>
      </c>
      <c r="AF6" s="36">
        <v>54.0</v>
      </c>
      <c r="AG6" s="36">
        <v>50.895</v>
      </c>
      <c r="AH6" s="26" t="s">
        <v>473</v>
      </c>
      <c r="AI6" s="26">
        <v>52997.0</v>
      </c>
      <c r="AJ6" s="26">
        <v>52997.0</v>
      </c>
      <c r="AK6" s="26" t="s">
        <v>464</v>
      </c>
      <c r="AL6" s="26">
        <v>1006.0</v>
      </c>
      <c r="AM6" s="26">
        <v>1718.0</v>
      </c>
      <c r="AN6" s="17" t="s">
        <v>465</v>
      </c>
      <c r="AO6" s="17" t="s">
        <v>422</v>
      </c>
      <c r="AP6" s="32"/>
      <c r="AQ6" s="32"/>
      <c r="AR6" s="32"/>
      <c r="AS6" s="32"/>
      <c r="AT6" s="26">
        <v>149.0</v>
      </c>
      <c r="AU6" s="26" t="s">
        <v>466</v>
      </c>
      <c r="AV6" s="35">
        <v>107.0</v>
      </c>
      <c r="AW6" s="26">
        <v>185.0</v>
      </c>
      <c r="AX6" s="26">
        <v>74.0</v>
      </c>
      <c r="AY6" s="26">
        <v>495.0</v>
      </c>
      <c r="AZ6" s="37">
        <v>45389.0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</row>
    <row r="7">
      <c r="A7" s="20" t="s">
        <v>474</v>
      </c>
      <c r="B7" s="20" t="s">
        <v>475</v>
      </c>
      <c r="C7" s="17" t="s">
        <v>476</v>
      </c>
      <c r="D7" s="17" t="s">
        <v>435</v>
      </c>
      <c r="E7" s="34" t="s">
        <v>477</v>
      </c>
      <c r="F7" s="26" t="s">
        <v>478</v>
      </c>
      <c r="G7" s="35">
        <v>107.0</v>
      </c>
      <c r="H7" s="17" t="s">
        <v>413</v>
      </c>
      <c r="I7" s="17" t="s">
        <v>414</v>
      </c>
      <c r="J7" s="17" t="s">
        <v>415</v>
      </c>
      <c r="K7" s="17" t="s">
        <v>416</v>
      </c>
      <c r="L7" s="26">
        <v>5.0</v>
      </c>
      <c r="M7" s="17" t="s">
        <v>417</v>
      </c>
      <c r="N7" s="32"/>
      <c r="O7" s="32"/>
      <c r="P7" s="26">
        <v>4.0</v>
      </c>
      <c r="Q7" s="26">
        <v>4.0</v>
      </c>
      <c r="R7" s="17" t="s">
        <v>419</v>
      </c>
      <c r="S7" s="17" t="s">
        <v>420</v>
      </c>
      <c r="T7" s="17" t="s">
        <v>421</v>
      </c>
      <c r="U7" s="17" t="s">
        <v>423</v>
      </c>
      <c r="V7" s="17" t="s">
        <v>479</v>
      </c>
      <c r="W7" s="17" t="s">
        <v>403</v>
      </c>
      <c r="X7" s="17" t="s">
        <v>480</v>
      </c>
      <c r="Y7" s="17" t="s">
        <v>438</v>
      </c>
      <c r="Z7" s="17" t="s">
        <v>481</v>
      </c>
      <c r="AA7" s="17" t="s">
        <v>440</v>
      </c>
      <c r="AB7" s="17" t="s">
        <v>461</v>
      </c>
      <c r="AC7" s="17" t="s">
        <v>428</v>
      </c>
      <c r="AD7" s="17" t="s">
        <v>482</v>
      </c>
      <c r="AE7" s="26">
        <v>490.0</v>
      </c>
      <c r="AF7" s="36">
        <v>34.8</v>
      </c>
      <c r="AG7" s="36">
        <v>38.165</v>
      </c>
      <c r="AH7" s="17" t="s">
        <v>463</v>
      </c>
      <c r="AI7" s="26">
        <v>36482.0</v>
      </c>
      <c r="AJ7" s="26">
        <v>36482.0</v>
      </c>
      <c r="AK7" s="26" t="s">
        <v>444</v>
      </c>
      <c r="AL7" s="26">
        <v>594.0</v>
      </c>
      <c r="AM7" s="26">
        <v>3050.0</v>
      </c>
      <c r="AN7" s="17" t="s">
        <v>465</v>
      </c>
      <c r="AO7" s="17" t="s">
        <v>422</v>
      </c>
      <c r="AP7" s="17" t="s">
        <v>483</v>
      </c>
      <c r="AQ7" s="32"/>
      <c r="AR7" s="32"/>
      <c r="AS7" s="32"/>
      <c r="AT7" s="26">
        <v>149.0</v>
      </c>
      <c r="AU7" s="26" t="s">
        <v>466</v>
      </c>
      <c r="AV7" s="35">
        <v>107.0</v>
      </c>
      <c r="AW7" s="26">
        <v>150.0</v>
      </c>
      <c r="AX7" s="26" t="s">
        <v>478</v>
      </c>
      <c r="AY7" s="26">
        <v>340.0</v>
      </c>
      <c r="AZ7" s="37">
        <v>45301.0</v>
      </c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</row>
    <row r="8">
      <c r="A8" s="20" t="s">
        <v>484</v>
      </c>
      <c r="B8" s="20" t="s">
        <v>485</v>
      </c>
      <c r="C8" s="17" t="s">
        <v>486</v>
      </c>
      <c r="D8" s="17" t="s">
        <v>487</v>
      </c>
      <c r="E8" s="34" t="s">
        <v>436</v>
      </c>
      <c r="F8" s="26">
        <v>25.0</v>
      </c>
      <c r="G8" s="35">
        <v>107.0</v>
      </c>
      <c r="H8" s="32"/>
      <c r="I8" s="32"/>
      <c r="J8" s="17" t="s">
        <v>415</v>
      </c>
      <c r="L8" s="26">
        <v>4.0</v>
      </c>
      <c r="M8" s="32"/>
      <c r="N8" s="32"/>
      <c r="O8" s="32"/>
      <c r="P8" s="26">
        <v>-1.0</v>
      </c>
      <c r="Q8" s="17" t="s">
        <v>419</v>
      </c>
      <c r="R8" s="17" t="s">
        <v>420</v>
      </c>
      <c r="S8" s="17" t="s">
        <v>421</v>
      </c>
      <c r="T8" s="17" t="s">
        <v>422</v>
      </c>
      <c r="U8" s="17" t="s">
        <v>488</v>
      </c>
      <c r="V8" s="17" t="s">
        <v>489</v>
      </c>
      <c r="W8" s="17" t="s">
        <v>403</v>
      </c>
      <c r="X8" s="17" t="s">
        <v>490</v>
      </c>
      <c r="Y8" s="17" t="s">
        <v>438</v>
      </c>
      <c r="Z8" s="17" t="s">
        <v>491</v>
      </c>
      <c r="AA8" s="17" t="s">
        <v>440</v>
      </c>
      <c r="AB8" s="17" t="s">
        <v>492</v>
      </c>
      <c r="AC8" s="17" t="s">
        <v>428</v>
      </c>
      <c r="AD8" s="17" t="s">
        <v>493</v>
      </c>
      <c r="AE8" s="26">
        <v>180.0</v>
      </c>
      <c r="AF8" s="36">
        <v>16.9</v>
      </c>
      <c r="AG8" s="36">
        <v>18.95</v>
      </c>
      <c r="AH8" s="26" t="s">
        <v>494</v>
      </c>
      <c r="AI8" s="26">
        <v>17698.0</v>
      </c>
      <c r="AJ8" s="26">
        <v>17698.0</v>
      </c>
      <c r="AK8" s="26" t="s">
        <v>495</v>
      </c>
      <c r="AL8" s="26">
        <v>758.0</v>
      </c>
      <c r="AM8" s="26">
        <v>2126.0</v>
      </c>
      <c r="AN8" s="32"/>
      <c r="AO8" s="32"/>
      <c r="AP8" s="32"/>
      <c r="AQ8" s="17" t="s">
        <v>496</v>
      </c>
      <c r="AS8" s="32"/>
      <c r="AT8" s="26">
        <v>152.0</v>
      </c>
      <c r="AU8" s="26" t="s">
        <v>497</v>
      </c>
      <c r="AV8" s="35">
        <v>107.0</v>
      </c>
      <c r="AW8" s="26">
        <v>125.0</v>
      </c>
      <c r="AX8" s="26">
        <v>25.0</v>
      </c>
      <c r="AY8" s="26">
        <v>165.0</v>
      </c>
      <c r="AZ8" s="37">
        <v>45310.0</v>
      </c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</row>
    <row r="9">
      <c r="A9" s="20" t="s">
        <v>498</v>
      </c>
      <c r="B9" s="20" t="s">
        <v>499</v>
      </c>
      <c r="C9" s="17" t="s">
        <v>500</v>
      </c>
      <c r="D9" s="17" t="s">
        <v>435</v>
      </c>
      <c r="E9" s="34" t="s">
        <v>477</v>
      </c>
      <c r="F9" s="26" t="s">
        <v>478</v>
      </c>
      <c r="G9" s="35">
        <v>107.0</v>
      </c>
      <c r="H9" s="17" t="s">
        <v>413</v>
      </c>
      <c r="I9" s="17" t="s">
        <v>414</v>
      </c>
      <c r="J9" s="17" t="s">
        <v>415</v>
      </c>
      <c r="L9" s="26">
        <v>5.0</v>
      </c>
      <c r="M9" s="17" t="s">
        <v>417</v>
      </c>
      <c r="N9" s="32"/>
      <c r="O9" s="32"/>
      <c r="P9" s="26">
        <v>4.0</v>
      </c>
      <c r="Q9" s="26">
        <v>4.0</v>
      </c>
      <c r="R9" s="17" t="s">
        <v>419</v>
      </c>
      <c r="S9" s="17" t="s">
        <v>420</v>
      </c>
      <c r="T9" s="17" t="s">
        <v>421</v>
      </c>
      <c r="U9" s="17" t="s">
        <v>423</v>
      </c>
      <c r="V9" s="17" t="s">
        <v>501</v>
      </c>
      <c r="W9" s="17" t="s">
        <v>403</v>
      </c>
      <c r="X9" s="17" t="s">
        <v>480</v>
      </c>
      <c r="Y9" s="17" t="s">
        <v>438</v>
      </c>
      <c r="Z9" s="17" t="s">
        <v>460</v>
      </c>
      <c r="AA9" s="17" t="s">
        <v>440</v>
      </c>
      <c r="AB9" s="17" t="s">
        <v>492</v>
      </c>
      <c r="AC9" s="17" t="s">
        <v>428</v>
      </c>
      <c r="AD9" s="17" t="s">
        <v>502</v>
      </c>
      <c r="AE9" s="26">
        <v>480.0</v>
      </c>
      <c r="AF9" s="36">
        <v>34.1</v>
      </c>
      <c r="AG9" s="36">
        <v>37.465</v>
      </c>
      <c r="AH9" s="17" t="s">
        <v>463</v>
      </c>
      <c r="AI9" s="26">
        <v>35782.0</v>
      </c>
      <c r="AJ9" s="26">
        <v>35782.0</v>
      </c>
      <c r="AK9" s="26" t="s">
        <v>444</v>
      </c>
      <c r="AL9" s="26">
        <v>280.0</v>
      </c>
      <c r="AM9" s="26">
        <v>3048.0</v>
      </c>
      <c r="AN9" s="17" t="s">
        <v>465</v>
      </c>
      <c r="AO9" s="17" t="s">
        <v>422</v>
      </c>
      <c r="AP9" s="17" t="s">
        <v>483</v>
      </c>
      <c r="AQ9" s="17" t="s">
        <v>496</v>
      </c>
      <c r="AS9" s="32"/>
      <c r="AT9" s="26">
        <v>152.0</v>
      </c>
      <c r="AU9" s="26" t="s">
        <v>497</v>
      </c>
      <c r="AV9" s="35">
        <v>107.0</v>
      </c>
      <c r="AW9" s="26">
        <v>150.0</v>
      </c>
      <c r="AX9" s="26" t="s">
        <v>478</v>
      </c>
      <c r="AY9" s="26">
        <v>335.0</v>
      </c>
      <c r="AZ9" s="26">
        <v>10.0</v>
      </c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</row>
    <row r="10">
      <c r="A10" s="20" t="s">
        <v>503</v>
      </c>
      <c r="B10" s="20" t="s">
        <v>504</v>
      </c>
      <c r="C10" s="17" t="s">
        <v>505</v>
      </c>
      <c r="D10" s="17" t="s">
        <v>506</v>
      </c>
      <c r="E10" s="34" t="s">
        <v>477</v>
      </c>
      <c r="F10" s="26" t="s">
        <v>507</v>
      </c>
      <c r="G10" s="35">
        <v>124.0</v>
      </c>
      <c r="H10" s="17" t="s">
        <v>413</v>
      </c>
      <c r="I10" s="17" t="s">
        <v>414</v>
      </c>
      <c r="J10" s="17" t="s">
        <v>415</v>
      </c>
      <c r="L10" s="26">
        <v>5.0</v>
      </c>
      <c r="M10" s="17" t="s">
        <v>417</v>
      </c>
      <c r="N10" s="32"/>
      <c r="O10" s="32"/>
      <c r="P10" s="26">
        <v>-1.0</v>
      </c>
      <c r="Q10" s="17" t="s">
        <v>419</v>
      </c>
      <c r="R10" s="17" t="s">
        <v>420</v>
      </c>
      <c r="S10" s="17" t="s">
        <v>421</v>
      </c>
      <c r="T10" s="17" t="s">
        <v>422</v>
      </c>
      <c r="U10" s="17" t="s">
        <v>423</v>
      </c>
      <c r="V10" s="17" t="s">
        <v>508</v>
      </c>
      <c r="W10" s="17" t="s">
        <v>403</v>
      </c>
      <c r="X10" s="17" t="s">
        <v>480</v>
      </c>
      <c r="Y10" s="17" t="s">
        <v>438</v>
      </c>
      <c r="Z10" s="17" t="s">
        <v>509</v>
      </c>
      <c r="AA10" s="17" t="s">
        <v>440</v>
      </c>
      <c r="AB10" s="17" t="s">
        <v>510</v>
      </c>
      <c r="AC10" s="17" t="s">
        <v>428</v>
      </c>
      <c r="AD10" s="17" t="s">
        <v>482</v>
      </c>
      <c r="AE10" s="26">
        <v>490.0</v>
      </c>
      <c r="AF10" s="36">
        <v>38.045</v>
      </c>
      <c r="AG10" s="36">
        <v>37.999</v>
      </c>
      <c r="AH10" s="26" t="s">
        <v>511</v>
      </c>
      <c r="AI10" s="26">
        <v>38946.0</v>
      </c>
      <c r="AJ10" s="26">
        <v>38946.0</v>
      </c>
      <c r="AK10" s="26" t="s">
        <v>431</v>
      </c>
      <c r="AL10" s="26">
        <v>452.0</v>
      </c>
      <c r="AM10" s="26">
        <v>1942.0</v>
      </c>
      <c r="AN10" s="32"/>
      <c r="AO10" s="32"/>
      <c r="AP10" s="32"/>
      <c r="AQ10" s="17" t="s">
        <v>496</v>
      </c>
      <c r="AR10" s="17" t="s">
        <v>512</v>
      </c>
      <c r="AS10" s="32"/>
      <c r="AT10" s="26">
        <v>153.0</v>
      </c>
      <c r="AU10" s="26" t="s">
        <v>513</v>
      </c>
      <c r="AV10" s="35">
        <v>124.0</v>
      </c>
      <c r="AW10" s="26">
        <v>150.0</v>
      </c>
      <c r="AX10" s="26" t="s">
        <v>507</v>
      </c>
      <c r="AY10" s="26">
        <v>315.0</v>
      </c>
      <c r="AZ10" s="37">
        <v>45299.0</v>
      </c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</row>
    <row r="11">
      <c r="A11" s="20" t="s">
        <v>514</v>
      </c>
      <c r="B11" s="20" t="s">
        <v>515</v>
      </c>
      <c r="C11" s="17" t="s">
        <v>516</v>
      </c>
      <c r="D11" s="17" t="s">
        <v>487</v>
      </c>
      <c r="E11" s="34" t="s">
        <v>411</v>
      </c>
      <c r="F11" s="26">
        <v>75.0</v>
      </c>
      <c r="G11" s="35">
        <v>126.0</v>
      </c>
      <c r="H11" s="17" t="s">
        <v>413</v>
      </c>
      <c r="I11" s="17" t="s">
        <v>414</v>
      </c>
      <c r="J11" s="17" t="s">
        <v>415</v>
      </c>
      <c r="K11" s="17" t="s">
        <v>416</v>
      </c>
      <c r="L11" s="26">
        <v>5.0</v>
      </c>
      <c r="M11" s="17" t="s">
        <v>417</v>
      </c>
      <c r="N11" s="32"/>
      <c r="O11" s="32"/>
      <c r="P11" s="26">
        <v>-1.0</v>
      </c>
      <c r="Q11" s="17" t="s">
        <v>419</v>
      </c>
      <c r="R11" s="17" t="s">
        <v>420</v>
      </c>
      <c r="S11" s="17" t="s">
        <v>421</v>
      </c>
      <c r="T11" s="17" t="s">
        <v>422</v>
      </c>
      <c r="U11" s="17" t="s">
        <v>488</v>
      </c>
      <c r="V11" s="17" t="s">
        <v>517</v>
      </c>
      <c r="W11" s="17" t="s">
        <v>403</v>
      </c>
      <c r="X11" s="17" t="s">
        <v>518</v>
      </c>
      <c r="Y11" s="17" t="s">
        <v>404</v>
      </c>
      <c r="Z11" s="17" t="s">
        <v>519</v>
      </c>
      <c r="AA11" s="17" t="s">
        <v>401</v>
      </c>
      <c r="AB11" s="17" t="s">
        <v>510</v>
      </c>
      <c r="AC11" s="17" t="s">
        <v>520</v>
      </c>
      <c r="AD11" s="17" t="s">
        <v>521</v>
      </c>
      <c r="AE11" s="26">
        <v>760.0</v>
      </c>
      <c r="AF11" s="36">
        <v>58.47</v>
      </c>
      <c r="AG11" s="36">
        <v>58.49</v>
      </c>
      <c r="AH11" s="26" t="s">
        <v>522</v>
      </c>
      <c r="AI11" s="26">
        <v>61982.0</v>
      </c>
      <c r="AJ11" s="26">
        <v>61982.0</v>
      </c>
      <c r="AK11" s="26" t="s">
        <v>495</v>
      </c>
      <c r="AL11" s="26">
        <v>1603.0</v>
      </c>
      <c r="AM11" s="26">
        <v>2188.0</v>
      </c>
      <c r="AN11" s="32"/>
      <c r="AO11" s="32"/>
      <c r="AP11" s="32"/>
      <c r="AQ11" s="32"/>
      <c r="AR11" s="32"/>
      <c r="AS11" s="32"/>
      <c r="AT11" s="26">
        <v>153.0</v>
      </c>
      <c r="AU11" s="26" t="s">
        <v>513</v>
      </c>
      <c r="AV11" s="35">
        <v>126.0</v>
      </c>
      <c r="AW11" s="26">
        <v>262.0</v>
      </c>
      <c r="AX11" s="26">
        <v>75.0</v>
      </c>
      <c r="AY11" s="26">
        <v>490.0</v>
      </c>
      <c r="AZ11" s="37">
        <v>45325.0</v>
      </c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</row>
    <row r="12">
      <c r="A12" s="20" t="s">
        <v>523</v>
      </c>
      <c r="B12" s="20" t="s">
        <v>524</v>
      </c>
      <c r="C12" s="17" t="s">
        <v>525</v>
      </c>
      <c r="E12" s="34" t="s">
        <v>436</v>
      </c>
      <c r="F12" s="26">
        <v>29.0</v>
      </c>
      <c r="G12" s="35">
        <v>118.0</v>
      </c>
      <c r="H12" s="32"/>
      <c r="I12" s="32"/>
      <c r="J12" s="17" t="s">
        <v>415</v>
      </c>
      <c r="L12" s="26">
        <v>5.0</v>
      </c>
      <c r="M12" s="32"/>
      <c r="N12" s="32"/>
      <c r="O12" s="32"/>
      <c r="P12" s="26">
        <v>-1.0</v>
      </c>
      <c r="Q12" s="17" t="s">
        <v>419</v>
      </c>
      <c r="R12" s="17" t="s">
        <v>420</v>
      </c>
      <c r="S12" s="17" t="s">
        <v>421</v>
      </c>
      <c r="T12" s="17" t="s">
        <v>422</v>
      </c>
      <c r="U12" s="17" t="s">
        <v>488</v>
      </c>
      <c r="V12" s="17" t="s">
        <v>526</v>
      </c>
      <c r="W12" s="17" t="s">
        <v>403</v>
      </c>
      <c r="X12" s="17" t="s">
        <v>527</v>
      </c>
      <c r="Y12" s="17" t="s">
        <v>438</v>
      </c>
      <c r="Z12" s="17" t="s">
        <v>528</v>
      </c>
      <c r="AA12" s="17" t="s">
        <v>440</v>
      </c>
      <c r="AB12" s="17" t="s">
        <v>510</v>
      </c>
      <c r="AC12" s="17" t="s">
        <v>428</v>
      </c>
      <c r="AD12" s="17" t="s">
        <v>493</v>
      </c>
      <c r="AE12" s="26">
        <v>180.0</v>
      </c>
      <c r="AF12" s="17" t="s">
        <v>463</v>
      </c>
      <c r="AG12" s="36">
        <v>22.4</v>
      </c>
      <c r="AH12" s="17" t="s">
        <v>463</v>
      </c>
      <c r="AI12" s="26">
        <v>22400.0</v>
      </c>
      <c r="AJ12" s="26">
        <v>22400.0</v>
      </c>
      <c r="AK12" s="26" t="s">
        <v>529</v>
      </c>
      <c r="AL12" s="26">
        <v>351.0</v>
      </c>
      <c r="AM12" s="26">
        <v>3035.0</v>
      </c>
      <c r="AN12" s="17" t="s">
        <v>465</v>
      </c>
      <c r="AO12" s="32"/>
      <c r="AP12" s="32"/>
      <c r="AQ12" s="17" t="s">
        <v>496</v>
      </c>
      <c r="AR12" s="17" t="s">
        <v>512</v>
      </c>
      <c r="AS12" s="32"/>
      <c r="AT12" s="26">
        <v>153.0</v>
      </c>
      <c r="AU12" s="26" t="s">
        <v>513</v>
      </c>
      <c r="AV12" s="35">
        <v>118.0</v>
      </c>
      <c r="AW12" s="26">
        <v>140.0</v>
      </c>
      <c r="AX12" s="26">
        <v>29.0</v>
      </c>
      <c r="AY12" s="26">
        <v>190.0</v>
      </c>
      <c r="AZ12" s="37">
        <v>45424.0</v>
      </c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</row>
    <row r="13">
      <c r="A13" s="20" t="s">
        <v>530</v>
      </c>
      <c r="B13" s="20" t="s">
        <v>531</v>
      </c>
      <c r="C13" s="17" t="s">
        <v>532</v>
      </c>
      <c r="D13" s="17" t="s">
        <v>533</v>
      </c>
      <c r="E13" s="34" t="s">
        <v>477</v>
      </c>
      <c r="F13" s="26">
        <v>40.0</v>
      </c>
      <c r="G13" s="35">
        <v>151.0</v>
      </c>
      <c r="H13" s="17" t="s">
        <v>413</v>
      </c>
      <c r="I13" s="17" t="s">
        <v>414</v>
      </c>
      <c r="J13" s="17" t="s">
        <v>415</v>
      </c>
      <c r="L13" s="26">
        <v>5.0</v>
      </c>
      <c r="M13" s="17" t="s">
        <v>417</v>
      </c>
      <c r="N13" s="17" t="s">
        <v>418</v>
      </c>
      <c r="O13" s="26">
        <v>500.0</v>
      </c>
      <c r="P13" s="26">
        <v>5.0</v>
      </c>
      <c r="Q13" s="26">
        <v>5.0</v>
      </c>
      <c r="R13" s="17" t="s">
        <v>419</v>
      </c>
      <c r="S13" s="17" t="s">
        <v>420</v>
      </c>
      <c r="T13" s="17" t="s">
        <v>421</v>
      </c>
      <c r="U13" s="17" t="s">
        <v>423</v>
      </c>
      <c r="V13" s="17" t="s">
        <v>501</v>
      </c>
      <c r="W13" s="17" t="s">
        <v>403</v>
      </c>
      <c r="X13" s="17" t="s">
        <v>480</v>
      </c>
      <c r="Y13" s="17" t="s">
        <v>438</v>
      </c>
      <c r="Z13" s="17" t="s">
        <v>534</v>
      </c>
      <c r="AA13" s="17" t="s">
        <v>440</v>
      </c>
      <c r="AB13" s="17" t="s">
        <v>535</v>
      </c>
      <c r="AC13" s="17" t="s">
        <v>428</v>
      </c>
      <c r="AD13" s="17" t="s">
        <v>536</v>
      </c>
      <c r="AE13" s="26">
        <v>340.0</v>
      </c>
      <c r="AF13" s="36">
        <v>42.0</v>
      </c>
      <c r="AG13" s="36">
        <v>36.37</v>
      </c>
      <c r="AH13" s="17" t="s">
        <v>463</v>
      </c>
      <c r="AI13" s="26">
        <v>39185.0</v>
      </c>
      <c r="AJ13" s="26">
        <v>39185.0</v>
      </c>
      <c r="AK13" s="26" t="s">
        <v>537</v>
      </c>
      <c r="AL13" s="26">
        <v>237.0</v>
      </c>
      <c r="AM13" s="26">
        <v>1536.0</v>
      </c>
      <c r="AN13" s="32"/>
      <c r="AO13" s="17" t="s">
        <v>422</v>
      </c>
      <c r="AP13" s="17" t="s">
        <v>483</v>
      </c>
      <c r="AQ13" s="17" t="s">
        <v>496</v>
      </c>
      <c r="AS13" s="32"/>
      <c r="AT13" s="26">
        <v>154.0</v>
      </c>
      <c r="AU13" s="26" t="s">
        <v>538</v>
      </c>
      <c r="AV13" s="35">
        <v>151.0</v>
      </c>
      <c r="AW13" s="26">
        <v>150.0</v>
      </c>
      <c r="AX13" s="26">
        <v>40.0</v>
      </c>
      <c r="AY13" s="26">
        <v>260.0</v>
      </c>
      <c r="AZ13" s="26">
        <v>10.0</v>
      </c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</row>
    <row r="14">
      <c r="A14" s="20" t="s">
        <v>539</v>
      </c>
      <c r="B14" s="20" t="s">
        <v>540</v>
      </c>
      <c r="C14" s="17" t="s">
        <v>500</v>
      </c>
      <c r="D14" s="17" t="s">
        <v>541</v>
      </c>
      <c r="E14" s="34" t="s">
        <v>477</v>
      </c>
      <c r="F14" s="26" t="s">
        <v>478</v>
      </c>
      <c r="G14" s="35">
        <v>125.0</v>
      </c>
      <c r="H14" s="17" t="s">
        <v>413</v>
      </c>
      <c r="I14" s="17" t="s">
        <v>414</v>
      </c>
      <c r="J14" s="17" t="s">
        <v>415</v>
      </c>
      <c r="L14" s="26">
        <v>5.0</v>
      </c>
      <c r="M14" s="17" t="s">
        <v>417</v>
      </c>
      <c r="N14" s="32"/>
      <c r="O14" s="32"/>
      <c r="P14" s="26">
        <v>4.0</v>
      </c>
      <c r="Q14" s="26">
        <v>4.0</v>
      </c>
      <c r="R14" s="17" t="s">
        <v>419</v>
      </c>
      <c r="S14" s="17" t="s">
        <v>420</v>
      </c>
      <c r="T14" s="17" t="s">
        <v>421</v>
      </c>
      <c r="U14" s="17" t="s">
        <v>423</v>
      </c>
      <c r="V14" s="17" t="s">
        <v>542</v>
      </c>
      <c r="W14" s="17" t="s">
        <v>543</v>
      </c>
      <c r="X14" s="17" t="s">
        <v>480</v>
      </c>
      <c r="Y14" s="17" t="s">
        <v>438</v>
      </c>
      <c r="Z14" s="17" t="s">
        <v>544</v>
      </c>
      <c r="AA14" s="17" t="s">
        <v>440</v>
      </c>
      <c r="AB14" s="17" t="s">
        <v>535</v>
      </c>
      <c r="AC14" s="17" t="s">
        <v>428</v>
      </c>
      <c r="AD14" s="17" t="s">
        <v>545</v>
      </c>
      <c r="AE14" s="26">
        <v>470.0</v>
      </c>
      <c r="AF14" s="17" t="s">
        <v>463</v>
      </c>
      <c r="AG14" s="17" t="s">
        <v>463</v>
      </c>
      <c r="AH14" s="26" t="s">
        <v>546</v>
      </c>
      <c r="AI14" s="26">
        <v>41170.0</v>
      </c>
      <c r="AJ14" s="26">
        <v>41170.0</v>
      </c>
      <c r="AK14" s="26" t="s">
        <v>431</v>
      </c>
      <c r="AL14" s="26">
        <v>166.0</v>
      </c>
      <c r="AM14" s="26">
        <v>1938.0</v>
      </c>
      <c r="AN14" s="32"/>
      <c r="AO14" s="17" t="s">
        <v>422</v>
      </c>
      <c r="AP14" s="17" t="s">
        <v>483</v>
      </c>
      <c r="AQ14" s="17" t="s">
        <v>496</v>
      </c>
      <c r="AS14" s="32"/>
      <c r="AT14" s="26">
        <v>154.0</v>
      </c>
      <c r="AU14" s="26" t="s">
        <v>538</v>
      </c>
      <c r="AV14" s="35">
        <v>125.0</v>
      </c>
      <c r="AW14" s="26">
        <v>150.0</v>
      </c>
      <c r="AX14" s="26" t="s">
        <v>478</v>
      </c>
      <c r="AY14" s="26">
        <v>330.0</v>
      </c>
      <c r="AZ14" s="37">
        <v>45331.0</v>
      </c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</row>
    <row r="15">
      <c r="A15" s="20" t="s">
        <v>547</v>
      </c>
      <c r="B15" s="20" t="s">
        <v>548</v>
      </c>
      <c r="C15" s="17" t="s">
        <v>476</v>
      </c>
      <c r="D15" s="17" t="s">
        <v>549</v>
      </c>
      <c r="E15" s="34" t="s">
        <v>550</v>
      </c>
      <c r="F15" s="26" t="s">
        <v>478</v>
      </c>
      <c r="G15" s="35">
        <v>125.0</v>
      </c>
      <c r="H15" s="17" t="s">
        <v>413</v>
      </c>
      <c r="I15" s="17" t="s">
        <v>414</v>
      </c>
      <c r="J15" s="17" t="s">
        <v>415</v>
      </c>
      <c r="K15" s="17" t="s">
        <v>416</v>
      </c>
      <c r="L15" s="26">
        <v>5.0</v>
      </c>
      <c r="M15" s="17" t="s">
        <v>417</v>
      </c>
      <c r="N15" s="32"/>
      <c r="O15" s="32"/>
      <c r="P15" s="26">
        <v>4.0</v>
      </c>
      <c r="Q15" s="26">
        <v>4.0</v>
      </c>
      <c r="R15" s="17" t="s">
        <v>419</v>
      </c>
      <c r="S15" s="17" t="s">
        <v>420</v>
      </c>
      <c r="T15" s="17" t="s">
        <v>421</v>
      </c>
      <c r="U15" s="17" t="s">
        <v>423</v>
      </c>
      <c r="V15" s="17" t="s">
        <v>551</v>
      </c>
      <c r="W15" s="17" t="s">
        <v>543</v>
      </c>
      <c r="X15" s="17" t="s">
        <v>480</v>
      </c>
      <c r="Y15" s="17" t="s">
        <v>404</v>
      </c>
      <c r="Z15" s="17" t="s">
        <v>544</v>
      </c>
      <c r="AA15" s="17" t="s">
        <v>401</v>
      </c>
      <c r="AB15" s="17" t="s">
        <v>535</v>
      </c>
      <c r="AC15" s="17" t="s">
        <v>428</v>
      </c>
      <c r="AD15" s="17" t="s">
        <v>545</v>
      </c>
      <c r="AE15" s="26">
        <v>470.0</v>
      </c>
      <c r="AF15" s="17" t="s">
        <v>463</v>
      </c>
      <c r="AG15" s="17" t="s">
        <v>463</v>
      </c>
      <c r="AH15" s="26" t="s">
        <v>546</v>
      </c>
      <c r="AI15" s="26">
        <v>41170.0</v>
      </c>
      <c r="AJ15" s="26">
        <v>41170.0</v>
      </c>
      <c r="AK15" s="26" t="s">
        <v>552</v>
      </c>
      <c r="AL15" s="26">
        <v>192.0</v>
      </c>
      <c r="AM15" s="26">
        <v>1939.0</v>
      </c>
      <c r="AN15" s="32"/>
      <c r="AO15" s="17" t="s">
        <v>422</v>
      </c>
      <c r="AP15" s="17" t="s">
        <v>483</v>
      </c>
      <c r="AQ15" s="32"/>
      <c r="AR15" s="32"/>
      <c r="AS15" s="32"/>
      <c r="AT15" s="26">
        <v>154.0</v>
      </c>
      <c r="AU15" s="26" t="s">
        <v>538</v>
      </c>
      <c r="AV15" s="35">
        <v>125.0</v>
      </c>
      <c r="AW15" s="26">
        <v>150.0</v>
      </c>
      <c r="AX15" s="26" t="s">
        <v>478</v>
      </c>
      <c r="AY15" s="26">
        <v>330.0</v>
      </c>
      <c r="AZ15" s="37">
        <v>45360.0</v>
      </c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</row>
    <row r="16">
      <c r="A16" s="20" t="s">
        <v>553</v>
      </c>
      <c r="B16" s="20" t="s">
        <v>554</v>
      </c>
      <c r="C16" s="17" t="s">
        <v>555</v>
      </c>
      <c r="D16" s="17" t="s">
        <v>556</v>
      </c>
      <c r="E16" s="34" t="s">
        <v>477</v>
      </c>
      <c r="F16" s="26" t="s">
        <v>507</v>
      </c>
      <c r="G16" s="35">
        <v>126.0</v>
      </c>
      <c r="H16" s="32"/>
      <c r="I16" s="17" t="s">
        <v>414</v>
      </c>
      <c r="J16" s="17" t="s">
        <v>415</v>
      </c>
      <c r="L16" s="26">
        <v>5.0</v>
      </c>
      <c r="M16" s="17" t="s">
        <v>417</v>
      </c>
      <c r="N16" s="32"/>
      <c r="O16" s="32"/>
      <c r="P16" s="26">
        <v>-1.0</v>
      </c>
      <c r="Q16" s="17" t="s">
        <v>419</v>
      </c>
      <c r="R16" s="17" t="s">
        <v>420</v>
      </c>
      <c r="S16" s="17" t="s">
        <v>421</v>
      </c>
      <c r="T16" s="17" t="s">
        <v>422</v>
      </c>
      <c r="U16" s="17" t="s">
        <v>423</v>
      </c>
      <c r="V16" s="17" t="s">
        <v>557</v>
      </c>
      <c r="W16" s="17" t="s">
        <v>403</v>
      </c>
      <c r="X16" s="17" t="s">
        <v>480</v>
      </c>
      <c r="Y16" s="17" t="s">
        <v>438</v>
      </c>
      <c r="Z16" s="17" t="s">
        <v>558</v>
      </c>
      <c r="AA16" s="17" t="s">
        <v>440</v>
      </c>
      <c r="AB16" s="17" t="s">
        <v>559</v>
      </c>
      <c r="AC16" s="17" t="s">
        <v>428</v>
      </c>
      <c r="AD16" s="17" t="s">
        <v>502</v>
      </c>
      <c r="AE16" s="26">
        <v>480.0</v>
      </c>
      <c r="AF16" s="36">
        <v>40.875</v>
      </c>
      <c r="AG16" s="36">
        <v>39.17</v>
      </c>
      <c r="AH16" s="26" t="s">
        <v>560</v>
      </c>
      <c r="AI16" s="26">
        <v>39101.0</v>
      </c>
      <c r="AJ16" s="26">
        <v>39101.0</v>
      </c>
      <c r="AK16" s="26" t="s">
        <v>431</v>
      </c>
      <c r="AL16" s="26">
        <v>397.0</v>
      </c>
      <c r="AM16" s="26">
        <v>1949.0</v>
      </c>
      <c r="AN16" s="32"/>
      <c r="AO16" s="32"/>
      <c r="AP16" s="32"/>
      <c r="AQ16" s="17" t="s">
        <v>496</v>
      </c>
      <c r="AR16" s="17" t="s">
        <v>512</v>
      </c>
      <c r="AS16" s="32"/>
      <c r="AT16" s="26">
        <v>155.0</v>
      </c>
      <c r="AU16" s="26" t="s">
        <v>561</v>
      </c>
      <c r="AV16" s="35">
        <v>126.0</v>
      </c>
      <c r="AW16" s="26">
        <v>150.0</v>
      </c>
      <c r="AX16" s="26" t="s">
        <v>507</v>
      </c>
      <c r="AY16" s="26">
        <v>310.0</v>
      </c>
      <c r="AZ16" s="37">
        <v>45330.0</v>
      </c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</row>
    <row r="17">
      <c r="A17" s="20" t="s">
        <v>562</v>
      </c>
      <c r="B17" s="20" t="s">
        <v>563</v>
      </c>
      <c r="C17" s="17" t="s">
        <v>564</v>
      </c>
      <c r="D17" s="17" t="s">
        <v>565</v>
      </c>
      <c r="E17" s="34" t="s">
        <v>477</v>
      </c>
      <c r="F17" s="26" t="s">
        <v>507</v>
      </c>
      <c r="G17" s="35">
        <v>122.0</v>
      </c>
      <c r="H17" s="32"/>
      <c r="I17" s="17" t="s">
        <v>414</v>
      </c>
      <c r="J17" s="17" t="s">
        <v>415</v>
      </c>
      <c r="L17" s="26">
        <v>5.0</v>
      </c>
      <c r="M17" s="17" t="s">
        <v>417</v>
      </c>
      <c r="N17" s="32"/>
      <c r="O17" s="32"/>
      <c r="P17" s="26">
        <v>-1.0</v>
      </c>
      <c r="Q17" s="17" t="s">
        <v>419</v>
      </c>
      <c r="R17" s="17" t="s">
        <v>420</v>
      </c>
      <c r="S17" s="17" t="s">
        <v>421</v>
      </c>
      <c r="T17" s="17" t="s">
        <v>422</v>
      </c>
      <c r="U17" s="17" t="s">
        <v>423</v>
      </c>
      <c r="V17" s="17" t="s">
        <v>557</v>
      </c>
      <c r="W17" s="17" t="s">
        <v>403</v>
      </c>
      <c r="X17" s="17" t="s">
        <v>480</v>
      </c>
      <c r="Y17" s="17" t="s">
        <v>438</v>
      </c>
      <c r="Z17" s="17" t="s">
        <v>558</v>
      </c>
      <c r="AA17" s="17" t="s">
        <v>440</v>
      </c>
      <c r="AB17" s="17" t="s">
        <v>559</v>
      </c>
      <c r="AC17" s="17" t="s">
        <v>428</v>
      </c>
      <c r="AD17" s="17" t="s">
        <v>502</v>
      </c>
      <c r="AE17" s="26">
        <v>480.0</v>
      </c>
      <c r="AF17" s="17" t="s">
        <v>566</v>
      </c>
      <c r="AG17" s="36">
        <v>35.4</v>
      </c>
      <c r="AH17" s="17" t="s">
        <v>463</v>
      </c>
      <c r="AI17" s="26">
        <v>37700.0</v>
      </c>
      <c r="AJ17" s="26">
        <v>37700.0</v>
      </c>
      <c r="AK17" s="26" t="s">
        <v>567</v>
      </c>
      <c r="AL17" s="26">
        <v>439.0</v>
      </c>
      <c r="AM17" s="26">
        <v>2117.0</v>
      </c>
      <c r="AN17" s="32"/>
      <c r="AO17" s="32"/>
      <c r="AP17" s="32"/>
      <c r="AQ17" s="17" t="s">
        <v>496</v>
      </c>
      <c r="AR17" s="17" t="s">
        <v>512</v>
      </c>
      <c r="AS17" s="32"/>
      <c r="AT17" s="26">
        <v>155.0</v>
      </c>
      <c r="AU17" s="26" t="s">
        <v>561</v>
      </c>
      <c r="AV17" s="35">
        <v>122.0</v>
      </c>
      <c r="AW17" s="26">
        <v>150.0</v>
      </c>
      <c r="AX17" s="26" t="s">
        <v>507</v>
      </c>
      <c r="AY17" s="26">
        <v>310.0</v>
      </c>
      <c r="AZ17" s="37">
        <v>45330.0</v>
      </c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</row>
    <row r="18">
      <c r="A18" s="20" t="s">
        <v>568</v>
      </c>
      <c r="B18" s="20" t="s">
        <v>569</v>
      </c>
      <c r="C18" s="17" t="s">
        <v>570</v>
      </c>
      <c r="D18" s="17" t="s">
        <v>435</v>
      </c>
      <c r="E18" s="34" t="s">
        <v>477</v>
      </c>
      <c r="F18" s="26" t="s">
        <v>571</v>
      </c>
      <c r="G18" s="35">
        <v>80.0</v>
      </c>
      <c r="H18" s="32"/>
      <c r="I18" s="32"/>
      <c r="J18" s="17" t="s">
        <v>415</v>
      </c>
      <c r="L18" s="26">
        <v>4.0</v>
      </c>
      <c r="M18" s="32"/>
      <c r="N18" s="32"/>
      <c r="O18" s="32"/>
      <c r="P18" s="26">
        <v>-1.0</v>
      </c>
      <c r="Q18" s="17" t="s">
        <v>419</v>
      </c>
      <c r="R18" s="17" t="s">
        <v>420</v>
      </c>
      <c r="S18" s="17" t="s">
        <v>421</v>
      </c>
      <c r="T18" s="17" t="s">
        <v>422</v>
      </c>
      <c r="U18" s="17" t="s">
        <v>423</v>
      </c>
      <c r="V18" s="17" t="s">
        <v>572</v>
      </c>
      <c r="W18" s="17" t="s">
        <v>403</v>
      </c>
      <c r="X18" s="17" t="s">
        <v>573</v>
      </c>
      <c r="Y18" s="17" t="s">
        <v>438</v>
      </c>
      <c r="Z18" s="17" t="s">
        <v>574</v>
      </c>
      <c r="AA18" s="17" t="s">
        <v>440</v>
      </c>
      <c r="AB18" s="17" t="s">
        <v>559</v>
      </c>
      <c r="AC18" s="17" t="s">
        <v>428</v>
      </c>
      <c r="AD18" s="17" t="s">
        <v>493</v>
      </c>
      <c r="AE18" s="26">
        <v>180.0</v>
      </c>
      <c r="AF18" s="36">
        <v>18.9</v>
      </c>
      <c r="AG18" s="36">
        <v>19.95</v>
      </c>
      <c r="AH18" s="26" t="s">
        <v>575</v>
      </c>
      <c r="AI18" s="26">
        <v>19081.0</v>
      </c>
      <c r="AJ18" s="26">
        <v>19081.0</v>
      </c>
      <c r="AK18" s="26" t="s">
        <v>444</v>
      </c>
      <c r="AL18" s="26">
        <v>846.0</v>
      </c>
      <c r="AM18" s="26">
        <v>3039.0</v>
      </c>
      <c r="AN18" s="32"/>
      <c r="AO18" s="32"/>
      <c r="AP18" s="32"/>
      <c r="AQ18" s="17" t="s">
        <v>496</v>
      </c>
      <c r="AS18" s="32"/>
      <c r="AT18" s="26">
        <v>155.0</v>
      </c>
      <c r="AU18" s="26" t="s">
        <v>561</v>
      </c>
      <c r="AV18" s="35">
        <v>80.0</v>
      </c>
      <c r="AW18" s="26">
        <v>130.0</v>
      </c>
      <c r="AX18" s="26" t="s">
        <v>571</v>
      </c>
      <c r="AY18" s="26">
        <v>240.0</v>
      </c>
      <c r="AZ18" s="37">
        <v>45485.0</v>
      </c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</row>
    <row r="19">
      <c r="A19" s="20" t="s">
        <v>576</v>
      </c>
      <c r="B19" s="20" t="s">
        <v>577</v>
      </c>
      <c r="C19" s="17" t="s">
        <v>578</v>
      </c>
      <c r="D19" s="17" t="s">
        <v>435</v>
      </c>
      <c r="E19" s="34" t="s">
        <v>477</v>
      </c>
      <c r="F19" s="26" t="s">
        <v>579</v>
      </c>
      <c r="G19" s="35">
        <v>119.0</v>
      </c>
      <c r="H19" s="32"/>
      <c r="I19" s="17" t="s">
        <v>414</v>
      </c>
      <c r="J19" s="17" t="s">
        <v>415</v>
      </c>
      <c r="L19" s="26">
        <v>5.0</v>
      </c>
      <c r="M19" s="17" t="s">
        <v>417</v>
      </c>
      <c r="N19" s="32"/>
      <c r="O19" s="32"/>
      <c r="P19" s="26">
        <v>-1.0</v>
      </c>
      <c r="Q19" s="17" t="s">
        <v>419</v>
      </c>
      <c r="R19" s="17" t="s">
        <v>420</v>
      </c>
      <c r="S19" s="17" t="s">
        <v>421</v>
      </c>
      <c r="T19" s="17" t="s">
        <v>422</v>
      </c>
      <c r="U19" s="17" t="s">
        <v>423</v>
      </c>
      <c r="V19" s="17" t="s">
        <v>580</v>
      </c>
      <c r="W19" s="17" t="s">
        <v>403</v>
      </c>
      <c r="X19" s="17" t="s">
        <v>581</v>
      </c>
      <c r="Y19" s="17" t="s">
        <v>438</v>
      </c>
      <c r="Z19" s="17" t="s">
        <v>582</v>
      </c>
      <c r="AA19" s="17" t="s">
        <v>440</v>
      </c>
      <c r="AB19" s="17" t="s">
        <v>559</v>
      </c>
      <c r="AC19" s="17" t="s">
        <v>428</v>
      </c>
      <c r="AD19" s="17" t="s">
        <v>583</v>
      </c>
      <c r="AE19" s="26">
        <v>420.0</v>
      </c>
      <c r="AF19" s="36">
        <v>44.6</v>
      </c>
      <c r="AG19" s="36">
        <v>44.78</v>
      </c>
      <c r="AH19" s="17" t="s">
        <v>463</v>
      </c>
      <c r="AI19" s="26">
        <v>44690.0</v>
      </c>
      <c r="AJ19" s="26">
        <v>44690.0</v>
      </c>
      <c r="AK19" s="26" t="s">
        <v>444</v>
      </c>
      <c r="AL19" s="26">
        <v>867.0</v>
      </c>
      <c r="AM19" s="26">
        <v>3066.0</v>
      </c>
      <c r="AN19" s="32"/>
      <c r="AO19" s="32"/>
      <c r="AP19" s="32"/>
      <c r="AQ19" s="32"/>
      <c r="AR19" s="32"/>
      <c r="AS19" s="32"/>
      <c r="AT19" s="26">
        <v>155.0</v>
      </c>
      <c r="AU19" s="26" t="s">
        <v>561</v>
      </c>
      <c r="AV19" s="35">
        <v>119.0</v>
      </c>
      <c r="AW19" s="26">
        <v>160.0</v>
      </c>
      <c r="AX19" s="26" t="s">
        <v>579</v>
      </c>
      <c r="AY19" s="26">
        <v>375.0</v>
      </c>
      <c r="AZ19" s="37">
        <v>45329.0</v>
      </c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</row>
    <row r="20">
      <c r="A20" s="20" t="s">
        <v>584</v>
      </c>
      <c r="B20" s="20" t="s">
        <v>485</v>
      </c>
      <c r="C20" s="17" t="s">
        <v>585</v>
      </c>
      <c r="D20" s="17" t="s">
        <v>487</v>
      </c>
      <c r="E20" s="34" t="s">
        <v>436</v>
      </c>
      <c r="F20" s="26">
        <v>25.0</v>
      </c>
      <c r="G20" s="35">
        <v>119.0</v>
      </c>
      <c r="H20" s="32"/>
      <c r="I20" s="32"/>
      <c r="J20" s="17" t="s">
        <v>415</v>
      </c>
      <c r="L20" s="26">
        <v>4.0</v>
      </c>
      <c r="M20" s="32"/>
      <c r="N20" s="32"/>
      <c r="O20" s="32"/>
      <c r="P20" s="26">
        <v>-1.0</v>
      </c>
      <c r="Q20" s="17" t="s">
        <v>419</v>
      </c>
      <c r="R20" s="17" t="s">
        <v>420</v>
      </c>
      <c r="S20" s="17" t="s">
        <v>421</v>
      </c>
      <c r="T20" s="17" t="s">
        <v>422</v>
      </c>
      <c r="U20" s="17" t="s">
        <v>488</v>
      </c>
      <c r="V20" s="17" t="s">
        <v>586</v>
      </c>
      <c r="W20" s="17" t="s">
        <v>403</v>
      </c>
      <c r="X20" s="17" t="s">
        <v>490</v>
      </c>
      <c r="Y20" s="17" t="s">
        <v>438</v>
      </c>
      <c r="Z20" s="17" t="s">
        <v>587</v>
      </c>
      <c r="AA20" s="17" t="s">
        <v>440</v>
      </c>
      <c r="AB20" s="17" t="s">
        <v>588</v>
      </c>
      <c r="AC20" s="17" t="s">
        <v>428</v>
      </c>
      <c r="AD20" s="17" t="s">
        <v>589</v>
      </c>
      <c r="AE20" s="26">
        <v>170.0</v>
      </c>
      <c r="AF20" s="36">
        <v>18.9</v>
      </c>
      <c r="AG20" s="36">
        <v>19.95</v>
      </c>
      <c r="AH20" s="26" t="s">
        <v>575</v>
      </c>
      <c r="AI20" s="26">
        <v>19081.0</v>
      </c>
      <c r="AJ20" s="26">
        <v>19081.0</v>
      </c>
      <c r="AK20" s="26" t="s">
        <v>495</v>
      </c>
      <c r="AL20" s="26">
        <v>506.0</v>
      </c>
      <c r="AM20" s="26">
        <v>2127.0</v>
      </c>
      <c r="AN20" s="17" t="s">
        <v>465</v>
      </c>
      <c r="AO20" s="32"/>
      <c r="AP20" s="32"/>
      <c r="AQ20" s="17" t="s">
        <v>496</v>
      </c>
      <c r="AS20" s="32"/>
      <c r="AT20" s="26">
        <v>156.0</v>
      </c>
      <c r="AU20" s="26" t="s">
        <v>590</v>
      </c>
      <c r="AV20" s="35">
        <v>119.0</v>
      </c>
      <c r="AW20" s="26">
        <v>125.0</v>
      </c>
      <c r="AX20" s="26">
        <v>25.0</v>
      </c>
      <c r="AY20" s="26">
        <v>160.0</v>
      </c>
      <c r="AZ20" s="37">
        <v>45486.0</v>
      </c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</row>
    <row r="21">
      <c r="A21" s="20" t="s">
        <v>591</v>
      </c>
      <c r="B21" s="20" t="s">
        <v>592</v>
      </c>
      <c r="C21" s="17" t="s">
        <v>593</v>
      </c>
      <c r="D21" s="17" t="s">
        <v>565</v>
      </c>
      <c r="E21" s="34" t="s">
        <v>477</v>
      </c>
      <c r="F21" s="26" t="s">
        <v>594</v>
      </c>
      <c r="G21" s="35">
        <v>137.0</v>
      </c>
      <c r="H21" s="17" t="s">
        <v>413</v>
      </c>
      <c r="I21" s="17" t="s">
        <v>414</v>
      </c>
      <c r="J21" s="17" t="s">
        <v>415</v>
      </c>
      <c r="K21" s="17" t="s">
        <v>595</v>
      </c>
      <c r="L21" s="26">
        <v>5.0</v>
      </c>
      <c r="M21" s="17" t="s">
        <v>417</v>
      </c>
      <c r="N21" s="17" t="s">
        <v>418</v>
      </c>
      <c r="O21" s="26">
        <v>1600.0</v>
      </c>
      <c r="P21" s="26">
        <v>-1.0</v>
      </c>
      <c r="Q21" s="17" t="s">
        <v>419</v>
      </c>
      <c r="R21" s="17" t="s">
        <v>420</v>
      </c>
      <c r="S21" s="17" t="s">
        <v>421</v>
      </c>
      <c r="T21" s="17" t="s">
        <v>422</v>
      </c>
      <c r="U21" s="17" t="s">
        <v>423</v>
      </c>
      <c r="V21" s="17" t="s">
        <v>596</v>
      </c>
      <c r="W21" s="17" t="s">
        <v>403</v>
      </c>
      <c r="X21" s="17" t="s">
        <v>597</v>
      </c>
      <c r="Y21" s="17" t="s">
        <v>438</v>
      </c>
      <c r="Z21" s="17" t="s">
        <v>598</v>
      </c>
      <c r="AA21" s="17" t="s">
        <v>440</v>
      </c>
      <c r="AB21" s="17" t="s">
        <v>588</v>
      </c>
      <c r="AC21" s="17" t="s">
        <v>428</v>
      </c>
      <c r="AD21" s="17" t="s">
        <v>599</v>
      </c>
      <c r="AE21" s="26">
        <v>580.0</v>
      </c>
      <c r="AF21" s="36">
        <v>57.5</v>
      </c>
      <c r="AG21" s="36">
        <v>59.728</v>
      </c>
      <c r="AH21" s="26" t="s">
        <v>600</v>
      </c>
      <c r="AI21" s="26">
        <v>58729.0</v>
      </c>
      <c r="AJ21" s="26">
        <v>58729.0</v>
      </c>
      <c r="AK21" s="26" t="s">
        <v>567</v>
      </c>
      <c r="AL21" s="26">
        <v>532.0</v>
      </c>
      <c r="AM21" s="26">
        <v>2198.0</v>
      </c>
      <c r="AN21" s="32"/>
      <c r="AO21" s="32"/>
      <c r="AP21" s="32"/>
      <c r="AQ21" s="32"/>
      <c r="AR21" s="32"/>
      <c r="AS21" s="32"/>
      <c r="AT21" s="26">
        <v>156.0</v>
      </c>
      <c r="AU21" s="26" t="s">
        <v>590</v>
      </c>
      <c r="AV21" s="35">
        <v>137.0</v>
      </c>
      <c r="AW21" s="26">
        <v>190.0</v>
      </c>
      <c r="AX21" s="26" t="s">
        <v>594</v>
      </c>
      <c r="AY21" s="26">
        <v>430.0</v>
      </c>
      <c r="AZ21" s="26">
        <v>6.0</v>
      </c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</row>
    <row r="22">
      <c r="A22" s="20" t="s">
        <v>601</v>
      </c>
      <c r="B22" s="20" t="s">
        <v>602</v>
      </c>
      <c r="C22" s="17" t="s">
        <v>603</v>
      </c>
      <c r="D22" s="17" t="s">
        <v>435</v>
      </c>
      <c r="E22" s="34" t="s">
        <v>436</v>
      </c>
      <c r="F22" s="26">
        <v>39.0</v>
      </c>
      <c r="G22" s="35">
        <v>100.0</v>
      </c>
      <c r="H22" s="17" t="s">
        <v>413</v>
      </c>
      <c r="I22" s="17" t="s">
        <v>414</v>
      </c>
      <c r="J22" s="17" t="s">
        <v>415</v>
      </c>
      <c r="L22" s="26">
        <v>4.0</v>
      </c>
      <c r="M22" s="17" t="s">
        <v>417</v>
      </c>
      <c r="N22" s="32"/>
      <c r="O22" s="32"/>
      <c r="P22" s="26">
        <v>-1.0</v>
      </c>
      <c r="Q22" s="17" t="s">
        <v>419</v>
      </c>
      <c r="R22" s="17" t="s">
        <v>420</v>
      </c>
      <c r="S22" s="17" t="s">
        <v>421</v>
      </c>
      <c r="T22" s="17" t="s">
        <v>422</v>
      </c>
      <c r="U22" s="17" t="s">
        <v>423</v>
      </c>
      <c r="V22" s="17" t="s">
        <v>604</v>
      </c>
      <c r="W22" s="17" t="s">
        <v>403</v>
      </c>
      <c r="X22" s="17" t="s">
        <v>527</v>
      </c>
      <c r="Y22" s="17" t="s">
        <v>438</v>
      </c>
      <c r="Z22" s="17" t="s">
        <v>605</v>
      </c>
      <c r="AA22" s="17" t="s">
        <v>440</v>
      </c>
      <c r="AB22" s="17" t="s">
        <v>588</v>
      </c>
      <c r="AC22" s="17" t="s">
        <v>428</v>
      </c>
      <c r="AD22" s="17" t="s">
        <v>606</v>
      </c>
      <c r="AE22" s="26">
        <v>360.0</v>
      </c>
      <c r="AF22" s="17" t="s">
        <v>607</v>
      </c>
      <c r="AG22" s="36">
        <v>24.295</v>
      </c>
      <c r="AH22" s="26" t="s">
        <v>608</v>
      </c>
      <c r="AI22" s="26">
        <v>25104.0</v>
      </c>
      <c r="AJ22" s="26">
        <v>25104.0</v>
      </c>
      <c r="AK22" s="26" t="s">
        <v>444</v>
      </c>
      <c r="AL22" s="26">
        <v>800.0</v>
      </c>
      <c r="AM22" s="26">
        <v>2230.0</v>
      </c>
      <c r="AN22" s="17" t="s">
        <v>465</v>
      </c>
      <c r="AO22" s="32"/>
      <c r="AP22" s="32"/>
      <c r="AQ22" s="32"/>
      <c r="AR22" s="32"/>
      <c r="AS22" s="32"/>
      <c r="AT22" s="26">
        <v>156.0</v>
      </c>
      <c r="AU22" s="26" t="s">
        <v>590</v>
      </c>
      <c r="AV22" s="35">
        <v>100.0</v>
      </c>
      <c r="AW22" s="26">
        <v>140.0</v>
      </c>
      <c r="AX22" s="26">
        <v>39.0</v>
      </c>
      <c r="AY22" s="26">
        <v>250.0</v>
      </c>
      <c r="AZ22" s="37">
        <v>45484.0</v>
      </c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</row>
    <row r="23">
      <c r="A23" s="20" t="s">
        <v>609</v>
      </c>
      <c r="B23" s="20" t="s">
        <v>602</v>
      </c>
      <c r="C23" s="17" t="s">
        <v>610</v>
      </c>
      <c r="D23" s="17" t="s">
        <v>435</v>
      </c>
      <c r="E23" s="34" t="s">
        <v>436</v>
      </c>
      <c r="F23" s="26">
        <v>46.0</v>
      </c>
      <c r="G23" s="35">
        <v>92.0</v>
      </c>
      <c r="H23" s="17" t="s">
        <v>413</v>
      </c>
      <c r="I23" s="17" t="s">
        <v>414</v>
      </c>
      <c r="J23" s="17" t="s">
        <v>415</v>
      </c>
      <c r="L23" s="26">
        <v>4.0</v>
      </c>
      <c r="M23" s="17" t="s">
        <v>417</v>
      </c>
      <c r="N23" s="32"/>
      <c r="O23" s="32"/>
      <c r="P23" s="26">
        <v>-1.0</v>
      </c>
      <c r="Q23" s="17" t="s">
        <v>419</v>
      </c>
      <c r="R23" s="17" t="s">
        <v>420</v>
      </c>
      <c r="S23" s="17" t="s">
        <v>421</v>
      </c>
      <c r="T23" s="17" t="s">
        <v>422</v>
      </c>
      <c r="U23" s="17" t="s">
        <v>423</v>
      </c>
      <c r="V23" s="17" t="s">
        <v>611</v>
      </c>
      <c r="W23" s="17" t="s">
        <v>403</v>
      </c>
      <c r="X23" s="17" t="s">
        <v>480</v>
      </c>
      <c r="Y23" s="17" t="s">
        <v>438</v>
      </c>
      <c r="Z23" s="17" t="s">
        <v>612</v>
      </c>
      <c r="AA23" s="17" t="s">
        <v>440</v>
      </c>
      <c r="AB23" s="17" t="s">
        <v>588</v>
      </c>
      <c r="AC23" s="17" t="s">
        <v>428</v>
      </c>
      <c r="AD23" s="17" t="s">
        <v>583</v>
      </c>
      <c r="AE23" s="26">
        <v>420.0</v>
      </c>
      <c r="AF23" s="17" t="s">
        <v>613</v>
      </c>
      <c r="AG23" s="36">
        <v>25.995</v>
      </c>
      <c r="AH23" s="26" t="s">
        <v>614</v>
      </c>
      <c r="AI23" s="26">
        <v>27265.0</v>
      </c>
      <c r="AJ23" s="26">
        <v>27265.0</v>
      </c>
      <c r="AK23" s="26" t="s">
        <v>444</v>
      </c>
      <c r="AL23" s="26">
        <v>1057.0</v>
      </c>
      <c r="AM23" s="26">
        <v>2231.0</v>
      </c>
      <c r="AN23" s="17" t="s">
        <v>465</v>
      </c>
      <c r="AO23" s="32"/>
      <c r="AP23" s="32"/>
      <c r="AQ23" s="32"/>
      <c r="AR23" s="32"/>
      <c r="AS23" s="32"/>
      <c r="AT23" s="26">
        <v>156.0</v>
      </c>
      <c r="AU23" s="26" t="s">
        <v>590</v>
      </c>
      <c r="AV23" s="35">
        <v>92.0</v>
      </c>
      <c r="AW23" s="26">
        <v>150.0</v>
      </c>
      <c r="AX23" s="26">
        <v>46.0</v>
      </c>
      <c r="AY23" s="26">
        <v>295.0</v>
      </c>
      <c r="AZ23" s="37">
        <v>45453.0</v>
      </c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</row>
    <row r="24">
      <c r="A24" s="20" t="s">
        <v>615</v>
      </c>
      <c r="B24" s="20" t="s">
        <v>616</v>
      </c>
      <c r="C24" s="17" t="s">
        <v>617</v>
      </c>
      <c r="D24" s="17" t="s">
        <v>435</v>
      </c>
      <c r="E24" s="34" t="s">
        <v>477</v>
      </c>
      <c r="F24" s="26" t="s">
        <v>618</v>
      </c>
      <c r="G24" s="35">
        <v>131.0</v>
      </c>
      <c r="H24" s="17" t="s">
        <v>413</v>
      </c>
      <c r="I24" s="17" t="s">
        <v>414</v>
      </c>
      <c r="J24" s="17" t="s">
        <v>415</v>
      </c>
      <c r="K24" s="17" t="s">
        <v>595</v>
      </c>
      <c r="L24" s="26">
        <v>5.0</v>
      </c>
      <c r="M24" s="17" t="s">
        <v>417</v>
      </c>
      <c r="N24" s="17" t="s">
        <v>418</v>
      </c>
      <c r="O24" s="26">
        <v>2100.0</v>
      </c>
      <c r="P24" s="26">
        <v>-1.0</v>
      </c>
      <c r="Q24" s="17" t="s">
        <v>419</v>
      </c>
      <c r="R24" s="17" t="s">
        <v>420</v>
      </c>
      <c r="S24" s="17" t="s">
        <v>421</v>
      </c>
      <c r="T24" s="17" t="s">
        <v>422</v>
      </c>
      <c r="U24" s="17" t="s">
        <v>423</v>
      </c>
      <c r="V24" s="17" t="s">
        <v>596</v>
      </c>
      <c r="W24" s="17" t="s">
        <v>403</v>
      </c>
      <c r="X24" s="17" t="s">
        <v>619</v>
      </c>
      <c r="Y24" s="17" t="s">
        <v>438</v>
      </c>
      <c r="Z24" s="17" t="s">
        <v>620</v>
      </c>
      <c r="AA24" s="17" t="s">
        <v>440</v>
      </c>
      <c r="AB24" s="17" t="s">
        <v>588</v>
      </c>
      <c r="AC24" s="17" t="s">
        <v>428</v>
      </c>
      <c r="AD24" s="17" t="s">
        <v>621</v>
      </c>
      <c r="AE24" s="26">
        <v>920.0</v>
      </c>
      <c r="AF24" s="36">
        <v>62.8</v>
      </c>
      <c r="AG24" s="36">
        <v>63.99</v>
      </c>
      <c r="AH24" s="17" t="s">
        <v>463</v>
      </c>
      <c r="AI24" s="26">
        <v>63395.0</v>
      </c>
      <c r="AJ24" s="26">
        <v>63395.0</v>
      </c>
      <c r="AK24" s="26" t="s">
        <v>444</v>
      </c>
      <c r="AL24" s="26">
        <v>357.0</v>
      </c>
      <c r="AM24" s="26">
        <v>3053.0</v>
      </c>
      <c r="AN24" s="32"/>
      <c r="AO24" s="32"/>
      <c r="AP24" s="32"/>
      <c r="AQ24" s="32"/>
      <c r="AR24" s="32"/>
      <c r="AS24" s="32"/>
      <c r="AT24" s="26">
        <v>156.0</v>
      </c>
      <c r="AU24" s="26" t="s">
        <v>590</v>
      </c>
      <c r="AV24" s="35">
        <v>131.0</v>
      </c>
      <c r="AW24" s="26">
        <v>210.0</v>
      </c>
      <c r="AX24" s="26" t="s">
        <v>618</v>
      </c>
      <c r="AY24" s="26">
        <v>485.0</v>
      </c>
      <c r="AZ24" s="26">
        <v>6.0</v>
      </c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</row>
    <row r="25">
      <c r="A25" s="20" t="s">
        <v>622</v>
      </c>
      <c r="B25" s="20" t="s">
        <v>504</v>
      </c>
      <c r="C25" s="17" t="s">
        <v>623</v>
      </c>
      <c r="D25" s="17" t="s">
        <v>506</v>
      </c>
      <c r="E25" s="34" t="s">
        <v>477</v>
      </c>
      <c r="F25" s="26" t="s">
        <v>624</v>
      </c>
      <c r="G25" s="35">
        <v>121.0</v>
      </c>
      <c r="H25" s="17" t="s">
        <v>413</v>
      </c>
      <c r="I25" s="17" t="s">
        <v>414</v>
      </c>
      <c r="J25" s="17" t="s">
        <v>415</v>
      </c>
      <c r="L25" s="26">
        <v>5.0</v>
      </c>
      <c r="M25" s="17" t="s">
        <v>417</v>
      </c>
      <c r="N25" s="32"/>
      <c r="O25" s="32"/>
      <c r="P25" s="26">
        <v>-1.0</v>
      </c>
      <c r="Q25" s="17" t="s">
        <v>419</v>
      </c>
      <c r="R25" s="17" t="s">
        <v>420</v>
      </c>
      <c r="S25" s="17" t="s">
        <v>421</v>
      </c>
      <c r="T25" s="17" t="s">
        <v>422</v>
      </c>
      <c r="U25" s="17" t="s">
        <v>423</v>
      </c>
      <c r="V25" s="17" t="s">
        <v>625</v>
      </c>
      <c r="W25" s="17" t="s">
        <v>403</v>
      </c>
      <c r="X25" s="17" t="s">
        <v>480</v>
      </c>
      <c r="Y25" s="17" t="s">
        <v>438</v>
      </c>
      <c r="Z25" s="17" t="s">
        <v>612</v>
      </c>
      <c r="AA25" s="17" t="s">
        <v>440</v>
      </c>
      <c r="AB25" s="17" t="s">
        <v>626</v>
      </c>
      <c r="AC25" s="17" t="s">
        <v>428</v>
      </c>
      <c r="AD25" s="17" t="s">
        <v>545</v>
      </c>
      <c r="AE25" s="26">
        <v>470.0</v>
      </c>
      <c r="AF25" s="36">
        <v>34.65</v>
      </c>
      <c r="AG25" s="36">
        <v>34.999</v>
      </c>
      <c r="AH25" s="26" t="s">
        <v>627</v>
      </c>
      <c r="AI25" s="26">
        <v>35653.0</v>
      </c>
      <c r="AJ25" s="26">
        <v>35653.0</v>
      </c>
      <c r="AK25" s="26" t="s">
        <v>431</v>
      </c>
      <c r="AL25" s="26">
        <v>374.0</v>
      </c>
      <c r="AM25" s="26">
        <v>1941.0</v>
      </c>
      <c r="AN25" s="32"/>
      <c r="AO25" s="32"/>
      <c r="AP25" s="32"/>
      <c r="AQ25" s="17" t="s">
        <v>496</v>
      </c>
      <c r="AR25" s="17" t="s">
        <v>512</v>
      </c>
      <c r="AS25" s="32"/>
      <c r="AT25" s="26">
        <v>157.0</v>
      </c>
      <c r="AU25" s="26" t="s">
        <v>628</v>
      </c>
      <c r="AV25" s="35">
        <v>121.0</v>
      </c>
      <c r="AW25" s="26">
        <v>150.0</v>
      </c>
      <c r="AX25" s="26" t="s">
        <v>624</v>
      </c>
      <c r="AY25" s="26">
        <v>295.0</v>
      </c>
      <c r="AZ25" s="37">
        <v>45481.0</v>
      </c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</row>
    <row r="26">
      <c r="A26" s="20" t="s">
        <v>629</v>
      </c>
      <c r="B26" s="20" t="s">
        <v>630</v>
      </c>
      <c r="C26" s="17" t="s">
        <v>631</v>
      </c>
      <c r="E26" s="34" t="s">
        <v>477</v>
      </c>
      <c r="F26" s="26">
        <v>40.0</v>
      </c>
      <c r="G26" s="35">
        <v>98.0</v>
      </c>
      <c r="H26" s="32"/>
      <c r="I26" s="17" t="s">
        <v>414</v>
      </c>
      <c r="K26" s="32"/>
      <c r="L26" s="26">
        <v>5.0</v>
      </c>
      <c r="M26" s="17" t="s">
        <v>417</v>
      </c>
      <c r="N26" s="17" t="s">
        <v>418</v>
      </c>
      <c r="O26" s="26">
        <v>500.0</v>
      </c>
      <c r="P26" s="26">
        <v>-1.0</v>
      </c>
      <c r="Q26" s="17" t="s">
        <v>419</v>
      </c>
      <c r="R26" s="17" t="s">
        <v>420</v>
      </c>
      <c r="S26" s="17" t="s">
        <v>421</v>
      </c>
      <c r="T26" s="17" t="s">
        <v>422</v>
      </c>
      <c r="U26" s="17" t="s">
        <v>488</v>
      </c>
      <c r="V26" s="17" t="s">
        <v>501</v>
      </c>
      <c r="W26" s="17" t="s">
        <v>403</v>
      </c>
      <c r="X26" s="17" t="s">
        <v>527</v>
      </c>
      <c r="Y26" s="17" t="s">
        <v>438</v>
      </c>
      <c r="Z26" s="17" t="s">
        <v>632</v>
      </c>
      <c r="AA26" s="17" t="s">
        <v>440</v>
      </c>
      <c r="AB26" s="17" t="s">
        <v>626</v>
      </c>
      <c r="AC26" s="17" t="s">
        <v>428</v>
      </c>
      <c r="AD26" s="17" t="s">
        <v>633</v>
      </c>
      <c r="AE26" s="32"/>
      <c r="AF26" s="36">
        <v>24.9</v>
      </c>
      <c r="AG26" s="17" t="s">
        <v>634</v>
      </c>
      <c r="AH26" s="17" t="s">
        <v>635</v>
      </c>
      <c r="AI26" s="26">
        <v>25066.0</v>
      </c>
      <c r="AJ26" s="26">
        <v>25066.0</v>
      </c>
      <c r="AK26" s="26" t="s">
        <v>529</v>
      </c>
      <c r="AL26" s="26">
        <v>493.0</v>
      </c>
      <c r="AM26" s="26">
        <v>2133.0</v>
      </c>
      <c r="AN26" s="32"/>
      <c r="AO26" s="32"/>
      <c r="AP26" s="32"/>
      <c r="AQ26" s="17" t="s">
        <v>496</v>
      </c>
      <c r="AR26" s="17" t="s">
        <v>512</v>
      </c>
      <c r="AS26" s="32"/>
      <c r="AT26" s="26">
        <v>157.0</v>
      </c>
      <c r="AU26" s="26" t="s">
        <v>628</v>
      </c>
      <c r="AV26" s="35">
        <v>98.0</v>
      </c>
      <c r="AW26" s="26">
        <v>140.0</v>
      </c>
      <c r="AX26" s="26">
        <v>40.0</v>
      </c>
      <c r="AY26" s="26">
        <v>255.0</v>
      </c>
      <c r="AZ26" s="26">
        <v>10.0</v>
      </c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</row>
    <row r="27">
      <c r="A27" s="20" t="s">
        <v>636</v>
      </c>
      <c r="B27" s="20" t="s">
        <v>630</v>
      </c>
      <c r="C27" s="17" t="s">
        <v>637</v>
      </c>
      <c r="D27" s="17" t="s">
        <v>638</v>
      </c>
      <c r="E27" s="34" t="s">
        <v>477</v>
      </c>
      <c r="F27" s="26">
        <v>40.0</v>
      </c>
      <c r="G27" s="35">
        <v>108.0</v>
      </c>
      <c r="H27" s="32"/>
      <c r="I27" s="17" t="s">
        <v>414</v>
      </c>
      <c r="J27" s="17" t="s">
        <v>415</v>
      </c>
      <c r="L27" s="26">
        <v>5.0</v>
      </c>
      <c r="M27" s="17" t="s">
        <v>417</v>
      </c>
      <c r="N27" s="17" t="s">
        <v>418</v>
      </c>
      <c r="O27" s="26">
        <v>500.0</v>
      </c>
      <c r="P27" s="26">
        <v>-1.0</v>
      </c>
      <c r="Q27" s="17" t="s">
        <v>419</v>
      </c>
      <c r="R27" s="17" t="s">
        <v>420</v>
      </c>
      <c r="S27" s="17" t="s">
        <v>421</v>
      </c>
      <c r="T27" s="17" t="s">
        <v>422</v>
      </c>
      <c r="U27" s="17" t="s">
        <v>423</v>
      </c>
      <c r="V27" s="17" t="s">
        <v>639</v>
      </c>
      <c r="W27" s="17" t="s">
        <v>403</v>
      </c>
      <c r="X27" s="17" t="s">
        <v>527</v>
      </c>
      <c r="Y27" s="17" t="s">
        <v>438</v>
      </c>
      <c r="Z27" s="17" t="s">
        <v>632</v>
      </c>
      <c r="AA27" s="17" t="s">
        <v>440</v>
      </c>
      <c r="AB27" s="17" t="s">
        <v>626</v>
      </c>
      <c r="AC27" s="17" t="s">
        <v>428</v>
      </c>
      <c r="AD27" s="17" t="s">
        <v>640</v>
      </c>
      <c r="AE27" s="26">
        <v>330.0</v>
      </c>
      <c r="AF27" s="36">
        <v>27.9</v>
      </c>
      <c r="AG27" s="36">
        <v>27.99</v>
      </c>
      <c r="AH27" s="26" t="s">
        <v>641</v>
      </c>
      <c r="AI27" s="26">
        <v>27444.0</v>
      </c>
      <c r="AJ27" s="26">
        <v>27444.0</v>
      </c>
      <c r="AK27" s="26" t="s">
        <v>444</v>
      </c>
      <c r="AL27" s="26">
        <v>298.0</v>
      </c>
      <c r="AM27" s="26">
        <v>2134.0</v>
      </c>
      <c r="AN27" s="17" t="s">
        <v>465</v>
      </c>
      <c r="AO27" s="32"/>
      <c r="AP27" s="32"/>
      <c r="AQ27" s="17" t="s">
        <v>496</v>
      </c>
      <c r="AR27" s="17" t="s">
        <v>512</v>
      </c>
      <c r="AS27" s="32"/>
      <c r="AT27" s="26">
        <v>157.0</v>
      </c>
      <c r="AU27" s="26" t="s">
        <v>628</v>
      </c>
      <c r="AV27" s="35">
        <v>108.0</v>
      </c>
      <c r="AW27" s="26">
        <v>140.0</v>
      </c>
      <c r="AX27" s="26">
        <v>40.0</v>
      </c>
      <c r="AY27" s="26">
        <v>255.0</v>
      </c>
      <c r="AZ27" s="26">
        <v>9.0</v>
      </c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</row>
    <row r="28">
      <c r="A28" s="20" t="s">
        <v>642</v>
      </c>
      <c r="B28" s="20" t="s">
        <v>524</v>
      </c>
      <c r="C28" s="17" t="s">
        <v>643</v>
      </c>
      <c r="D28" s="17" t="s">
        <v>435</v>
      </c>
      <c r="E28" s="34" t="s">
        <v>436</v>
      </c>
      <c r="F28" s="26">
        <v>40.0</v>
      </c>
      <c r="G28" s="35">
        <v>92.0</v>
      </c>
      <c r="H28" s="32"/>
      <c r="I28" s="32"/>
      <c r="J28" s="17" t="s">
        <v>415</v>
      </c>
      <c r="L28" s="26">
        <v>5.0</v>
      </c>
      <c r="M28" s="32"/>
      <c r="N28" s="32"/>
      <c r="O28" s="32"/>
      <c r="P28" s="26">
        <v>-1.0</v>
      </c>
      <c r="Q28" s="17" t="s">
        <v>419</v>
      </c>
      <c r="R28" s="17" t="s">
        <v>420</v>
      </c>
      <c r="S28" s="17" t="s">
        <v>421</v>
      </c>
      <c r="T28" s="17" t="s">
        <v>422</v>
      </c>
      <c r="U28" s="17" t="s">
        <v>488</v>
      </c>
      <c r="V28" s="17" t="s">
        <v>526</v>
      </c>
      <c r="W28" s="17" t="s">
        <v>403</v>
      </c>
      <c r="X28" s="17" t="s">
        <v>527</v>
      </c>
      <c r="Y28" s="17" t="s">
        <v>438</v>
      </c>
      <c r="Z28" s="17" t="s">
        <v>632</v>
      </c>
      <c r="AA28" s="17" t="s">
        <v>440</v>
      </c>
      <c r="AB28" s="17" t="s">
        <v>626</v>
      </c>
      <c r="AC28" s="17" t="s">
        <v>428</v>
      </c>
      <c r="AD28" s="17" t="s">
        <v>644</v>
      </c>
      <c r="AE28" s="26">
        <v>240.0</v>
      </c>
      <c r="AF28" s="17" t="s">
        <v>463</v>
      </c>
      <c r="AG28" s="36">
        <v>23.4</v>
      </c>
      <c r="AH28" s="17" t="s">
        <v>463</v>
      </c>
      <c r="AI28" s="26">
        <v>23400.0</v>
      </c>
      <c r="AJ28" s="26">
        <v>23400.0</v>
      </c>
      <c r="AK28" s="26" t="s">
        <v>444</v>
      </c>
      <c r="AL28" s="26">
        <v>652.0</v>
      </c>
      <c r="AM28" s="26">
        <v>3036.0</v>
      </c>
      <c r="AN28" s="17" t="s">
        <v>465</v>
      </c>
      <c r="AO28" s="32"/>
      <c r="AP28" s="32"/>
      <c r="AQ28" s="17" t="s">
        <v>496</v>
      </c>
      <c r="AR28" s="17" t="s">
        <v>512</v>
      </c>
      <c r="AS28" s="32"/>
      <c r="AT28" s="26">
        <v>157.0</v>
      </c>
      <c r="AU28" s="26" t="s">
        <v>628</v>
      </c>
      <c r="AV28" s="35">
        <v>92.0</v>
      </c>
      <c r="AW28" s="26">
        <v>140.0</v>
      </c>
      <c r="AX28" s="26">
        <v>40.0</v>
      </c>
      <c r="AY28" s="26">
        <v>255.0</v>
      </c>
      <c r="AZ28" s="37">
        <v>45424.0</v>
      </c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</row>
    <row r="29">
      <c r="A29" s="20" t="s">
        <v>645</v>
      </c>
      <c r="B29" s="20" t="s">
        <v>475</v>
      </c>
      <c r="C29" s="17" t="s">
        <v>646</v>
      </c>
      <c r="D29" s="17" t="s">
        <v>435</v>
      </c>
      <c r="E29" s="34" t="s">
        <v>477</v>
      </c>
      <c r="F29" s="26" t="s">
        <v>624</v>
      </c>
      <c r="G29" s="35">
        <v>116.0</v>
      </c>
      <c r="H29" s="17" t="s">
        <v>413</v>
      </c>
      <c r="I29" s="17" t="s">
        <v>414</v>
      </c>
      <c r="J29" s="17" t="s">
        <v>415</v>
      </c>
      <c r="K29" s="17" t="s">
        <v>416</v>
      </c>
      <c r="L29" s="26">
        <v>5.0</v>
      </c>
      <c r="M29" s="17" t="s">
        <v>417</v>
      </c>
      <c r="N29" s="32"/>
      <c r="O29" s="32"/>
      <c r="P29" s="26">
        <v>4.0</v>
      </c>
      <c r="Q29" s="26">
        <v>4.0</v>
      </c>
      <c r="R29" s="17" t="s">
        <v>419</v>
      </c>
      <c r="S29" s="17" t="s">
        <v>420</v>
      </c>
      <c r="T29" s="17" t="s">
        <v>421</v>
      </c>
      <c r="U29" s="17" t="s">
        <v>423</v>
      </c>
      <c r="V29" s="17" t="s">
        <v>647</v>
      </c>
      <c r="W29" s="17" t="s">
        <v>403</v>
      </c>
      <c r="X29" s="17" t="s">
        <v>480</v>
      </c>
      <c r="Y29" s="17" t="s">
        <v>438</v>
      </c>
      <c r="Z29" s="17" t="s">
        <v>612</v>
      </c>
      <c r="AA29" s="17" t="s">
        <v>440</v>
      </c>
      <c r="AB29" s="17" t="s">
        <v>626</v>
      </c>
      <c r="AC29" s="17" t="s">
        <v>428</v>
      </c>
      <c r="AD29" s="17" t="s">
        <v>545</v>
      </c>
      <c r="AE29" s="26">
        <v>470.0</v>
      </c>
      <c r="AF29" s="36">
        <v>32.6</v>
      </c>
      <c r="AG29" s="36">
        <v>35.915</v>
      </c>
      <c r="AH29" s="17" t="s">
        <v>463</v>
      </c>
      <c r="AI29" s="26">
        <v>34257.0</v>
      </c>
      <c r="AJ29" s="26">
        <v>34257.0</v>
      </c>
      <c r="AK29" s="26" t="s">
        <v>444</v>
      </c>
      <c r="AL29" s="26">
        <v>192.0</v>
      </c>
      <c r="AM29" s="26">
        <v>3049.0</v>
      </c>
      <c r="AN29" s="32"/>
      <c r="AO29" s="17" t="s">
        <v>422</v>
      </c>
      <c r="AP29" s="17" t="s">
        <v>483</v>
      </c>
      <c r="AQ29" s="32"/>
      <c r="AR29" s="32"/>
      <c r="AS29" s="32"/>
      <c r="AT29" s="26">
        <v>157.0</v>
      </c>
      <c r="AU29" s="26" t="s">
        <v>628</v>
      </c>
      <c r="AV29" s="35">
        <v>116.0</v>
      </c>
      <c r="AW29" s="26">
        <v>150.0</v>
      </c>
      <c r="AX29" s="26" t="s">
        <v>624</v>
      </c>
      <c r="AY29" s="26">
        <v>295.0</v>
      </c>
      <c r="AZ29" s="37">
        <v>45514.0</v>
      </c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</row>
    <row r="30">
      <c r="A30" s="20" t="s">
        <v>648</v>
      </c>
      <c r="B30" s="20" t="s">
        <v>649</v>
      </c>
      <c r="C30" s="17" t="s">
        <v>650</v>
      </c>
      <c r="D30" s="17" t="s">
        <v>651</v>
      </c>
      <c r="E30" s="34" t="s">
        <v>477</v>
      </c>
      <c r="F30" s="37">
        <v>45372.0</v>
      </c>
      <c r="G30" s="35">
        <v>219.0</v>
      </c>
      <c r="H30" s="32"/>
      <c r="I30" s="17" t="s">
        <v>414</v>
      </c>
      <c r="J30" s="17" t="s">
        <v>415</v>
      </c>
      <c r="L30" s="26">
        <v>4.0</v>
      </c>
      <c r="M30" s="32"/>
      <c r="N30" s="32"/>
      <c r="O30" s="32"/>
      <c r="P30" s="26">
        <v>4.0</v>
      </c>
      <c r="Q30" s="26">
        <v>4.0</v>
      </c>
      <c r="R30" s="17" t="s">
        <v>419</v>
      </c>
      <c r="S30" s="17" t="s">
        <v>420</v>
      </c>
      <c r="T30" s="17" t="s">
        <v>421</v>
      </c>
      <c r="U30" s="17" t="s">
        <v>423</v>
      </c>
      <c r="V30" s="17" t="s">
        <v>639</v>
      </c>
      <c r="W30" s="17" t="s">
        <v>403</v>
      </c>
      <c r="X30" s="17" t="s">
        <v>652</v>
      </c>
      <c r="Y30" s="17" t="s">
        <v>438</v>
      </c>
      <c r="Z30" s="17" t="s">
        <v>653</v>
      </c>
      <c r="AA30" s="17" t="s">
        <v>440</v>
      </c>
      <c r="AB30" s="17" t="s">
        <v>654</v>
      </c>
      <c r="AC30" s="17" t="s">
        <v>428</v>
      </c>
      <c r="AD30" s="17" t="s">
        <v>655</v>
      </c>
      <c r="AE30" s="26">
        <v>230.0</v>
      </c>
      <c r="AF30" s="36">
        <v>30.99</v>
      </c>
      <c r="AG30" s="36">
        <v>28.99</v>
      </c>
      <c r="AH30" s="26" t="s">
        <v>656</v>
      </c>
      <c r="AI30" s="26">
        <v>29574.0</v>
      </c>
      <c r="AJ30" s="26">
        <v>29574.0</v>
      </c>
      <c r="AK30" s="26" t="s">
        <v>657</v>
      </c>
      <c r="AL30" s="26">
        <v>297.0</v>
      </c>
      <c r="AM30" s="26">
        <v>1327.0</v>
      </c>
      <c r="AN30" s="32"/>
      <c r="AO30" s="17" t="s">
        <v>422</v>
      </c>
      <c r="AP30" s="32"/>
      <c r="AQ30" s="17" t="s">
        <v>496</v>
      </c>
      <c r="AR30" s="17" t="s">
        <v>512</v>
      </c>
      <c r="AS30" s="32"/>
      <c r="AT30" s="26">
        <v>158.0</v>
      </c>
      <c r="AU30" s="26" t="s">
        <v>658</v>
      </c>
      <c r="AV30" s="35">
        <v>219.0</v>
      </c>
      <c r="AW30" s="26">
        <v>135.0</v>
      </c>
      <c r="AX30" s="37">
        <v>45372.0</v>
      </c>
      <c r="AY30" s="26">
        <v>135.0</v>
      </c>
      <c r="AZ30" s="26">
        <v>9.0</v>
      </c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</row>
    <row r="31">
      <c r="A31" s="20" t="s">
        <v>659</v>
      </c>
      <c r="B31" s="20" t="s">
        <v>531</v>
      </c>
      <c r="C31" s="17" t="s">
        <v>660</v>
      </c>
      <c r="D31" s="17" t="s">
        <v>533</v>
      </c>
      <c r="E31" s="34" t="s">
        <v>550</v>
      </c>
      <c r="F31" s="26">
        <v>60.0</v>
      </c>
      <c r="G31" s="35">
        <v>113.0</v>
      </c>
      <c r="H31" s="17" t="s">
        <v>413</v>
      </c>
      <c r="I31" s="17" t="s">
        <v>414</v>
      </c>
      <c r="J31" s="17" t="s">
        <v>415</v>
      </c>
      <c r="L31" s="26">
        <v>5.0</v>
      </c>
      <c r="M31" s="17" t="s">
        <v>417</v>
      </c>
      <c r="N31" s="17" t="s">
        <v>418</v>
      </c>
      <c r="O31" s="26">
        <v>900.0</v>
      </c>
      <c r="P31" s="26">
        <v>5.0</v>
      </c>
      <c r="Q31" s="26">
        <v>5.0</v>
      </c>
      <c r="R31" s="17" t="s">
        <v>419</v>
      </c>
      <c r="S31" s="17" t="s">
        <v>420</v>
      </c>
      <c r="T31" s="17" t="s">
        <v>421</v>
      </c>
      <c r="U31" s="17" t="s">
        <v>423</v>
      </c>
      <c r="V31" s="17" t="s">
        <v>470</v>
      </c>
      <c r="W31" s="17" t="s">
        <v>403</v>
      </c>
      <c r="X31" s="17" t="s">
        <v>581</v>
      </c>
      <c r="Y31" s="17" t="s">
        <v>404</v>
      </c>
      <c r="Z31" s="17" t="s">
        <v>661</v>
      </c>
      <c r="AA31" s="17" t="s">
        <v>401</v>
      </c>
      <c r="AB31" s="17" t="s">
        <v>654</v>
      </c>
      <c r="AC31" s="17" t="s">
        <v>428</v>
      </c>
      <c r="AD31" s="17" t="s">
        <v>662</v>
      </c>
      <c r="AE31" s="26">
        <v>530.0</v>
      </c>
      <c r="AF31" s="36">
        <v>46.6</v>
      </c>
      <c r="AG31" s="36">
        <v>39.37</v>
      </c>
      <c r="AH31" s="26" t="s">
        <v>663</v>
      </c>
      <c r="AI31" s="26">
        <v>42838.0</v>
      </c>
      <c r="AJ31" s="26">
        <v>42838.0</v>
      </c>
      <c r="AK31" s="26" t="s">
        <v>537</v>
      </c>
      <c r="AL31" s="26">
        <v>1414.0</v>
      </c>
      <c r="AM31" s="26">
        <v>1521.0</v>
      </c>
      <c r="AN31" s="32"/>
      <c r="AO31" s="17" t="s">
        <v>422</v>
      </c>
      <c r="AP31" s="17" t="s">
        <v>483</v>
      </c>
      <c r="AQ31" s="17" t="s">
        <v>496</v>
      </c>
      <c r="AS31" s="32"/>
      <c r="AT31" s="26">
        <v>158.0</v>
      </c>
      <c r="AU31" s="26" t="s">
        <v>658</v>
      </c>
      <c r="AV31" s="35">
        <v>113.0</v>
      </c>
      <c r="AW31" s="26">
        <v>160.0</v>
      </c>
      <c r="AX31" s="26">
        <v>60.0</v>
      </c>
      <c r="AY31" s="26">
        <v>380.0</v>
      </c>
      <c r="AZ31" s="37">
        <v>45389.0</v>
      </c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</row>
    <row r="32">
      <c r="A32" s="20" t="s">
        <v>664</v>
      </c>
      <c r="B32" s="20" t="s">
        <v>531</v>
      </c>
      <c r="C32" s="17" t="s">
        <v>665</v>
      </c>
      <c r="D32" s="17" t="s">
        <v>533</v>
      </c>
      <c r="E32" s="34" t="s">
        <v>477</v>
      </c>
      <c r="F32" s="26">
        <v>60.0</v>
      </c>
      <c r="G32" s="35">
        <v>114.0</v>
      </c>
      <c r="H32" s="17" t="s">
        <v>413</v>
      </c>
      <c r="I32" s="17" t="s">
        <v>414</v>
      </c>
      <c r="J32" s="17" t="s">
        <v>415</v>
      </c>
      <c r="L32" s="26">
        <v>5.0</v>
      </c>
      <c r="M32" s="17" t="s">
        <v>417</v>
      </c>
      <c r="N32" s="17" t="s">
        <v>418</v>
      </c>
      <c r="O32" s="26">
        <v>500.0</v>
      </c>
      <c r="P32" s="26">
        <v>5.0</v>
      </c>
      <c r="Q32" s="26">
        <v>5.0</v>
      </c>
      <c r="R32" s="17" t="s">
        <v>419</v>
      </c>
      <c r="S32" s="17" t="s">
        <v>420</v>
      </c>
      <c r="T32" s="17" t="s">
        <v>421</v>
      </c>
      <c r="U32" s="17" t="s">
        <v>423</v>
      </c>
      <c r="V32" s="17" t="s">
        <v>666</v>
      </c>
      <c r="W32" s="17" t="s">
        <v>403</v>
      </c>
      <c r="X32" s="17" t="s">
        <v>480</v>
      </c>
      <c r="Y32" s="17" t="s">
        <v>438</v>
      </c>
      <c r="Z32" s="17" t="s">
        <v>661</v>
      </c>
      <c r="AA32" s="17" t="s">
        <v>440</v>
      </c>
      <c r="AB32" s="17" t="s">
        <v>654</v>
      </c>
      <c r="AC32" s="17" t="s">
        <v>428</v>
      </c>
      <c r="AD32" s="17" t="s">
        <v>662</v>
      </c>
      <c r="AE32" s="26">
        <v>530.0</v>
      </c>
      <c r="AF32" s="36">
        <v>47.0</v>
      </c>
      <c r="AG32" s="36">
        <v>39.37</v>
      </c>
      <c r="AH32" s="17" t="s">
        <v>463</v>
      </c>
      <c r="AI32" s="26">
        <v>43185.0</v>
      </c>
      <c r="AJ32" s="26">
        <v>43185.0</v>
      </c>
      <c r="AK32" s="26" t="s">
        <v>537</v>
      </c>
      <c r="AL32" s="26">
        <v>237.0</v>
      </c>
      <c r="AM32" s="26">
        <v>1588.0</v>
      </c>
      <c r="AN32" s="32"/>
      <c r="AO32" s="17" t="s">
        <v>422</v>
      </c>
      <c r="AP32" s="17" t="s">
        <v>483</v>
      </c>
      <c r="AQ32" s="17" t="s">
        <v>496</v>
      </c>
      <c r="AS32" s="32"/>
      <c r="AT32" s="26">
        <v>158.0</v>
      </c>
      <c r="AU32" s="26" t="s">
        <v>658</v>
      </c>
      <c r="AV32" s="35">
        <v>114.0</v>
      </c>
      <c r="AW32" s="26">
        <v>150.0</v>
      </c>
      <c r="AX32" s="26">
        <v>60.0</v>
      </c>
      <c r="AY32" s="26">
        <v>380.0</v>
      </c>
      <c r="AZ32" s="37">
        <v>45422.0</v>
      </c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</row>
    <row r="33">
      <c r="A33" s="20" t="s">
        <v>667</v>
      </c>
      <c r="B33" s="20" t="s">
        <v>668</v>
      </c>
      <c r="C33" s="17" t="s">
        <v>669</v>
      </c>
      <c r="D33" s="17" t="s">
        <v>670</v>
      </c>
      <c r="E33" s="34" t="s">
        <v>477</v>
      </c>
      <c r="F33" s="37">
        <v>45372.0</v>
      </c>
      <c r="G33" s="35">
        <v>230.0</v>
      </c>
      <c r="H33" s="32"/>
      <c r="I33" s="17" t="s">
        <v>414</v>
      </c>
      <c r="J33" s="17" t="s">
        <v>415</v>
      </c>
      <c r="L33" s="26">
        <v>4.0</v>
      </c>
      <c r="M33" s="32"/>
      <c r="N33" s="32"/>
      <c r="O33" s="32"/>
      <c r="P33" s="26">
        <v>4.0</v>
      </c>
      <c r="Q33" s="26">
        <v>4.0</v>
      </c>
      <c r="R33" s="17" t="s">
        <v>419</v>
      </c>
      <c r="S33" s="17" t="s">
        <v>420</v>
      </c>
      <c r="T33" s="17" t="s">
        <v>421</v>
      </c>
      <c r="U33" s="17" t="s">
        <v>423</v>
      </c>
      <c r="V33" s="17" t="s">
        <v>639</v>
      </c>
      <c r="W33" s="17" t="s">
        <v>403</v>
      </c>
      <c r="X33" s="17" t="s">
        <v>652</v>
      </c>
      <c r="Y33" s="17" t="s">
        <v>438</v>
      </c>
      <c r="Z33" s="17" t="s">
        <v>653</v>
      </c>
      <c r="AA33" s="17" t="s">
        <v>440</v>
      </c>
      <c r="AB33" s="17" t="s">
        <v>654</v>
      </c>
      <c r="AC33" s="17" t="s">
        <v>428</v>
      </c>
      <c r="AD33" s="17" t="s">
        <v>655</v>
      </c>
      <c r="AE33" s="26">
        <v>230.0</v>
      </c>
      <c r="AF33" s="17" t="s">
        <v>463</v>
      </c>
      <c r="AG33" s="36">
        <v>30.99</v>
      </c>
      <c r="AH33" s="17" t="s">
        <v>463</v>
      </c>
      <c r="AI33" s="26">
        <v>30990.0</v>
      </c>
      <c r="AJ33" s="26">
        <v>30990.0</v>
      </c>
      <c r="AK33" s="26" t="s">
        <v>671</v>
      </c>
      <c r="AL33" s="26">
        <v>109.0</v>
      </c>
      <c r="AM33" s="26">
        <v>1726.0</v>
      </c>
      <c r="AN33" s="32"/>
      <c r="AO33" s="17" t="s">
        <v>422</v>
      </c>
      <c r="AP33" s="32"/>
      <c r="AQ33" s="17" t="s">
        <v>496</v>
      </c>
      <c r="AR33" s="17" t="s">
        <v>512</v>
      </c>
      <c r="AS33" s="32"/>
      <c r="AT33" s="26">
        <v>158.0</v>
      </c>
      <c r="AU33" s="26" t="s">
        <v>658</v>
      </c>
      <c r="AV33" s="35">
        <v>230.0</v>
      </c>
      <c r="AW33" s="26">
        <v>135.0</v>
      </c>
      <c r="AX33" s="37">
        <v>45372.0</v>
      </c>
      <c r="AY33" s="26">
        <v>135.0</v>
      </c>
      <c r="AZ33" s="26">
        <v>9.0</v>
      </c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</row>
    <row r="34">
      <c r="A34" s="20" t="s">
        <v>672</v>
      </c>
      <c r="B34" s="20" t="s">
        <v>673</v>
      </c>
      <c r="C34" s="17" t="s">
        <v>674</v>
      </c>
      <c r="D34" s="17" t="s">
        <v>670</v>
      </c>
      <c r="E34" s="34" t="s">
        <v>477</v>
      </c>
      <c r="F34" s="37">
        <v>45372.0</v>
      </c>
      <c r="G34" s="35">
        <v>250.0</v>
      </c>
      <c r="H34" s="32"/>
      <c r="I34" s="17" t="s">
        <v>414</v>
      </c>
      <c r="J34" s="17" t="s">
        <v>415</v>
      </c>
      <c r="L34" s="26">
        <v>4.0</v>
      </c>
      <c r="M34" s="32"/>
      <c r="N34" s="32"/>
      <c r="O34" s="32"/>
      <c r="P34" s="26">
        <v>4.0</v>
      </c>
      <c r="Q34" s="26">
        <v>4.0</v>
      </c>
      <c r="R34" s="17" t="s">
        <v>419</v>
      </c>
      <c r="S34" s="17" t="s">
        <v>420</v>
      </c>
      <c r="T34" s="17" t="s">
        <v>421</v>
      </c>
      <c r="U34" s="17" t="s">
        <v>423</v>
      </c>
      <c r="V34" s="17" t="s">
        <v>639</v>
      </c>
      <c r="W34" s="17" t="s">
        <v>403</v>
      </c>
      <c r="X34" s="17" t="s">
        <v>652</v>
      </c>
      <c r="Y34" s="17" t="s">
        <v>438</v>
      </c>
      <c r="Z34" s="17" t="s">
        <v>653</v>
      </c>
      <c r="AA34" s="17" t="s">
        <v>440</v>
      </c>
      <c r="AB34" s="17" t="s">
        <v>654</v>
      </c>
      <c r="AC34" s="17" t="s">
        <v>428</v>
      </c>
      <c r="AD34" s="17" t="s">
        <v>655</v>
      </c>
      <c r="AE34" s="26">
        <v>230.0</v>
      </c>
      <c r="AF34" s="36">
        <v>35.49</v>
      </c>
      <c r="AG34" s="36">
        <v>31.99</v>
      </c>
      <c r="AH34" s="17" t="s">
        <v>463</v>
      </c>
      <c r="AI34" s="26">
        <v>33740.0</v>
      </c>
      <c r="AJ34" s="26">
        <v>33740.0</v>
      </c>
      <c r="AK34" s="26" t="s">
        <v>671</v>
      </c>
      <c r="AL34" s="26">
        <v>114.0</v>
      </c>
      <c r="AM34" s="26">
        <v>1727.0</v>
      </c>
      <c r="AN34" s="32"/>
      <c r="AO34" s="17" t="s">
        <v>422</v>
      </c>
      <c r="AP34" s="32"/>
      <c r="AQ34" s="32"/>
      <c r="AR34" s="17" t="s">
        <v>512</v>
      </c>
      <c r="AS34" s="32"/>
      <c r="AT34" s="26">
        <v>158.0</v>
      </c>
      <c r="AU34" s="26" t="s">
        <v>658</v>
      </c>
      <c r="AV34" s="35">
        <v>250.0</v>
      </c>
      <c r="AW34" s="26">
        <v>135.0</v>
      </c>
      <c r="AX34" s="37">
        <v>45372.0</v>
      </c>
      <c r="AY34" s="26">
        <v>135.0</v>
      </c>
      <c r="AZ34" s="26">
        <v>9.0</v>
      </c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</row>
    <row r="35">
      <c r="A35" s="20" t="s">
        <v>675</v>
      </c>
      <c r="B35" s="20" t="s">
        <v>592</v>
      </c>
      <c r="C35" s="17" t="s">
        <v>676</v>
      </c>
      <c r="D35" s="17" t="s">
        <v>565</v>
      </c>
      <c r="E35" s="34" t="s">
        <v>477</v>
      </c>
      <c r="F35" s="26" t="s">
        <v>677</v>
      </c>
      <c r="G35" s="35">
        <v>124.0</v>
      </c>
      <c r="H35" s="17" t="s">
        <v>413</v>
      </c>
      <c r="I35" s="17" t="s">
        <v>414</v>
      </c>
      <c r="J35" s="17" t="s">
        <v>415</v>
      </c>
      <c r="K35" s="17" t="s">
        <v>595</v>
      </c>
      <c r="L35" s="26">
        <v>5.0</v>
      </c>
      <c r="M35" s="17" t="s">
        <v>417</v>
      </c>
      <c r="N35" s="17" t="s">
        <v>418</v>
      </c>
      <c r="O35" s="26">
        <v>1600.0</v>
      </c>
      <c r="P35" s="26">
        <v>-1.0</v>
      </c>
      <c r="Q35" s="17" t="s">
        <v>419</v>
      </c>
      <c r="R35" s="17" t="s">
        <v>420</v>
      </c>
      <c r="S35" s="17" t="s">
        <v>421</v>
      </c>
      <c r="T35" s="17" t="s">
        <v>422</v>
      </c>
      <c r="U35" s="17" t="s">
        <v>423</v>
      </c>
      <c r="V35" s="17" t="s">
        <v>678</v>
      </c>
      <c r="W35" s="17" t="s">
        <v>403</v>
      </c>
      <c r="X35" s="17" t="s">
        <v>597</v>
      </c>
      <c r="Y35" s="17" t="s">
        <v>438</v>
      </c>
      <c r="Z35" s="17" t="s">
        <v>679</v>
      </c>
      <c r="AA35" s="17" t="s">
        <v>440</v>
      </c>
      <c r="AB35" s="17" t="s">
        <v>654</v>
      </c>
      <c r="AC35" s="17" t="s">
        <v>428</v>
      </c>
      <c r="AD35" s="17" t="s">
        <v>680</v>
      </c>
      <c r="AE35" s="26">
        <v>800.0</v>
      </c>
      <c r="AF35" s="36">
        <v>60.5</v>
      </c>
      <c r="AG35" s="36">
        <v>63.358</v>
      </c>
      <c r="AH35" s="26" t="s">
        <v>681</v>
      </c>
      <c r="AI35" s="26">
        <v>64042.0</v>
      </c>
      <c r="AJ35" s="26">
        <v>64042.0</v>
      </c>
      <c r="AK35" s="26" t="s">
        <v>567</v>
      </c>
      <c r="AL35" s="26">
        <v>1230.0</v>
      </c>
      <c r="AM35" s="26">
        <v>2199.0</v>
      </c>
      <c r="AN35" s="32"/>
      <c r="AO35" s="32"/>
      <c r="AP35" s="32"/>
      <c r="AQ35" s="32"/>
      <c r="AR35" s="32"/>
      <c r="AS35" s="32"/>
      <c r="AT35" s="26">
        <v>158.0</v>
      </c>
      <c r="AU35" s="26" t="s">
        <v>658</v>
      </c>
      <c r="AV35" s="35">
        <v>124.0</v>
      </c>
      <c r="AW35" s="26">
        <v>190.0</v>
      </c>
      <c r="AX35" s="26" t="s">
        <v>677</v>
      </c>
      <c r="AY35" s="26">
        <v>515.0</v>
      </c>
      <c r="AZ35" s="37">
        <v>45448.0</v>
      </c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</row>
    <row r="36">
      <c r="A36" s="20" t="s">
        <v>682</v>
      </c>
      <c r="B36" s="20" t="s">
        <v>616</v>
      </c>
      <c r="C36" s="17" t="s">
        <v>683</v>
      </c>
      <c r="D36" s="17" t="s">
        <v>684</v>
      </c>
      <c r="E36" s="34" t="s">
        <v>477</v>
      </c>
      <c r="F36" s="26" t="s">
        <v>685</v>
      </c>
      <c r="G36" s="35">
        <v>129.0</v>
      </c>
      <c r="H36" s="17" t="s">
        <v>413</v>
      </c>
      <c r="I36" s="17" t="s">
        <v>414</v>
      </c>
      <c r="J36" s="17" t="s">
        <v>415</v>
      </c>
      <c r="K36" s="17" t="s">
        <v>595</v>
      </c>
      <c r="L36" s="26">
        <v>5.0</v>
      </c>
      <c r="M36" s="17" t="s">
        <v>417</v>
      </c>
      <c r="N36" s="17" t="s">
        <v>418</v>
      </c>
      <c r="O36" s="26">
        <v>2100.0</v>
      </c>
      <c r="P36" s="26">
        <v>-1.0</v>
      </c>
      <c r="Q36" s="17" t="s">
        <v>419</v>
      </c>
      <c r="R36" s="17" t="s">
        <v>420</v>
      </c>
      <c r="S36" s="17" t="s">
        <v>421</v>
      </c>
      <c r="T36" s="17" t="s">
        <v>422</v>
      </c>
      <c r="U36" s="17" t="s">
        <v>423</v>
      </c>
      <c r="V36" s="17" t="s">
        <v>686</v>
      </c>
      <c r="W36" s="17" t="s">
        <v>403</v>
      </c>
      <c r="X36" s="17" t="s">
        <v>619</v>
      </c>
      <c r="Y36" s="17" t="s">
        <v>438</v>
      </c>
      <c r="Z36" s="17" t="s">
        <v>687</v>
      </c>
      <c r="AA36" s="17" t="s">
        <v>440</v>
      </c>
      <c r="AB36" s="17" t="s">
        <v>654</v>
      </c>
      <c r="AC36" s="17" t="s">
        <v>428</v>
      </c>
      <c r="AD36" s="17" t="s">
        <v>688</v>
      </c>
      <c r="AE36" s="26">
        <v>1200.0</v>
      </c>
      <c r="AF36" s="36">
        <v>75.6</v>
      </c>
      <c r="AG36" s="36">
        <v>75.99</v>
      </c>
      <c r="AH36" s="26" t="s">
        <v>689</v>
      </c>
      <c r="AI36" s="26">
        <v>77325.0</v>
      </c>
      <c r="AJ36" s="26">
        <v>77325.0</v>
      </c>
      <c r="AK36" s="26" t="s">
        <v>444</v>
      </c>
      <c r="AL36" s="26">
        <v>1056.0</v>
      </c>
      <c r="AM36" s="26">
        <v>2270.0</v>
      </c>
      <c r="AN36" s="32"/>
      <c r="AO36" s="32"/>
      <c r="AP36" s="32"/>
      <c r="AQ36" s="32"/>
      <c r="AR36" s="32"/>
      <c r="AS36" s="32"/>
      <c r="AT36" s="26">
        <v>158.0</v>
      </c>
      <c r="AU36" s="26" t="s">
        <v>658</v>
      </c>
      <c r="AV36" s="35">
        <v>129.0</v>
      </c>
      <c r="AW36" s="26">
        <v>210.0</v>
      </c>
      <c r="AX36" s="26" t="s">
        <v>685</v>
      </c>
      <c r="AY36" s="26">
        <v>600.0</v>
      </c>
      <c r="AZ36" s="37">
        <v>45387.0</v>
      </c>
      <c r="BA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</row>
    <row r="37">
      <c r="A37" s="20" t="s">
        <v>690</v>
      </c>
      <c r="B37" s="20" t="s">
        <v>649</v>
      </c>
      <c r="C37" s="17" t="s">
        <v>691</v>
      </c>
      <c r="D37" s="17" t="s">
        <v>651</v>
      </c>
      <c r="E37" s="34" t="s">
        <v>550</v>
      </c>
      <c r="F37" s="26" t="s">
        <v>571</v>
      </c>
      <c r="G37" s="35">
        <v>144.0</v>
      </c>
      <c r="H37" s="32"/>
      <c r="I37" s="17" t="s">
        <v>414</v>
      </c>
      <c r="J37" s="17" t="s">
        <v>415</v>
      </c>
      <c r="L37" s="26">
        <v>4.0</v>
      </c>
      <c r="M37" s="32"/>
      <c r="N37" s="32"/>
      <c r="O37" s="32"/>
      <c r="P37" s="26">
        <v>4.0</v>
      </c>
      <c r="Q37" s="26">
        <v>4.0</v>
      </c>
      <c r="R37" s="17" t="s">
        <v>419</v>
      </c>
      <c r="S37" s="17" t="s">
        <v>420</v>
      </c>
      <c r="T37" s="17" t="s">
        <v>421</v>
      </c>
      <c r="U37" s="17" t="s">
        <v>423</v>
      </c>
      <c r="V37" s="17" t="s">
        <v>639</v>
      </c>
      <c r="W37" s="17" t="s">
        <v>403</v>
      </c>
      <c r="X37" s="17" t="s">
        <v>480</v>
      </c>
      <c r="Y37" s="17" t="s">
        <v>404</v>
      </c>
      <c r="Z37" s="17" t="s">
        <v>692</v>
      </c>
      <c r="AA37" s="17" t="s">
        <v>401</v>
      </c>
      <c r="AB37" s="17" t="s">
        <v>693</v>
      </c>
      <c r="AC37" s="17" t="s">
        <v>428</v>
      </c>
      <c r="AD37" s="17" t="s">
        <v>694</v>
      </c>
      <c r="AE37" s="26">
        <v>390.0</v>
      </c>
      <c r="AF37" s="36">
        <v>34.99</v>
      </c>
      <c r="AG37" s="36">
        <v>34.49</v>
      </c>
      <c r="AH37" s="26" t="s">
        <v>695</v>
      </c>
      <c r="AI37" s="26">
        <v>33891.0</v>
      </c>
      <c r="AJ37" s="26">
        <v>33891.0</v>
      </c>
      <c r="AK37" s="26" t="s">
        <v>657</v>
      </c>
      <c r="AL37" s="26">
        <v>1146.0</v>
      </c>
      <c r="AM37" s="26">
        <v>1285.0</v>
      </c>
      <c r="AN37" s="32"/>
      <c r="AO37" s="17" t="s">
        <v>422</v>
      </c>
      <c r="AP37" s="32"/>
      <c r="AQ37" s="17" t="s">
        <v>496</v>
      </c>
      <c r="AR37" s="17" t="s">
        <v>512</v>
      </c>
      <c r="AS37" s="32"/>
      <c r="AT37" s="26">
        <v>159.0</v>
      </c>
      <c r="AU37" s="26" t="s">
        <v>696</v>
      </c>
      <c r="AV37" s="35">
        <v>144.0</v>
      </c>
      <c r="AW37" s="26">
        <v>150.0</v>
      </c>
      <c r="AX37" s="26" t="s">
        <v>571</v>
      </c>
      <c r="AY37" s="26">
        <v>235.0</v>
      </c>
      <c r="AZ37" s="26">
        <v>9.0</v>
      </c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</row>
    <row r="38">
      <c r="A38" s="20" t="s">
        <v>697</v>
      </c>
      <c r="B38" s="20" t="s">
        <v>698</v>
      </c>
      <c r="C38" s="17" t="s">
        <v>699</v>
      </c>
      <c r="D38" s="17" t="s">
        <v>700</v>
      </c>
      <c r="E38" s="34" t="s">
        <v>436</v>
      </c>
      <c r="F38" s="26">
        <v>92.0</v>
      </c>
      <c r="G38" s="35">
        <v>173.0</v>
      </c>
      <c r="H38" s="32"/>
      <c r="I38" s="17" t="s">
        <v>414</v>
      </c>
      <c r="J38" s="17" t="s">
        <v>415</v>
      </c>
      <c r="K38" s="17" t="s">
        <v>416</v>
      </c>
      <c r="L38" s="26">
        <v>5.0</v>
      </c>
      <c r="M38" s="32"/>
      <c r="N38" s="32"/>
      <c r="O38" s="32"/>
      <c r="P38" s="26">
        <v>5.0</v>
      </c>
      <c r="Q38" s="26">
        <v>5.0</v>
      </c>
      <c r="R38" s="17" t="s">
        <v>419</v>
      </c>
      <c r="S38" s="17" t="s">
        <v>420</v>
      </c>
      <c r="T38" s="17" t="s">
        <v>421</v>
      </c>
      <c r="U38" s="17" t="s">
        <v>423</v>
      </c>
      <c r="V38" s="17" t="s">
        <v>517</v>
      </c>
      <c r="W38" s="17" t="s">
        <v>403</v>
      </c>
      <c r="X38" s="17" t="s">
        <v>701</v>
      </c>
      <c r="Y38" s="17" t="s">
        <v>438</v>
      </c>
      <c r="Z38" s="17" t="s">
        <v>702</v>
      </c>
      <c r="AA38" s="17" t="s">
        <v>440</v>
      </c>
      <c r="AB38" s="17" t="s">
        <v>693</v>
      </c>
      <c r="AC38" s="17" t="s">
        <v>520</v>
      </c>
      <c r="AD38" s="17" t="s">
        <v>703</v>
      </c>
      <c r="AE38" s="26">
        <v>970.0</v>
      </c>
      <c r="AF38" s="36">
        <v>99.0</v>
      </c>
      <c r="AG38" s="36">
        <v>102.0</v>
      </c>
      <c r="AH38" s="17" t="s">
        <v>463</v>
      </c>
      <c r="AI38" s="26">
        <v>100000.0</v>
      </c>
      <c r="AJ38" s="26">
        <v>100500.0</v>
      </c>
      <c r="AK38" s="26" t="s">
        <v>552</v>
      </c>
      <c r="AL38" s="26">
        <v>310.0</v>
      </c>
      <c r="AM38" s="26">
        <v>1317.0</v>
      </c>
      <c r="AN38" s="17" t="s">
        <v>465</v>
      </c>
      <c r="AO38" s="17" t="s">
        <v>422</v>
      </c>
      <c r="AP38" s="32"/>
      <c r="AQ38" s="32"/>
      <c r="AR38" s="32"/>
      <c r="AS38" s="32"/>
      <c r="AT38" s="26">
        <v>159.0</v>
      </c>
      <c r="AU38" s="26" t="s">
        <v>696</v>
      </c>
      <c r="AV38" s="35">
        <v>173.0</v>
      </c>
      <c r="AW38" s="26">
        <v>250.0</v>
      </c>
      <c r="AX38" s="26">
        <v>92.0</v>
      </c>
      <c r="AY38" s="26">
        <v>580.0</v>
      </c>
      <c r="AZ38" s="37">
        <v>45325.0</v>
      </c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</row>
    <row r="39">
      <c r="A39" s="20" t="s">
        <v>704</v>
      </c>
      <c r="B39" s="20" t="s">
        <v>668</v>
      </c>
      <c r="C39" s="17" t="s">
        <v>705</v>
      </c>
      <c r="D39" s="17" t="s">
        <v>651</v>
      </c>
      <c r="E39" s="34" t="s">
        <v>477</v>
      </c>
      <c r="F39" s="26" t="s">
        <v>571</v>
      </c>
      <c r="G39" s="35">
        <v>154.0</v>
      </c>
      <c r="H39" s="32"/>
      <c r="I39" s="17" t="s">
        <v>414</v>
      </c>
      <c r="J39" s="17" t="s">
        <v>415</v>
      </c>
      <c r="L39" s="26">
        <v>4.0</v>
      </c>
      <c r="M39" s="32"/>
      <c r="N39" s="32"/>
      <c r="O39" s="32"/>
      <c r="P39" s="26">
        <v>4.0</v>
      </c>
      <c r="Q39" s="26">
        <v>4.0</v>
      </c>
      <c r="R39" s="17" t="s">
        <v>419</v>
      </c>
      <c r="S39" s="17" t="s">
        <v>420</v>
      </c>
      <c r="T39" s="17" t="s">
        <v>421</v>
      </c>
      <c r="U39" s="17" t="s">
        <v>423</v>
      </c>
      <c r="V39" s="17" t="s">
        <v>639</v>
      </c>
      <c r="W39" s="17" t="s">
        <v>403</v>
      </c>
      <c r="X39" s="17" t="s">
        <v>480</v>
      </c>
      <c r="Y39" s="17" t="s">
        <v>438</v>
      </c>
      <c r="Z39" s="17" t="s">
        <v>692</v>
      </c>
      <c r="AA39" s="17" t="s">
        <v>440</v>
      </c>
      <c r="AB39" s="17" t="s">
        <v>693</v>
      </c>
      <c r="AC39" s="17" t="s">
        <v>428</v>
      </c>
      <c r="AD39" s="17" t="s">
        <v>694</v>
      </c>
      <c r="AE39" s="26">
        <v>390.0</v>
      </c>
      <c r="AF39" s="36">
        <v>36.99</v>
      </c>
      <c r="AG39" s="36">
        <v>35.49</v>
      </c>
      <c r="AH39" s="17" t="s">
        <v>463</v>
      </c>
      <c r="AI39" s="26">
        <v>36240.0</v>
      </c>
      <c r="AJ39" s="26">
        <v>36240.0</v>
      </c>
      <c r="AK39" s="26" t="s">
        <v>657</v>
      </c>
      <c r="AL39" s="26">
        <v>157.0</v>
      </c>
      <c r="AM39" s="26">
        <v>1328.0</v>
      </c>
      <c r="AN39" s="32"/>
      <c r="AO39" s="17" t="s">
        <v>422</v>
      </c>
      <c r="AP39" s="32"/>
      <c r="AQ39" s="17" t="s">
        <v>496</v>
      </c>
      <c r="AR39" s="17" t="s">
        <v>512</v>
      </c>
      <c r="AS39" s="32"/>
      <c r="AT39" s="26">
        <v>159.0</v>
      </c>
      <c r="AU39" s="26" t="s">
        <v>696</v>
      </c>
      <c r="AV39" s="35">
        <v>154.0</v>
      </c>
      <c r="AW39" s="26">
        <v>150.0</v>
      </c>
      <c r="AX39" s="26" t="s">
        <v>571</v>
      </c>
      <c r="AY39" s="26">
        <v>235.0</v>
      </c>
      <c r="AZ39" s="26">
        <v>9.0</v>
      </c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</row>
    <row r="40">
      <c r="A40" s="20" t="s">
        <v>706</v>
      </c>
      <c r="B40" s="20" t="s">
        <v>707</v>
      </c>
      <c r="C40" s="17" t="s">
        <v>708</v>
      </c>
      <c r="D40" s="17" t="s">
        <v>541</v>
      </c>
      <c r="E40" s="34" t="s">
        <v>477</v>
      </c>
      <c r="F40" s="26" t="s">
        <v>478</v>
      </c>
      <c r="G40" s="35">
        <v>131.0</v>
      </c>
      <c r="H40" s="32"/>
      <c r="I40" s="17" t="s">
        <v>414</v>
      </c>
      <c r="J40" s="17" t="s">
        <v>415</v>
      </c>
      <c r="L40" s="26">
        <v>5.0</v>
      </c>
      <c r="M40" s="17" t="s">
        <v>417</v>
      </c>
      <c r="N40" s="17" t="s">
        <v>418</v>
      </c>
      <c r="O40" s="26">
        <v>0.0</v>
      </c>
      <c r="P40" s="26">
        <v>-1.0</v>
      </c>
      <c r="Q40" s="17" t="s">
        <v>419</v>
      </c>
      <c r="R40" s="17" t="s">
        <v>420</v>
      </c>
      <c r="S40" s="17" t="s">
        <v>421</v>
      </c>
      <c r="T40" s="17" t="s">
        <v>422</v>
      </c>
      <c r="U40" s="17" t="s">
        <v>423</v>
      </c>
      <c r="V40" s="17" t="s">
        <v>542</v>
      </c>
      <c r="W40" s="17" t="s">
        <v>403</v>
      </c>
      <c r="X40" s="17" t="s">
        <v>589</v>
      </c>
      <c r="Y40" s="17" t="s">
        <v>438</v>
      </c>
      <c r="Z40" s="17" t="s">
        <v>709</v>
      </c>
      <c r="AA40" s="17" t="s">
        <v>440</v>
      </c>
      <c r="AB40" s="17" t="s">
        <v>693</v>
      </c>
      <c r="AC40" s="17" t="s">
        <v>428</v>
      </c>
      <c r="AD40" s="17" t="s">
        <v>710</v>
      </c>
      <c r="AE40" s="26">
        <v>510.0</v>
      </c>
      <c r="AF40" s="36">
        <v>41.99</v>
      </c>
      <c r="AG40" s="36">
        <v>39.999</v>
      </c>
      <c r="AH40" s="26" t="s">
        <v>711</v>
      </c>
      <c r="AI40" s="26">
        <v>41817.0</v>
      </c>
      <c r="AJ40" s="26">
        <v>41817.0</v>
      </c>
      <c r="AK40" s="26" t="s">
        <v>431</v>
      </c>
      <c r="AL40" s="26">
        <v>608.0</v>
      </c>
      <c r="AM40" s="26">
        <v>1792.0</v>
      </c>
      <c r="AN40" s="32"/>
      <c r="AO40" s="32"/>
      <c r="AP40" s="17" t="s">
        <v>483</v>
      </c>
      <c r="AQ40" s="17" t="s">
        <v>496</v>
      </c>
      <c r="AS40" s="32"/>
      <c r="AT40" s="26">
        <v>159.0</v>
      </c>
      <c r="AU40" s="26" t="s">
        <v>696</v>
      </c>
      <c r="AV40" s="35">
        <v>131.0</v>
      </c>
      <c r="AW40" s="26">
        <v>170.0</v>
      </c>
      <c r="AX40" s="26" t="s">
        <v>478</v>
      </c>
      <c r="AY40" s="26">
        <v>320.0</v>
      </c>
      <c r="AZ40" s="37">
        <v>45331.0</v>
      </c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</row>
    <row r="41">
      <c r="A41" s="20" t="s">
        <v>712</v>
      </c>
      <c r="B41" s="20" t="s">
        <v>713</v>
      </c>
      <c r="C41" s="17" t="s">
        <v>714</v>
      </c>
      <c r="D41" s="17" t="s">
        <v>487</v>
      </c>
      <c r="E41" s="34" t="s">
        <v>477</v>
      </c>
      <c r="F41" s="26" t="s">
        <v>478</v>
      </c>
      <c r="G41" s="35">
        <v>122.0</v>
      </c>
      <c r="H41" s="32"/>
      <c r="I41" s="17" t="s">
        <v>414</v>
      </c>
      <c r="J41" s="17" t="s">
        <v>415</v>
      </c>
      <c r="L41" s="26">
        <v>5.0</v>
      </c>
      <c r="M41" s="17" t="s">
        <v>417</v>
      </c>
      <c r="N41" s="32"/>
      <c r="O41" s="32"/>
      <c r="P41" s="26">
        <v>-1.0</v>
      </c>
      <c r="Q41" s="17" t="s">
        <v>419</v>
      </c>
      <c r="R41" s="17" t="s">
        <v>420</v>
      </c>
      <c r="S41" s="17" t="s">
        <v>421</v>
      </c>
      <c r="T41" s="17" t="s">
        <v>422</v>
      </c>
      <c r="U41" s="17" t="s">
        <v>423</v>
      </c>
      <c r="V41" s="17" t="s">
        <v>639</v>
      </c>
      <c r="W41" s="17" t="s">
        <v>403</v>
      </c>
      <c r="X41" s="17" t="s">
        <v>480</v>
      </c>
      <c r="Y41" s="17" t="s">
        <v>438</v>
      </c>
      <c r="Z41" s="17" t="s">
        <v>709</v>
      </c>
      <c r="AA41" s="17" t="s">
        <v>440</v>
      </c>
      <c r="AB41" s="17" t="s">
        <v>693</v>
      </c>
      <c r="AC41" s="17" t="s">
        <v>428</v>
      </c>
      <c r="AD41" s="17" t="s">
        <v>710</v>
      </c>
      <c r="AE41" s="26">
        <v>510.0</v>
      </c>
      <c r="AF41" s="36">
        <v>39.5</v>
      </c>
      <c r="AG41" s="36">
        <v>39.0</v>
      </c>
      <c r="AH41" s="26" t="s">
        <v>715</v>
      </c>
      <c r="AI41" s="26">
        <v>39159.0</v>
      </c>
      <c r="AJ41" s="26">
        <v>39159.0</v>
      </c>
      <c r="AK41" s="26" t="s">
        <v>495</v>
      </c>
      <c r="AL41" s="26">
        <v>343.0</v>
      </c>
      <c r="AM41" s="26">
        <v>2184.0</v>
      </c>
      <c r="AN41" s="32"/>
      <c r="AO41" s="32"/>
      <c r="AP41" s="32"/>
      <c r="AQ41" s="32"/>
      <c r="AR41" s="17" t="s">
        <v>512</v>
      </c>
      <c r="AS41" s="32"/>
      <c r="AT41" s="26">
        <v>159.0</v>
      </c>
      <c r="AU41" s="26" t="s">
        <v>696</v>
      </c>
      <c r="AV41" s="35">
        <v>122.0</v>
      </c>
      <c r="AW41" s="26">
        <v>150.0</v>
      </c>
      <c r="AX41" s="26" t="s">
        <v>478</v>
      </c>
      <c r="AY41" s="26">
        <v>320.0</v>
      </c>
      <c r="AZ41" s="26">
        <v>9.0</v>
      </c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</row>
    <row r="42">
      <c r="A42" s="20" t="s">
        <v>716</v>
      </c>
      <c r="B42" s="20" t="s">
        <v>540</v>
      </c>
      <c r="C42" s="17" t="s">
        <v>717</v>
      </c>
      <c r="D42" s="17" t="s">
        <v>718</v>
      </c>
      <c r="E42" s="34" t="s">
        <v>477</v>
      </c>
      <c r="F42" s="26" t="s">
        <v>624</v>
      </c>
      <c r="G42" s="35">
        <v>127.0</v>
      </c>
      <c r="H42" s="17" t="s">
        <v>413</v>
      </c>
      <c r="I42" s="17" t="s">
        <v>414</v>
      </c>
      <c r="J42" s="17" t="s">
        <v>415</v>
      </c>
      <c r="L42" s="26">
        <v>5.0</v>
      </c>
      <c r="M42" s="17" t="s">
        <v>417</v>
      </c>
      <c r="N42" s="32"/>
      <c r="O42" s="32"/>
      <c r="P42" s="26">
        <v>4.0</v>
      </c>
      <c r="Q42" s="26">
        <v>4.0</v>
      </c>
      <c r="R42" s="17" t="s">
        <v>419</v>
      </c>
      <c r="S42" s="17" t="s">
        <v>420</v>
      </c>
      <c r="T42" s="17" t="s">
        <v>421</v>
      </c>
      <c r="U42" s="17" t="s">
        <v>423</v>
      </c>
      <c r="V42" s="17" t="s">
        <v>719</v>
      </c>
      <c r="W42" s="17" t="s">
        <v>403</v>
      </c>
      <c r="X42" s="17" t="s">
        <v>480</v>
      </c>
      <c r="Y42" s="17" t="s">
        <v>438</v>
      </c>
      <c r="Z42" s="17" t="s">
        <v>720</v>
      </c>
      <c r="AA42" s="17" t="s">
        <v>440</v>
      </c>
      <c r="AB42" s="17" t="s">
        <v>721</v>
      </c>
      <c r="AC42" s="17" t="s">
        <v>428</v>
      </c>
      <c r="AD42" s="17" t="s">
        <v>722</v>
      </c>
      <c r="AE42" s="26">
        <v>460.0</v>
      </c>
      <c r="AF42" s="17" t="s">
        <v>463</v>
      </c>
      <c r="AG42" s="17" t="s">
        <v>463</v>
      </c>
      <c r="AH42" s="26" t="s">
        <v>723</v>
      </c>
      <c r="AI42" s="26">
        <v>36754.0</v>
      </c>
      <c r="AJ42" s="26">
        <v>36754.0</v>
      </c>
      <c r="AK42" s="26" t="s">
        <v>724</v>
      </c>
      <c r="AL42" s="26">
        <v>925.0</v>
      </c>
      <c r="AM42" s="26">
        <v>1587.0</v>
      </c>
      <c r="AN42" s="32"/>
      <c r="AO42" s="17" t="s">
        <v>422</v>
      </c>
      <c r="AP42" s="17" t="s">
        <v>483</v>
      </c>
      <c r="AQ42" s="17" t="s">
        <v>496</v>
      </c>
      <c r="AS42" s="32"/>
      <c r="AT42" s="26">
        <v>160.0</v>
      </c>
      <c r="AU42" s="26" t="s">
        <v>725</v>
      </c>
      <c r="AV42" s="35">
        <v>127.0</v>
      </c>
      <c r="AW42" s="26">
        <v>150.0</v>
      </c>
      <c r="AX42" s="26" t="s">
        <v>624</v>
      </c>
      <c r="AY42" s="26">
        <v>290.0</v>
      </c>
      <c r="AZ42" s="37">
        <v>45482.0</v>
      </c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</row>
    <row r="43">
      <c r="A43" s="20" t="s">
        <v>726</v>
      </c>
      <c r="B43" s="20" t="s">
        <v>554</v>
      </c>
      <c r="C43" s="17" t="s">
        <v>727</v>
      </c>
      <c r="D43" s="17" t="s">
        <v>556</v>
      </c>
      <c r="E43" s="34" t="s">
        <v>477</v>
      </c>
      <c r="F43" s="26" t="s">
        <v>624</v>
      </c>
      <c r="G43" s="35">
        <v>126.0</v>
      </c>
      <c r="H43" s="32"/>
      <c r="I43" s="17" t="s">
        <v>414</v>
      </c>
      <c r="J43" s="17" t="s">
        <v>415</v>
      </c>
      <c r="L43" s="26">
        <v>5.0</v>
      </c>
      <c r="M43" s="17" t="s">
        <v>417</v>
      </c>
      <c r="N43" s="32"/>
      <c r="O43" s="32"/>
      <c r="P43" s="26">
        <v>-1.0</v>
      </c>
      <c r="Q43" s="17" t="s">
        <v>419</v>
      </c>
      <c r="R43" s="17" t="s">
        <v>420</v>
      </c>
      <c r="S43" s="17" t="s">
        <v>421</v>
      </c>
      <c r="T43" s="17" t="s">
        <v>422</v>
      </c>
      <c r="U43" s="17" t="s">
        <v>423</v>
      </c>
      <c r="V43" s="17" t="s">
        <v>639</v>
      </c>
      <c r="W43" s="17" t="s">
        <v>403</v>
      </c>
      <c r="X43" s="17" t="s">
        <v>480</v>
      </c>
      <c r="Y43" s="17" t="s">
        <v>438</v>
      </c>
      <c r="Z43" s="17" t="s">
        <v>720</v>
      </c>
      <c r="AA43" s="17" t="s">
        <v>440</v>
      </c>
      <c r="AB43" s="17" t="s">
        <v>721</v>
      </c>
      <c r="AC43" s="17" t="s">
        <v>428</v>
      </c>
      <c r="AD43" s="17" t="s">
        <v>722</v>
      </c>
      <c r="AE43" s="26">
        <v>460.0</v>
      </c>
      <c r="AF43" s="36">
        <v>35.975</v>
      </c>
      <c r="AG43" s="36">
        <v>35.87</v>
      </c>
      <c r="AH43" s="26" t="s">
        <v>728</v>
      </c>
      <c r="AI43" s="26">
        <v>36464.0</v>
      </c>
      <c r="AJ43" s="26">
        <v>36464.0</v>
      </c>
      <c r="AK43" s="26" t="s">
        <v>431</v>
      </c>
      <c r="AL43" s="26">
        <v>582.0</v>
      </c>
      <c r="AM43" s="26">
        <v>1948.0</v>
      </c>
      <c r="AN43" s="32"/>
      <c r="AO43" s="32"/>
      <c r="AP43" s="32"/>
      <c r="AQ43" s="17" t="s">
        <v>496</v>
      </c>
      <c r="AR43" s="17" t="s">
        <v>512</v>
      </c>
      <c r="AS43" s="32"/>
      <c r="AT43" s="26">
        <v>160.0</v>
      </c>
      <c r="AU43" s="26" t="s">
        <v>725</v>
      </c>
      <c r="AV43" s="35">
        <v>126.0</v>
      </c>
      <c r="AW43" s="26">
        <v>150.0</v>
      </c>
      <c r="AX43" s="26" t="s">
        <v>624</v>
      </c>
      <c r="AY43" s="26">
        <v>290.0</v>
      </c>
      <c r="AZ43" s="26">
        <v>9.0</v>
      </c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</row>
    <row r="44">
      <c r="A44" s="20" t="s">
        <v>729</v>
      </c>
      <c r="B44" s="20" t="s">
        <v>730</v>
      </c>
      <c r="C44" s="17" t="s">
        <v>731</v>
      </c>
      <c r="D44" s="17" t="s">
        <v>410</v>
      </c>
      <c r="E44" s="34" t="s">
        <v>477</v>
      </c>
      <c r="F44" s="26">
        <v>77.0</v>
      </c>
      <c r="G44" s="35">
        <v>109.0</v>
      </c>
      <c r="H44" s="17" t="s">
        <v>413</v>
      </c>
      <c r="I44" s="17" t="s">
        <v>414</v>
      </c>
      <c r="J44" s="17" t="s">
        <v>415</v>
      </c>
      <c r="L44" s="26">
        <v>5.0</v>
      </c>
      <c r="M44" s="17" t="s">
        <v>417</v>
      </c>
      <c r="N44" s="17" t="s">
        <v>418</v>
      </c>
      <c r="O44" s="26">
        <v>1000.0</v>
      </c>
      <c r="P44" s="26">
        <v>5.0</v>
      </c>
      <c r="Q44" s="26">
        <v>5.0</v>
      </c>
      <c r="R44" s="17" t="s">
        <v>419</v>
      </c>
      <c r="S44" s="17" t="s">
        <v>420</v>
      </c>
      <c r="T44" s="17" t="s">
        <v>421</v>
      </c>
      <c r="U44" s="17" t="s">
        <v>423</v>
      </c>
      <c r="V44" s="17" t="s">
        <v>732</v>
      </c>
      <c r="W44" s="17" t="s">
        <v>403</v>
      </c>
      <c r="X44" s="17" t="s">
        <v>493</v>
      </c>
      <c r="Y44" s="17" t="s">
        <v>438</v>
      </c>
      <c r="Z44" s="17" t="s">
        <v>733</v>
      </c>
      <c r="AA44" s="17" t="s">
        <v>440</v>
      </c>
      <c r="AB44" s="17" t="s">
        <v>721</v>
      </c>
      <c r="AC44" s="17" t="s">
        <v>428</v>
      </c>
      <c r="AD44" s="17" t="s">
        <v>734</v>
      </c>
      <c r="AE44" s="26">
        <v>720.0</v>
      </c>
      <c r="AF44" s="36">
        <v>51.15</v>
      </c>
      <c r="AG44" s="36">
        <v>52.49</v>
      </c>
      <c r="AH44" s="26" t="s">
        <v>735</v>
      </c>
      <c r="AI44" s="26">
        <v>52348.0</v>
      </c>
      <c r="AJ44" s="26">
        <v>52348.0</v>
      </c>
      <c r="AK44" s="26" t="s">
        <v>431</v>
      </c>
      <c r="AL44" s="26">
        <v>481.0</v>
      </c>
      <c r="AM44" s="26">
        <v>2024.0</v>
      </c>
      <c r="AN44" s="32"/>
      <c r="AO44" s="17" t="s">
        <v>422</v>
      </c>
      <c r="AP44" s="17" t="s">
        <v>483</v>
      </c>
      <c r="AQ44" s="32"/>
      <c r="AR44" s="32"/>
      <c r="AS44" s="32"/>
      <c r="AT44" s="26">
        <v>160.0</v>
      </c>
      <c r="AU44" s="26" t="s">
        <v>725</v>
      </c>
      <c r="AV44" s="35">
        <v>109.0</v>
      </c>
      <c r="AW44" s="26">
        <v>180.0</v>
      </c>
      <c r="AX44" s="26">
        <v>77.0</v>
      </c>
      <c r="AY44" s="26">
        <v>480.0</v>
      </c>
      <c r="AZ44" s="37">
        <v>45479.0</v>
      </c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</row>
    <row r="45">
      <c r="A45" s="20" t="s">
        <v>736</v>
      </c>
      <c r="B45" s="20" t="s">
        <v>499</v>
      </c>
      <c r="C45" s="17" t="s">
        <v>717</v>
      </c>
      <c r="D45" s="17" t="s">
        <v>435</v>
      </c>
      <c r="E45" s="34" t="s">
        <v>477</v>
      </c>
      <c r="F45" s="26" t="s">
        <v>624</v>
      </c>
      <c r="G45" s="35">
        <v>116.0</v>
      </c>
      <c r="H45" s="17" t="s">
        <v>413</v>
      </c>
      <c r="I45" s="17" t="s">
        <v>414</v>
      </c>
      <c r="J45" s="17" t="s">
        <v>415</v>
      </c>
      <c r="L45" s="26">
        <v>5.0</v>
      </c>
      <c r="M45" s="17" t="s">
        <v>417</v>
      </c>
      <c r="N45" s="32"/>
      <c r="O45" s="32"/>
      <c r="P45" s="26">
        <v>4.0</v>
      </c>
      <c r="Q45" s="26">
        <v>4.0</v>
      </c>
      <c r="R45" s="17" t="s">
        <v>419</v>
      </c>
      <c r="S45" s="17" t="s">
        <v>420</v>
      </c>
      <c r="T45" s="17" t="s">
        <v>421</v>
      </c>
      <c r="U45" s="17" t="s">
        <v>423</v>
      </c>
      <c r="V45" s="17" t="s">
        <v>647</v>
      </c>
      <c r="W45" s="17" t="s">
        <v>403</v>
      </c>
      <c r="X45" s="17" t="s">
        <v>480</v>
      </c>
      <c r="Y45" s="17" t="s">
        <v>438</v>
      </c>
      <c r="Z45" s="17" t="s">
        <v>720</v>
      </c>
      <c r="AA45" s="17" t="s">
        <v>440</v>
      </c>
      <c r="AB45" s="17" t="s">
        <v>721</v>
      </c>
      <c r="AC45" s="17" t="s">
        <v>428</v>
      </c>
      <c r="AD45" s="17" t="s">
        <v>722</v>
      </c>
      <c r="AE45" s="26">
        <v>460.0</v>
      </c>
      <c r="AF45" s="36">
        <v>31.9</v>
      </c>
      <c r="AG45" s="36">
        <v>35.215</v>
      </c>
      <c r="AH45" s="17" t="s">
        <v>463</v>
      </c>
      <c r="AI45" s="26">
        <v>33557.0</v>
      </c>
      <c r="AJ45" s="26">
        <v>33557.0</v>
      </c>
      <c r="AK45" s="26" t="s">
        <v>444</v>
      </c>
      <c r="AL45" s="26">
        <v>221.0</v>
      </c>
      <c r="AM45" s="26">
        <v>3047.0</v>
      </c>
      <c r="AN45" s="32"/>
      <c r="AO45" s="17" t="s">
        <v>422</v>
      </c>
      <c r="AP45" s="17" t="s">
        <v>483</v>
      </c>
      <c r="AQ45" s="17" t="s">
        <v>496</v>
      </c>
      <c r="AS45" s="32"/>
      <c r="AT45" s="26">
        <v>160.0</v>
      </c>
      <c r="AU45" s="26" t="s">
        <v>725</v>
      </c>
      <c r="AV45" s="35">
        <v>116.0</v>
      </c>
      <c r="AW45" s="26">
        <v>150.0</v>
      </c>
      <c r="AX45" s="26" t="s">
        <v>624</v>
      </c>
      <c r="AY45" s="26">
        <v>290.0</v>
      </c>
      <c r="AZ45" s="37">
        <v>45514.0</v>
      </c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</row>
    <row r="46">
      <c r="A46" s="20" t="s">
        <v>737</v>
      </c>
      <c r="B46" s="20" t="s">
        <v>738</v>
      </c>
      <c r="C46" s="17" t="s">
        <v>739</v>
      </c>
      <c r="D46" s="17" t="s">
        <v>435</v>
      </c>
      <c r="E46" s="34" t="s">
        <v>477</v>
      </c>
      <c r="F46" s="26" t="s">
        <v>618</v>
      </c>
      <c r="G46" s="35">
        <v>137.0</v>
      </c>
      <c r="H46" s="17" t="s">
        <v>413</v>
      </c>
      <c r="I46" s="17" t="s">
        <v>414</v>
      </c>
      <c r="J46" s="17" t="s">
        <v>415</v>
      </c>
      <c r="L46" s="26">
        <v>5.0</v>
      </c>
      <c r="M46" s="17" t="s">
        <v>417</v>
      </c>
      <c r="N46" s="17" t="s">
        <v>418</v>
      </c>
      <c r="O46" s="26">
        <v>2100.0</v>
      </c>
      <c r="P46" s="26">
        <v>-1.0</v>
      </c>
      <c r="Q46" s="17" t="s">
        <v>419</v>
      </c>
      <c r="R46" s="17" t="s">
        <v>420</v>
      </c>
      <c r="S46" s="17" t="s">
        <v>421</v>
      </c>
      <c r="T46" s="17" t="s">
        <v>422</v>
      </c>
      <c r="U46" s="17" t="s">
        <v>423</v>
      </c>
      <c r="V46" s="17" t="s">
        <v>596</v>
      </c>
      <c r="W46" s="17" t="s">
        <v>403</v>
      </c>
      <c r="X46" s="17" t="s">
        <v>619</v>
      </c>
      <c r="Y46" s="17" t="s">
        <v>438</v>
      </c>
      <c r="Z46" s="17" t="s">
        <v>740</v>
      </c>
      <c r="AA46" s="17" t="s">
        <v>440</v>
      </c>
      <c r="AB46" s="17" t="s">
        <v>721</v>
      </c>
      <c r="AC46" s="17" t="s">
        <v>428</v>
      </c>
      <c r="AD46" s="17" t="s">
        <v>741</v>
      </c>
      <c r="AE46" s="26">
        <v>900.0</v>
      </c>
      <c r="AF46" s="36">
        <v>64.45</v>
      </c>
      <c r="AG46" s="36">
        <v>65.49</v>
      </c>
      <c r="AH46" s="17" t="s">
        <v>463</v>
      </c>
      <c r="AI46" s="26">
        <v>64970.0</v>
      </c>
      <c r="AJ46" s="26">
        <v>64970.0</v>
      </c>
      <c r="AK46" s="26" t="s">
        <v>444</v>
      </c>
      <c r="AL46" s="26">
        <v>428.0</v>
      </c>
      <c r="AM46" s="26">
        <v>3055.0</v>
      </c>
      <c r="AN46" s="32"/>
      <c r="AO46" s="32"/>
      <c r="AP46" s="32"/>
      <c r="AQ46" s="32"/>
      <c r="AR46" s="32"/>
      <c r="AS46" s="32"/>
      <c r="AT46" s="26">
        <v>160.0</v>
      </c>
      <c r="AU46" s="26" t="s">
        <v>725</v>
      </c>
      <c r="AV46" s="35">
        <v>137.0</v>
      </c>
      <c r="AW46" s="26">
        <v>210.0</v>
      </c>
      <c r="AX46" s="26" t="s">
        <v>618</v>
      </c>
      <c r="AY46" s="26">
        <v>475.0</v>
      </c>
      <c r="AZ46" s="26">
        <v>6.0</v>
      </c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</row>
    <row r="47">
      <c r="A47" s="20" t="s">
        <v>742</v>
      </c>
      <c r="B47" s="20" t="s">
        <v>673</v>
      </c>
      <c r="C47" s="17" t="s">
        <v>743</v>
      </c>
      <c r="D47" s="17" t="s">
        <v>651</v>
      </c>
      <c r="E47" s="34" t="s">
        <v>477</v>
      </c>
      <c r="F47" s="26" t="s">
        <v>571</v>
      </c>
      <c r="G47" s="35">
        <v>161.0</v>
      </c>
      <c r="H47" s="32"/>
      <c r="I47" s="17" t="s">
        <v>414</v>
      </c>
      <c r="J47" s="17" t="s">
        <v>415</v>
      </c>
      <c r="L47" s="26">
        <v>4.0</v>
      </c>
      <c r="M47" s="32"/>
      <c r="N47" s="32"/>
      <c r="O47" s="32"/>
      <c r="P47" s="26">
        <v>4.0</v>
      </c>
      <c r="Q47" s="26">
        <v>4.0</v>
      </c>
      <c r="R47" s="17" t="s">
        <v>419</v>
      </c>
      <c r="S47" s="17" t="s">
        <v>420</v>
      </c>
      <c r="T47" s="17" t="s">
        <v>421</v>
      </c>
      <c r="U47" s="17" t="s">
        <v>423</v>
      </c>
      <c r="V47" s="17" t="s">
        <v>639</v>
      </c>
      <c r="W47" s="17" t="s">
        <v>403</v>
      </c>
      <c r="X47" s="17" t="s">
        <v>480</v>
      </c>
      <c r="Y47" s="17" t="s">
        <v>438</v>
      </c>
      <c r="Z47" s="17" t="s">
        <v>744</v>
      </c>
      <c r="AA47" s="17" t="s">
        <v>440</v>
      </c>
      <c r="AB47" s="17" t="s">
        <v>745</v>
      </c>
      <c r="AC47" s="17" t="s">
        <v>428</v>
      </c>
      <c r="AD47" s="17" t="s">
        <v>746</v>
      </c>
      <c r="AE47" s="26">
        <v>380.0</v>
      </c>
      <c r="AF47" s="36">
        <v>37.99</v>
      </c>
      <c r="AG47" s="36">
        <v>37.49</v>
      </c>
      <c r="AH47" s="26" t="s">
        <v>747</v>
      </c>
      <c r="AI47" s="26">
        <v>37041.0</v>
      </c>
      <c r="AJ47" s="26">
        <v>37041.0</v>
      </c>
      <c r="AK47" s="26" t="s">
        <v>657</v>
      </c>
      <c r="AL47" s="26">
        <v>206.0</v>
      </c>
      <c r="AM47" s="26">
        <v>1275.0</v>
      </c>
      <c r="AN47" s="32"/>
      <c r="AO47" s="17" t="s">
        <v>422</v>
      </c>
      <c r="AP47" s="32"/>
      <c r="AQ47" s="32"/>
      <c r="AR47" s="17" t="s">
        <v>512</v>
      </c>
      <c r="AS47" s="32"/>
      <c r="AT47" s="26">
        <v>162.0</v>
      </c>
      <c r="AU47" s="26" t="s">
        <v>748</v>
      </c>
      <c r="AV47" s="35">
        <v>161.0</v>
      </c>
      <c r="AW47" s="26">
        <v>150.0</v>
      </c>
      <c r="AX47" s="26" t="s">
        <v>571</v>
      </c>
      <c r="AY47" s="26">
        <v>230.0</v>
      </c>
      <c r="AZ47" s="26">
        <v>9.0</v>
      </c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</row>
    <row r="48">
      <c r="A48" s="20" t="s">
        <v>749</v>
      </c>
      <c r="B48" s="20" t="s">
        <v>548</v>
      </c>
      <c r="C48" s="17" t="s">
        <v>646</v>
      </c>
      <c r="D48" s="17" t="s">
        <v>750</v>
      </c>
      <c r="E48" s="34" t="s">
        <v>477</v>
      </c>
      <c r="F48" s="26" t="s">
        <v>624</v>
      </c>
      <c r="G48" s="35">
        <v>129.0</v>
      </c>
      <c r="H48" s="17" t="s">
        <v>413</v>
      </c>
      <c r="I48" s="17" t="s">
        <v>414</v>
      </c>
      <c r="J48" s="17" t="s">
        <v>415</v>
      </c>
      <c r="K48" s="17" t="s">
        <v>416</v>
      </c>
      <c r="L48" s="26">
        <v>5.0</v>
      </c>
      <c r="M48" s="17" t="s">
        <v>417</v>
      </c>
      <c r="N48" s="32"/>
      <c r="O48" s="32"/>
      <c r="P48" s="26">
        <v>4.0</v>
      </c>
      <c r="Q48" s="26">
        <v>4.0</v>
      </c>
      <c r="R48" s="17" t="s">
        <v>419</v>
      </c>
      <c r="S48" s="17" t="s">
        <v>420</v>
      </c>
      <c r="T48" s="17" t="s">
        <v>421</v>
      </c>
      <c r="U48" s="17" t="s">
        <v>423</v>
      </c>
      <c r="V48" s="17" t="s">
        <v>719</v>
      </c>
      <c r="W48" s="17" t="s">
        <v>403</v>
      </c>
      <c r="X48" s="17" t="s">
        <v>480</v>
      </c>
      <c r="Y48" s="17" t="s">
        <v>438</v>
      </c>
      <c r="Z48" s="17" t="s">
        <v>751</v>
      </c>
      <c r="AA48" s="17" t="s">
        <v>440</v>
      </c>
      <c r="AB48" s="17" t="s">
        <v>745</v>
      </c>
      <c r="AC48" s="17" t="s">
        <v>428</v>
      </c>
      <c r="AD48" s="17" t="s">
        <v>722</v>
      </c>
      <c r="AE48" s="26">
        <v>460.0</v>
      </c>
      <c r="AF48" s="17" t="s">
        <v>463</v>
      </c>
      <c r="AG48" s="17" t="s">
        <v>463</v>
      </c>
      <c r="AH48" s="26" t="s">
        <v>723</v>
      </c>
      <c r="AI48" s="26">
        <v>36754.0</v>
      </c>
      <c r="AJ48" s="26">
        <v>36754.0</v>
      </c>
      <c r="AK48" s="26" t="s">
        <v>464</v>
      </c>
      <c r="AL48" s="26">
        <v>348.0</v>
      </c>
      <c r="AM48" s="26">
        <v>1706.0</v>
      </c>
      <c r="AN48" s="32"/>
      <c r="AO48" s="17" t="s">
        <v>422</v>
      </c>
      <c r="AP48" s="17" t="s">
        <v>483</v>
      </c>
      <c r="AQ48" s="32"/>
      <c r="AR48" s="32"/>
      <c r="AS48" s="32"/>
      <c r="AT48" s="26">
        <v>162.0</v>
      </c>
      <c r="AU48" s="26" t="s">
        <v>748</v>
      </c>
      <c r="AV48" s="35">
        <v>129.0</v>
      </c>
      <c r="AW48" s="26">
        <v>150.0</v>
      </c>
      <c r="AX48" s="26" t="s">
        <v>624</v>
      </c>
      <c r="AY48" s="26">
        <v>285.0</v>
      </c>
      <c r="AZ48" s="37">
        <v>45482.0</v>
      </c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</row>
    <row r="49">
      <c r="A49" s="20" t="s">
        <v>752</v>
      </c>
      <c r="B49" s="20" t="s">
        <v>753</v>
      </c>
      <c r="C49" s="17" t="s">
        <v>754</v>
      </c>
      <c r="D49" s="17" t="s">
        <v>556</v>
      </c>
      <c r="E49" s="34" t="s">
        <v>550</v>
      </c>
      <c r="F49" s="26">
        <v>77.0</v>
      </c>
      <c r="G49" s="35">
        <v>120.0</v>
      </c>
      <c r="H49" s="17" t="s">
        <v>413</v>
      </c>
      <c r="I49" s="17" t="s">
        <v>414</v>
      </c>
      <c r="J49" s="17" t="s">
        <v>415</v>
      </c>
      <c r="K49" s="17" t="s">
        <v>595</v>
      </c>
      <c r="L49" s="26">
        <v>5.0</v>
      </c>
      <c r="M49" s="17" t="s">
        <v>417</v>
      </c>
      <c r="N49" s="17" t="s">
        <v>418</v>
      </c>
      <c r="O49" s="26">
        <v>1000.0</v>
      </c>
      <c r="P49" s="26">
        <v>5.0</v>
      </c>
      <c r="Q49" s="26">
        <v>5.0</v>
      </c>
      <c r="R49" s="17" t="s">
        <v>419</v>
      </c>
      <c r="S49" s="17" t="s">
        <v>420</v>
      </c>
      <c r="T49" s="17" t="s">
        <v>421</v>
      </c>
      <c r="U49" s="17" t="s">
        <v>423</v>
      </c>
      <c r="V49" s="17" t="s">
        <v>755</v>
      </c>
      <c r="W49" s="17" t="s">
        <v>403</v>
      </c>
      <c r="X49" s="17" t="s">
        <v>493</v>
      </c>
      <c r="Y49" s="17" t="s">
        <v>404</v>
      </c>
      <c r="Z49" s="17" t="s">
        <v>740</v>
      </c>
      <c r="AA49" s="17" t="s">
        <v>401</v>
      </c>
      <c r="AB49" s="17" t="s">
        <v>745</v>
      </c>
      <c r="AC49" s="17" t="s">
        <v>428</v>
      </c>
      <c r="AD49" s="17" t="s">
        <v>429</v>
      </c>
      <c r="AE49" s="26">
        <v>730.0</v>
      </c>
      <c r="AF49" s="36">
        <v>53.995</v>
      </c>
      <c r="AG49" s="36">
        <v>57.99</v>
      </c>
      <c r="AH49" s="26" t="s">
        <v>756</v>
      </c>
      <c r="AI49" s="26">
        <v>57089.0</v>
      </c>
      <c r="AJ49" s="26">
        <v>57089.0</v>
      </c>
      <c r="AK49" s="26" t="s">
        <v>431</v>
      </c>
      <c r="AL49" s="26">
        <v>1778.0</v>
      </c>
      <c r="AM49" s="26">
        <v>1839.0</v>
      </c>
      <c r="AN49" s="32"/>
      <c r="AO49" s="17" t="s">
        <v>422</v>
      </c>
      <c r="AP49" s="32"/>
      <c r="AQ49" s="32"/>
      <c r="AR49" s="32"/>
      <c r="AS49" s="32"/>
      <c r="AT49" s="26">
        <v>162.0</v>
      </c>
      <c r="AU49" s="26" t="s">
        <v>748</v>
      </c>
      <c r="AV49" s="35">
        <v>120.0</v>
      </c>
      <c r="AW49" s="26">
        <v>180.0</v>
      </c>
      <c r="AX49" s="26">
        <v>77.0</v>
      </c>
      <c r="AY49" s="26">
        <v>475.0</v>
      </c>
      <c r="AZ49" s="37">
        <v>45418.0</v>
      </c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</row>
    <row r="50">
      <c r="A50" s="20" t="s">
        <v>757</v>
      </c>
      <c r="B50" s="20" t="s">
        <v>730</v>
      </c>
      <c r="C50" s="17" t="s">
        <v>758</v>
      </c>
      <c r="D50" s="17" t="s">
        <v>410</v>
      </c>
      <c r="E50" s="34" t="s">
        <v>477</v>
      </c>
      <c r="F50" s="26">
        <v>77.0</v>
      </c>
      <c r="G50" s="35">
        <v>117.0</v>
      </c>
      <c r="H50" s="17" t="s">
        <v>413</v>
      </c>
      <c r="I50" s="17" t="s">
        <v>414</v>
      </c>
      <c r="J50" s="17" t="s">
        <v>415</v>
      </c>
      <c r="L50" s="26">
        <v>5.0</v>
      </c>
      <c r="M50" s="17" t="s">
        <v>417</v>
      </c>
      <c r="N50" s="17" t="s">
        <v>418</v>
      </c>
      <c r="O50" s="26">
        <v>1200.0</v>
      </c>
      <c r="P50" s="26">
        <v>5.0</v>
      </c>
      <c r="Q50" s="26">
        <v>5.0</v>
      </c>
      <c r="R50" s="17" t="s">
        <v>419</v>
      </c>
      <c r="S50" s="17" t="s">
        <v>420</v>
      </c>
      <c r="T50" s="17" t="s">
        <v>421</v>
      </c>
      <c r="U50" s="17" t="s">
        <v>423</v>
      </c>
      <c r="V50" s="17" t="s">
        <v>759</v>
      </c>
      <c r="W50" s="17" t="s">
        <v>403</v>
      </c>
      <c r="X50" s="17" t="s">
        <v>493</v>
      </c>
      <c r="Y50" s="17" t="s">
        <v>438</v>
      </c>
      <c r="Z50" s="17" t="s">
        <v>740</v>
      </c>
      <c r="AA50" s="17" t="s">
        <v>440</v>
      </c>
      <c r="AB50" s="17" t="s">
        <v>745</v>
      </c>
      <c r="AC50" s="17" t="s">
        <v>428</v>
      </c>
      <c r="AD50" s="17" t="s">
        <v>760</v>
      </c>
      <c r="AE50" s="26">
        <v>710.0</v>
      </c>
      <c r="AF50" s="36">
        <v>53.4</v>
      </c>
      <c r="AG50" s="17" t="s">
        <v>463</v>
      </c>
      <c r="AH50" s="26" t="s">
        <v>761</v>
      </c>
      <c r="AI50" s="26">
        <v>55625.0</v>
      </c>
      <c r="AJ50" s="26">
        <v>55625.0</v>
      </c>
      <c r="AK50" s="26" t="s">
        <v>431</v>
      </c>
      <c r="AL50" s="26">
        <v>220.0</v>
      </c>
      <c r="AM50" s="26">
        <v>2025.0</v>
      </c>
      <c r="AN50" s="32"/>
      <c r="AO50" s="17" t="s">
        <v>422</v>
      </c>
      <c r="AP50" s="17" t="s">
        <v>483</v>
      </c>
      <c r="AQ50" s="32"/>
      <c r="AR50" s="32"/>
      <c r="AS50" s="32"/>
      <c r="AT50" s="26">
        <v>162.0</v>
      </c>
      <c r="AU50" s="26" t="s">
        <v>748</v>
      </c>
      <c r="AV50" s="35">
        <v>117.0</v>
      </c>
      <c r="AW50" s="26">
        <v>180.0</v>
      </c>
      <c r="AX50" s="26">
        <v>77.0</v>
      </c>
      <c r="AY50" s="26">
        <v>475.0</v>
      </c>
      <c r="AZ50" s="37">
        <v>45449.0</v>
      </c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</row>
    <row r="51">
      <c r="A51" s="20" t="s">
        <v>762</v>
      </c>
      <c r="B51" s="20" t="s">
        <v>616</v>
      </c>
      <c r="C51" s="17" t="s">
        <v>763</v>
      </c>
      <c r="D51" s="17" t="s">
        <v>435</v>
      </c>
      <c r="E51" s="34" t="s">
        <v>477</v>
      </c>
      <c r="F51" s="26" t="s">
        <v>685</v>
      </c>
      <c r="G51" s="35">
        <v>137.0</v>
      </c>
      <c r="H51" s="17" t="s">
        <v>413</v>
      </c>
      <c r="I51" s="17" t="s">
        <v>414</v>
      </c>
      <c r="J51" s="17" t="s">
        <v>415</v>
      </c>
      <c r="K51" s="17" t="s">
        <v>595</v>
      </c>
      <c r="L51" s="26">
        <v>5.0</v>
      </c>
      <c r="M51" s="17" t="s">
        <v>417</v>
      </c>
      <c r="N51" s="17" t="s">
        <v>418</v>
      </c>
      <c r="O51" s="26">
        <v>2100.0</v>
      </c>
      <c r="P51" s="26">
        <v>-1.0</v>
      </c>
      <c r="Q51" s="17" t="s">
        <v>419</v>
      </c>
      <c r="R51" s="17" t="s">
        <v>420</v>
      </c>
      <c r="S51" s="17" t="s">
        <v>421</v>
      </c>
      <c r="T51" s="17" t="s">
        <v>422</v>
      </c>
      <c r="U51" s="17" t="s">
        <v>423</v>
      </c>
      <c r="V51" s="17" t="s">
        <v>764</v>
      </c>
      <c r="W51" s="17" t="s">
        <v>403</v>
      </c>
      <c r="X51" s="17" t="s">
        <v>619</v>
      </c>
      <c r="Y51" s="17" t="s">
        <v>438</v>
      </c>
      <c r="Z51" s="17" t="s">
        <v>765</v>
      </c>
      <c r="AA51" s="17" t="s">
        <v>440</v>
      </c>
      <c r="AB51" s="17" t="s">
        <v>745</v>
      </c>
      <c r="AC51" s="17" t="s">
        <v>428</v>
      </c>
      <c r="AD51" s="17" t="s">
        <v>766</v>
      </c>
      <c r="AE51" s="26">
        <v>1170.0</v>
      </c>
      <c r="AF51" s="36">
        <v>79.8</v>
      </c>
      <c r="AG51" s="36">
        <v>79.99</v>
      </c>
      <c r="AH51" s="17" t="s">
        <v>463</v>
      </c>
      <c r="AI51" s="26">
        <v>79895.0</v>
      </c>
      <c r="AJ51" s="26">
        <v>79895.0</v>
      </c>
      <c r="AK51" s="26" t="s">
        <v>444</v>
      </c>
      <c r="AL51" s="26">
        <v>527.0</v>
      </c>
      <c r="AM51" s="26">
        <v>3052.0</v>
      </c>
      <c r="AN51" s="32"/>
      <c r="AO51" s="32"/>
      <c r="AP51" s="32"/>
      <c r="AQ51" s="32"/>
      <c r="AR51" s="32"/>
      <c r="AS51" s="32"/>
      <c r="AT51" s="26">
        <v>162.0</v>
      </c>
      <c r="AU51" s="26" t="s">
        <v>748</v>
      </c>
      <c r="AV51" s="35">
        <v>137.0</v>
      </c>
      <c r="AW51" s="26">
        <v>210.0</v>
      </c>
      <c r="AX51" s="26" t="s">
        <v>685</v>
      </c>
      <c r="AY51" s="26">
        <v>585.0</v>
      </c>
      <c r="AZ51" s="37">
        <v>45477.0</v>
      </c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</row>
    <row r="52">
      <c r="A52" s="20" t="s">
        <v>767</v>
      </c>
      <c r="B52" s="20" t="s">
        <v>768</v>
      </c>
      <c r="C52" s="17" t="s">
        <v>769</v>
      </c>
      <c r="D52" s="17" t="s">
        <v>770</v>
      </c>
      <c r="E52" s="34" t="s">
        <v>477</v>
      </c>
      <c r="F52" s="26" t="s">
        <v>771</v>
      </c>
      <c r="G52" s="35">
        <v>153.0</v>
      </c>
      <c r="H52" s="32"/>
      <c r="I52" s="17" t="s">
        <v>414</v>
      </c>
      <c r="J52" s="17" t="s">
        <v>415</v>
      </c>
      <c r="L52" s="26">
        <v>4.0</v>
      </c>
      <c r="M52" s="17" t="s">
        <v>417</v>
      </c>
      <c r="N52" s="32"/>
      <c r="O52" s="32"/>
      <c r="P52" s="26">
        <v>-1.0</v>
      </c>
      <c r="Q52" s="17" t="s">
        <v>419</v>
      </c>
      <c r="R52" s="17" t="s">
        <v>420</v>
      </c>
      <c r="S52" s="17" t="s">
        <v>421</v>
      </c>
      <c r="T52" s="17" t="s">
        <v>422</v>
      </c>
      <c r="U52" s="17" t="s">
        <v>423</v>
      </c>
      <c r="V52" s="17" t="s">
        <v>772</v>
      </c>
      <c r="W52" s="17" t="s">
        <v>403</v>
      </c>
      <c r="X52" s="17" t="s">
        <v>581</v>
      </c>
      <c r="Y52" s="17" t="s">
        <v>438</v>
      </c>
      <c r="Z52" s="17" t="s">
        <v>773</v>
      </c>
      <c r="AA52" s="17" t="s">
        <v>440</v>
      </c>
      <c r="AB52" s="17" t="s">
        <v>774</v>
      </c>
      <c r="AC52" s="17" t="s">
        <v>428</v>
      </c>
      <c r="AD52" s="17" t="s">
        <v>775</v>
      </c>
      <c r="AE52" s="26">
        <v>350.0</v>
      </c>
      <c r="AF52" s="36">
        <v>32.9</v>
      </c>
      <c r="AG52" s="36">
        <v>35.99</v>
      </c>
      <c r="AH52" s="26" t="s">
        <v>776</v>
      </c>
      <c r="AI52" s="26">
        <v>34463.0</v>
      </c>
      <c r="AJ52" s="26">
        <v>34463.0</v>
      </c>
      <c r="AK52" s="26" t="s">
        <v>777</v>
      </c>
      <c r="AL52" s="26">
        <v>284.0</v>
      </c>
      <c r="AM52" s="26">
        <v>1997.0</v>
      </c>
      <c r="AN52" s="32"/>
      <c r="AO52" s="32"/>
      <c r="AP52" s="32"/>
      <c r="AQ52" s="17" t="s">
        <v>496</v>
      </c>
      <c r="AR52" s="17" t="s">
        <v>512</v>
      </c>
      <c r="AS52" s="32"/>
      <c r="AT52" s="26">
        <v>163.0</v>
      </c>
      <c r="AU52" s="26" t="s">
        <v>778</v>
      </c>
      <c r="AV52" s="35">
        <v>153.0</v>
      </c>
      <c r="AW52" s="26">
        <v>160.0</v>
      </c>
      <c r="AX52" s="26" t="s">
        <v>771</v>
      </c>
      <c r="AY52" s="26">
        <v>225.0</v>
      </c>
      <c r="AZ52" s="37">
        <v>45358.0</v>
      </c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</row>
    <row r="53">
      <c r="A53" s="20" t="s">
        <v>779</v>
      </c>
      <c r="B53" s="20" t="s">
        <v>698</v>
      </c>
      <c r="C53" s="17" t="s">
        <v>780</v>
      </c>
      <c r="D53" s="17" t="s">
        <v>781</v>
      </c>
      <c r="E53" s="34" t="s">
        <v>436</v>
      </c>
      <c r="F53" s="26">
        <v>92.0</v>
      </c>
      <c r="G53" s="35">
        <v>153.0</v>
      </c>
      <c r="H53" s="32"/>
      <c r="I53" s="17" t="s">
        <v>414</v>
      </c>
      <c r="J53" s="17" t="s">
        <v>415</v>
      </c>
      <c r="K53" s="17" t="s">
        <v>416</v>
      </c>
      <c r="L53" s="26">
        <v>5.0</v>
      </c>
      <c r="M53" s="32"/>
      <c r="N53" s="32"/>
      <c r="O53" s="32"/>
      <c r="P53" s="26">
        <v>5.0</v>
      </c>
      <c r="Q53" s="26">
        <v>5.0</v>
      </c>
      <c r="R53" s="17" t="s">
        <v>419</v>
      </c>
      <c r="S53" s="17" t="s">
        <v>420</v>
      </c>
      <c r="T53" s="17" t="s">
        <v>421</v>
      </c>
      <c r="U53" s="17" t="s">
        <v>423</v>
      </c>
      <c r="V53" s="17" t="s">
        <v>764</v>
      </c>
      <c r="W53" s="17" t="s">
        <v>403</v>
      </c>
      <c r="X53" s="17" t="s">
        <v>782</v>
      </c>
      <c r="Y53" s="17" t="s">
        <v>438</v>
      </c>
      <c r="Z53" s="17" t="s">
        <v>783</v>
      </c>
      <c r="AA53" s="17" t="s">
        <v>440</v>
      </c>
      <c r="AB53" s="17" t="s">
        <v>774</v>
      </c>
      <c r="AC53" s="17" t="s">
        <v>520</v>
      </c>
      <c r="AD53" s="17" t="s">
        <v>784</v>
      </c>
      <c r="AE53" s="26">
        <v>940.0</v>
      </c>
      <c r="AF53" s="36">
        <v>85.0</v>
      </c>
      <c r="AG53" s="36">
        <v>88.0</v>
      </c>
      <c r="AH53" s="17" t="s">
        <v>463</v>
      </c>
      <c r="AI53" s="26">
        <v>86500.0</v>
      </c>
      <c r="AJ53" s="26">
        <v>86500.0</v>
      </c>
      <c r="AK53" s="26" t="s">
        <v>495</v>
      </c>
      <c r="AL53" s="26">
        <v>190.0</v>
      </c>
      <c r="AM53" s="26">
        <v>2116.0</v>
      </c>
      <c r="AN53" s="17" t="s">
        <v>465</v>
      </c>
      <c r="AO53" s="17" t="s">
        <v>422</v>
      </c>
      <c r="AP53" s="32"/>
      <c r="AQ53" s="32"/>
      <c r="AR53" s="32"/>
      <c r="AS53" s="32"/>
      <c r="AT53" s="26">
        <v>163.0</v>
      </c>
      <c r="AU53" s="26" t="s">
        <v>778</v>
      </c>
      <c r="AV53" s="35">
        <v>153.0</v>
      </c>
      <c r="AW53" s="26">
        <v>200.0</v>
      </c>
      <c r="AX53" s="26">
        <v>92.0</v>
      </c>
      <c r="AY53" s="26">
        <v>565.0</v>
      </c>
      <c r="AZ53" s="37">
        <v>45477.0</v>
      </c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</row>
    <row r="54">
      <c r="A54" s="20" t="s">
        <v>785</v>
      </c>
      <c r="B54" s="20" t="s">
        <v>630</v>
      </c>
      <c r="C54" s="17" t="s">
        <v>786</v>
      </c>
      <c r="D54" s="17" t="s">
        <v>565</v>
      </c>
      <c r="E54" s="34" t="s">
        <v>477</v>
      </c>
      <c r="F54" s="26">
        <v>52.0</v>
      </c>
      <c r="G54" s="35">
        <v>101.0</v>
      </c>
      <c r="H54" s="32"/>
      <c r="I54" s="17" t="s">
        <v>414</v>
      </c>
      <c r="J54" s="17" t="s">
        <v>415</v>
      </c>
      <c r="L54" s="26">
        <v>5.0</v>
      </c>
      <c r="M54" s="17" t="s">
        <v>417</v>
      </c>
      <c r="N54" s="17" t="s">
        <v>418</v>
      </c>
      <c r="O54" s="26">
        <v>500.0</v>
      </c>
      <c r="P54" s="26">
        <v>-1.0</v>
      </c>
      <c r="Q54" s="17" t="s">
        <v>419</v>
      </c>
      <c r="R54" s="17" t="s">
        <v>420</v>
      </c>
      <c r="S54" s="17" t="s">
        <v>421</v>
      </c>
      <c r="T54" s="17" t="s">
        <v>422</v>
      </c>
      <c r="U54" s="17" t="s">
        <v>423</v>
      </c>
      <c r="V54" s="17" t="s">
        <v>787</v>
      </c>
      <c r="W54" s="17" t="s">
        <v>403</v>
      </c>
      <c r="X54" s="17" t="s">
        <v>480</v>
      </c>
      <c r="Y54" s="17" t="s">
        <v>438</v>
      </c>
      <c r="Z54" s="17" t="s">
        <v>709</v>
      </c>
      <c r="AA54" s="17" t="s">
        <v>440</v>
      </c>
      <c r="AB54" s="17" t="s">
        <v>774</v>
      </c>
      <c r="AC54" s="17" t="s">
        <v>428</v>
      </c>
      <c r="AD54" s="17" t="s">
        <v>788</v>
      </c>
      <c r="AE54" s="26">
        <v>400.0</v>
      </c>
      <c r="AF54" s="36">
        <v>32.9</v>
      </c>
      <c r="AG54" s="36">
        <v>32.99</v>
      </c>
      <c r="AH54" s="26" t="s">
        <v>789</v>
      </c>
      <c r="AI54" s="26">
        <v>32311.0</v>
      </c>
      <c r="AJ54" s="26">
        <v>32311.0</v>
      </c>
      <c r="AK54" s="26" t="s">
        <v>567</v>
      </c>
      <c r="AL54" s="26">
        <v>1927.0</v>
      </c>
      <c r="AM54" s="26">
        <v>2135.0</v>
      </c>
      <c r="AN54" s="17" t="s">
        <v>465</v>
      </c>
      <c r="AO54" s="32"/>
      <c r="AP54" s="32"/>
      <c r="AQ54" s="17" t="s">
        <v>496</v>
      </c>
      <c r="AR54" s="17" t="s">
        <v>512</v>
      </c>
      <c r="AS54" s="32"/>
      <c r="AT54" s="26">
        <v>163.0</v>
      </c>
      <c r="AU54" s="26" t="s">
        <v>778</v>
      </c>
      <c r="AV54" s="35">
        <v>101.0</v>
      </c>
      <c r="AW54" s="26">
        <v>150.0</v>
      </c>
      <c r="AX54" s="26">
        <v>52.0</v>
      </c>
      <c r="AY54" s="26">
        <v>320.0</v>
      </c>
      <c r="AZ54" s="26">
        <v>8.0</v>
      </c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</row>
    <row r="55">
      <c r="A55" s="20" t="s">
        <v>790</v>
      </c>
      <c r="B55" s="20" t="s">
        <v>791</v>
      </c>
      <c r="C55" s="17" t="s">
        <v>792</v>
      </c>
      <c r="D55" s="17" t="s">
        <v>793</v>
      </c>
      <c r="E55" s="34" t="s">
        <v>477</v>
      </c>
      <c r="F55" s="26">
        <v>52.0</v>
      </c>
      <c r="G55" s="35">
        <v>114.0</v>
      </c>
      <c r="H55" s="32"/>
      <c r="I55" s="17" t="s">
        <v>414</v>
      </c>
      <c r="J55" s="17" t="s">
        <v>415</v>
      </c>
      <c r="L55" s="26">
        <v>5.0</v>
      </c>
      <c r="M55" s="17" t="s">
        <v>417</v>
      </c>
      <c r="N55" s="32"/>
      <c r="O55" s="32"/>
      <c r="P55" s="26">
        <v>-1.0</v>
      </c>
      <c r="Q55" s="17" t="s">
        <v>419</v>
      </c>
      <c r="R55" s="17" t="s">
        <v>420</v>
      </c>
      <c r="S55" s="17" t="s">
        <v>421</v>
      </c>
      <c r="T55" s="17" t="s">
        <v>422</v>
      </c>
      <c r="U55" s="17" t="s">
        <v>423</v>
      </c>
      <c r="V55" s="17" t="s">
        <v>557</v>
      </c>
      <c r="W55" s="17" t="s">
        <v>403</v>
      </c>
      <c r="X55" s="17" t="s">
        <v>581</v>
      </c>
      <c r="Y55" s="17" t="s">
        <v>438</v>
      </c>
      <c r="Z55" s="17" t="s">
        <v>709</v>
      </c>
      <c r="AA55" s="17" t="s">
        <v>440</v>
      </c>
      <c r="AB55" s="17" t="s">
        <v>774</v>
      </c>
      <c r="AC55" s="17" t="s">
        <v>428</v>
      </c>
      <c r="AD55" s="17" t="s">
        <v>710</v>
      </c>
      <c r="AE55" s="26">
        <v>510.0</v>
      </c>
      <c r="AF55" s="36">
        <v>36.9</v>
      </c>
      <c r="AG55" s="36">
        <v>35.99</v>
      </c>
      <c r="AH55" s="17" t="s">
        <v>463</v>
      </c>
      <c r="AI55" s="26">
        <v>36445.0</v>
      </c>
      <c r="AJ55" s="26">
        <v>36445.0</v>
      </c>
      <c r="AK55" s="26" t="s">
        <v>495</v>
      </c>
      <c r="AL55" s="26">
        <v>544.0</v>
      </c>
      <c r="AM55" s="26">
        <v>2214.0</v>
      </c>
      <c r="AN55" s="32"/>
      <c r="AO55" s="32"/>
      <c r="AP55" s="17" t="s">
        <v>483</v>
      </c>
      <c r="AQ55" s="17" t="s">
        <v>496</v>
      </c>
      <c r="AS55" s="32"/>
      <c r="AT55" s="26">
        <v>163.0</v>
      </c>
      <c r="AU55" s="26" t="s">
        <v>778</v>
      </c>
      <c r="AV55" s="35">
        <v>114.0</v>
      </c>
      <c r="AW55" s="26">
        <v>160.0</v>
      </c>
      <c r="AX55" s="26">
        <v>52.0</v>
      </c>
      <c r="AY55" s="26">
        <v>320.0</v>
      </c>
      <c r="AZ55" s="37">
        <v>45330.0</v>
      </c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</row>
    <row r="56">
      <c r="A56" s="20" t="s">
        <v>794</v>
      </c>
      <c r="B56" s="20" t="s">
        <v>795</v>
      </c>
      <c r="C56" s="17" t="s">
        <v>796</v>
      </c>
      <c r="D56" s="17" t="s">
        <v>750</v>
      </c>
      <c r="E56" s="34" t="s">
        <v>411</v>
      </c>
      <c r="F56" s="26" t="s">
        <v>412</v>
      </c>
      <c r="G56" s="35">
        <v>131.0</v>
      </c>
      <c r="H56" s="17" t="s">
        <v>413</v>
      </c>
      <c r="I56" s="17" t="s">
        <v>414</v>
      </c>
      <c r="J56" s="17" t="s">
        <v>415</v>
      </c>
      <c r="L56" s="26">
        <v>5.0</v>
      </c>
      <c r="M56" s="17" t="s">
        <v>417</v>
      </c>
      <c r="N56" s="17" t="s">
        <v>418</v>
      </c>
      <c r="O56" s="26">
        <v>1600.0</v>
      </c>
      <c r="P56" s="26">
        <v>5.0</v>
      </c>
      <c r="Q56" s="26">
        <v>5.0</v>
      </c>
      <c r="R56" s="17" t="s">
        <v>419</v>
      </c>
      <c r="S56" s="17" t="s">
        <v>420</v>
      </c>
      <c r="T56" s="17" t="s">
        <v>421</v>
      </c>
      <c r="U56" s="17" t="s">
        <v>423</v>
      </c>
      <c r="V56" s="17" t="s">
        <v>797</v>
      </c>
      <c r="W56" s="17" t="s">
        <v>403</v>
      </c>
      <c r="X56" s="17" t="s">
        <v>798</v>
      </c>
      <c r="Y56" s="17" t="s">
        <v>404</v>
      </c>
      <c r="Z56" s="17" t="s">
        <v>799</v>
      </c>
      <c r="AA56" s="17" t="s">
        <v>401</v>
      </c>
      <c r="AB56" s="17" t="s">
        <v>800</v>
      </c>
      <c r="AC56" s="17" t="s">
        <v>428</v>
      </c>
      <c r="AD56" s="17" t="s">
        <v>599</v>
      </c>
      <c r="AE56" s="26">
        <v>580.0</v>
      </c>
      <c r="AF56" s="36">
        <v>45.97</v>
      </c>
      <c r="AG56" s="36">
        <v>45.99</v>
      </c>
      <c r="AH56" s="17" t="s">
        <v>463</v>
      </c>
      <c r="AI56" s="26">
        <v>45980.0</v>
      </c>
      <c r="AJ56" s="26">
        <v>45980.0</v>
      </c>
      <c r="AK56" s="26" t="s">
        <v>464</v>
      </c>
      <c r="AL56" s="26">
        <v>4623.0</v>
      </c>
      <c r="AM56" s="26">
        <v>1743.0</v>
      </c>
      <c r="AN56" s="32"/>
      <c r="AO56" s="17" t="s">
        <v>422</v>
      </c>
      <c r="AP56" s="32"/>
      <c r="AQ56" s="32"/>
      <c r="AR56" s="32"/>
      <c r="AS56" s="32"/>
      <c r="AT56" s="26">
        <v>164.0</v>
      </c>
      <c r="AU56" s="37">
        <v>45571.0</v>
      </c>
      <c r="AV56" s="35">
        <v>131.0</v>
      </c>
      <c r="AW56" s="26">
        <v>217.0</v>
      </c>
      <c r="AX56" s="26" t="s">
        <v>412</v>
      </c>
      <c r="AY56" s="26">
        <v>350.0</v>
      </c>
      <c r="AZ56" s="37">
        <v>45541.0</v>
      </c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</row>
    <row r="57">
      <c r="A57" s="20" t="s">
        <v>801</v>
      </c>
      <c r="B57" s="20" t="s">
        <v>802</v>
      </c>
      <c r="C57" s="17" t="s">
        <v>803</v>
      </c>
      <c r="D57" s="17" t="s">
        <v>804</v>
      </c>
      <c r="E57" s="34" t="s">
        <v>550</v>
      </c>
      <c r="F57" s="26" t="s">
        <v>478</v>
      </c>
      <c r="G57" s="35">
        <v>141.0</v>
      </c>
      <c r="H57" s="32"/>
      <c r="I57" s="17" t="s">
        <v>414</v>
      </c>
      <c r="J57" s="17" t="s">
        <v>415</v>
      </c>
      <c r="L57" s="26">
        <v>5.0</v>
      </c>
      <c r="M57" s="17" t="s">
        <v>417</v>
      </c>
      <c r="N57" s="17" t="s">
        <v>418</v>
      </c>
      <c r="O57" s="26">
        <v>0.0</v>
      </c>
      <c r="P57" s="26">
        <v>-1.0</v>
      </c>
      <c r="Q57" s="17" t="s">
        <v>419</v>
      </c>
      <c r="R57" s="17" t="s">
        <v>420</v>
      </c>
      <c r="S57" s="17" t="s">
        <v>421</v>
      </c>
      <c r="T57" s="17" t="s">
        <v>422</v>
      </c>
      <c r="U57" s="17" t="s">
        <v>423</v>
      </c>
      <c r="V57" s="17" t="s">
        <v>551</v>
      </c>
      <c r="W57" s="17" t="s">
        <v>403</v>
      </c>
      <c r="X57" s="17" t="s">
        <v>589</v>
      </c>
      <c r="Y57" s="17" t="s">
        <v>404</v>
      </c>
      <c r="Z57" s="17" t="s">
        <v>558</v>
      </c>
      <c r="AA57" s="17" t="s">
        <v>401</v>
      </c>
      <c r="AB57" s="17" t="s">
        <v>800</v>
      </c>
      <c r="AC57" s="17" t="s">
        <v>428</v>
      </c>
      <c r="AD57" s="17" t="s">
        <v>805</v>
      </c>
      <c r="AE57" s="26">
        <v>500.0</v>
      </c>
      <c r="AF57" s="36">
        <v>43.49</v>
      </c>
      <c r="AG57" s="36">
        <v>41.499</v>
      </c>
      <c r="AH57" s="26" t="s">
        <v>806</v>
      </c>
      <c r="AI57" s="26">
        <v>43661.0</v>
      </c>
      <c r="AJ57" s="26">
        <v>43661.0</v>
      </c>
      <c r="AK57" s="26" t="s">
        <v>777</v>
      </c>
      <c r="AL57" s="26">
        <v>190.0</v>
      </c>
      <c r="AM57" s="26">
        <v>1793.0</v>
      </c>
      <c r="AN57" s="32"/>
      <c r="AO57" s="32"/>
      <c r="AP57" s="17" t="s">
        <v>483</v>
      </c>
      <c r="AQ57" s="32"/>
      <c r="AR57" s="32"/>
      <c r="AS57" s="32"/>
      <c r="AT57" s="26">
        <v>164.0</v>
      </c>
      <c r="AU57" s="37">
        <v>45571.0</v>
      </c>
      <c r="AV57" s="35">
        <v>141.0</v>
      </c>
      <c r="AW57" s="26">
        <v>170.0</v>
      </c>
      <c r="AX57" s="26" t="s">
        <v>478</v>
      </c>
      <c r="AY57" s="26">
        <v>310.0</v>
      </c>
      <c r="AZ57" s="37">
        <v>45360.0</v>
      </c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</row>
    <row r="58">
      <c r="A58" s="20" t="s">
        <v>807</v>
      </c>
      <c r="B58" s="20" t="s">
        <v>808</v>
      </c>
      <c r="C58" s="17" t="s">
        <v>809</v>
      </c>
      <c r="D58" s="17" t="s">
        <v>457</v>
      </c>
      <c r="E58" s="34" t="s">
        <v>550</v>
      </c>
      <c r="F58" s="26" t="s">
        <v>478</v>
      </c>
      <c r="G58" s="35">
        <v>127.0</v>
      </c>
      <c r="H58" s="32"/>
      <c r="I58" s="17" t="s">
        <v>414</v>
      </c>
      <c r="J58" s="17" t="s">
        <v>415</v>
      </c>
      <c r="L58" s="26">
        <v>5.0</v>
      </c>
      <c r="M58" s="17" t="s">
        <v>417</v>
      </c>
      <c r="N58" s="32"/>
      <c r="O58" s="32"/>
      <c r="P58" s="26">
        <v>3.0</v>
      </c>
      <c r="Q58" s="26">
        <v>3.0</v>
      </c>
      <c r="R58" s="17" t="s">
        <v>419</v>
      </c>
      <c r="S58" s="17" t="s">
        <v>420</v>
      </c>
      <c r="T58" s="17" t="s">
        <v>421</v>
      </c>
      <c r="U58" s="17" t="s">
        <v>423</v>
      </c>
      <c r="V58" s="17" t="s">
        <v>639</v>
      </c>
      <c r="W58" s="17" t="s">
        <v>403</v>
      </c>
      <c r="X58" s="17" t="s">
        <v>480</v>
      </c>
      <c r="Y58" s="17" t="s">
        <v>404</v>
      </c>
      <c r="Z58" s="17" t="s">
        <v>558</v>
      </c>
      <c r="AA58" s="17" t="s">
        <v>401</v>
      </c>
      <c r="AB58" s="17" t="s">
        <v>800</v>
      </c>
      <c r="AC58" s="17" t="s">
        <v>428</v>
      </c>
      <c r="AD58" s="17" t="s">
        <v>805</v>
      </c>
      <c r="AE58" s="26">
        <v>500.0</v>
      </c>
      <c r="AF58" s="36">
        <v>38.5</v>
      </c>
      <c r="AG58" s="36">
        <v>39.5</v>
      </c>
      <c r="AH58" s="26" t="s">
        <v>810</v>
      </c>
      <c r="AI58" s="26">
        <v>39340.0</v>
      </c>
      <c r="AJ58" s="26">
        <v>39340.0</v>
      </c>
      <c r="AK58" s="26" t="s">
        <v>464</v>
      </c>
      <c r="AL58" s="26">
        <v>696.0</v>
      </c>
      <c r="AM58" s="26">
        <v>1816.0</v>
      </c>
      <c r="AN58" s="32"/>
      <c r="AO58" s="17" t="s">
        <v>422</v>
      </c>
      <c r="AP58" s="32"/>
      <c r="AQ58" s="32"/>
      <c r="AR58" s="17" t="s">
        <v>512</v>
      </c>
      <c r="AS58" s="32"/>
      <c r="AT58" s="26">
        <v>164.0</v>
      </c>
      <c r="AU58" s="37">
        <v>45571.0</v>
      </c>
      <c r="AV58" s="35">
        <v>127.0</v>
      </c>
      <c r="AW58" s="26">
        <v>150.0</v>
      </c>
      <c r="AX58" s="26" t="s">
        <v>478</v>
      </c>
      <c r="AY58" s="26">
        <v>310.0</v>
      </c>
      <c r="AZ58" s="26">
        <v>9.0</v>
      </c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</row>
    <row r="59">
      <c r="A59" s="20" t="s">
        <v>811</v>
      </c>
      <c r="B59" s="20" t="s">
        <v>812</v>
      </c>
      <c r="C59" s="17" t="s">
        <v>813</v>
      </c>
      <c r="D59" s="17" t="s">
        <v>506</v>
      </c>
      <c r="E59" s="34" t="s">
        <v>477</v>
      </c>
      <c r="F59" s="26" t="s">
        <v>814</v>
      </c>
      <c r="G59" s="35">
        <v>138.0</v>
      </c>
      <c r="H59" s="17" t="s">
        <v>413</v>
      </c>
      <c r="I59" s="17" t="s">
        <v>414</v>
      </c>
      <c r="J59" s="17" t="s">
        <v>415</v>
      </c>
      <c r="L59" s="26">
        <v>5.0</v>
      </c>
      <c r="M59" s="17" t="s">
        <v>417</v>
      </c>
      <c r="N59" s="17" t="s">
        <v>418</v>
      </c>
      <c r="O59" s="26">
        <v>300.0</v>
      </c>
      <c r="P59" s="26">
        <v>4.0</v>
      </c>
      <c r="Q59" s="26">
        <v>4.0</v>
      </c>
      <c r="R59" s="17" t="s">
        <v>419</v>
      </c>
      <c r="S59" s="17" t="s">
        <v>420</v>
      </c>
      <c r="T59" s="17" t="s">
        <v>421</v>
      </c>
      <c r="U59" s="17" t="s">
        <v>423</v>
      </c>
      <c r="V59" s="17" t="s">
        <v>458</v>
      </c>
      <c r="W59" s="17" t="s">
        <v>403</v>
      </c>
      <c r="X59" s="17" t="s">
        <v>581</v>
      </c>
      <c r="Y59" s="17" t="s">
        <v>438</v>
      </c>
      <c r="Z59" s="17" t="s">
        <v>612</v>
      </c>
      <c r="AA59" s="17" t="s">
        <v>440</v>
      </c>
      <c r="AB59" s="17" t="s">
        <v>800</v>
      </c>
      <c r="AC59" s="17" t="s">
        <v>520</v>
      </c>
      <c r="AD59" s="17" t="s">
        <v>815</v>
      </c>
      <c r="AE59" s="26">
        <v>280.0</v>
      </c>
      <c r="AF59" s="36">
        <v>41.99</v>
      </c>
      <c r="AG59" s="36">
        <v>39.995</v>
      </c>
      <c r="AH59" s="26" t="s">
        <v>816</v>
      </c>
      <c r="AI59" s="26">
        <v>40743.0</v>
      </c>
      <c r="AJ59" s="26">
        <v>40743.0</v>
      </c>
      <c r="AK59" s="26" t="s">
        <v>431</v>
      </c>
      <c r="AL59" s="26">
        <v>559.0</v>
      </c>
      <c r="AM59" s="26">
        <v>1829.0</v>
      </c>
      <c r="AN59" s="17" t="s">
        <v>465</v>
      </c>
      <c r="AO59" s="17" t="s">
        <v>422</v>
      </c>
      <c r="AP59" s="32"/>
      <c r="AQ59" s="32"/>
      <c r="AR59" s="17" t="s">
        <v>512</v>
      </c>
      <c r="AS59" s="32"/>
      <c r="AT59" s="26">
        <v>164.0</v>
      </c>
      <c r="AU59" s="37">
        <v>45571.0</v>
      </c>
      <c r="AV59" s="35">
        <v>138.0</v>
      </c>
      <c r="AW59" s="26">
        <v>160.0</v>
      </c>
      <c r="AX59" s="26" t="s">
        <v>814</v>
      </c>
      <c r="AY59" s="26">
        <v>295.0</v>
      </c>
      <c r="AZ59" s="37">
        <v>45512.0</v>
      </c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</row>
    <row r="60">
      <c r="A60" s="20" t="s">
        <v>817</v>
      </c>
      <c r="B60" s="20" t="s">
        <v>753</v>
      </c>
      <c r="C60" s="17" t="s">
        <v>818</v>
      </c>
      <c r="D60" s="17" t="s">
        <v>565</v>
      </c>
      <c r="E60" s="34" t="s">
        <v>477</v>
      </c>
      <c r="F60" s="26">
        <v>86.0</v>
      </c>
      <c r="G60" s="35">
        <v>117.0</v>
      </c>
      <c r="H60" s="17" t="s">
        <v>413</v>
      </c>
      <c r="I60" s="17" t="s">
        <v>414</v>
      </c>
      <c r="J60" s="17" t="s">
        <v>415</v>
      </c>
      <c r="K60" s="17" t="s">
        <v>595</v>
      </c>
      <c r="L60" s="26">
        <v>5.0</v>
      </c>
      <c r="M60" s="17" t="s">
        <v>417</v>
      </c>
      <c r="N60" s="17" t="s">
        <v>418</v>
      </c>
      <c r="O60" s="26">
        <v>1000.0</v>
      </c>
      <c r="P60" s="26">
        <v>5.0</v>
      </c>
      <c r="Q60" s="26">
        <v>5.0</v>
      </c>
      <c r="R60" s="17" t="s">
        <v>419</v>
      </c>
      <c r="S60" s="17" t="s">
        <v>420</v>
      </c>
      <c r="T60" s="17" t="s">
        <v>421</v>
      </c>
      <c r="U60" s="17" t="s">
        <v>423</v>
      </c>
      <c r="V60" s="17" t="s">
        <v>759</v>
      </c>
      <c r="W60" s="17" t="s">
        <v>403</v>
      </c>
      <c r="X60" s="17" t="s">
        <v>493</v>
      </c>
      <c r="Y60" s="17" t="s">
        <v>438</v>
      </c>
      <c r="Z60" s="17" t="s">
        <v>449</v>
      </c>
      <c r="AA60" s="17" t="s">
        <v>440</v>
      </c>
      <c r="AB60" s="17" t="s">
        <v>800</v>
      </c>
      <c r="AC60" s="17" t="s">
        <v>428</v>
      </c>
      <c r="AD60" s="17" t="s">
        <v>442</v>
      </c>
      <c r="AE60" s="26">
        <v>840.0</v>
      </c>
      <c r="AF60" s="36">
        <v>58.985</v>
      </c>
      <c r="AG60" s="36">
        <v>60.99</v>
      </c>
      <c r="AH60" s="26" t="s">
        <v>819</v>
      </c>
      <c r="AI60" s="26">
        <v>61247.0</v>
      </c>
      <c r="AJ60" s="26">
        <v>61247.0</v>
      </c>
      <c r="AK60" s="26" t="s">
        <v>567</v>
      </c>
      <c r="AL60" s="26">
        <v>686.0</v>
      </c>
      <c r="AM60" s="26">
        <v>1840.0</v>
      </c>
      <c r="AN60" s="32"/>
      <c r="AO60" s="17" t="s">
        <v>422</v>
      </c>
      <c r="AP60" s="32"/>
      <c r="AQ60" s="32"/>
      <c r="AR60" s="32"/>
      <c r="AS60" s="32"/>
      <c r="AT60" s="26">
        <v>164.0</v>
      </c>
      <c r="AU60" s="37">
        <v>45571.0</v>
      </c>
      <c r="AV60" s="35">
        <v>117.0</v>
      </c>
      <c r="AW60" s="26">
        <v>180.0</v>
      </c>
      <c r="AX60" s="26">
        <v>86.0</v>
      </c>
      <c r="AY60" s="26">
        <v>525.0</v>
      </c>
      <c r="AZ60" s="37">
        <v>45449.0</v>
      </c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</row>
    <row r="61">
      <c r="A61" s="20" t="s">
        <v>820</v>
      </c>
      <c r="B61" s="20" t="s">
        <v>821</v>
      </c>
      <c r="C61" s="17" t="s">
        <v>822</v>
      </c>
      <c r="D61" s="17" t="s">
        <v>506</v>
      </c>
      <c r="E61" s="34" t="s">
        <v>550</v>
      </c>
      <c r="F61" s="26" t="s">
        <v>478</v>
      </c>
      <c r="G61" s="35">
        <v>119.0</v>
      </c>
      <c r="H61" s="32"/>
      <c r="I61" s="17" t="s">
        <v>414</v>
      </c>
      <c r="J61" s="17" t="s">
        <v>415</v>
      </c>
      <c r="L61" s="26">
        <v>5.0</v>
      </c>
      <c r="M61" s="17" t="s">
        <v>417</v>
      </c>
      <c r="N61" s="32"/>
      <c r="O61" s="32"/>
      <c r="P61" s="26">
        <v>-1.0</v>
      </c>
      <c r="Q61" s="17" t="s">
        <v>419</v>
      </c>
      <c r="R61" s="17" t="s">
        <v>420</v>
      </c>
      <c r="S61" s="17" t="s">
        <v>421</v>
      </c>
      <c r="T61" s="17" t="s">
        <v>422</v>
      </c>
      <c r="U61" s="17" t="s">
        <v>423</v>
      </c>
      <c r="V61" s="17" t="s">
        <v>639</v>
      </c>
      <c r="W61" s="17" t="s">
        <v>403</v>
      </c>
      <c r="X61" s="17" t="s">
        <v>480</v>
      </c>
      <c r="Y61" s="17" t="s">
        <v>404</v>
      </c>
      <c r="Z61" s="17" t="s">
        <v>558</v>
      </c>
      <c r="AA61" s="17" t="s">
        <v>401</v>
      </c>
      <c r="AB61" s="17" t="s">
        <v>800</v>
      </c>
      <c r="AC61" s="17" t="s">
        <v>428</v>
      </c>
      <c r="AD61" s="17" t="s">
        <v>722</v>
      </c>
      <c r="AE61" s="26">
        <v>460.0</v>
      </c>
      <c r="AF61" s="36">
        <v>36.49</v>
      </c>
      <c r="AG61" s="36">
        <v>35.99</v>
      </c>
      <c r="AH61" s="26" t="s">
        <v>823</v>
      </c>
      <c r="AI61" s="26">
        <v>36808.0</v>
      </c>
      <c r="AJ61" s="26">
        <v>36808.0</v>
      </c>
      <c r="AK61" s="26" t="s">
        <v>431</v>
      </c>
      <c r="AL61" s="26">
        <v>468.0</v>
      </c>
      <c r="AM61" s="26">
        <v>1945.0</v>
      </c>
      <c r="AN61" s="32"/>
      <c r="AO61" s="32"/>
      <c r="AP61" s="32"/>
      <c r="AQ61" s="32"/>
      <c r="AR61" s="17" t="s">
        <v>512</v>
      </c>
      <c r="AS61" s="32"/>
      <c r="AT61" s="26">
        <v>164.0</v>
      </c>
      <c r="AU61" s="37">
        <v>45571.0</v>
      </c>
      <c r="AV61" s="35">
        <v>119.0</v>
      </c>
      <c r="AW61" s="26">
        <v>150.0</v>
      </c>
      <c r="AX61" s="26" t="s">
        <v>478</v>
      </c>
      <c r="AY61" s="26">
        <v>310.0</v>
      </c>
      <c r="AZ61" s="26">
        <v>9.0</v>
      </c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</row>
    <row r="62">
      <c r="A62" s="20" t="s">
        <v>824</v>
      </c>
      <c r="B62" s="20" t="s">
        <v>795</v>
      </c>
      <c r="C62" s="17" t="s">
        <v>796</v>
      </c>
      <c r="D62" s="17" t="s">
        <v>700</v>
      </c>
      <c r="E62" s="34" t="s">
        <v>411</v>
      </c>
      <c r="F62" s="26" t="s">
        <v>412</v>
      </c>
      <c r="G62" s="35">
        <v>131.0</v>
      </c>
      <c r="H62" s="17" t="s">
        <v>413</v>
      </c>
      <c r="I62" s="17" t="s">
        <v>414</v>
      </c>
      <c r="J62" s="17" t="s">
        <v>415</v>
      </c>
      <c r="L62" s="26">
        <v>5.0</v>
      </c>
      <c r="M62" s="17" t="s">
        <v>417</v>
      </c>
      <c r="N62" s="17" t="s">
        <v>418</v>
      </c>
      <c r="O62" s="26">
        <v>1600.0</v>
      </c>
      <c r="P62" s="26">
        <v>5.0</v>
      </c>
      <c r="Q62" s="26">
        <v>5.0</v>
      </c>
      <c r="R62" s="17" t="s">
        <v>419</v>
      </c>
      <c r="S62" s="17" t="s">
        <v>420</v>
      </c>
      <c r="T62" s="17" t="s">
        <v>421</v>
      </c>
      <c r="U62" s="17" t="s">
        <v>423</v>
      </c>
      <c r="V62" s="17" t="s">
        <v>797</v>
      </c>
      <c r="W62" s="17" t="s">
        <v>403</v>
      </c>
      <c r="X62" s="17" t="s">
        <v>798</v>
      </c>
      <c r="Y62" s="17" t="s">
        <v>404</v>
      </c>
      <c r="Z62" s="17" t="s">
        <v>799</v>
      </c>
      <c r="AA62" s="17" t="s">
        <v>401</v>
      </c>
      <c r="AB62" s="17" t="s">
        <v>800</v>
      </c>
      <c r="AC62" s="17" t="s">
        <v>428</v>
      </c>
      <c r="AD62" s="17" t="s">
        <v>451</v>
      </c>
      <c r="AE62" s="26">
        <v>810.0</v>
      </c>
      <c r="AF62" s="36">
        <v>45.97</v>
      </c>
      <c r="AG62" s="36">
        <v>45.99</v>
      </c>
      <c r="AH62" s="17" t="s">
        <v>463</v>
      </c>
      <c r="AI62" s="26">
        <v>45980.0</v>
      </c>
      <c r="AJ62" s="26">
        <v>45980.0</v>
      </c>
      <c r="AK62" s="26" t="s">
        <v>552</v>
      </c>
      <c r="AL62" s="26">
        <v>1048.0</v>
      </c>
      <c r="AM62" s="26">
        <v>1974.0</v>
      </c>
      <c r="AN62" s="32"/>
      <c r="AO62" s="17" t="s">
        <v>422</v>
      </c>
      <c r="AP62" s="32"/>
      <c r="AQ62" s="32"/>
      <c r="AR62" s="32"/>
      <c r="AS62" s="32"/>
      <c r="AT62" s="26">
        <v>164.0</v>
      </c>
      <c r="AU62" s="37">
        <v>45571.0</v>
      </c>
      <c r="AV62" s="35">
        <v>131.0</v>
      </c>
      <c r="AW62" s="26">
        <v>217.0</v>
      </c>
      <c r="AX62" s="26" t="s">
        <v>412</v>
      </c>
      <c r="AY62" s="26">
        <v>350.0</v>
      </c>
      <c r="AZ62" s="37">
        <v>45541.0</v>
      </c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</row>
    <row r="63">
      <c r="A63" s="20" t="s">
        <v>825</v>
      </c>
      <c r="B63" s="20" t="s">
        <v>768</v>
      </c>
      <c r="C63" s="17" t="s">
        <v>826</v>
      </c>
      <c r="D63" s="17" t="s">
        <v>827</v>
      </c>
      <c r="E63" s="34" t="s">
        <v>477</v>
      </c>
      <c r="F63" s="26" t="s">
        <v>828</v>
      </c>
      <c r="G63" s="35">
        <v>128.0</v>
      </c>
      <c r="H63" s="32"/>
      <c r="I63" s="17" t="s">
        <v>414</v>
      </c>
      <c r="J63" s="17" t="s">
        <v>415</v>
      </c>
      <c r="L63" s="26">
        <v>4.0</v>
      </c>
      <c r="M63" s="17" t="s">
        <v>417</v>
      </c>
      <c r="N63" s="32"/>
      <c r="O63" s="32"/>
      <c r="P63" s="26">
        <v>-1.0</v>
      </c>
      <c r="Q63" s="17" t="s">
        <v>419</v>
      </c>
      <c r="R63" s="17" t="s">
        <v>420</v>
      </c>
      <c r="S63" s="17" t="s">
        <v>421</v>
      </c>
      <c r="T63" s="17" t="s">
        <v>422</v>
      </c>
      <c r="U63" s="17" t="s">
        <v>423</v>
      </c>
      <c r="V63" s="17" t="s">
        <v>732</v>
      </c>
      <c r="W63" s="17" t="s">
        <v>403</v>
      </c>
      <c r="X63" s="17" t="s">
        <v>589</v>
      </c>
      <c r="Y63" s="17" t="s">
        <v>438</v>
      </c>
      <c r="Z63" s="17" t="s">
        <v>829</v>
      </c>
      <c r="AA63" s="17" t="s">
        <v>440</v>
      </c>
      <c r="AB63" s="17" t="s">
        <v>800</v>
      </c>
      <c r="AC63" s="17" t="s">
        <v>428</v>
      </c>
      <c r="AD63" s="17" t="s">
        <v>830</v>
      </c>
      <c r="AE63" s="26">
        <v>430.0</v>
      </c>
      <c r="AF63" s="36">
        <v>36.9</v>
      </c>
      <c r="AG63" s="36">
        <v>38.99</v>
      </c>
      <c r="AH63" s="26" t="s">
        <v>831</v>
      </c>
      <c r="AI63" s="26">
        <v>38521.0</v>
      </c>
      <c r="AJ63" s="26">
        <v>38521.0</v>
      </c>
      <c r="AK63" s="26" t="s">
        <v>777</v>
      </c>
      <c r="AL63" s="26">
        <v>588.0</v>
      </c>
      <c r="AM63" s="26">
        <v>1998.0</v>
      </c>
      <c r="AN63" s="32"/>
      <c r="AO63" s="32"/>
      <c r="AP63" s="32"/>
      <c r="AQ63" s="17" t="s">
        <v>496</v>
      </c>
      <c r="AR63" s="17" t="s">
        <v>512</v>
      </c>
      <c r="AS63" s="32"/>
      <c r="AT63" s="26">
        <v>164.0</v>
      </c>
      <c r="AU63" s="37">
        <v>45571.0</v>
      </c>
      <c r="AV63" s="35">
        <v>128.0</v>
      </c>
      <c r="AW63" s="26">
        <v>170.0</v>
      </c>
      <c r="AX63" s="26" t="s">
        <v>828</v>
      </c>
      <c r="AY63" s="26">
        <v>300.0</v>
      </c>
      <c r="AZ63" s="37">
        <v>45479.0</v>
      </c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</row>
    <row r="64">
      <c r="A64" s="20" t="s">
        <v>832</v>
      </c>
      <c r="B64" s="20" t="s">
        <v>833</v>
      </c>
      <c r="C64" s="17" t="s">
        <v>834</v>
      </c>
      <c r="D64" s="17" t="s">
        <v>835</v>
      </c>
      <c r="E64" s="34" t="s">
        <v>477</v>
      </c>
      <c r="F64" s="26" t="s">
        <v>836</v>
      </c>
      <c r="G64" s="35">
        <v>134.0</v>
      </c>
      <c r="H64" s="17" t="s">
        <v>413</v>
      </c>
      <c r="I64" s="17" t="s">
        <v>414</v>
      </c>
      <c r="J64" s="17" t="s">
        <v>415</v>
      </c>
      <c r="L64" s="26">
        <v>5.0</v>
      </c>
      <c r="M64" s="17" t="s">
        <v>417</v>
      </c>
      <c r="N64" s="17" t="s">
        <v>418</v>
      </c>
      <c r="O64" s="26">
        <v>750.0</v>
      </c>
      <c r="P64" s="26">
        <v>-1.0</v>
      </c>
      <c r="Q64" s="17" t="s">
        <v>419</v>
      </c>
      <c r="R64" s="17" t="s">
        <v>420</v>
      </c>
      <c r="S64" s="17" t="s">
        <v>421</v>
      </c>
      <c r="T64" s="17" t="s">
        <v>422</v>
      </c>
      <c r="U64" s="17" t="s">
        <v>423</v>
      </c>
      <c r="V64" s="17" t="s">
        <v>837</v>
      </c>
      <c r="W64" s="17" t="s">
        <v>403</v>
      </c>
      <c r="X64" s="17" t="s">
        <v>589</v>
      </c>
      <c r="Y64" s="17" t="s">
        <v>438</v>
      </c>
      <c r="Z64" s="17" t="s">
        <v>838</v>
      </c>
      <c r="AA64" s="17" t="s">
        <v>440</v>
      </c>
      <c r="AB64" s="17" t="s">
        <v>800</v>
      </c>
      <c r="AC64" s="17" t="s">
        <v>428</v>
      </c>
      <c r="AD64" s="17" t="s">
        <v>662</v>
      </c>
      <c r="AE64" s="26">
        <v>530.0</v>
      </c>
      <c r="AF64" s="36">
        <v>49.4</v>
      </c>
      <c r="AG64" s="36">
        <v>49.976</v>
      </c>
      <c r="AH64" s="26" t="s">
        <v>839</v>
      </c>
      <c r="AI64" s="26">
        <v>52911.0</v>
      </c>
      <c r="AJ64" s="26">
        <v>52911.0</v>
      </c>
      <c r="AK64" s="26" t="s">
        <v>777</v>
      </c>
      <c r="AL64" s="26">
        <v>493.0</v>
      </c>
      <c r="AM64" s="26">
        <v>2097.0</v>
      </c>
      <c r="AN64" s="32"/>
      <c r="AO64" s="32"/>
      <c r="AP64" s="17" t="s">
        <v>483</v>
      </c>
      <c r="AQ64" s="32"/>
      <c r="AR64" s="32"/>
      <c r="AS64" s="32"/>
      <c r="AT64" s="26">
        <v>164.0</v>
      </c>
      <c r="AU64" s="37">
        <v>45571.0</v>
      </c>
      <c r="AV64" s="35">
        <v>134.0</v>
      </c>
      <c r="AW64" s="26">
        <v>170.0</v>
      </c>
      <c r="AX64" s="26" t="s">
        <v>836</v>
      </c>
      <c r="AY64" s="26">
        <v>395.0</v>
      </c>
      <c r="AZ64" s="37">
        <v>45451.0</v>
      </c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</row>
    <row r="65">
      <c r="A65" s="20" t="s">
        <v>840</v>
      </c>
      <c r="B65" s="20" t="s">
        <v>841</v>
      </c>
      <c r="C65" s="17" t="s">
        <v>842</v>
      </c>
      <c r="D65" s="17" t="s">
        <v>843</v>
      </c>
      <c r="E65" s="34" t="s">
        <v>550</v>
      </c>
      <c r="F65" s="26">
        <v>77.0</v>
      </c>
      <c r="G65" s="35">
        <v>123.0</v>
      </c>
      <c r="H65" s="17" t="s">
        <v>413</v>
      </c>
      <c r="I65" s="17" t="s">
        <v>414</v>
      </c>
      <c r="J65" s="17" t="s">
        <v>415</v>
      </c>
      <c r="L65" s="26">
        <v>5.0</v>
      </c>
      <c r="M65" s="17" t="s">
        <v>417</v>
      </c>
      <c r="N65" s="17" t="s">
        <v>418</v>
      </c>
      <c r="O65" s="26">
        <v>1000.0</v>
      </c>
      <c r="P65" s="26">
        <v>5.0</v>
      </c>
      <c r="Q65" s="26">
        <v>5.0</v>
      </c>
      <c r="R65" s="17" t="s">
        <v>419</v>
      </c>
      <c r="S65" s="17" t="s">
        <v>420</v>
      </c>
      <c r="T65" s="17" t="s">
        <v>421</v>
      </c>
      <c r="U65" s="17" t="s">
        <v>423</v>
      </c>
      <c r="V65" s="17" t="s">
        <v>759</v>
      </c>
      <c r="W65" s="17" t="s">
        <v>403</v>
      </c>
      <c r="X65" s="17" t="s">
        <v>493</v>
      </c>
      <c r="Y65" s="17" t="s">
        <v>404</v>
      </c>
      <c r="Z65" s="17" t="s">
        <v>844</v>
      </c>
      <c r="AA65" s="17" t="s">
        <v>401</v>
      </c>
      <c r="AB65" s="17" t="s">
        <v>800</v>
      </c>
      <c r="AC65" s="17" t="s">
        <v>428</v>
      </c>
      <c r="AD65" s="17" t="s">
        <v>429</v>
      </c>
      <c r="AE65" s="26">
        <v>730.0</v>
      </c>
      <c r="AF65" s="36">
        <v>54.795</v>
      </c>
      <c r="AG65" s="36">
        <v>58.99</v>
      </c>
      <c r="AH65" s="26" t="s">
        <v>845</v>
      </c>
      <c r="AI65" s="26">
        <v>57953.0</v>
      </c>
      <c r="AJ65" s="26">
        <v>57953.0</v>
      </c>
      <c r="AK65" s="26" t="s">
        <v>495</v>
      </c>
      <c r="AL65" s="26">
        <v>435.0</v>
      </c>
      <c r="AM65" s="26">
        <v>2118.0</v>
      </c>
      <c r="AN65" s="32"/>
      <c r="AO65" s="17" t="s">
        <v>422</v>
      </c>
      <c r="AP65" s="32"/>
      <c r="AQ65" s="32"/>
      <c r="AR65" s="32"/>
      <c r="AS65" s="32"/>
      <c r="AT65" s="26">
        <v>164.0</v>
      </c>
      <c r="AU65" s="37">
        <v>45571.0</v>
      </c>
      <c r="AV65" s="35">
        <v>123.0</v>
      </c>
      <c r="AW65" s="26">
        <v>180.0</v>
      </c>
      <c r="AX65" s="26">
        <v>77.0</v>
      </c>
      <c r="AY65" s="26">
        <v>470.0</v>
      </c>
      <c r="AZ65" s="37">
        <v>45449.0</v>
      </c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</row>
    <row r="66">
      <c r="A66" s="20" t="s">
        <v>846</v>
      </c>
      <c r="B66" s="20" t="s">
        <v>713</v>
      </c>
      <c r="C66" s="17" t="s">
        <v>847</v>
      </c>
      <c r="D66" s="17" t="s">
        <v>565</v>
      </c>
      <c r="E66" s="34" t="s">
        <v>477</v>
      </c>
      <c r="F66" s="26" t="s">
        <v>478</v>
      </c>
      <c r="G66" s="35">
        <v>156.0</v>
      </c>
      <c r="H66" s="32"/>
      <c r="I66" s="17" t="s">
        <v>414</v>
      </c>
      <c r="J66" s="17" t="s">
        <v>415</v>
      </c>
      <c r="L66" s="26">
        <v>5.0</v>
      </c>
      <c r="M66" s="32"/>
      <c r="N66" s="32"/>
      <c r="O66" s="32"/>
      <c r="P66" s="26">
        <v>-1.0</v>
      </c>
      <c r="Q66" s="17" t="s">
        <v>419</v>
      </c>
      <c r="R66" s="17" t="s">
        <v>420</v>
      </c>
      <c r="S66" s="17" t="s">
        <v>421</v>
      </c>
      <c r="T66" s="17" t="s">
        <v>422</v>
      </c>
      <c r="U66" s="17" t="s">
        <v>423</v>
      </c>
      <c r="V66" s="17" t="s">
        <v>596</v>
      </c>
      <c r="W66" s="17" t="s">
        <v>403</v>
      </c>
      <c r="X66" s="17" t="s">
        <v>782</v>
      </c>
      <c r="Y66" s="17" t="s">
        <v>438</v>
      </c>
      <c r="Z66" s="17" t="s">
        <v>558</v>
      </c>
      <c r="AA66" s="17" t="s">
        <v>440</v>
      </c>
      <c r="AB66" s="17" t="s">
        <v>800</v>
      </c>
      <c r="AC66" s="17" t="s">
        <v>428</v>
      </c>
      <c r="AD66" s="17" t="s">
        <v>805</v>
      </c>
      <c r="AE66" s="26">
        <v>500.0</v>
      </c>
      <c r="AF66" s="36">
        <v>48.5</v>
      </c>
      <c r="AG66" s="36">
        <v>48.0</v>
      </c>
      <c r="AH66" s="26" t="s">
        <v>848</v>
      </c>
      <c r="AI66" s="26">
        <v>48379.0</v>
      </c>
      <c r="AJ66" s="26">
        <v>48379.0</v>
      </c>
      <c r="AK66" s="26" t="s">
        <v>567</v>
      </c>
      <c r="AL66" s="26">
        <v>281.0</v>
      </c>
      <c r="AM66" s="26">
        <v>2185.0</v>
      </c>
      <c r="AN66" s="32"/>
      <c r="AO66" s="32"/>
      <c r="AP66" s="32"/>
      <c r="AQ66" s="32"/>
      <c r="AR66" s="17" t="s">
        <v>512</v>
      </c>
      <c r="AS66" s="32"/>
      <c r="AT66" s="26">
        <v>164.0</v>
      </c>
      <c r="AU66" s="37">
        <v>45571.0</v>
      </c>
      <c r="AV66" s="35">
        <v>156.0</v>
      </c>
      <c r="AW66" s="26">
        <v>200.0</v>
      </c>
      <c r="AX66" s="26" t="s">
        <v>478</v>
      </c>
      <c r="AY66" s="26">
        <v>310.0</v>
      </c>
      <c r="AZ66" s="26">
        <v>6.0</v>
      </c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</row>
    <row r="67">
      <c r="A67" s="20" t="s">
        <v>849</v>
      </c>
      <c r="B67" s="20" t="s">
        <v>791</v>
      </c>
      <c r="C67" s="17" t="s">
        <v>850</v>
      </c>
      <c r="D67" s="17" t="s">
        <v>793</v>
      </c>
      <c r="E67" s="34" t="s">
        <v>477</v>
      </c>
      <c r="F67" s="26">
        <v>59.0</v>
      </c>
      <c r="G67" s="35">
        <v>112.0</v>
      </c>
      <c r="H67" s="32"/>
      <c r="I67" s="17" t="s">
        <v>414</v>
      </c>
      <c r="J67" s="17" t="s">
        <v>415</v>
      </c>
      <c r="L67" s="26">
        <v>5.0</v>
      </c>
      <c r="M67" s="17" t="s">
        <v>417</v>
      </c>
      <c r="N67" s="17" t="s">
        <v>418</v>
      </c>
      <c r="O67" s="26">
        <v>0.0</v>
      </c>
      <c r="P67" s="26">
        <v>-1.0</v>
      </c>
      <c r="Q67" s="17" t="s">
        <v>419</v>
      </c>
      <c r="R67" s="17" t="s">
        <v>420</v>
      </c>
      <c r="S67" s="17" t="s">
        <v>421</v>
      </c>
      <c r="T67" s="17" t="s">
        <v>422</v>
      </c>
      <c r="U67" s="17" t="s">
        <v>423</v>
      </c>
      <c r="V67" s="17" t="s">
        <v>851</v>
      </c>
      <c r="W67" s="17" t="s">
        <v>403</v>
      </c>
      <c r="X67" s="17" t="s">
        <v>581</v>
      </c>
      <c r="Y67" s="17" t="s">
        <v>438</v>
      </c>
      <c r="Z67" s="17" t="s">
        <v>852</v>
      </c>
      <c r="AA67" s="17" t="s">
        <v>440</v>
      </c>
      <c r="AB67" s="17" t="s">
        <v>800</v>
      </c>
      <c r="AC67" s="17" t="s">
        <v>428</v>
      </c>
      <c r="AD67" s="17" t="s">
        <v>853</v>
      </c>
      <c r="AE67" s="26">
        <v>600.0</v>
      </c>
      <c r="AF67" s="36">
        <v>39.995</v>
      </c>
      <c r="AG67" s="36">
        <v>39.99</v>
      </c>
      <c r="AH67" s="26" t="s">
        <v>854</v>
      </c>
      <c r="AI67" s="26">
        <v>40346.0</v>
      </c>
      <c r="AJ67" s="26">
        <v>40346.0</v>
      </c>
      <c r="AK67" s="26" t="s">
        <v>495</v>
      </c>
      <c r="AL67" s="26">
        <v>680.0</v>
      </c>
      <c r="AM67" s="26">
        <v>2213.0</v>
      </c>
      <c r="AN67" s="32"/>
      <c r="AO67" s="32"/>
      <c r="AP67" s="17" t="s">
        <v>483</v>
      </c>
      <c r="AQ67" s="17" t="s">
        <v>496</v>
      </c>
      <c r="AS67" s="32"/>
      <c r="AT67" s="26">
        <v>164.0</v>
      </c>
      <c r="AU67" s="37">
        <v>45571.0</v>
      </c>
      <c r="AV67" s="35">
        <v>112.0</v>
      </c>
      <c r="AW67" s="26">
        <v>160.0</v>
      </c>
      <c r="AX67" s="26">
        <v>59.0</v>
      </c>
      <c r="AY67" s="26">
        <v>360.0</v>
      </c>
      <c r="AZ67" s="37">
        <v>45450.0</v>
      </c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</row>
    <row r="68">
      <c r="A68" s="20" t="s">
        <v>855</v>
      </c>
      <c r="B68" s="20" t="s">
        <v>856</v>
      </c>
      <c r="C68" s="17" t="s">
        <v>857</v>
      </c>
      <c r="D68" s="17" t="s">
        <v>565</v>
      </c>
      <c r="E68" s="34" t="s">
        <v>436</v>
      </c>
      <c r="F68" s="26">
        <v>68.0</v>
      </c>
      <c r="G68" s="35">
        <v>117.0</v>
      </c>
      <c r="H68" s="17" t="s">
        <v>413</v>
      </c>
      <c r="I68" s="17" t="s">
        <v>414</v>
      </c>
      <c r="J68" s="17" t="s">
        <v>415</v>
      </c>
      <c r="K68" s="17" t="s">
        <v>595</v>
      </c>
      <c r="L68" s="26">
        <v>5.0</v>
      </c>
      <c r="M68" s="17" t="s">
        <v>417</v>
      </c>
      <c r="N68" s="17" t="s">
        <v>418</v>
      </c>
      <c r="O68" s="26">
        <v>1500.0</v>
      </c>
      <c r="P68" s="26">
        <v>5.0</v>
      </c>
      <c r="Q68" s="26">
        <v>5.0</v>
      </c>
      <c r="R68" s="17" t="s">
        <v>419</v>
      </c>
      <c r="S68" s="17" t="s">
        <v>420</v>
      </c>
      <c r="T68" s="17" t="s">
        <v>421</v>
      </c>
      <c r="U68" s="17" t="s">
        <v>423</v>
      </c>
      <c r="V68" s="17" t="s">
        <v>858</v>
      </c>
      <c r="W68" s="17" t="s">
        <v>403</v>
      </c>
      <c r="X68" s="17" t="s">
        <v>859</v>
      </c>
      <c r="Y68" s="17" t="s">
        <v>438</v>
      </c>
      <c r="Z68" s="17" t="s">
        <v>860</v>
      </c>
      <c r="AA68" s="17" t="s">
        <v>440</v>
      </c>
      <c r="AB68" s="17" t="s">
        <v>800</v>
      </c>
      <c r="AC68" s="17" t="s">
        <v>428</v>
      </c>
      <c r="AD68" s="17" t="s">
        <v>861</v>
      </c>
      <c r="AE68" s="26">
        <v>640.0</v>
      </c>
      <c r="AF68" s="36">
        <v>48.99</v>
      </c>
      <c r="AG68" s="36">
        <v>44.95</v>
      </c>
      <c r="AH68" s="26" t="s">
        <v>862</v>
      </c>
      <c r="AI68" s="26">
        <v>48544.0</v>
      </c>
      <c r="AJ68" s="26">
        <v>48544.0</v>
      </c>
      <c r="AK68" s="26" t="s">
        <v>567</v>
      </c>
      <c r="AL68" s="26">
        <v>344.0</v>
      </c>
      <c r="AM68" s="26">
        <v>2225.0</v>
      </c>
      <c r="AN68" s="32"/>
      <c r="AO68" s="17" t="s">
        <v>422</v>
      </c>
      <c r="AP68" s="32"/>
      <c r="AQ68" s="32"/>
      <c r="AR68" s="32"/>
      <c r="AS68" s="32"/>
      <c r="AT68" s="26">
        <v>164.0</v>
      </c>
      <c r="AU68" s="37">
        <v>45571.0</v>
      </c>
      <c r="AV68" s="35">
        <v>117.0</v>
      </c>
      <c r="AW68" s="26">
        <v>205.0</v>
      </c>
      <c r="AX68" s="26">
        <v>68.0</v>
      </c>
      <c r="AY68" s="26">
        <v>415.0</v>
      </c>
      <c r="AZ68" s="37">
        <v>45388.0</v>
      </c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</row>
    <row r="69">
      <c r="A69" s="20" t="s">
        <v>863</v>
      </c>
      <c r="B69" s="20" t="s">
        <v>864</v>
      </c>
      <c r="C69" s="17" t="s">
        <v>865</v>
      </c>
      <c r="D69" s="17" t="s">
        <v>565</v>
      </c>
      <c r="E69" s="34" t="s">
        <v>477</v>
      </c>
      <c r="F69" s="26">
        <v>59.0</v>
      </c>
      <c r="G69" s="35">
        <v>111.0</v>
      </c>
      <c r="H69" s="32"/>
      <c r="I69" s="17" t="s">
        <v>414</v>
      </c>
      <c r="J69" s="17" t="s">
        <v>415</v>
      </c>
      <c r="L69" s="26">
        <v>5.0</v>
      </c>
      <c r="M69" s="17" t="s">
        <v>417</v>
      </c>
      <c r="N69" s="32"/>
      <c r="O69" s="32"/>
      <c r="P69" s="26">
        <v>5.0</v>
      </c>
      <c r="Q69" s="26">
        <v>5.0</v>
      </c>
      <c r="R69" s="17" t="s">
        <v>419</v>
      </c>
      <c r="S69" s="17" t="s">
        <v>420</v>
      </c>
      <c r="T69" s="17" t="s">
        <v>421</v>
      </c>
      <c r="U69" s="17" t="s">
        <v>423</v>
      </c>
      <c r="V69" s="17" t="s">
        <v>732</v>
      </c>
      <c r="W69" s="17" t="s">
        <v>403</v>
      </c>
      <c r="X69" s="17" t="s">
        <v>581</v>
      </c>
      <c r="Y69" s="17" t="s">
        <v>438</v>
      </c>
      <c r="Z69" s="17" t="s">
        <v>852</v>
      </c>
      <c r="AA69" s="17" t="s">
        <v>440</v>
      </c>
      <c r="AB69" s="17" t="s">
        <v>800</v>
      </c>
      <c r="AC69" s="17" t="s">
        <v>428</v>
      </c>
      <c r="AD69" s="17" t="s">
        <v>866</v>
      </c>
      <c r="AE69" s="26">
        <v>630.0</v>
      </c>
      <c r="AF69" s="36">
        <v>41.45</v>
      </c>
      <c r="AG69" s="36">
        <v>37.49</v>
      </c>
      <c r="AH69" s="26" t="s">
        <v>867</v>
      </c>
      <c r="AI69" s="26">
        <v>39919.0</v>
      </c>
      <c r="AJ69" s="26">
        <v>39919.0</v>
      </c>
      <c r="AK69" s="26" t="s">
        <v>567</v>
      </c>
      <c r="AL69" s="26">
        <v>487.0</v>
      </c>
      <c r="AM69" s="26">
        <v>2233.0</v>
      </c>
      <c r="AN69" s="32"/>
      <c r="AO69" s="17" t="s">
        <v>422</v>
      </c>
      <c r="AP69" s="17" t="s">
        <v>483</v>
      </c>
      <c r="AQ69" s="17" t="s">
        <v>496</v>
      </c>
      <c r="AS69" s="32"/>
      <c r="AT69" s="26">
        <v>164.0</v>
      </c>
      <c r="AU69" s="37">
        <v>45571.0</v>
      </c>
      <c r="AV69" s="35">
        <v>111.0</v>
      </c>
      <c r="AW69" s="26">
        <v>160.0</v>
      </c>
      <c r="AX69" s="26">
        <v>59.0</v>
      </c>
      <c r="AY69" s="26">
        <v>360.0</v>
      </c>
      <c r="AZ69" s="37">
        <v>45479.0</v>
      </c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</row>
    <row r="70">
      <c r="A70" s="20" t="s">
        <v>868</v>
      </c>
      <c r="B70" s="20" t="s">
        <v>869</v>
      </c>
      <c r="C70" s="17" t="s">
        <v>870</v>
      </c>
      <c r="D70" s="17" t="s">
        <v>457</v>
      </c>
      <c r="E70" s="34" t="s">
        <v>436</v>
      </c>
      <c r="F70" s="26">
        <v>95.0</v>
      </c>
      <c r="G70" s="35">
        <v>166.0</v>
      </c>
      <c r="H70" s="17" t="s">
        <v>413</v>
      </c>
      <c r="I70" s="17" t="s">
        <v>414</v>
      </c>
      <c r="J70" s="17" t="s">
        <v>415</v>
      </c>
      <c r="K70" s="17" t="s">
        <v>595</v>
      </c>
      <c r="L70" s="26">
        <v>5.0</v>
      </c>
      <c r="M70" s="17" t="s">
        <v>417</v>
      </c>
      <c r="N70" s="17" t="s">
        <v>418</v>
      </c>
      <c r="O70" s="26">
        <v>1600.0</v>
      </c>
      <c r="P70" s="26">
        <v>5.0</v>
      </c>
      <c r="Q70" s="26">
        <v>5.0</v>
      </c>
      <c r="R70" s="17" t="s">
        <v>419</v>
      </c>
      <c r="S70" s="17" t="s">
        <v>420</v>
      </c>
      <c r="T70" s="17" t="s">
        <v>421</v>
      </c>
      <c r="U70" s="17" t="s">
        <v>423</v>
      </c>
      <c r="V70" s="17" t="s">
        <v>517</v>
      </c>
      <c r="W70" s="17" t="s">
        <v>403</v>
      </c>
      <c r="X70" s="17" t="s">
        <v>701</v>
      </c>
      <c r="Y70" s="17" t="s">
        <v>404</v>
      </c>
      <c r="Z70" s="17" t="s">
        <v>871</v>
      </c>
      <c r="AA70" s="17" t="s">
        <v>401</v>
      </c>
      <c r="AB70" s="17" t="s">
        <v>872</v>
      </c>
      <c r="AC70" s="17" t="s">
        <v>520</v>
      </c>
      <c r="AD70" s="17" t="s">
        <v>680</v>
      </c>
      <c r="AE70" s="26">
        <v>800.0</v>
      </c>
      <c r="AF70" s="36">
        <v>93.97</v>
      </c>
      <c r="AG70" s="36">
        <v>93.99</v>
      </c>
      <c r="AH70" s="17" t="s">
        <v>873</v>
      </c>
      <c r="AI70" s="26">
        <v>95236.0</v>
      </c>
      <c r="AJ70" s="26">
        <v>95236.0</v>
      </c>
      <c r="AK70" s="26" t="s">
        <v>464</v>
      </c>
      <c r="AL70" s="26">
        <v>1645.0</v>
      </c>
      <c r="AM70" s="26">
        <v>1404.0</v>
      </c>
      <c r="AN70" s="32"/>
      <c r="AO70" s="17" t="s">
        <v>422</v>
      </c>
      <c r="AP70" s="32"/>
      <c r="AQ70" s="32"/>
      <c r="AR70" s="32"/>
      <c r="AS70" s="32"/>
      <c r="AT70" s="26">
        <v>165.0</v>
      </c>
      <c r="AU70" s="38">
        <v>45449.0</v>
      </c>
      <c r="AV70" s="35">
        <v>166.0</v>
      </c>
      <c r="AW70" s="26">
        <v>250.0</v>
      </c>
      <c r="AX70" s="26">
        <v>95.0</v>
      </c>
      <c r="AY70" s="26">
        <v>575.0</v>
      </c>
      <c r="AZ70" s="37">
        <v>45325.0</v>
      </c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</row>
    <row r="71">
      <c r="A71" s="20" t="s">
        <v>874</v>
      </c>
      <c r="B71" s="20" t="s">
        <v>841</v>
      </c>
      <c r="C71" s="17" t="s">
        <v>875</v>
      </c>
      <c r="D71" s="17" t="s">
        <v>565</v>
      </c>
      <c r="E71" s="34" t="s">
        <v>477</v>
      </c>
      <c r="F71" s="26">
        <v>86.0</v>
      </c>
      <c r="G71" s="35">
        <v>119.0</v>
      </c>
      <c r="H71" s="17" t="s">
        <v>413</v>
      </c>
      <c r="I71" s="17" t="s">
        <v>414</v>
      </c>
      <c r="J71" s="17" t="s">
        <v>415</v>
      </c>
      <c r="L71" s="26">
        <v>5.0</v>
      </c>
      <c r="M71" s="17" t="s">
        <v>417</v>
      </c>
      <c r="N71" s="17" t="s">
        <v>418</v>
      </c>
      <c r="O71" s="26">
        <v>1000.0</v>
      </c>
      <c r="P71" s="26">
        <v>5.0</v>
      </c>
      <c r="Q71" s="26">
        <v>5.0</v>
      </c>
      <c r="R71" s="17" t="s">
        <v>419</v>
      </c>
      <c r="S71" s="17" t="s">
        <v>420</v>
      </c>
      <c r="T71" s="17" t="s">
        <v>421</v>
      </c>
      <c r="U71" s="17" t="s">
        <v>423</v>
      </c>
      <c r="V71" s="17" t="s">
        <v>732</v>
      </c>
      <c r="W71" s="17" t="s">
        <v>403</v>
      </c>
      <c r="X71" s="17" t="s">
        <v>493</v>
      </c>
      <c r="Y71" s="17" t="s">
        <v>438</v>
      </c>
      <c r="Z71" s="17" t="s">
        <v>876</v>
      </c>
      <c r="AA71" s="17" t="s">
        <v>440</v>
      </c>
      <c r="AB71" s="17" t="s">
        <v>872</v>
      </c>
      <c r="AC71" s="17" t="s">
        <v>428</v>
      </c>
      <c r="AD71" s="17" t="s">
        <v>442</v>
      </c>
      <c r="AE71" s="26">
        <v>840.0</v>
      </c>
      <c r="AF71" s="36">
        <v>59.785</v>
      </c>
      <c r="AG71" s="36">
        <v>61.99</v>
      </c>
      <c r="AH71" s="26" t="s">
        <v>877</v>
      </c>
      <c r="AI71" s="26">
        <v>62112.0</v>
      </c>
      <c r="AJ71" s="26">
        <v>62112.0</v>
      </c>
      <c r="AK71" s="26" t="s">
        <v>567</v>
      </c>
      <c r="AL71" s="26">
        <v>728.0</v>
      </c>
      <c r="AM71" s="26">
        <v>2119.0</v>
      </c>
      <c r="AN71" s="32"/>
      <c r="AO71" s="17" t="s">
        <v>422</v>
      </c>
      <c r="AP71" s="32"/>
      <c r="AQ71" s="32"/>
      <c r="AR71" s="32"/>
      <c r="AS71" s="32"/>
      <c r="AT71" s="26">
        <v>165.0</v>
      </c>
      <c r="AU71" s="38">
        <v>45449.0</v>
      </c>
      <c r="AV71" s="35">
        <v>119.0</v>
      </c>
      <c r="AW71" s="26">
        <v>180.0</v>
      </c>
      <c r="AX71" s="26">
        <v>86.0</v>
      </c>
      <c r="AY71" s="26">
        <v>520.0</v>
      </c>
      <c r="AZ71" s="37">
        <v>45479.0</v>
      </c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</row>
    <row r="72">
      <c r="A72" s="20" t="s">
        <v>878</v>
      </c>
      <c r="B72" s="20" t="s">
        <v>795</v>
      </c>
      <c r="C72" s="17" t="s">
        <v>879</v>
      </c>
      <c r="D72" s="17" t="s">
        <v>487</v>
      </c>
      <c r="E72" s="34" t="s">
        <v>411</v>
      </c>
      <c r="F72" s="26">
        <v>75.0</v>
      </c>
      <c r="G72" s="35">
        <v>113.0</v>
      </c>
      <c r="H72" s="17" t="s">
        <v>413</v>
      </c>
      <c r="I72" s="17" t="s">
        <v>414</v>
      </c>
      <c r="J72" s="17" t="s">
        <v>415</v>
      </c>
      <c r="L72" s="26">
        <v>5.0</v>
      </c>
      <c r="M72" s="17" t="s">
        <v>417</v>
      </c>
      <c r="N72" s="17" t="s">
        <v>418</v>
      </c>
      <c r="O72" s="26">
        <v>1600.0</v>
      </c>
      <c r="P72" s="26">
        <v>5.0</v>
      </c>
      <c r="Q72" s="26">
        <v>5.0</v>
      </c>
      <c r="R72" s="17" t="s">
        <v>419</v>
      </c>
      <c r="S72" s="17" t="s">
        <v>420</v>
      </c>
      <c r="T72" s="17" t="s">
        <v>421</v>
      </c>
      <c r="U72" s="17" t="s">
        <v>423</v>
      </c>
      <c r="V72" s="17" t="s">
        <v>880</v>
      </c>
      <c r="W72" s="17" t="s">
        <v>403</v>
      </c>
      <c r="X72" s="17" t="s">
        <v>798</v>
      </c>
      <c r="Y72" s="17" t="s">
        <v>404</v>
      </c>
      <c r="Z72" s="17" t="s">
        <v>881</v>
      </c>
      <c r="AA72" s="17" t="s">
        <v>401</v>
      </c>
      <c r="AB72" s="17" t="s">
        <v>872</v>
      </c>
      <c r="AC72" s="17" t="s">
        <v>428</v>
      </c>
      <c r="AD72" s="17" t="s">
        <v>882</v>
      </c>
      <c r="AE72" s="26">
        <v>700.0</v>
      </c>
      <c r="AF72" s="36">
        <v>49.97</v>
      </c>
      <c r="AG72" s="36">
        <v>49.99</v>
      </c>
      <c r="AH72" s="26" t="s">
        <v>883</v>
      </c>
      <c r="AI72" s="26">
        <v>51332.0</v>
      </c>
      <c r="AJ72" s="26">
        <v>51332.0</v>
      </c>
      <c r="AK72" s="26" t="s">
        <v>495</v>
      </c>
      <c r="AL72" s="26">
        <v>1910.0</v>
      </c>
      <c r="AM72" s="26">
        <v>2186.0</v>
      </c>
      <c r="AN72" s="32"/>
      <c r="AO72" s="17" t="s">
        <v>422</v>
      </c>
      <c r="AP72" s="32"/>
      <c r="AQ72" s="32"/>
      <c r="AR72" s="32"/>
      <c r="AS72" s="32"/>
      <c r="AT72" s="26">
        <v>165.0</v>
      </c>
      <c r="AU72" s="38">
        <v>45449.0</v>
      </c>
      <c r="AV72" s="35">
        <v>113.0</v>
      </c>
      <c r="AW72" s="26">
        <v>217.0</v>
      </c>
      <c r="AX72" s="26">
        <v>75.0</v>
      </c>
      <c r="AY72" s="26">
        <v>455.0</v>
      </c>
      <c r="AZ72" s="37">
        <v>45540.0</v>
      </c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</row>
    <row r="73">
      <c r="A73" s="20" t="s">
        <v>884</v>
      </c>
      <c r="B73" s="20" t="s">
        <v>885</v>
      </c>
      <c r="C73" s="17" t="s">
        <v>886</v>
      </c>
      <c r="D73" s="17" t="s">
        <v>435</v>
      </c>
      <c r="E73" s="34" t="s">
        <v>477</v>
      </c>
      <c r="F73" s="26">
        <v>52.0</v>
      </c>
      <c r="G73" s="35">
        <v>112.0</v>
      </c>
      <c r="H73" s="17" t="s">
        <v>413</v>
      </c>
      <c r="I73" s="17" t="s">
        <v>414</v>
      </c>
      <c r="J73" s="17" t="s">
        <v>415</v>
      </c>
      <c r="L73" s="26">
        <v>5.0</v>
      </c>
      <c r="M73" s="32"/>
      <c r="N73" s="17" t="s">
        <v>418</v>
      </c>
      <c r="O73" s="26">
        <v>1000.0</v>
      </c>
      <c r="P73" s="26">
        <v>-1.0</v>
      </c>
      <c r="Q73" s="17" t="s">
        <v>419</v>
      </c>
      <c r="R73" s="17" t="s">
        <v>420</v>
      </c>
      <c r="S73" s="17" t="s">
        <v>421</v>
      </c>
      <c r="T73" s="17" t="s">
        <v>422</v>
      </c>
      <c r="U73" s="17" t="s">
        <v>423</v>
      </c>
      <c r="V73" s="17" t="s">
        <v>639</v>
      </c>
      <c r="W73" s="17" t="s">
        <v>403</v>
      </c>
      <c r="X73" s="17" t="s">
        <v>581</v>
      </c>
      <c r="Y73" s="17" t="s">
        <v>438</v>
      </c>
      <c r="Z73" s="17" t="s">
        <v>509</v>
      </c>
      <c r="AA73" s="17" t="s">
        <v>440</v>
      </c>
      <c r="AB73" s="17" t="s">
        <v>872</v>
      </c>
      <c r="AC73" s="17" t="s">
        <v>428</v>
      </c>
      <c r="AD73" s="17" t="s">
        <v>805</v>
      </c>
      <c r="AE73" s="26">
        <v>500.0</v>
      </c>
      <c r="AF73" s="36">
        <v>34.56</v>
      </c>
      <c r="AG73" s="36">
        <v>34.99</v>
      </c>
      <c r="AH73" s="26" t="s">
        <v>887</v>
      </c>
      <c r="AI73" s="26">
        <v>35258.0</v>
      </c>
      <c r="AJ73" s="26">
        <v>35258.0</v>
      </c>
      <c r="AK73" s="26" t="s">
        <v>444</v>
      </c>
      <c r="AL73" s="26">
        <v>429.0</v>
      </c>
      <c r="AM73" s="26">
        <v>3031.0</v>
      </c>
      <c r="AN73" s="32"/>
      <c r="AO73" s="32"/>
      <c r="AP73" s="17" t="s">
        <v>483</v>
      </c>
      <c r="AQ73" s="32"/>
      <c r="AR73" s="32"/>
      <c r="AS73" s="32"/>
      <c r="AT73" s="26">
        <v>165.0</v>
      </c>
      <c r="AU73" s="38">
        <v>45449.0</v>
      </c>
      <c r="AV73" s="35">
        <v>112.0</v>
      </c>
      <c r="AW73" s="26">
        <v>160.0</v>
      </c>
      <c r="AX73" s="26">
        <v>52.0</v>
      </c>
      <c r="AY73" s="26">
        <v>315.0</v>
      </c>
      <c r="AZ73" s="26">
        <v>9.0</v>
      </c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</row>
    <row r="74">
      <c r="A74" s="20" t="s">
        <v>888</v>
      </c>
      <c r="B74" s="20" t="s">
        <v>889</v>
      </c>
      <c r="C74" s="17" t="s">
        <v>890</v>
      </c>
      <c r="D74" s="17" t="s">
        <v>891</v>
      </c>
      <c r="E74" s="34" t="s">
        <v>477</v>
      </c>
      <c r="F74" s="26">
        <v>39.0</v>
      </c>
      <c r="G74" s="35">
        <v>146.0</v>
      </c>
      <c r="H74" s="17" t="s">
        <v>413</v>
      </c>
      <c r="J74" s="32"/>
      <c r="K74" s="32"/>
      <c r="L74" s="26">
        <v>5.0</v>
      </c>
      <c r="M74" s="17" t="s">
        <v>417</v>
      </c>
      <c r="N74" s="32"/>
      <c r="O74" s="32"/>
      <c r="P74" s="26">
        <v>5.0</v>
      </c>
      <c r="Q74" s="26">
        <v>5.0</v>
      </c>
      <c r="R74" s="17" t="s">
        <v>419</v>
      </c>
      <c r="S74" s="17" t="s">
        <v>420</v>
      </c>
      <c r="T74" s="17" t="s">
        <v>421</v>
      </c>
      <c r="U74" s="17" t="s">
        <v>423</v>
      </c>
      <c r="V74" s="17" t="s">
        <v>892</v>
      </c>
      <c r="W74" s="17" t="s">
        <v>403</v>
      </c>
      <c r="X74" s="17" t="s">
        <v>893</v>
      </c>
      <c r="Y74" s="17" t="s">
        <v>438</v>
      </c>
      <c r="Z74" s="17" t="s">
        <v>692</v>
      </c>
      <c r="AA74" s="17" t="s">
        <v>440</v>
      </c>
      <c r="AB74" s="17" t="s">
        <v>894</v>
      </c>
      <c r="AC74" s="17" t="s">
        <v>428</v>
      </c>
      <c r="AD74" s="17" t="s">
        <v>655</v>
      </c>
      <c r="AE74" s="26">
        <v>230.0</v>
      </c>
      <c r="AF74" s="36">
        <v>35.9</v>
      </c>
      <c r="AG74" s="17" t="s">
        <v>463</v>
      </c>
      <c r="AH74" s="26" t="s">
        <v>895</v>
      </c>
      <c r="AI74" s="26">
        <v>34334.0</v>
      </c>
      <c r="AJ74" s="26">
        <v>34334.0</v>
      </c>
      <c r="AK74" s="26" t="s">
        <v>537</v>
      </c>
      <c r="AL74" s="26">
        <v>936.0</v>
      </c>
      <c r="AM74" s="26">
        <v>1656.0</v>
      </c>
      <c r="AN74" s="32"/>
      <c r="AO74" s="17" t="s">
        <v>422</v>
      </c>
      <c r="AP74" s="17" t="s">
        <v>483</v>
      </c>
      <c r="AQ74" s="17" t="s">
        <v>496</v>
      </c>
      <c r="AS74" s="32"/>
      <c r="AT74" s="26">
        <v>166.0</v>
      </c>
      <c r="AU74" s="38">
        <v>45328.0</v>
      </c>
      <c r="AV74" s="35">
        <v>146.0</v>
      </c>
      <c r="AW74" s="26">
        <v>144.0</v>
      </c>
      <c r="AX74" s="26">
        <v>39.0</v>
      </c>
      <c r="AY74" s="26">
        <v>235.0</v>
      </c>
      <c r="AZ74" s="37">
        <v>45542.0</v>
      </c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</row>
    <row r="75">
      <c r="A75" s="20" t="s">
        <v>896</v>
      </c>
      <c r="B75" s="20" t="s">
        <v>897</v>
      </c>
      <c r="C75" s="17" t="s">
        <v>898</v>
      </c>
      <c r="D75" s="17" t="s">
        <v>410</v>
      </c>
      <c r="E75" s="34" t="s">
        <v>477</v>
      </c>
      <c r="F75" s="26" t="s">
        <v>836</v>
      </c>
      <c r="G75" s="35">
        <v>127.0</v>
      </c>
      <c r="H75" s="17" t="s">
        <v>413</v>
      </c>
      <c r="I75" s="17" t="s">
        <v>414</v>
      </c>
      <c r="J75" s="17" t="s">
        <v>415</v>
      </c>
      <c r="L75" s="26">
        <v>5.0</v>
      </c>
      <c r="M75" s="17" t="s">
        <v>417</v>
      </c>
      <c r="N75" s="17" t="s">
        <v>418</v>
      </c>
      <c r="O75" s="26">
        <v>750.0</v>
      </c>
      <c r="P75" s="26">
        <v>-1.0</v>
      </c>
      <c r="Q75" s="17" t="s">
        <v>419</v>
      </c>
      <c r="R75" s="17" t="s">
        <v>420</v>
      </c>
      <c r="S75" s="17" t="s">
        <v>421</v>
      </c>
      <c r="T75" s="17" t="s">
        <v>422</v>
      </c>
      <c r="U75" s="17" t="s">
        <v>423</v>
      </c>
      <c r="V75" s="17" t="s">
        <v>899</v>
      </c>
      <c r="W75" s="17" t="s">
        <v>403</v>
      </c>
      <c r="X75" s="17" t="s">
        <v>589</v>
      </c>
      <c r="Y75" s="17" t="s">
        <v>438</v>
      </c>
      <c r="Z75" s="17" t="s">
        <v>900</v>
      </c>
      <c r="AA75" s="17" t="s">
        <v>440</v>
      </c>
      <c r="AB75" s="17" t="s">
        <v>894</v>
      </c>
      <c r="AC75" s="17" t="s">
        <v>428</v>
      </c>
      <c r="AD75" s="17" t="s">
        <v>901</v>
      </c>
      <c r="AE75" s="26">
        <v>520.0</v>
      </c>
      <c r="AF75" s="36">
        <v>47.9</v>
      </c>
      <c r="AG75" s="36">
        <v>48.316</v>
      </c>
      <c r="AH75" s="26" t="s">
        <v>902</v>
      </c>
      <c r="AI75" s="26">
        <v>49500.0</v>
      </c>
      <c r="AJ75" s="26">
        <v>49500.0</v>
      </c>
      <c r="AK75" s="26" t="s">
        <v>431</v>
      </c>
      <c r="AL75" s="26">
        <v>1070.0</v>
      </c>
      <c r="AM75" s="26">
        <v>1996.0</v>
      </c>
      <c r="AN75" s="32"/>
      <c r="AO75" s="32"/>
      <c r="AP75" s="17" t="s">
        <v>483</v>
      </c>
      <c r="AQ75" s="32"/>
      <c r="AR75" s="32"/>
      <c r="AS75" s="32"/>
      <c r="AT75" s="26">
        <v>166.0</v>
      </c>
      <c r="AU75" s="38">
        <v>45328.0</v>
      </c>
      <c r="AV75" s="35">
        <v>127.0</v>
      </c>
      <c r="AW75" s="26">
        <v>170.0</v>
      </c>
      <c r="AX75" s="26" t="s">
        <v>836</v>
      </c>
      <c r="AY75" s="26">
        <v>390.0</v>
      </c>
      <c r="AZ75" s="37">
        <v>45359.0</v>
      </c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</row>
    <row r="76">
      <c r="A76" s="20" t="s">
        <v>903</v>
      </c>
      <c r="B76" s="20" t="s">
        <v>904</v>
      </c>
      <c r="C76" s="17" t="s">
        <v>905</v>
      </c>
      <c r="D76" s="17" t="s">
        <v>781</v>
      </c>
      <c r="E76" s="34" t="s">
        <v>477</v>
      </c>
      <c r="F76" s="26" t="s">
        <v>906</v>
      </c>
      <c r="G76" s="35">
        <v>207.0</v>
      </c>
      <c r="H76" s="17" t="s">
        <v>413</v>
      </c>
      <c r="I76" s="17" t="s">
        <v>414</v>
      </c>
      <c r="J76" s="17" t="s">
        <v>415</v>
      </c>
      <c r="K76" s="17" t="s">
        <v>416</v>
      </c>
      <c r="L76" s="26">
        <v>5.0</v>
      </c>
      <c r="M76" s="17" t="s">
        <v>417</v>
      </c>
      <c r="N76" s="32"/>
      <c r="O76" s="32"/>
      <c r="P76" s="26">
        <v>-1.0</v>
      </c>
      <c r="Q76" s="17" t="s">
        <v>419</v>
      </c>
      <c r="R76" s="17" t="s">
        <v>420</v>
      </c>
      <c r="S76" s="17" t="s">
        <v>421</v>
      </c>
      <c r="T76" s="17" t="s">
        <v>422</v>
      </c>
      <c r="U76" s="17" t="s">
        <v>423</v>
      </c>
      <c r="V76" s="17" t="s">
        <v>907</v>
      </c>
      <c r="W76" s="17" t="s">
        <v>403</v>
      </c>
      <c r="X76" s="17" t="s">
        <v>655</v>
      </c>
      <c r="Y76" s="17" t="s">
        <v>438</v>
      </c>
      <c r="Z76" s="17" t="s">
        <v>471</v>
      </c>
      <c r="AA76" s="17" t="s">
        <v>440</v>
      </c>
      <c r="AB76" s="17" t="s">
        <v>894</v>
      </c>
      <c r="AC76" s="17" t="s">
        <v>428</v>
      </c>
      <c r="AD76" s="17" t="s">
        <v>908</v>
      </c>
      <c r="AE76" s="26">
        <v>1090.0</v>
      </c>
      <c r="AF76" s="36">
        <v>101.5</v>
      </c>
      <c r="AG76" s="36">
        <v>107.0</v>
      </c>
      <c r="AH76" s="26" t="s">
        <v>909</v>
      </c>
      <c r="AI76" s="26">
        <v>100000.0</v>
      </c>
      <c r="AJ76" s="26">
        <v>102658.0</v>
      </c>
      <c r="AK76" s="26" t="s">
        <v>495</v>
      </c>
      <c r="AL76" s="26">
        <v>308.0</v>
      </c>
      <c r="AM76" s="26">
        <v>2098.0</v>
      </c>
      <c r="AN76" s="32"/>
      <c r="AO76" s="32"/>
      <c r="AP76" s="32"/>
      <c r="AQ76" s="32"/>
      <c r="AR76" s="32"/>
      <c r="AS76" s="32"/>
      <c r="AT76" s="26">
        <v>166.0</v>
      </c>
      <c r="AU76" s="38">
        <v>45328.0</v>
      </c>
      <c r="AV76" s="35">
        <v>207.0</v>
      </c>
      <c r="AW76" s="26">
        <v>230.0</v>
      </c>
      <c r="AX76" s="26" t="s">
        <v>906</v>
      </c>
      <c r="AY76" s="26">
        <v>495.0</v>
      </c>
      <c r="AZ76" s="37">
        <v>45508.0</v>
      </c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</row>
    <row r="77">
      <c r="A77" s="20" t="s">
        <v>910</v>
      </c>
      <c r="B77" s="20" t="s">
        <v>592</v>
      </c>
      <c r="C77" s="17" t="s">
        <v>911</v>
      </c>
      <c r="D77" s="17" t="s">
        <v>565</v>
      </c>
      <c r="E77" s="34" t="s">
        <v>477</v>
      </c>
      <c r="F77" s="26" t="s">
        <v>677</v>
      </c>
      <c r="G77" s="35">
        <v>137.0</v>
      </c>
      <c r="H77" s="17" t="s">
        <v>413</v>
      </c>
      <c r="I77" s="17" t="s">
        <v>414</v>
      </c>
      <c r="J77" s="17" t="s">
        <v>415</v>
      </c>
      <c r="K77" s="17" t="s">
        <v>595</v>
      </c>
      <c r="L77" s="26">
        <v>5.0</v>
      </c>
      <c r="M77" s="17" t="s">
        <v>417</v>
      </c>
      <c r="N77" s="17" t="s">
        <v>418</v>
      </c>
      <c r="O77" s="26">
        <v>1600.0</v>
      </c>
      <c r="P77" s="26">
        <v>-1.0</v>
      </c>
      <c r="Q77" s="17" t="s">
        <v>419</v>
      </c>
      <c r="R77" s="17" t="s">
        <v>420</v>
      </c>
      <c r="S77" s="17" t="s">
        <v>421</v>
      </c>
      <c r="T77" s="17" t="s">
        <v>422</v>
      </c>
      <c r="U77" s="17" t="s">
        <v>423</v>
      </c>
      <c r="V77" s="17" t="s">
        <v>912</v>
      </c>
      <c r="W77" s="17" t="s">
        <v>403</v>
      </c>
      <c r="X77" s="17" t="s">
        <v>782</v>
      </c>
      <c r="Y77" s="17" t="s">
        <v>438</v>
      </c>
      <c r="Z77" s="17" t="s">
        <v>519</v>
      </c>
      <c r="AA77" s="17" t="s">
        <v>440</v>
      </c>
      <c r="AB77" s="17" t="s">
        <v>894</v>
      </c>
      <c r="AC77" s="17" t="s">
        <v>428</v>
      </c>
      <c r="AD77" s="17" t="s">
        <v>521</v>
      </c>
      <c r="AE77" s="26">
        <v>760.0</v>
      </c>
      <c r="AF77" s="36">
        <v>63.0</v>
      </c>
      <c r="AG77" s="36">
        <v>65.899</v>
      </c>
      <c r="AH77" s="17" t="s">
        <v>913</v>
      </c>
      <c r="AI77" s="26">
        <v>67116.0</v>
      </c>
      <c r="AJ77" s="26">
        <v>67116.0</v>
      </c>
      <c r="AK77" s="26" t="s">
        <v>567</v>
      </c>
      <c r="AL77" s="26">
        <v>377.0</v>
      </c>
      <c r="AM77" s="26">
        <v>2200.0</v>
      </c>
      <c r="AN77" s="32"/>
      <c r="AO77" s="32"/>
      <c r="AP77" s="32"/>
      <c r="AQ77" s="32"/>
      <c r="AR77" s="32"/>
      <c r="AS77" s="32"/>
      <c r="AT77" s="26">
        <v>166.0</v>
      </c>
      <c r="AU77" s="38">
        <v>45328.0</v>
      </c>
      <c r="AV77" s="35">
        <v>137.0</v>
      </c>
      <c r="AW77" s="26">
        <v>200.0</v>
      </c>
      <c r="AX77" s="26" t="s">
        <v>677</v>
      </c>
      <c r="AY77" s="26">
        <v>490.0</v>
      </c>
      <c r="AZ77" s="37">
        <v>45296.0</v>
      </c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</row>
    <row r="78">
      <c r="A78" s="20" t="s">
        <v>914</v>
      </c>
      <c r="B78" s="20" t="s">
        <v>856</v>
      </c>
      <c r="C78" s="17" t="s">
        <v>915</v>
      </c>
      <c r="D78" s="17" t="s">
        <v>565</v>
      </c>
      <c r="E78" s="34" t="s">
        <v>477</v>
      </c>
      <c r="F78" s="26">
        <v>79.0</v>
      </c>
      <c r="G78" s="35">
        <v>112.0</v>
      </c>
      <c r="H78" s="17" t="s">
        <v>413</v>
      </c>
      <c r="I78" s="17" t="s">
        <v>414</v>
      </c>
      <c r="J78" s="17" t="s">
        <v>415</v>
      </c>
      <c r="K78" s="17" t="s">
        <v>595</v>
      </c>
      <c r="L78" s="26">
        <v>5.0</v>
      </c>
      <c r="M78" s="17" t="s">
        <v>417</v>
      </c>
      <c r="N78" s="17" t="s">
        <v>418</v>
      </c>
      <c r="O78" s="26">
        <v>1500.0</v>
      </c>
      <c r="P78" s="26">
        <v>5.0</v>
      </c>
      <c r="Q78" s="26">
        <v>5.0</v>
      </c>
      <c r="R78" s="17" t="s">
        <v>419</v>
      </c>
      <c r="S78" s="17" t="s">
        <v>420</v>
      </c>
      <c r="T78" s="17" t="s">
        <v>421</v>
      </c>
      <c r="U78" s="17" t="s">
        <v>423</v>
      </c>
      <c r="V78" s="17" t="s">
        <v>916</v>
      </c>
      <c r="W78" s="17" t="s">
        <v>403</v>
      </c>
      <c r="X78" s="17" t="s">
        <v>859</v>
      </c>
      <c r="Y78" s="17" t="s">
        <v>438</v>
      </c>
      <c r="Z78" s="17" t="s">
        <v>740</v>
      </c>
      <c r="AA78" s="17" t="s">
        <v>440</v>
      </c>
      <c r="AB78" s="17" t="s">
        <v>894</v>
      </c>
      <c r="AC78" s="17" t="s">
        <v>428</v>
      </c>
      <c r="AD78" s="17" t="s">
        <v>760</v>
      </c>
      <c r="AE78" s="26">
        <v>710.0</v>
      </c>
      <c r="AF78" s="36">
        <v>52.69</v>
      </c>
      <c r="AG78" s="36">
        <v>51.2</v>
      </c>
      <c r="AH78" s="26" t="s">
        <v>917</v>
      </c>
      <c r="AI78" s="26">
        <v>53394.0</v>
      </c>
      <c r="AJ78" s="26">
        <v>53394.0</v>
      </c>
      <c r="AK78" s="26" t="s">
        <v>567</v>
      </c>
      <c r="AL78" s="26">
        <v>684.0</v>
      </c>
      <c r="AM78" s="26">
        <v>2226.0</v>
      </c>
      <c r="AN78" s="32"/>
      <c r="AO78" s="17" t="s">
        <v>422</v>
      </c>
      <c r="AP78" s="32"/>
      <c r="AQ78" s="32"/>
      <c r="AR78" s="32"/>
      <c r="AS78" s="32"/>
      <c r="AT78" s="26">
        <v>166.0</v>
      </c>
      <c r="AU78" s="38">
        <v>45328.0</v>
      </c>
      <c r="AV78" s="35">
        <v>112.0</v>
      </c>
      <c r="AW78" s="26">
        <v>205.0</v>
      </c>
      <c r="AX78" s="26">
        <v>79.0</v>
      </c>
      <c r="AY78" s="26">
        <v>475.0</v>
      </c>
      <c r="AZ78" s="37">
        <v>45328.0</v>
      </c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</row>
    <row r="79">
      <c r="A79" s="20" t="s">
        <v>918</v>
      </c>
      <c r="B79" s="20" t="s">
        <v>919</v>
      </c>
      <c r="C79" s="17" t="s">
        <v>920</v>
      </c>
      <c r="D79" s="17" t="s">
        <v>549</v>
      </c>
      <c r="E79" s="34" t="s">
        <v>477</v>
      </c>
      <c r="F79" s="26" t="s">
        <v>921</v>
      </c>
      <c r="G79" s="35">
        <v>102.0</v>
      </c>
      <c r="H79" s="32"/>
      <c r="I79" s="17" t="s">
        <v>414</v>
      </c>
      <c r="J79" s="17" t="s">
        <v>415</v>
      </c>
      <c r="K79" s="17" t="s">
        <v>416</v>
      </c>
      <c r="L79" s="26">
        <v>5.0</v>
      </c>
      <c r="M79" s="17" t="s">
        <v>417</v>
      </c>
      <c r="N79" s="32"/>
      <c r="O79" s="32"/>
      <c r="P79" s="26">
        <v>5.0</v>
      </c>
      <c r="Q79" s="26">
        <v>5.0</v>
      </c>
      <c r="R79" s="17" t="s">
        <v>419</v>
      </c>
      <c r="S79" s="17" t="s">
        <v>420</v>
      </c>
      <c r="T79" s="17" t="s">
        <v>421</v>
      </c>
      <c r="U79" s="17" t="s">
        <v>423</v>
      </c>
      <c r="V79" s="17" t="s">
        <v>732</v>
      </c>
      <c r="W79" s="17" t="s">
        <v>403</v>
      </c>
      <c r="X79" s="17" t="s">
        <v>782</v>
      </c>
      <c r="Y79" s="17" t="s">
        <v>438</v>
      </c>
      <c r="Z79" s="17" t="s">
        <v>471</v>
      </c>
      <c r="AA79" s="17" t="s">
        <v>440</v>
      </c>
      <c r="AB79" s="17" t="s">
        <v>922</v>
      </c>
      <c r="AC79" s="17" t="s">
        <v>428</v>
      </c>
      <c r="AD79" s="17" t="s">
        <v>680</v>
      </c>
      <c r="AE79" s="26">
        <v>800.0</v>
      </c>
      <c r="AF79" s="36">
        <v>49.6</v>
      </c>
      <c r="AG79" s="36">
        <v>51.188</v>
      </c>
      <c r="AH79" s="17" t="s">
        <v>463</v>
      </c>
      <c r="AI79" s="26">
        <v>50394.0</v>
      </c>
      <c r="AJ79" s="26">
        <v>50394.0</v>
      </c>
      <c r="AK79" s="26" t="s">
        <v>552</v>
      </c>
      <c r="AL79" s="26">
        <v>291.0</v>
      </c>
      <c r="AM79" s="26">
        <v>1821.0</v>
      </c>
      <c r="AN79" s="17" t="s">
        <v>465</v>
      </c>
      <c r="AO79" s="17" t="s">
        <v>422</v>
      </c>
      <c r="AP79" s="32"/>
      <c r="AQ79" s="32"/>
      <c r="AR79" s="32"/>
      <c r="AS79" s="32"/>
      <c r="AT79" s="26">
        <v>167.0</v>
      </c>
      <c r="AU79" s="26" t="s">
        <v>923</v>
      </c>
      <c r="AV79" s="35">
        <v>102.0</v>
      </c>
      <c r="AW79" s="26">
        <v>200.0</v>
      </c>
      <c r="AX79" s="26" t="s">
        <v>921</v>
      </c>
      <c r="AY79" s="26">
        <v>495.0</v>
      </c>
      <c r="AZ79" s="37">
        <v>45479.0</v>
      </c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</row>
    <row r="80">
      <c r="A80" s="20" t="s">
        <v>924</v>
      </c>
      <c r="B80" s="20" t="s">
        <v>925</v>
      </c>
      <c r="C80" s="17" t="s">
        <v>926</v>
      </c>
      <c r="D80" s="17" t="s">
        <v>410</v>
      </c>
      <c r="E80" s="34" t="s">
        <v>550</v>
      </c>
      <c r="F80" s="26">
        <v>77.0</v>
      </c>
      <c r="G80" s="35">
        <v>137.0</v>
      </c>
      <c r="H80" s="17" t="s">
        <v>413</v>
      </c>
      <c r="I80" s="17" t="s">
        <v>414</v>
      </c>
      <c r="J80" s="17" t="s">
        <v>415</v>
      </c>
      <c r="L80" s="26">
        <v>5.0</v>
      </c>
      <c r="M80" s="17" t="s">
        <v>417</v>
      </c>
      <c r="N80" s="17" t="s">
        <v>418</v>
      </c>
      <c r="O80" s="26">
        <v>1200.0</v>
      </c>
      <c r="P80" s="26">
        <v>5.0</v>
      </c>
      <c r="Q80" s="26">
        <v>5.0</v>
      </c>
      <c r="R80" s="17" t="s">
        <v>419</v>
      </c>
      <c r="S80" s="17" t="s">
        <v>420</v>
      </c>
      <c r="T80" s="17" t="s">
        <v>421</v>
      </c>
      <c r="U80" s="17" t="s">
        <v>423</v>
      </c>
      <c r="V80" s="17" t="s">
        <v>927</v>
      </c>
      <c r="W80" s="17" t="s">
        <v>403</v>
      </c>
      <c r="X80" s="17" t="s">
        <v>493</v>
      </c>
      <c r="Y80" s="17" t="s">
        <v>404</v>
      </c>
      <c r="Z80" s="17" t="s">
        <v>928</v>
      </c>
      <c r="AA80" s="17" t="s">
        <v>401</v>
      </c>
      <c r="AB80" s="17" t="s">
        <v>922</v>
      </c>
      <c r="AC80" s="17" t="s">
        <v>428</v>
      </c>
      <c r="AD80" s="17" t="s">
        <v>929</v>
      </c>
      <c r="AE80" s="26">
        <v>690.0</v>
      </c>
      <c r="AF80" s="36">
        <v>63.3</v>
      </c>
      <c r="AG80" s="36">
        <v>62.69</v>
      </c>
      <c r="AH80" s="26" t="s">
        <v>930</v>
      </c>
      <c r="AI80" s="26">
        <v>63011.0</v>
      </c>
      <c r="AJ80" s="26">
        <v>63011.0</v>
      </c>
      <c r="AK80" s="26" t="s">
        <v>431</v>
      </c>
      <c r="AL80" s="26">
        <v>209.0</v>
      </c>
      <c r="AM80" s="26">
        <v>2026.0</v>
      </c>
      <c r="AN80" s="32"/>
      <c r="AO80" s="17" t="s">
        <v>422</v>
      </c>
      <c r="AP80" s="17" t="s">
        <v>483</v>
      </c>
      <c r="AQ80" s="32"/>
      <c r="AR80" s="32"/>
      <c r="AS80" s="32"/>
      <c r="AT80" s="26">
        <v>167.0</v>
      </c>
      <c r="AU80" s="26" t="s">
        <v>923</v>
      </c>
      <c r="AV80" s="35">
        <v>137.0</v>
      </c>
      <c r="AW80" s="26">
        <v>180.0</v>
      </c>
      <c r="AX80" s="26">
        <v>77.0</v>
      </c>
      <c r="AY80" s="26">
        <v>460.0</v>
      </c>
      <c r="AZ80" s="37">
        <v>45417.0</v>
      </c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</row>
    <row r="81">
      <c r="A81" s="20" t="s">
        <v>931</v>
      </c>
      <c r="B81" s="20" t="s">
        <v>932</v>
      </c>
      <c r="C81" s="17" t="s">
        <v>933</v>
      </c>
      <c r="D81" s="17" t="s">
        <v>565</v>
      </c>
      <c r="E81" s="34" t="s">
        <v>477</v>
      </c>
      <c r="F81" s="26" t="s">
        <v>934</v>
      </c>
      <c r="G81" s="35">
        <v>160.0</v>
      </c>
      <c r="H81" s="32"/>
      <c r="I81" s="17" t="s">
        <v>414</v>
      </c>
      <c r="J81" s="17" t="s">
        <v>415</v>
      </c>
      <c r="L81" s="26">
        <v>5.0</v>
      </c>
      <c r="M81" s="17" t="s">
        <v>417</v>
      </c>
      <c r="N81" s="17" t="s">
        <v>418</v>
      </c>
      <c r="O81" s="26">
        <v>750.0</v>
      </c>
      <c r="P81" s="26">
        <v>-1.0</v>
      </c>
      <c r="Q81" s="17" t="s">
        <v>419</v>
      </c>
      <c r="R81" s="17" t="s">
        <v>420</v>
      </c>
      <c r="S81" s="17" t="s">
        <v>421</v>
      </c>
      <c r="T81" s="17" t="s">
        <v>422</v>
      </c>
      <c r="U81" s="17" t="s">
        <v>423</v>
      </c>
      <c r="V81" s="17" t="s">
        <v>892</v>
      </c>
      <c r="W81" s="17" t="s">
        <v>403</v>
      </c>
      <c r="X81" s="17" t="s">
        <v>581</v>
      </c>
      <c r="Y81" s="17" t="s">
        <v>438</v>
      </c>
      <c r="Z81" s="17" t="s">
        <v>744</v>
      </c>
      <c r="AA81" s="17" t="s">
        <v>440</v>
      </c>
      <c r="AB81" s="17" t="s">
        <v>922</v>
      </c>
      <c r="AC81" s="17" t="s">
        <v>428</v>
      </c>
      <c r="AD81" s="17" t="s">
        <v>536</v>
      </c>
      <c r="AE81" s="26">
        <v>340.0</v>
      </c>
      <c r="AF81" s="36">
        <v>34.9</v>
      </c>
      <c r="AG81" s="36">
        <v>38.99</v>
      </c>
      <c r="AH81" s="26" t="s">
        <v>935</v>
      </c>
      <c r="AI81" s="26">
        <v>36820.0</v>
      </c>
      <c r="AJ81" s="26">
        <v>36820.0</v>
      </c>
      <c r="AK81" s="26" t="s">
        <v>567</v>
      </c>
      <c r="AL81" s="26">
        <v>244.0</v>
      </c>
      <c r="AM81" s="26">
        <v>2190.0</v>
      </c>
      <c r="AN81" s="32"/>
      <c r="AO81" s="32"/>
      <c r="AP81" s="32"/>
      <c r="AQ81" s="32"/>
      <c r="AR81" s="17" t="s">
        <v>512</v>
      </c>
      <c r="AS81" s="32"/>
      <c r="AT81" s="26">
        <v>167.0</v>
      </c>
      <c r="AU81" s="26" t="s">
        <v>923</v>
      </c>
      <c r="AV81" s="35">
        <v>160.0</v>
      </c>
      <c r="AW81" s="26">
        <v>160.0</v>
      </c>
      <c r="AX81" s="26" t="s">
        <v>934</v>
      </c>
      <c r="AY81" s="26">
        <v>230.0</v>
      </c>
      <c r="AZ81" s="37">
        <v>45542.0</v>
      </c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</row>
    <row r="82">
      <c r="A82" s="20" t="s">
        <v>936</v>
      </c>
      <c r="B82" s="20" t="s">
        <v>864</v>
      </c>
      <c r="C82" s="17" t="s">
        <v>937</v>
      </c>
      <c r="D82" s="17" t="s">
        <v>565</v>
      </c>
      <c r="E82" s="34" t="s">
        <v>477</v>
      </c>
      <c r="F82" s="26">
        <v>77.0</v>
      </c>
      <c r="G82" s="35">
        <v>102.0</v>
      </c>
      <c r="H82" s="32"/>
      <c r="I82" s="17" t="s">
        <v>414</v>
      </c>
      <c r="J82" s="17" t="s">
        <v>415</v>
      </c>
      <c r="L82" s="26">
        <v>5.0</v>
      </c>
      <c r="M82" s="17" t="s">
        <v>417</v>
      </c>
      <c r="N82" s="32"/>
      <c r="O82" s="32"/>
      <c r="P82" s="26">
        <v>5.0</v>
      </c>
      <c r="Q82" s="26">
        <v>5.0</v>
      </c>
      <c r="R82" s="17" t="s">
        <v>419</v>
      </c>
      <c r="S82" s="17" t="s">
        <v>420</v>
      </c>
      <c r="T82" s="17" t="s">
        <v>421</v>
      </c>
      <c r="U82" s="17" t="s">
        <v>423</v>
      </c>
      <c r="V82" s="17" t="s">
        <v>938</v>
      </c>
      <c r="W82" s="17" t="s">
        <v>403</v>
      </c>
      <c r="X82" s="17" t="s">
        <v>581</v>
      </c>
      <c r="Y82" s="17" t="s">
        <v>438</v>
      </c>
      <c r="Z82" s="17" t="s">
        <v>928</v>
      </c>
      <c r="AA82" s="17" t="s">
        <v>440</v>
      </c>
      <c r="AB82" s="17" t="s">
        <v>922</v>
      </c>
      <c r="AC82" s="17" t="s">
        <v>428</v>
      </c>
      <c r="AD82" s="17" t="s">
        <v>760</v>
      </c>
      <c r="AE82" s="26">
        <v>710.0</v>
      </c>
      <c r="AF82" s="36">
        <v>47.25</v>
      </c>
      <c r="AG82" s="36">
        <v>44.99</v>
      </c>
      <c r="AH82" s="26" t="s">
        <v>939</v>
      </c>
      <c r="AI82" s="26">
        <v>46768.0</v>
      </c>
      <c r="AJ82" s="26">
        <v>46768.0</v>
      </c>
      <c r="AK82" s="26" t="s">
        <v>567</v>
      </c>
      <c r="AL82" s="26">
        <v>858.0</v>
      </c>
      <c r="AM82" s="26">
        <v>2234.0</v>
      </c>
      <c r="AN82" s="32"/>
      <c r="AO82" s="17" t="s">
        <v>422</v>
      </c>
      <c r="AP82" s="17" t="s">
        <v>483</v>
      </c>
      <c r="AQ82" s="17" t="s">
        <v>496</v>
      </c>
      <c r="AS82" s="32"/>
      <c r="AT82" s="26">
        <v>167.0</v>
      </c>
      <c r="AU82" s="26" t="s">
        <v>923</v>
      </c>
      <c r="AV82" s="35">
        <v>102.0</v>
      </c>
      <c r="AW82" s="26">
        <v>160.0</v>
      </c>
      <c r="AX82" s="26">
        <v>77.0</v>
      </c>
      <c r="AY82" s="26">
        <v>460.0</v>
      </c>
      <c r="AZ82" s="26">
        <v>7.0</v>
      </c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</row>
    <row r="83">
      <c r="A83" s="20" t="s">
        <v>940</v>
      </c>
      <c r="B83" s="20" t="s">
        <v>698</v>
      </c>
      <c r="C83" s="17" t="s">
        <v>941</v>
      </c>
      <c r="D83" s="17" t="s">
        <v>549</v>
      </c>
      <c r="E83" s="34" t="s">
        <v>436</v>
      </c>
      <c r="F83" s="26">
        <v>112.0</v>
      </c>
      <c r="G83" s="35">
        <v>196.0</v>
      </c>
      <c r="H83" s="32"/>
      <c r="I83" s="17" t="s">
        <v>414</v>
      </c>
      <c r="J83" s="17" t="s">
        <v>415</v>
      </c>
      <c r="K83" s="17" t="s">
        <v>416</v>
      </c>
      <c r="L83" s="26">
        <v>5.0</v>
      </c>
      <c r="M83" s="32"/>
      <c r="N83" s="32"/>
      <c r="O83" s="32"/>
      <c r="P83" s="26">
        <v>5.0</v>
      </c>
      <c r="Q83" s="26">
        <v>5.0</v>
      </c>
      <c r="R83" s="17" t="s">
        <v>419</v>
      </c>
      <c r="S83" s="17" t="s">
        <v>420</v>
      </c>
      <c r="T83" s="17" t="s">
        <v>421</v>
      </c>
      <c r="U83" s="17" t="s">
        <v>423</v>
      </c>
      <c r="V83" s="17" t="s">
        <v>942</v>
      </c>
      <c r="W83" s="17" t="s">
        <v>403</v>
      </c>
      <c r="X83" s="17" t="s">
        <v>943</v>
      </c>
      <c r="Y83" s="17" t="s">
        <v>438</v>
      </c>
      <c r="Z83" s="17" t="s">
        <v>944</v>
      </c>
      <c r="AA83" s="17" t="s">
        <v>440</v>
      </c>
      <c r="AB83" s="17" t="s">
        <v>945</v>
      </c>
      <c r="AC83" s="17" t="s">
        <v>428</v>
      </c>
      <c r="AD83" s="17" t="s">
        <v>946</v>
      </c>
      <c r="AE83" s="26">
        <v>1030.0</v>
      </c>
      <c r="AF83" s="36">
        <v>129.0</v>
      </c>
      <c r="AG83" s="36">
        <v>132.0</v>
      </c>
      <c r="AH83" s="17" t="s">
        <v>463</v>
      </c>
      <c r="AI83" s="26">
        <v>100000.0</v>
      </c>
      <c r="AJ83" s="26">
        <v>130500.0</v>
      </c>
      <c r="AK83" s="26" t="s">
        <v>552</v>
      </c>
      <c r="AL83" s="26">
        <v>738.0</v>
      </c>
      <c r="AM83" s="26">
        <v>1316.0</v>
      </c>
      <c r="AN83" s="17" t="s">
        <v>465</v>
      </c>
      <c r="AO83" s="17" t="s">
        <v>422</v>
      </c>
      <c r="AP83" s="32"/>
      <c r="AQ83" s="32"/>
      <c r="AR83" s="32"/>
      <c r="AS83" s="32"/>
      <c r="AT83" s="26">
        <v>168.0</v>
      </c>
      <c r="AU83" s="26" t="s">
        <v>947</v>
      </c>
      <c r="AV83" s="35">
        <v>196.0</v>
      </c>
      <c r="AW83" s="26">
        <v>270.0</v>
      </c>
      <c r="AX83" s="26">
        <v>112.0</v>
      </c>
      <c r="AY83" s="26">
        <v>665.0</v>
      </c>
      <c r="AZ83" s="26">
        <v>3.0</v>
      </c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</row>
    <row r="84">
      <c r="A84" s="20" t="s">
        <v>948</v>
      </c>
      <c r="B84" s="20" t="s">
        <v>949</v>
      </c>
      <c r="C84" s="17" t="s">
        <v>950</v>
      </c>
      <c r="D84" s="17" t="s">
        <v>951</v>
      </c>
      <c r="E84" s="34" t="s">
        <v>550</v>
      </c>
      <c r="F84" s="26" t="s">
        <v>952</v>
      </c>
      <c r="G84" s="35">
        <v>111.0</v>
      </c>
      <c r="H84" s="17" t="s">
        <v>413</v>
      </c>
      <c r="I84" s="17" t="s">
        <v>414</v>
      </c>
      <c r="J84" s="17" t="s">
        <v>415</v>
      </c>
      <c r="L84" s="26">
        <v>5.0</v>
      </c>
      <c r="M84" s="17" t="s">
        <v>417</v>
      </c>
      <c r="N84" s="17" t="s">
        <v>418</v>
      </c>
      <c r="O84" s="26">
        <v>750.0</v>
      </c>
      <c r="P84" s="26">
        <v>4.0</v>
      </c>
      <c r="Q84" s="26">
        <v>4.0</v>
      </c>
      <c r="R84" s="17" t="s">
        <v>419</v>
      </c>
      <c r="S84" s="17" t="s">
        <v>420</v>
      </c>
      <c r="T84" s="17" t="s">
        <v>421</v>
      </c>
      <c r="U84" s="17" t="s">
        <v>423</v>
      </c>
      <c r="V84" s="17" t="s">
        <v>953</v>
      </c>
      <c r="W84" s="17" t="s">
        <v>403</v>
      </c>
      <c r="X84" s="17" t="s">
        <v>954</v>
      </c>
      <c r="Y84" s="17" t="s">
        <v>404</v>
      </c>
      <c r="Z84" s="17" t="s">
        <v>955</v>
      </c>
      <c r="AA84" s="17" t="s">
        <v>401</v>
      </c>
      <c r="AB84" s="17" t="s">
        <v>945</v>
      </c>
      <c r="AC84" s="17" t="s">
        <v>428</v>
      </c>
      <c r="AD84" s="17" t="s">
        <v>694</v>
      </c>
      <c r="AE84" s="26">
        <v>390.0</v>
      </c>
      <c r="AF84" s="36">
        <v>45.69</v>
      </c>
      <c r="AG84" s="36">
        <v>39.995</v>
      </c>
      <c r="AH84" s="26" t="s">
        <v>956</v>
      </c>
      <c r="AI84" s="26">
        <v>42858.0</v>
      </c>
      <c r="AJ84" s="26">
        <v>42858.0</v>
      </c>
      <c r="AK84" s="26" t="s">
        <v>537</v>
      </c>
      <c r="AL84" s="26">
        <v>1884.0</v>
      </c>
      <c r="AM84" s="26">
        <v>1666.0</v>
      </c>
      <c r="AN84" s="17" t="s">
        <v>465</v>
      </c>
      <c r="AO84" s="17" t="s">
        <v>422</v>
      </c>
      <c r="AP84" s="17" t="s">
        <v>483</v>
      </c>
      <c r="AQ84" s="32"/>
      <c r="AR84" s="32"/>
      <c r="AS84" s="32"/>
      <c r="AT84" s="26">
        <v>168.0</v>
      </c>
      <c r="AU84" s="26" t="s">
        <v>947</v>
      </c>
      <c r="AV84" s="35">
        <v>111.0</v>
      </c>
      <c r="AW84" s="26">
        <v>167.0</v>
      </c>
      <c r="AX84" s="26" t="s">
        <v>952</v>
      </c>
      <c r="AY84" s="26">
        <v>385.0</v>
      </c>
      <c r="AZ84" s="37">
        <v>45511.0</v>
      </c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</row>
    <row r="85">
      <c r="A85" s="20" t="s">
        <v>957</v>
      </c>
      <c r="B85" s="20" t="s">
        <v>455</v>
      </c>
      <c r="C85" s="17" t="s">
        <v>958</v>
      </c>
      <c r="D85" s="17" t="s">
        <v>750</v>
      </c>
      <c r="E85" s="34" t="s">
        <v>436</v>
      </c>
      <c r="F85" s="26">
        <v>74.0</v>
      </c>
      <c r="G85" s="35">
        <v>135.0</v>
      </c>
      <c r="H85" s="17" t="s">
        <v>413</v>
      </c>
      <c r="I85" s="17" t="s">
        <v>414</v>
      </c>
      <c r="J85" s="17" t="s">
        <v>415</v>
      </c>
      <c r="K85" s="17" t="s">
        <v>416</v>
      </c>
      <c r="L85" s="26">
        <v>5.0</v>
      </c>
      <c r="M85" s="17" t="s">
        <v>417</v>
      </c>
      <c r="N85" s="17" t="s">
        <v>418</v>
      </c>
      <c r="O85" s="26">
        <v>1500.0</v>
      </c>
      <c r="P85" s="26">
        <v>5.0</v>
      </c>
      <c r="Q85" s="26">
        <v>5.0</v>
      </c>
      <c r="R85" s="17" t="s">
        <v>419</v>
      </c>
      <c r="S85" s="17" t="s">
        <v>420</v>
      </c>
      <c r="T85" s="17" t="s">
        <v>421</v>
      </c>
      <c r="U85" s="17" t="s">
        <v>423</v>
      </c>
      <c r="V85" s="17" t="s">
        <v>912</v>
      </c>
      <c r="W85" s="17" t="s">
        <v>403</v>
      </c>
      <c r="X85" s="17" t="s">
        <v>459</v>
      </c>
      <c r="Y85" s="17" t="s">
        <v>438</v>
      </c>
      <c r="Z85" s="17" t="s">
        <v>959</v>
      </c>
      <c r="AA85" s="17" t="s">
        <v>440</v>
      </c>
      <c r="AB85" s="17" t="s">
        <v>945</v>
      </c>
      <c r="AC85" s="17" t="s">
        <v>428</v>
      </c>
      <c r="AD85" s="17" t="s">
        <v>960</v>
      </c>
      <c r="AE85" s="26">
        <v>1150.0</v>
      </c>
      <c r="AF85" s="36">
        <v>61.1</v>
      </c>
      <c r="AG85" s="36">
        <v>59.395</v>
      </c>
      <c r="AH85" s="26" t="s">
        <v>961</v>
      </c>
      <c r="AI85" s="26">
        <v>59538.0</v>
      </c>
      <c r="AJ85" s="26">
        <v>59538.0</v>
      </c>
      <c r="AK85" s="26" t="s">
        <v>464</v>
      </c>
      <c r="AL85" s="26">
        <v>677.0</v>
      </c>
      <c r="AM85" s="26">
        <v>1719.0</v>
      </c>
      <c r="AN85" s="17" t="s">
        <v>465</v>
      </c>
      <c r="AO85" s="17" t="s">
        <v>422</v>
      </c>
      <c r="AP85" s="32"/>
      <c r="AQ85" s="32"/>
      <c r="AR85" s="32"/>
      <c r="AS85" s="32"/>
      <c r="AT85" s="26">
        <v>168.0</v>
      </c>
      <c r="AU85" s="26" t="s">
        <v>947</v>
      </c>
      <c r="AV85" s="35">
        <v>135.0</v>
      </c>
      <c r="AW85" s="26">
        <v>185.0</v>
      </c>
      <c r="AX85" s="26">
        <v>74.0</v>
      </c>
      <c r="AY85" s="26">
        <v>440.0</v>
      </c>
      <c r="AZ85" s="37">
        <v>45296.0</v>
      </c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</row>
    <row r="86">
      <c r="A86" s="20" t="s">
        <v>962</v>
      </c>
      <c r="B86" s="20" t="s">
        <v>812</v>
      </c>
      <c r="C86" s="17" t="s">
        <v>963</v>
      </c>
      <c r="D86" s="17" t="s">
        <v>506</v>
      </c>
      <c r="E86" s="34" t="s">
        <v>550</v>
      </c>
      <c r="F86" s="26" t="s">
        <v>964</v>
      </c>
      <c r="G86" s="35">
        <v>116.0</v>
      </c>
      <c r="H86" s="17" t="s">
        <v>413</v>
      </c>
      <c r="I86" s="17" t="s">
        <v>414</v>
      </c>
      <c r="J86" s="17" t="s">
        <v>415</v>
      </c>
      <c r="L86" s="26">
        <v>5.0</v>
      </c>
      <c r="M86" s="17" t="s">
        <v>417</v>
      </c>
      <c r="N86" s="17" t="s">
        <v>418</v>
      </c>
      <c r="O86" s="26">
        <v>750.0</v>
      </c>
      <c r="P86" s="26">
        <v>4.0</v>
      </c>
      <c r="Q86" s="26">
        <v>4.0</v>
      </c>
      <c r="R86" s="17" t="s">
        <v>419</v>
      </c>
      <c r="S86" s="17" t="s">
        <v>420</v>
      </c>
      <c r="T86" s="17" t="s">
        <v>421</v>
      </c>
      <c r="U86" s="17" t="s">
        <v>423</v>
      </c>
      <c r="V86" s="17" t="s">
        <v>953</v>
      </c>
      <c r="W86" s="17" t="s">
        <v>403</v>
      </c>
      <c r="X86" s="17" t="s">
        <v>589</v>
      </c>
      <c r="Y86" s="17" t="s">
        <v>404</v>
      </c>
      <c r="Z86" s="17" t="s">
        <v>900</v>
      </c>
      <c r="AA86" s="17" t="s">
        <v>401</v>
      </c>
      <c r="AB86" s="17" t="s">
        <v>945</v>
      </c>
      <c r="AC86" s="17" t="s">
        <v>520</v>
      </c>
      <c r="AD86" s="17" t="s">
        <v>502</v>
      </c>
      <c r="AE86" s="26">
        <v>480.0</v>
      </c>
      <c r="AF86" s="36">
        <v>47.19</v>
      </c>
      <c r="AG86" s="36">
        <v>43.995</v>
      </c>
      <c r="AH86" s="26" t="s">
        <v>965</v>
      </c>
      <c r="AI86" s="26">
        <v>45189.0</v>
      </c>
      <c r="AJ86" s="26">
        <v>45189.0</v>
      </c>
      <c r="AK86" s="26" t="s">
        <v>431</v>
      </c>
      <c r="AL86" s="26">
        <v>1655.0</v>
      </c>
      <c r="AM86" s="26">
        <v>1830.0</v>
      </c>
      <c r="AN86" s="17" t="s">
        <v>465</v>
      </c>
      <c r="AO86" s="17" t="s">
        <v>422</v>
      </c>
      <c r="AP86" s="32"/>
      <c r="AQ86" s="32"/>
      <c r="AR86" s="17" t="s">
        <v>512</v>
      </c>
      <c r="AS86" s="32"/>
      <c r="AT86" s="26">
        <v>168.0</v>
      </c>
      <c r="AU86" s="26" t="s">
        <v>947</v>
      </c>
      <c r="AV86" s="35">
        <v>116.0</v>
      </c>
      <c r="AW86" s="26">
        <v>170.0</v>
      </c>
      <c r="AX86" s="26" t="s">
        <v>964</v>
      </c>
      <c r="AY86" s="26">
        <v>390.0</v>
      </c>
      <c r="AZ86" s="37">
        <v>45511.0</v>
      </c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</row>
    <row r="87">
      <c r="A87" s="20" t="s">
        <v>966</v>
      </c>
      <c r="B87" s="20" t="s">
        <v>967</v>
      </c>
      <c r="C87" s="17" t="s">
        <v>968</v>
      </c>
      <c r="D87" s="17" t="s">
        <v>700</v>
      </c>
      <c r="E87" s="34" t="s">
        <v>477</v>
      </c>
      <c r="F87" s="26" t="s">
        <v>969</v>
      </c>
      <c r="G87" s="35">
        <v>169.0</v>
      </c>
      <c r="H87" s="32"/>
      <c r="I87" s="17" t="s">
        <v>414</v>
      </c>
      <c r="J87" s="17" t="s">
        <v>415</v>
      </c>
      <c r="L87" s="26">
        <v>4.0</v>
      </c>
      <c r="M87" s="32"/>
      <c r="N87" s="32"/>
      <c r="O87" s="32"/>
      <c r="P87" s="26">
        <v>-1.0</v>
      </c>
      <c r="Q87" s="17" t="s">
        <v>419</v>
      </c>
      <c r="R87" s="17" t="s">
        <v>420</v>
      </c>
      <c r="S87" s="17" t="s">
        <v>421</v>
      </c>
      <c r="T87" s="17" t="s">
        <v>422</v>
      </c>
      <c r="U87" s="17" t="s">
        <v>423</v>
      </c>
      <c r="V87" s="17" t="s">
        <v>938</v>
      </c>
      <c r="W87" s="17" t="s">
        <v>403</v>
      </c>
      <c r="X87" s="17" t="s">
        <v>970</v>
      </c>
      <c r="Y87" s="17" t="s">
        <v>438</v>
      </c>
      <c r="Z87" s="17" t="s">
        <v>773</v>
      </c>
      <c r="AA87" s="17" t="s">
        <v>440</v>
      </c>
      <c r="AB87" s="17" t="s">
        <v>945</v>
      </c>
      <c r="AC87" s="17" t="s">
        <v>428</v>
      </c>
      <c r="AD87" s="17" t="s">
        <v>971</v>
      </c>
      <c r="AE87" s="26">
        <v>370.0</v>
      </c>
      <c r="AF87" s="36">
        <v>37.99</v>
      </c>
      <c r="AG87" s="36">
        <v>36.49</v>
      </c>
      <c r="AH87" s="26" t="s">
        <v>972</v>
      </c>
      <c r="AI87" s="26">
        <v>37934.0</v>
      </c>
      <c r="AJ87" s="26">
        <v>37934.0</v>
      </c>
      <c r="AK87" s="26" t="s">
        <v>552</v>
      </c>
      <c r="AL87" s="26">
        <v>186.0</v>
      </c>
      <c r="AM87" s="26">
        <v>1903.0</v>
      </c>
      <c r="AN87" s="32"/>
      <c r="AO87" s="32"/>
      <c r="AP87" s="32"/>
      <c r="AQ87" s="17" t="s">
        <v>496</v>
      </c>
      <c r="AR87" s="17" t="s">
        <v>512</v>
      </c>
      <c r="AS87" s="32"/>
      <c r="AT87" s="26">
        <v>168.0</v>
      </c>
      <c r="AU87" s="26" t="s">
        <v>947</v>
      </c>
      <c r="AV87" s="35">
        <v>169.0</v>
      </c>
      <c r="AW87" s="26">
        <v>155.0</v>
      </c>
      <c r="AX87" s="26" t="s">
        <v>969</v>
      </c>
      <c r="AY87" s="26">
        <v>225.0</v>
      </c>
      <c r="AZ87" s="26">
        <v>7.0</v>
      </c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</row>
    <row r="88">
      <c r="A88" s="20" t="s">
        <v>973</v>
      </c>
      <c r="B88" s="20" t="s">
        <v>974</v>
      </c>
      <c r="C88" s="17" t="s">
        <v>975</v>
      </c>
      <c r="D88" s="17" t="s">
        <v>700</v>
      </c>
      <c r="E88" s="34" t="s">
        <v>477</v>
      </c>
      <c r="F88" s="26" t="s">
        <v>969</v>
      </c>
      <c r="G88" s="35">
        <v>182.0</v>
      </c>
      <c r="H88" s="32"/>
      <c r="I88" s="17" t="s">
        <v>414</v>
      </c>
      <c r="J88" s="17" t="s">
        <v>415</v>
      </c>
      <c r="L88" s="26">
        <v>4.0</v>
      </c>
      <c r="M88" s="32"/>
      <c r="N88" s="32"/>
      <c r="O88" s="32"/>
      <c r="P88" s="26">
        <v>-1.0</v>
      </c>
      <c r="Q88" s="17" t="s">
        <v>419</v>
      </c>
      <c r="R88" s="17" t="s">
        <v>420</v>
      </c>
      <c r="S88" s="17" t="s">
        <v>421</v>
      </c>
      <c r="T88" s="17" t="s">
        <v>422</v>
      </c>
      <c r="U88" s="17" t="s">
        <v>423</v>
      </c>
      <c r="V88" s="17" t="s">
        <v>938</v>
      </c>
      <c r="W88" s="17" t="s">
        <v>403</v>
      </c>
      <c r="X88" s="17" t="s">
        <v>970</v>
      </c>
      <c r="Y88" s="17" t="s">
        <v>438</v>
      </c>
      <c r="Z88" s="17" t="s">
        <v>773</v>
      </c>
      <c r="AA88" s="17" t="s">
        <v>440</v>
      </c>
      <c r="AB88" s="17" t="s">
        <v>945</v>
      </c>
      <c r="AC88" s="17" t="s">
        <v>428</v>
      </c>
      <c r="AD88" s="17" t="s">
        <v>971</v>
      </c>
      <c r="AE88" s="26">
        <v>370.0</v>
      </c>
      <c r="AF88" s="36">
        <v>40.99</v>
      </c>
      <c r="AG88" s="36">
        <v>38.99</v>
      </c>
      <c r="AH88" s="26" t="s">
        <v>976</v>
      </c>
      <c r="AI88" s="26">
        <v>40918.0</v>
      </c>
      <c r="AJ88" s="26">
        <v>40918.0</v>
      </c>
      <c r="AK88" s="26" t="s">
        <v>552</v>
      </c>
      <c r="AL88" s="26">
        <v>81.0</v>
      </c>
      <c r="AM88" s="26">
        <v>1904.0</v>
      </c>
      <c r="AN88" s="32"/>
      <c r="AO88" s="32"/>
      <c r="AP88" s="32"/>
      <c r="AQ88" s="17" t="s">
        <v>496</v>
      </c>
      <c r="AR88" s="17" t="s">
        <v>512</v>
      </c>
      <c r="AS88" s="32"/>
      <c r="AT88" s="26">
        <v>168.0</v>
      </c>
      <c r="AU88" s="26" t="s">
        <v>947</v>
      </c>
      <c r="AV88" s="35">
        <v>182.0</v>
      </c>
      <c r="AW88" s="26">
        <v>155.0</v>
      </c>
      <c r="AX88" s="26" t="s">
        <v>969</v>
      </c>
      <c r="AY88" s="26">
        <v>225.0</v>
      </c>
      <c r="AZ88" s="26">
        <v>7.0</v>
      </c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</row>
    <row r="89">
      <c r="A89" s="20" t="s">
        <v>977</v>
      </c>
      <c r="B89" s="20" t="s">
        <v>978</v>
      </c>
      <c r="C89" s="17" t="s">
        <v>979</v>
      </c>
      <c r="D89" s="17" t="s">
        <v>804</v>
      </c>
      <c r="E89" s="34" t="s">
        <v>477</v>
      </c>
      <c r="F89" s="26" t="s">
        <v>980</v>
      </c>
      <c r="G89" s="35">
        <v>129.0</v>
      </c>
      <c r="H89" s="17" t="s">
        <v>413</v>
      </c>
      <c r="I89" s="17" t="s">
        <v>414</v>
      </c>
      <c r="J89" s="17" t="s">
        <v>415</v>
      </c>
      <c r="L89" s="26">
        <v>5.0</v>
      </c>
      <c r="M89" s="17" t="s">
        <v>417</v>
      </c>
      <c r="N89" s="17" t="s">
        <v>418</v>
      </c>
      <c r="O89" s="26">
        <v>1500.0</v>
      </c>
      <c r="P89" s="26">
        <v>-1.0</v>
      </c>
      <c r="Q89" s="17" t="s">
        <v>419</v>
      </c>
      <c r="R89" s="17" t="s">
        <v>420</v>
      </c>
      <c r="S89" s="17" t="s">
        <v>421</v>
      </c>
      <c r="T89" s="17" t="s">
        <v>422</v>
      </c>
      <c r="U89" s="17" t="s">
        <v>423</v>
      </c>
      <c r="V89" s="17" t="s">
        <v>837</v>
      </c>
      <c r="W89" s="17" t="s">
        <v>403</v>
      </c>
      <c r="X89" s="17" t="s">
        <v>581</v>
      </c>
      <c r="Y89" s="17" t="s">
        <v>438</v>
      </c>
      <c r="Z89" s="17" t="s">
        <v>838</v>
      </c>
      <c r="AA89" s="17" t="s">
        <v>440</v>
      </c>
      <c r="AB89" s="17" t="s">
        <v>945</v>
      </c>
      <c r="AC89" s="17" t="s">
        <v>520</v>
      </c>
      <c r="AD89" s="17" t="s">
        <v>981</v>
      </c>
      <c r="AE89" s="26">
        <v>570.0</v>
      </c>
      <c r="AF89" s="36">
        <v>50.777</v>
      </c>
      <c r="AG89" s="17" t="s">
        <v>463</v>
      </c>
      <c r="AH89" s="17" t="s">
        <v>463</v>
      </c>
      <c r="AI89" s="26">
        <v>50777.0</v>
      </c>
      <c r="AJ89" s="26">
        <v>50777.0</v>
      </c>
      <c r="AK89" s="26" t="s">
        <v>777</v>
      </c>
      <c r="AL89" s="26">
        <v>1087.0</v>
      </c>
      <c r="AM89" s="26">
        <v>1984.0</v>
      </c>
      <c r="AN89" s="32"/>
      <c r="AO89" s="32"/>
      <c r="AP89" s="17" t="s">
        <v>483</v>
      </c>
      <c r="AQ89" s="32"/>
      <c r="AR89" s="32"/>
      <c r="AS89" s="32"/>
      <c r="AT89" s="26">
        <v>168.0</v>
      </c>
      <c r="AU89" s="26" t="s">
        <v>947</v>
      </c>
      <c r="AV89" s="35">
        <v>129.0</v>
      </c>
      <c r="AW89" s="26">
        <v>160.0</v>
      </c>
      <c r="AX89" s="26" t="s">
        <v>980</v>
      </c>
      <c r="AY89" s="26">
        <v>395.0</v>
      </c>
      <c r="AZ89" s="37">
        <v>45451.0</v>
      </c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</row>
    <row r="90">
      <c r="A90" s="20" t="s">
        <v>982</v>
      </c>
      <c r="B90" s="20" t="s">
        <v>978</v>
      </c>
      <c r="C90" s="17" t="s">
        <v>983</v>
      </c>
      <c r="D90" s="17" t="s">
        <v>804</v>
      </c>
      <c r="E90" s="34" t="s">
        <v>550</v>
      </c>
      <c r="F90" s="26" t="s">
        <v>984</v>
      </c>
      <c r="G90" s="35">
        <v>129.0</v>
      </c>
      <c r="H90" s="17" t="s">
        <v>413</v>
      </c>
      <c r="I90" s="17" t="s">
        <v>414</v>
      </c>
      <c r="J90" s="17" t="s">
        <v>415</v>
      </c>
      <c r="L90" s="26">
        <v>5.0</v>
      </c>
      <c r="M90" s="17" t="s">
        <v>417</v>
      </c>
      <c r="N90" s="17" t="s">
        <v>418</v>
      </c>
      <c r="O90" s="26">
        <v>1500.0</v>
      </c>
      <c r="P90" s="26">
        <v>-1.0</v>
      </c>
      <c r="Q90" s="17" t="s">
        <v>419</v>
      </c>
      <c r="R90" s="17" t="s">
        <v>420</v>
      </c>
      <c r="S90" s="17" t="s">
        <v>421</v>
      </c>
      <c r="T90" s="17" t="s">
        <v>422</v>
      </c>
      <c r="U90" s="17" t="s">
        <v>423</v>
      </c>
      <c r="V90" s="17" t="s">
        <v>837</v>
      </c>
      <c r="W90" s="17" t="s">
        <v>403</v>
      </c>
      <c r="X90" s="17" t="s">
        <v>581</v>
      </c>
      <c r="Y90" s="17" t="s">
        <v>404</v>
      </c>
      <c r="Z90" s="17" t="s">
        <v>426</v>
      </c>
      <c r="AA90" s="17" t="s">
        <v>401</v>
      </c>
      <c r="AB90" s="17" t="s">
        <v>945</v>
      </c>
      <c r="AC90" s="17" t="s">
        <v>428</v>
      </c>
      <c r="AD90" s="17" t="s">
        <v>805</v>
      </c>
      <c r="AE90" s="26">
        <v>500.0</v>
      </c>
      <c r="AF90" s="36">
        <v>52.205</v>
      </c>
      <c r="AG90" s="36">
        <v>52.546</v>
      </c>
      <c r="AH90" s="26" t="s">
        <v>985</v>
      </c>
      <c r="AI90" s="26">
        <v>53987.0</v>
      </c>
      <c r="AJ90" s="26">
        <v>53987.0</v>
      </c>
      <c r="AK90" s="26" t="s">
        <v>777</v>
      </c>
      <c r="AL90" s="26">
        <v>645.0</v>
      </c>
      <c r="AM90" s="26">
        <v>1985.0</v>
      </c>
      <c r="AN90" s="32"/>
      <c r="AO90" s="32"/>
      <c r="AP90" s="17" t="s">
        <v>483</v>
      </c>
      <c r="AQ90" s="32"/>
      <c r="AR90" s="32"/>
      <c r="AS90" s="32"/>
      <c r="AT90" s="26">
        <v>168.0</v>
      </c>
      <c r="AU90" s="26" t="s">
        <v>947</v>
      </c>
      <c r="AV90" s="35">
        <v>129.0</v>
      </c>
      <c r="AW90" s="26">
        <v>160.0</v>
      </c>
      <c r="AX90" s="26" t="s">
        <v>984</v>
      </c>
      <c r="AY90" s="26">
        <v>420.0</v>
      </c>
      <c r="AZ90" s="37">
        <v>45451.0</v>
      </c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</row>
    <row r="91">
      <c r="A91" s="20" t="s">
        <v>986</v>
      </c>
      <c r="B91" s="20" t="s">
        <v>833</v>
      </c>
      <c r="C91" s="17" t="s">
        <v>987</v>
      </c>
      <c r="D91" s="17" t="s">
        <v>804</v>
      </c>
      <c r="E91" s="34" t="s">
        <v>550</v>
      </c>
      <c r="F91" s="26" t="s">
        <v>836</v>
      </c>
      <c r="G91" s="35">
        <v>157.0</v>
      </c>
      <c r="H91" s="17" t="s">
        <v>413</v>
      </c>
      <c r="I91" s="17" t="s">
        <v>414</v>
      </c>
      <c r="J91" s="17" t="s">
        <v>415</v>
      </c>
      <c r="L91" s="26">
        <v>5.0</v>
      </c>
      <c r="M91" s="17" t="s">
        <v>417</v>
      </c>
      <c r="N91" s="17" t="s">
        <v>418</v>
      </c>
      <c r="O91" s="26">
        <v>1200.0</v>
      </c>
      <c r="P91" s="26">
        <v>-1.0</v>
      </c>
      <c r="Q91" s="17" t="s">
        <v>419</v>
      </c>
      <c r="R91" s="17" t="s">
        <v>420</v>
      </c>
      <c r="S91" s="17" t="s">
        <v>421</v>
      </c>
      <c r="T91" s="17" t="s">
        <v>422</v>
      </c>
      <c r="U91" s="17" t="s">
        <v>423</v>
      </c>
      <c r="V91" s="17" t="s">
        <v>678</v>
      </c>
      <c r="W91" s="17" t="s">
        <v>403</v>
      </c>
      <c r="X91" s="17" t="s">
        <v>493</v>
      </c>
      <c r="Y91" s="17" t="s">
        <v>404</v>
      </c>
      <c r="Z91" s="17" t="s">
        <v>955</v>
      </c>
      <c r="AA91" s="17" t="s">
        <v>401</v>
      </c>
      <c r="AB91" s="17" t="s">
        <v>945</v>
      </c>
      <c r="AC91" s="17" t="s">
        <v>428</v>
      </c>
      <c r="AD91" s="17" t="s">
        <v>901</v>
      </c>
      <c r="AE91" s="26">
        <v>520.0</v>
      </c>
      <c r="AF91" s="36">
        <v>56.5</v>
      </c>
      <c r="AG91" s="36">
        <v>59.35</v>
      </c>
      <c r="AH91" s="26" t="s">
        <v>988</v>
      </c>
      <c r="AI91" s="26">
        <v>60637.0</v>
      </c>
      <c r="AJ91" s="26">
        <v>60637.0</v>
      </c>
      <c r="AK91" s="26" t="s">
        <v>777</v>
      </c>
      <c r="AL91" s="26">
        <v>508.0</v>
      </c>
      <c r="AM91" s="26">
        <v>2040.0</v>
      </c>
      <c r="AN91" s="32"/>
      <c r="AO91" s="32"/>
      <c r="AP91" s="17" t="s">
        <v>483</v>
      </c>
      <c r="AQ91" s="32"/>
      <c r="AR91" s="32"/>
      <c r="AS91" s="32"/>
      <c r="AT91" s="26">
        <v>168.0</v>
      </c>
      <c r="AU91" s="26" t="s">
        <v>947</v>
      </c>
      <c r="AV91" s="35">
        <v>157.0</v>
      </c>
      <c r="AW91" s="26">
        <v>180.0</v>
      </c>
      <c r="AX91" s="26" t="s">
        <v>836</v>
      </c>
      <c r="AY91" s="26">
        <v>385.0</v>
      </c>
      <c r="AZ91" s="37">
        <v>45448.0</v>
      </c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</row>
    <row r="92">
      <c r="A92" s="20" t="s">
        <v>989</v>
      </c>
      <c r="B92" s="20" t="s">
        <v>904</v>
      </c>
      <c r="C92" s="17" t="s">
        <v>990</v>
      </c>
      <c r="D92" s="17" t="s">
        <v>781</v>
      </c>
      <c r="E92" s="34" t="s">
        <v>477</v>
      </c>
      <c r="F92" s="26" t="s">
        <v>906</v>
      </c>
      <c r="G92" s="35">
        <v>244.0</v>
      </c>
      <c r="H92" s="17" t="s">
        <v>413</v>
      </c>
      <c r="I92" s="17" t="s">
        <v>414</v>
      </c>
      <c r="J92" s="17" t="s">
        <v>415</v>
      </c>
      <c r="K92" s="17" t="s">
        <v>416</v>
      </c>
      <c r="L92" s="26">
        <v>5.0</v>
      </c>
      <c r="M92" s="17" t="s">
        <v>417</v>
      </c>
      <c r="N92" s="32"/>
      <c r="O92" s="32"/>
      <c r="P92" s="26">
        <v>-1.0</v>
      </c>
      <c r="Q92" s="17" t="s">
        <v>419</v>
      </c>
      <c r="R92" s="17" t="s">
        <v>420</v>
      </c>
      <c r="S92" s="17" t="s">
        <v>421</v>
      </c>
      <c r="T92" s="17" t="s">
        <v>422</v>
      </c>
      <c r="U92" s="17" t="s">
        <v>423</v>
      </c>
      <c r="V92" s="17" t="s">
        <v>991</v>
      </c>
      <c r="W92" s="17" t="s">
        <v>403</v>
      </c>
      <c r="X92" s="17" t="s">
        <v>701</v>
      </c>
      <c r="Y92" s="17" t="s">
        <v>438</v>
      </c>
      <c r="Z92" s="17" t="s">
        <v>519</v>
      </c>
      <c r="AA92" s="17" t="s">
        <v>440</v>
      </c>
      <c r="AB92" s="17" t="s">
        <v>945</v>
      </c>
      <c r="AC92" s="17" t="s">
        <v>428</v>
      </c>
      <c r="AD92" s="17" t="s">
        <v>992</v>
      </c>
      <c r="AE92" s="26">
        <v>1080.0</v>
      </c>
      <c r="AF92" s="36">
        <v>120.9</v>
      </c>
      <c r="AG92" s="36">
        <v>126.8</v>
      </c>
      <c r="AH92" s="26" t="s">
        <v>993</v>
      </c>
      <c r="AI92" s="26">
        <v>100000.0</v>
      </c>
      <c r="AJ92" s="26">
        <v>119328.0</v>
      </c>
      <c r="AK92" s="26" t="s">
        <v>495</v>
      </c>
      <c r="AL92" s="26">
        <v>136.0</v>
      </c>
      <c r="AM92" s="26">
        <v>2100.0</v>
      </c>
      <c r="AN92" s="32"/>
      <c r="AO92" s="32"/>
      <c r="AP92" s="32"/>
      <c r="AQ92" s="32"/>
      <c r="AR92" s="32"/>
      <c r="AS92" s="32"/>
      <c r="AT92" s="26">
        <v>168.0</v>
      </c>
      <c r="AU92" s="26" t="s">
        <v>947</v>
      </c>
      <c r="AV92" s="35">
        <v>244.0</v>
      </c>
      <c r="AW92" s="26">
        <v>250.0</v>
      </c>
      <c r="AX92" s="26" t="s">
        <v>906</v>
      </c>
      <c r="AY92" s="26">
        <v>490.0</v>
      </c>
      <c r="AZ92" s="37">
        <v>45476.0</v>
      </c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</row>
    <row r="93">
      <c r="A93" s="20" t="s">
        <v>994</v>
      </c>
      <c r="B93" s="20" t="s">
        <v>995</v>
      </c>
      <c r="C93" s="17" t="s">
        <v>996</v>
      </c>
      <c r="D93" s="17" t="s">
        <v>435</v>
      </c>
      <c r="E93" s="34" t="s">
        <v>477</v>
      </c>
      <c r="F93" s="26">
        <v>52.0</v>
      </c>
      <c r="G93" s="35">
        <v>152.0</v>
      </c>
      <c r="H93" s="17" t="s">
        <v>413</v>
      </c>
      <c r="I93" s="17" t="s">
        <v>414</v>
      </c>
      <c r="J93" s="17" t="s">
        <v>415</v>
      </c>
      <c r="K93" s="17" t="s">
        <v>595</v>
      </c>
      <c r="L93" s="26">
        <v>5.0</v>
      </c>
      <c r="M93" s="17" t="s">
        <v>417</v>
      </c>
      <c r="N93" s="17" t="s">
        <v>418</v>
      </c>
      <c r="O93" s="26">
        <v>1000.0</v>
      </c>
      <c r="P93" s="26">
        <v>-1.0</v>
      </c>
      <c r="Q93" s="17" t="s">
        <v>419</v>
      </c>
      <c r="R93" s="17" t="s">
        <v>420</v>
      </c>
      <c r="S93" s="17" t="s">
        <v>421</v>
      </c>
      <c r="T93" s="17" t="s">
        <v>422</v>
      </c>
      <c r="U93" s="17" t="s">
        <v>423</v>
      </c>
      <c r="V93" s="17" t="s">
        <v>639</v>
      </c>
      <c r="W93" s="17" t="s">
        <v>403</v>
      </c>
      <c r="X93" s="17" t="s">
        <v>581</v>
      </c>
      <c r="Y93" s="17" t="s">
        <v>438</v>
      </c>
      <c r="Z93" s="17" t="s">
        <v>558</v>
      </c>
      <c r="AA93" s="17" t="s">
        <v>440</v>
      </c>
      <c r="AB93" s="17" t="s">
        <v>945</v>
      </c>
      <c r="AC93" s="17" t="s">
        <v>428</v>
      </c>
      <c r="AD93" s="17" t="s">
        <v>502</v>
      </c>
      <c r="AE93" s="26">
        <v>480.0</v>
      </c>
      <c r="AF93" s="36">
        <v>44.95</v>
      </c>
      <c r="AG93" s="36">
        <v>43.35</v>
      </c>
      <c r="AH93" s="26" t="s">
        <v>997</v>
      </c>
      <c r="AI93" s="26">
        <v>47018.0</v>
      </c>
      <c r="AJ93" s="26">
        <v>47018.0</v>
      </c>
      <c r="AK93" s="26" t="s">
        <v>444</v>
      </c>
      <c r="AL93" s="26">
        <v>102.0</v>
      </c>
      <c r="AM93" s="26">
        <v>2240.0</v>
      </c>
      <c r="AN93" s="32"/>
      <c r="AO93" s="32"/>
      <c r="AP93" s="32"/>
      <c r="AQ93" s="32"/>
      <c r="AR93" s="32"/>
      <c r="AS93" s="32"/>
      <c r="AT93" s="26">
        <v>168.0</v>
      </c>
      <c r="AU93" s="26" t="s">
        <v>947</v>
      </c>
      <c r="AV93" s="35">
        <v>152.0</v>
      </c>
      <c r="AW93" s="26">
        <v>160.0</v>
      </c>
      <c r="AX93" s="26">
        <v>52.0</v>
      </c>
      <c r="AY93" s="26">
        <v>310.0</v>
      </c>
      <c r="AZ93" s="26">
        <v>9.0</v>
      </c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</row>
    <row r="94">
      <c r="A94" s="20" t="s">
        <v>998</v>
      </c>
      <c r="B94" s="20" t="s">
        <v>999</v>
      </c>
      <c r="C94" s="17" t="s">
        <v>1000</v>
      </c>
      <c r="D94" s="17" t="s">
        <v>565</v>
      </c>
      <c r="E94" s="34" t="s">
        <v>477</v>
      </c>
      <c r="F94" s="26">
        <v>52.0</v>
      </c>
      <c r="G94" s="35">
        <v>138.0</v>
      </c>
      <c r="H94" s="17" t="s">
        <v>413</v>
      </c>
      <c r="I94" s="17" t="s">
        <v>414</v>
      </c>
      <c r="J94" s="17" t="s">
        <v>415</v>
      </c>
      <c r="L94" s="26">
        <v>5.0</v>
      </c>
      <c r="M94" s="32"/>
      <c r="N94" s="17" t="s">
        <v>418</v>
      </c>
      <c r="O94" s="26">
        <v>1000.0</v>
      </c>
      <c r="P94" s="26">
        <v>5.0</v>
      </c>
      <c r="Q94" s="26">
        <v>5.0</v>
      </c>
      <c r="R94" s="17" t="s">
        <v>419</v>
      </c>
      <c r="S94" s="17" t="s">
        <v>420</v>
      </c>
      <c r="T94" s="17" t="s">
        <v>421</v>
      </c>
      <c r="U94" s="17" t="s">
        <v>423</v>
      </c>
      <c r="V94" s="17" t="s">
        <v>1001</v>
      </c>
      <c r="W94" s="17" t="s">
        <v>403</v>
      </c>
      <c r="X94" s="17" t="s">
        <v>581</v>
      </c>
      <c r="Y94" s="17" t="s">
        <v>438</v>
      </c>
      <c r="Z94" s="17" t="s">
        <v>558</v>
      </c>
      <c r="AA94" s="17" t="s">
        <v>440</v>
      </c>
      <c r="AB94" s="17" t="s">
        <v>945</v>
      </c>
      <c r="AC94" s="17" t="s">
        <v>428</v>
      </c>
      <c r="AD94" s="17" t="s">
        <v>805</v>
      </c>
      <c r="AE94" s="26">
        <v>500.0</v>
      </c>
      <c r="AF94" s="17" t="s">
        <v>463</v>
      </c>
      <c r="AG94" s="36">
        <v>42.99</v>
      </c>
      <c r="AH94" s="26" t="s">
        <v>1002</v>
      </c>
      <c r="AI94" s="26">
        <v>42752.0</v>
      </c>
      <c r="AJ94" s="26">
        <v>42752.0</v>
      </c>
      <c r="AK94" s="26" t="s">
        <v>567</v>
      </c>
      <c r="AL94" s="26">
        <v>234.0</v>
      </c>
      <c r="AM94" s="26">
        <v>2250.0</v>
      </c>
      <c r="AN94" s="32"/>
      <c r="AO94" s="17" t="s">
        <v>422</v>
      </c>
      <c r="AP94" s="17" t="s">
        <v>483</v>
      </c>
      <c r="AQ94" s="32"/>
      <c r="AR94" s="32"/>
      <c r="AS94" s="32"/>
      <c r="AT94" s="26">
        <v>168.0</v>
      </c>
      <c r="AU94" s="26" t="s">
        <v>947</v>
      </c>
      <c r="AV94" s="35">
        <v>138.0</v>
      </c>
      <c r="AW94" s="26">
        <v>160.0</v>
      </c>
      <c r="AX94" s="26">
        <v>52.0</v>
      </c>
      <c r="AY94" s="26">
        <v>310.0</v>
      </c>
      <c r="AZ94" s="37">
        <v>45300.0</v>
      </c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</row>
    <row r="95">
      <c r="A95" s="20" t="s">
        <v>1003</v>
      </c>
      <c r="B95" s="20" t="s">
        <v>1004</v>
      </c>
      <c r="C95" s="17" t="s">
        <v>1005</v>
      </c>
      <c r="D95" s="17" t="s">
        <v>435</v>
      </c>
      <c r="E95" s="34" t="s">
        <v>477</v>
      </c>
      <c r="F95" s="26" t="s">
        <v>1006</v>
      </c>
      <c r="G95" s="35">
        <v>97.0</v>
      </c>
      <c r="H95" s="32"/>
      <c r="I95" s="17" t="s">
        <v>414</v>
      </c>
      <c r="J95" s="17" t="s">
        <v>415</v>
      </c>
      <c r="L95" s="26">
        <v>5.0</v>
      </c>
      <c r="M95" s="32"/>
      <c r="N95" s="17" t="s">
        <v>418</v>
      </c>
      <c r="O95" s="26">
        <v>550.0</v>
      </c>
      <c r="P95" s="26">
        <v>-1.0</v>
      </c>
      <c r="Q95" s="17" t="s">
        <v>419</v>
      </c>
      <c r="R95" s="17" t="s">
        <v>420</v>
      </c>
      <c r="S95" s="17" t="s">
        <v>421</v>
      </c>
      <c r="T95" s="17" t="s">
        <v>422</v>
      </c>
      <c r="U95" s="17" t="s">
        <v>423</v>
      </c>
      <c r="V95" s="17" t="s">
        <v>1007</v>
      </c>
      <c r="W95" s="17" t="s">
        <v>403</v>
      </c>
      <c r="X95" s="17" t="s">
        <v>1008</v>
      </c>
      <c r="Y95" s="17" t="s">
        <v>438</v>
      </c>
      <c r="Z95" s="17" t="s">
        <v>534</v>
      </c>
      <c r="AA95" s="17" t="s">
        <v>440</v>
      </c>
      <c r="AB95" s="17" t="s">
        <v>945</v>
      </c>
      <c r="AC95" s="17" t="s">
        <v>428</v>
      </c>
      <c r="AD95" s="17" t="s">
        <v>536</v>
      </c>
      <c r="AE95" s="26">
        <v>340.0</v>
      </c>
      <c r="AF95" s="17" t="s">
        <v>607</v>
      </c>
      <c r="AG95" s="36">
        <v>25.99</v>
      </c>
      <c r="AH95" s="17" t="s">
        <v>635</v>
      </c>
      <c r="AI95" s="26">
        <v>25096.0</v>
      </c>
      <c r="AJ95" s="26">
        <v>25096.0</v>
      </c>
      <c r="AK95" s="26" t="s">
        <v>444</v>
      </c>
      <c r="AL95" s="26">
        <v>702.0</v>
      </c>
      <c r="AM95" s="26">
        <v>2251.0</v>
      </c>
      <c r="AN95" s="32"/>
      <c r="AO95" s="32"/>
      <c r="AP95" s="32"/>
      <c r="AQ95" s="17" t="s">
        <v>496</v>
      </c>
      <c r="AR95" s="17" t="s">
        <v>512</v>
      </c>
      <c r="AS95" s="32"/>
      <c r="AT95" s="26">
        <v>168.0</v>
      </c>
      <c r="AU95" s="26" t="s">
        <v>947</v>
      </c>
      <c r="AV95" s="35">
        <v>97.0</v>
      </c>
      <c r="AW95" s="26">
        <v>132.0</v>
      </c>
      <c r="AX95" s="26" t="s">
        <v>1006</v>
      </c>
      <c r="AY95" s="26">
        <v>260.0</v>
      </c>
      <c r="AZ95" s="26">
        <v>11.0</v>
      </c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</row>
    <row r="96">
      <c r="A96" s="20" t="s">
        <v>1009</v>
      </c>
      <c r="B96" s="20" t="s">
        <v>1010</v>
      </c>
      <c r="C96" s="17" t="s">
        <v>1011</v>
      </c>
      <c r="D96" s="17" t="s">
        <v>1012</v>
      </c>
      <c r="E96" s="34" t="s">
        <v>477</v>
      </c>
      <c r="F96" s="26">
        <v>52.0</v>
      </c>
      <c r="G96" s="35">
        <v>124.0</v>
      </c>
      <c r="H96" s="32"/>
      <c r="I96" s="17" t="s">
        <v>414</v>
      </c>
      <c r="J96" s="17" t="s">
        <v>415</v>
      </c>
      <c r="L96" s="26">
        <v>5.0</v>
      </c>
      <c r="M96" s="17" t="s">
        <v>417</v>
      </c>
      <c r="N96" s="17" t="s">
        <v>418</v>
      </c>
      <c r="O96" s="26">
        <v>500.0</v>
      </c>
      <c r="P96" s="26">
        <v>-1.0</v>
      </c>
      <c r="Q96" s="17" t="s">
        <v>419</v>
      </c>
      <c r="R96" s="17" t="s">
        <v>420</v>
      </c>
      <c r="S96" s="17" t="s">
        <v>421</v>
      </c>
      <c r="T96" s="17" t="s">
        <v>422</v>
      </c>
      <c r="U96" s="17" t="s">
        <v>423</v>
      </c>
      <c r="V96" s="17" t="s">
        <v>470</v>
      </c>
      <c r="W96" s="17" t="s">
        <v>403</v>
      </c>
      <c r="X96" s="17" t="s">
        <v>581</v>
      </c>
      <c r="Y96" s="17" t="s">
        <v>438</v>
      </c>
      <c r="Z96" s="17" t="s">
        <v>558</v>
      </c>
      <c r="AA96" s="17" t="s">
        <v>440</v>
      </c>
      <c r="AB96" s="17" t="s">
        <v>945</v>
      </c>
      <c r="AC96" s="17" t="s">
        <v>428</v>
      </c>
      <c r="AD96" s="17" t="s">
        <v>694</v>
      </c>
      <c r="AE96" s="26">
        <v>390.0</v>
      </c>
      <c r="AF96" s="36">
        <v>38.7</v>
      </c>
      <c r="AG96" s="36">
        <v>38.8</v>
      </c>
      <c r="AH96" s="17" t="s">
        <v>1013</v>
      </c>
      <c r="AI96" s="26">
        <v>38483.0</v>
      </c>
      <c r="AJ96" s="26">
        <v>38483.0</v>
      </c>
      <c r="AK96" s="26" t="s">
        <v>567</v>
      </c>
      <c r="AL96" s="26">
        <v>164.0</v>
      </c>
      <c r="AM96" s="26">
        <v>2268.0</v>
      </c>
      <c r="AN96" s="17" t="s">
        <v>465</v>
      </c>
      <c r="AO96" s="32"/>
      <c r="AP96" s="32"/>
      <c r="AQ96" s="17" t="s">
        <v>496</v>
      </c>
      <c r="AR96" s="17" t="s">
        <v>512</v>
      </c>
      <c r="AS96" s="32"/>
      <c r="AT96" s="26">
        <v>168.0</v>
      </c>
      <c r="AU96" s="26" t="s">
        <v>947</v>
      </c>
      <c r="AV96" s="35">
        <v>124.0</v>
      </c>
      <c r="AW96" s="26">
        <v>160.0</v>
      </c>
      <c r="AX96" s="26">
        <v>52.0</v>
      </c>
      <c r="AY96" s="26">
        <v>310.0</v>
      </c>
      <c r="AZ96" s="37">
        <v>45389.0</v>
      </c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</row>
    <row r="97">
      <c r="A97" s="20" t="s">
        <v>1014</v>
      </c>
      <c r="B97" s="20" t="s">
        <v>738</v>
      </c>
      <c r="C97" s="17" t="s">
        <v>1015</v>
      </c>
      <c r="D97" s="17" t="s">
        <v>684</v>
      </c>
      <c r="E97" s="34" t="s">
        <v>477</v>
      </c>
      <c r="F97" s="26" t="s">
        <v>685</v>
      </c>
      <c r="G97" s="35">
        <v>140.0</v>
      </c>
      <c r="H97" s="17" t="s">
        <v>413</v>
      </c>
      <c r="I97" s="17" t="s">
        <v>414</v>
      </c>
      <c r="J97" s="17" t="s">
        <v>415</v>
      </c>
      <c r="L97" s="26">
        <v>5.0</v>
      </c>
      <c r="M97" s="17" t="s">
        <v>417</v>
      </c>
      <c r="N97" s="17" t="s">
        <v>418</v>
      </c>
      <c r="O97" s="26">
        <v>2100.0</v>
      </c>
      <c r="P97" s="26">
        <v>-1.0</v>
      </c>
      <c r="Q97" s="17" t="s">
        <v>419</v>
      </c>
      <c r="R97" s="17" t="s">
        <v>420</v>
      </c>
      <c r="S97" s="17" t="s">
        <v>421</v>
      </c>
      <c r="T97" s="17" t="s">
        <v>422</v>
      </c>
      <c r="U97" s="17" t="s">
        <v>423</v>
      </c>
      <c r="V97" s="17" t="s">
        <v>686</v>
      </c>
      <c r="W97" s="17" t="s">
        <v>403</v>
      </c>
      <c r="X97" s="17" t="s">
        <v>619</v>
      </c>
      <c r="Y97" s="17" t="s">
        <v>438</v>
      </c>
      <c r="Z97" s="17" t="s">
        <v>783</v>
      </c>
      <c r="AA97" s="17" t="s">
        <v>440</v>
      </c>
      <c r="AB97" s="17" t="s">
        <v>945</v>
      </c>
      <c r="AC97" s="17" t="s">
        <v>428</v>
      </c>
      <c r="AD97" s="17" t="s">
        <v>1016</v>
      </c>
      <c r="AE97" s="26">
        <v>1130.0</v>
      </c>
      <c r="AF97" s="36">
        <v>77.25</v>
      </c>
      <c r="AG97" s="36">
        <v>77.49</v>
      </c>
      <c r="AH97" s="26" t="s">
        <v>1017</v>
      </c>
      <c r="AI97" s="26">
        <v>79065.0</v>
      </c>
      <c r="AJ97" s="26">
        <v>79065.0</v>
      </c>
      <c r="AK97" s="26" t="s">
        <v>444</v>
      </c>
      <c r="AL97" s="26">
        <v>803.0</v>
      </c>
      <c r="AM97" s="26">
        <v>2272.0</v>
      </c>
      <c r="AN97" s="32"/>
      <c r="AO97" s="32"/>
      <c r="AP97" s="32"/>
      <c r="AQ97" s="32"/>
      <c r="AR97" s="32"/>
      <c r="AS97" s="32"/>
      <c r="AT97" s="26">
        <v>168.0</v>
      </c>
      <c r="AU97" s="26" t="s">
        <v>947</v>
      </c>
      <c r="AV97" s="35">
        <v>140.0</v>
      </c>
      <c r="AW97" s="26">
        <v>210.0</v>
      </c>
      <c r="AX97" s="26" t="s">
        <v>685</v>
      </c>
      <c r="AY97" s="26">
        <v>565.0</v>
      </c>
      <c r="AZ97" s="37">
        <v>45387.0</v>
      </c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</row>
    <row r="98">
      <c r="A98" s="20" t="s">
        <v>1018</v>
      </c>
      <c r="B98" s="20" t="s">
        <v>904</v>
      </c>
      <c r="C98" s="17" t="s">
        <v>1019</v>
      </c>
      <c r="D98" s="17" t="s">
        <v>638</v>
      </c>
      <c r="E98" s="34" t="s">
        <v>477</v>
      </c>
      <c r="F98" s="26" t="s">
        <v>906</v>
      </c>
      <c r="G98" s="35">
        <v>221.0</v>
      </c>
      <c r="H98" s="17" t="s">
        <v>413</v>
      </c>
      <c r="I98" s="17" t="s">
        <v>414</v>
      </c>
      <c r="J98" s="17" t="s">
        <v>415</v>
      </c>
      <c r="K98" s="17" t="s">
        <v>416</v>
      </c>
      <c r="L98" s="26">
        <v>5.0</v>
      </c>
      <c r="M98" s="17" t="s">
        <v>417</v>
      </c>
      <c r="N98" s="32"/>
      <c r="O98" s="32"/>
      <c r="P98" s="26">
        <v>-1.0</v>
      </c>
      <c r="Q98" s="17" t="s">
        <v>419</v>
      </c>
      <c r="R98" s="17" t="s">
        <v>420</v>
      </c>
      <c r="S98" s="17" t="s">
        <v>421</v>
      </c>
      <c r="T98" s="17" t="s">
        <v>422</v>
      </c>
      <c r="U98" s="17" t="s">
        <v>423</v>
      </c>
      <c r="V98" s="17" t="s">
        <v>1020</v>
      </c>
      <c r="W98" s="17" t="s">
        <v>403</v>
      </c>
      <c r="X98" s="17" t="s">
        <v>655</v>
      </c>
      <c r="Y98" s="17" t="s">
        <v>438</v>
      </c>
      <c r="Z98" s="17" t="s">
        <v>519</v>
      </c>
      <c r="AA98" s="17" t="s">
        <v>440</v>
      </c>
      <c r="AB98" s="17" t="s">
        <v>945</v>
      </c>
      <c r="AC98" s="17" t="s">
        <v>428</v>
      </c>
      <c r="AD98" s="17" t="s">
        <v>992</v>
      </c>
      <c r="AE98" s="26">
        <v>1080.0</v>
      </c>
      <c r="AF98" s="36">
        <v>106.2</v>
      </c>
      <c r="AG98" s="36">
        <v>110.433</v>
      </c>
      <c r="AH98" s="17" t="s">
        <v>463</v>
      </c>
      <c r="AI98" s="26">
        <v>100000.0</v>
      </c>
      <c r="AJ98" s="26">
        <v>108316.0</v>
      </c>
      <c r="AK98" s="26" t="s">
        <v>444</v>
      </c>
      <c r="AL98" s="26">
        <v>172.0</v>
      </c>
      <c r="AM98" s="26">
        <v>3060.0</v>
      </c>
      <c r="AN98" s="32"/>
      <c r="AO98" s="32"/>
      <c r="AP98" s="32"/>
      <c r="AQ98" s="32"/>
      <c r="AR98" s="32"/>
      <c r="AS98" s="32"/>
      <c r="AT98" s="26">
        <v>168.0</v>
      </c>
      <c r="AU98" s="26" t="s">
        <v>947</v>
      </c>
      <c r="AV98" s="35">
        <v>221.0</v>
      </c>
      <c r="AW98" s="26">
        <v>230.0</v>
      </c>
      <c r="AX98" s="26" t="s">
        <v>906</v>
      </c>
      <c r="AY98" s="26">
        <v>490.0</v>
      </c>
      <c r="AZ98" s="37">
        <v>45447.0</v>
      </c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</row>
    <row r="99">
      <c r="A99" s="20" t="s">
        <v>1021</v>
      </c>
      <c r="B99" s="20" t="s">
        <v>795</v>
      </c>
      <c r="C99" s="17" t="s">
        <v>1022</v>
      </c>
      <c r="D99" s="17" t="s">
        <v>1023</v>
      </c>
      <c r="E99" s="34" t="s">
        <v>436</v>
      </c>
      <c r="F99" s="26">
        <v>75.0</v>
      </c>
      <c r="G99" s="35">
        <v>126.0</v>
      </c>
      <c r="H99" s="17" t="s">
        <v>413</v>
      </c>
      <c r="I99" s="17" t="s">
        <v>414</v>
      </c>
      <c r="J99" s="17" t="s">
        <v>415</v>
      </c>
      <c r="L99" s="26">
        <v>7.0</v>
      </c>
      <c r="M99" s="17" t="s">
        <v>417</v>
      </c>
      <c r="N99" s="17" t="s">
        <v>418</v>
      </c>
      <c r="O99" s="26">
        <v>1600.0</v>
      </c>
      <c r="P99" s="26">
        <v>5.0</v>
      </c>
      <c r="Q99" s="26">
        <v>5.0</v>
      </c>
      <c r="R99" s="17" t="s">
        <v>419</v>
      </c>
      <c r="S99" s="17" t="s">
        <v>420</v>
      </c>
      <c r="T99" s="17" t="s">
        <v>421</v>
      </c>
      <c r="U99" s="17" t="s">
        <v>423</v>
      </c>
      <c r="V99" s="17" t="s">
        <v>1024</v>
      </c>
      <c r="W99" s="17" t="s">
        <v>403</v>
      </c>
      <c r="X99" s="17" t="s">
        <v>798</v>
      </c>
      <c r="Y99" s="17" t="s">
        <v>438</v>
      </c>
      <c r="Z99" s="17" t="s">
        <v>1025</v>
      </c>
      <c r="AA99" s="17" t="s">
        <v>440</v>
      </c>
      <c r="AB99" s="17" t="s">
        <v>1026</v>
      </c>
      <c r="AC99" s="17" t="s">
        <v>428</v>
      </c>
      <c r="AD99" s="17" t="s">
        <v>929</v>
      </c>
      <c r="AE99" s="26">
        <v>690.0</v>
      </c>
      <c r="AF99" s="36">
        <v>55.97</v>
      </c>
      <c r="AG99" s="36">
        <v>52.99</v>
      </c>
      <c r="AH99" s="26" t="s">
        <v>1027</v>
      </c>
      <c r="AI99" s="26">
        <v>56249.0</v>
      </c>
      <c r="AJ99" s="26">
        <v>56249.0</v>
      </c>
      <c r="AK99" s="26" t="s">
        <v>724</v>
      </c>
      <c r="AL99" s="26">
        <v>3901.0</v>
      </c>
      <c r="AM99" s="26">
        <v>1619.0</v>
      </c>
      <c r="AN99" s="32"/>
      <c r="AO99" s="17" t="s">
        <v>422</v>
      </c>
      <c r="AP99" s="32"/>
      <c r="AQ99" s="32"/>
      <c r="AR99" s="32"/>
      <c r="AS99" s="32"/>
      <c r="AT99" s="26">
        <v>169.0</v>
      </c>
      <c r="AU99" s="26" t="s">
        <v>1028</v>
      </c>
      <c r="AV99" s="35">
        <v>126.0</v>
      </c>
      <c r="AW99" s="26">
        <v>217.0</v>
      </c>
      <c r="AX99" s="26">
        <v>75.0</v>
      </c>
      <c r="AY99" s="26">
        <v>445.0</v>
      </c>
      <c r="AZ99" s="26">
        <v>5.0</v>
      </c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</row>
    <row r="100">
      <c r="A100" s="20" t="s">
        <v>1029</v>
      </c>
      <c r="B100" s="20" t="s">
        <v>1030</v>
      </c>
      <c r="C100" s="17" t="s">
        <v>1031</v>
      </c>
      <c r="D100" s="17" t="s">
        <v>1032</v>
      </c>
      <c r="E100" s="34" t="s">
        <v>477</v>
      </c>
      <c r="F100" s="26" t="s">
        <v>478</v>
      </c>
      <c r="G100" s="35">
        <v>109.0</v>
      </c>
      <c r="H100" s="32"/>
      <c r="I100" s="32"/>
      <c r="J100" s="17" t="s">
        <v>415</v>
      </c>
      <c r="L100" s="26">
        <v>5.0</v>
      </c>
      <c r="M100" s="32"/>
      <c r="N100" s="17" t="s">
        <v>418</v>
      </c>
      <c r="O100" s="26">
        <v>500.0</v>
      </c>
      <c r="P100" s="26">
        <v>5.0</v>
      </c>
      <c r="Q100" s="26">
        <v>5.0</v>
      </c>
      <c r="R100" s="17" t="s">
        <v>419</v>
      </c>
      <c r="S100" s="17" t="s">
        <v>420</v>
      </c>
      <c r="T100" s="17" t="s">
        <v>421</v>
      </c>
      <c r="U100" s="17" t="s">
        <v>423</v>
      </c>
      <c r="V100" s="17" t="s">
        <v>1033</v>
      </c>
      <c r="W100" s="17" t="s">
        <v>403</v>
      </c>
      <c r="X100" s="17" t="s">
        <v>581</v>
      </c>
      <c r="Y100" s="17" t="s">
        <v>438</v>
      </c>
      <c r="Z100" s="17" t="s">
        <v>829</v>
      </c>
      <c r="AA100" s="17" t="s">
        <v>440</v>
      </c>
      <c r="AB100" s="17" t="s">
        <v>1026</v>
      </c>
      <c r="AC100" s="17" t="s">
        <v>428</v>
      </c>
      <c r="AD100" s="17" t="s">
        <v>746</v>
      </c>
      <c r="AE100" s="26">
        <v>380.0</v>
      </c>
      <c r="AF100" s="36">
        <v>34.99</v>
      </c>
      <c r="AG100" s="36">
        <v>32.285</v>
      </c>
      <c r="AH100" s="26" t="s">
        <v>789</v>
      </c>
      <c r="AI100" s="26">
        <v>32773.0</v>
      </c>
      <c r="AJ100" s="26">
        <v>32773.0</v>
      </c>
      <c r="AK100" s="26" t="s">
        <v>671</v>
      </c>
      <c r="AL100" s="26">
        <v>887.0</v>
      </c>
      <c r="AM100" s="26">
        <v>1707.0</v>
      </c>
      <c r="AN100" s="17" t="s">
        <v>465</v>
      </c>
      <c r="AO100" s="17" t="s">
        <v>422</v>
      </c>
      <c r="AP100" s="17" t="s">
        <v>483</v>
      </c>
      <c r="AQ100" s="17" t="s">
        <v>496</v>
      </c>
      <c r="AS100" s="32"/>
      <c r="AT100" s="26">
        <v>169.0</v>
      </c>
      <c r="AU100" s="26" t="s">
        <v>1028</v>
      </c>
      <c r="AV100" s="35">
        <v>109.0</v>
      </c>
      <c r="AW100" s="26">
        <v>160.0</v>
      </c>
      <c r="AX100" s="26" t="s">
        <v>478</v>
      </c>
      <c r="AY100" s="26">
        <v>300.0</v>
      </c>
      <c r="AZ100" s="37">
        <v>45480.0</v>
      </c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</row>
    <row r="101">
      <c r="A101" s="20" t="s">
        <v>1034</v>
      </c>
      <c r="B101" s="20" t="s">
        <v>1035</v>
      </c>
      <c r="C101" s="17" t="s">
        <v>1036</v>
      </c>
      <c r="D101" s="17" t="s">
        <v>1037</v>
      </c>
      <c r="E101" s="34" t="s">
        <v>477</v>
      </c>
      <c r="F101" s="26" t="s">
        <v>478</v>
      </c>
      <c r="G101" s="35">
        <v>150.0</v>
      </c>
      <c r="H101" s="32"/>
      <c r="I101" s="17" t="s">
        <v>414</v>
      </c>
      <c r="J101" s="17" t="s">
        <v>415</v>
      </c>
      <c r="L101" s="26">
        <v>5.0</v>
      </c>
      <c r="M101" s="17" t="s">
        <v>417</v>
      </c>
      <c r="N101" s="32"/>
      <c r="O101" s="32"/>
      <c r="P101" s="26">
        <v>-1.0</v>
      </c>
      <c r="Q101" s="17" t="s">
        <v>419</v>
      </c>
      <c r="R101" s="17" t="s">
        <v>420</v>
      </c>
      <c r="S101" s="17" t="s">
        <v>421</v>
      </c>
      <c r="T101" s="17" t="s">
        <v>422</v>
      </c>
      <c r="U101" s="17" t="s">
        <v>423</v>
      </c>
      <c r="V101" s="17" t="s">
        <v>1038</v>
      </c>
      <c r="W101" s="17" t="s">
        <v>403</v>
      </c>
      <c r="X101" s="17" t="s">
        <v>589</v>
      </c>
      <c r="Y101" s="17" t="s">
        <v>438</v>
      </c>
      <c r="Z101" s="17" t="s">
        <v>829</v>
      </c>
      <c r="AA101" s="17" t="s">
        <v>440</v>
      </c>
      <c r="AB101" s="17" t="s">
        <v>1026</v>
      </c>
      <c r="AC101" s="17" t="s">
        <v>428</v>
      </c>
      <c r="AD101" s="17" t="s">
        <v>1039</v>
      </c>
      <c r="AE101" s="26">
        <v>450.0</v>
      </c>
      <c r="AF101" s="36">
        <v>44.765</v>
      </c>
      <c r="AG101" s="36">
        <v>42.07</v>
      </c>
      <c r="AH101" s="26" t="s">
        <v>1040</v>
      </c>
      <c r="AI101" s="26">
        <v>45054.0</v>
      </c>
      <c r="AJ101" s="26">
        <v>45054.0</v>
      </c>
      <c r="AK101" s="26" t="s">
        <v>552</v>
      </c>
      <c r="AL101" s="26">
        <v>388.0</v>
      </c>
      <c r="AM101" s="26">
        <v>1744.0</v>
      </c>
      <c r="AN101" s="32"/>
      <c r="AO101" s="32"/>
      <c r="AP101" s="17" t="s">
        <v>483</v>
      </c>
      <c r="AQ101" s="17" t="s">
        <v>496</v>
      </c>
      <c r="AS101" s="32"/>
      <c r="AT101" s="26">
        <v>169.0</v>
      </c>
      <c r="AU101" s="26" t="s">
        <v>1028</v>
      </c>
      <c r="AV101" s="35">
        <v>150.0</v>
      </c>
      <c r="AW101" s="26">
        <v>170.0</v>
      </c>
      <c r="AX101" s="26" t="s">
        <v>478</v>
      </c>
      <c r="AY101" s="26">
        <v>300.0</v>
      </c>
      <c r="AZ101" s="37">
        <v>45513.0</v>
      </c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</row>
    <row r="102">
      <c r="A102" s="20" t="s">
        <v>1041</v>
      </c>
      <c r="B102" s="20" t="s">
        <v>1042</v>
      </c>
      <c r="C102" s="17" t="s">
        <v>1043</v>
      </c>
      <c r="D102" s="17" t="s">
        <v>556</v>
      </c>
      <c r="E102" s="34" t="s">
        <v>477</v>
      </c>
      <c r="F102" s="26" t="s">
        <v>478</v>
      </c>
      <c r="G102" s="35">
        <v>151.0</v>
      </c>
      <c r="H102" s="32"/>
      <c r="I102" s="17" t="s">
        <v>414</v>
      </c>
      <c r="J102" s="17" t="s">
        <v>415</v>
      </c>
      <c r="L102" s="26">
        <v>5.0</v>
      </c>
      <c r="M102" s="17" t="s">
        <v>417</v>
      </c>
      <c r="N102" s="32"/>
      <c r="O102" s="32"/>
      <c r="P102" s="26">
        <v>-1.0</v>
      </c>
      <c r="Q102" s="17" t="s">
        <v>419</v>
      </c>
      <c r="R102" s="17" t="s">
        <v>420</v>
      </c>
      <c r="S102" s="17" t="s">
        <v>421</v>
      </c>
      <c r="T102" s="17" t="s">
        <v>422</v>
      </c>
      <c r="U102" s="17" t="s">
        <v>423</v>
      </c>
      <c r="V102" s="17" t="s">
        <v>501</v>
      </c>
      <c r="W102" s="17" t="s">
        <v>543</v>
      </c>
      <c r="X102" s="17" t="s">
        <v>480</v>
      </c>
      <c r="Y102" s="17" t="s">
        <v>438</v>
      </c>
      <c r="Z102" s="17" t="s">
        <v>829</v>
      </c>
      <c r="AA102" s="17" t="s">
        <v>440</v>
      </c>
      <c r="AB102" s="17" t="s">
        <v>1026</v>
      </c>
      <c r="AC102" s="17" t="s">
        <v>520</v>
      </c>
      <c r="AD102" s="17" t="s">
        <v>1039</v>
      </c>
      <c r="AE102" s="26">
        <v>450.0</v>
      </c>
      <c r="AF102" s="36">
        <v>45.765</v>
      </c>
      <c r="AG102" s="36">
        <v>42.57</v>
      </c>
      <c r="AH102" s="26" t="s">
        <v>1044</v>
      </c>
      <c r="AI102" s="26">
        <v>45257.0</v>
      </c>
      <c r="AJ102" s="26">
        <v>45257.0</v>
      </c>
      <c r="AK102" s="26" t="s">
        <v>431</v>
      </c>
      <c r="AL102" s="26">
        <v>217.0</v>
      </c>
      <c r="AM102" s="26">
        <v>1745.0</v>
      </c>
      <c r="AN102" s="32"/>
      <c r="AO102" s="32"/>
      <c r="AP102" s="17" t="s">
        <v>483</v>
      </c>
      <c r="AQ102" s="32"/>
      <c r="AR102" s="32"/>
      <c r="AS102" s="32"/>
      <c r="AT102" s="26">
        <v>169.0</v>
      </c>
      <c r="AU102" s="26" t="s">
        <v>1028</v>
      </c>
      <c r="AV102" s="35">
        <v>151.0</v>
      </c>
      <c r="AW102" s="26">
        <v>150.0</v>
      </c>
      <c r="AX102" s="26" t="s">
        <v>478</v>
      </c>
      <c r="AY102" s="26">
        <v>300.0</v>
      </c>
      <c r="AZ102" s="26">
        <v>10.0</v>
      </c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</row>
    <row r="103">
      <c r="A103" s="20" t="s">
        <v>1045</v>
      </c>
      <c r="B103" s="20" t="s">
        <v>1046</v>
      </c>
      <c r="C103" s="17" t="s">
        <v>1047</v>
      </c>
      <c r="D103" s="17" t="s">
        <v>750</v>
      </c>
      <c r="E103" s="34" t="s">
        <v>477</v>
      </c>
      <c r="F103" s="26" t="s">
        <v>478</v>
      </c>
      <c r="G103" s="35">
        <v>137.0</v>
      </c>
      <c r="H103" s="32"/>
      <c r="I103" s="17" t="s">
        <v>414</v>
      </c>
      <c r="J103" s="17" t="s">
        <v>415</v>
      </c>
      <c r="L103" s="26">
        <v>5.0</v>
      </c>
      <c r="M103" s="17" t="s">
        <v>417</v>
      </c>
      <c r="N103" s="32"/>
      <c r="O103" s="32"/>
      <c r="P103" s="26">
        <v>-1.0</v>
      </c>
      <c r="Q103" s="17" t="s">
        <v>419</v>
      </c>
      <c r="R103" s="17" t="s">
        <v>420</v>
      </c>
      <c r="S103" s="17" t="s">
        <v>421</v>
      </c>
      <c r="T103" s="17" t="s">
        <v>422</v>
      </c>
      <c r="U103" s="17" t="s">
        <v>423</v>
      </c>
      <c r="V103" s="17" t="s">
        <v>639</v>
      </c>
      <c r="W103" s="17" t="s">
        <v>403</v>
      </c>
      <c r="X103" s="17" t="s">
        <v>480</v>
      </c>
      <c r="Y103" s="17" t="s">
        <v>438</v>
      </c>
      <c r="Z103" s="17" t="s">
        <v>829</v>
      </c>
      <c r="AA103" s="17" t="s">
        <v>440</v>
      </c>
      <c r="AB103" s="17" t="s">
        <v>1026</v>
      </c>
      <c r="AC103" s="17" t="s">
        <v>428</v>
      </c>
      <c r="AD103" s="17" t="s">
        <v>502</v>
      </c>
      <c r="AE103" s="26">
        <v>480.0</v>
      </c>
      <c r="AF103" s="36">
        <v>40.54</v>
      </c>
      <c r="AG103" s="36">
        <v>39.64</v>
      </c>
      <c r="AH103" s="26" t="s">
        <v>1048</v>
      </c>
      <c r="AI103" s="26">
        <v>40986.0</v>
      </c>
      <c r="AJ103" s="26">
        <v>40986.0</v>
      </c>
      <c r="AK103" s="26" t="s">
        <v>464</v>
      </c>
      <c r="AL103" s="26">
        <v>254.0</v>
      </c>
      <c r="AM103" s="26">
        <v>1791.0</v>
      </c>
      <c r="AN103" s="32"/>
      <c r="AO103" s="32"/>
      <c r="AP103" s="32"/>
      <c r="AQ103" s="32"/>
      <c r="AR103" s="17" t="s">
        <v>512</v>
      </c>
      <c r="AS103" s="32"/>
      <c r="AT103" s="26">
        <v>169.0</v>
      </c>
      <c r="AU103" s="26" t="s">
        <v>1028</v>
      </c>
      <c r="AV103" s="35">
        <v>137.0</v>
      </c>
      <c r="AW103" s="26">
        <v>150.0</v>
      </c>
      <c r="AX103" s="26" t="s">
        <v>478</v>
      </c>
      <c r="AY103" s="26">
        <v>300.0</v>
      </c>
      <c r="AZ103" s="26">
        <v>9.0</v>
      </c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</row>
    <row r="104">
      <c r="A104" s="20" t="s">
        <v>1049</v>
      </c>
      <c r="B104" s="20" t="s">
        <v>1050</v>
      </c>
      <c r="C104" s="17" t="s">
        <v>1051</v>
      </c>
      <c r="D104" s="17" t="s">
        <v>506</v>
      </c>
      <c r="E104" s="34" t="s">
        <v>477</v>
      </c>
      <c r="F104" s="26" t="s">
        <v>1052</v>
      </c>
      <c r="G104" s="35">
        <v>111.0</v>
      </c>
      <c r="H104" s="32"/>
      <c r="I104" s="32"/>
      <c r="J104" s="17" t="s">
        <v>415</v>
      </c>
      <c r="L104" s="26">
        <v>5.0</v>
      </c>
      <c r="M104" s="17" t="s">
        <v>417</v>
      </c>
      <c r="N104" s="32"/>
      <c r="O104" s="32"/>
      <c r="P104" s="26">
        <v>5.0</v>
      </c>
      <c r="Q104" s="26">
        <v>5.0</v>
      </c>
      <c r="R104" s="17" t="s">
        <v>419</v>
      </c>
      <c r="S104" s="17" t="s">
        <v>420</v>
      </c>
      <c r="T104" s="17" t="s">
        <v>421</v>
      </c>
      <c r="U104" s="17" t="s">
        <v>423</v>
      </c>
      <c r="V104" s="17" t="s">
        <v>1053</v>
      </c>
      <c r="W104" s="17" t="s">
        <v>403</v>
      </c>
      <c r="X104" s="17" t="s">
        <v>480</v>
      </c>
      <c r="Y104" s="17" t="s">
        <v>438</v>
      </c>
      <c r="Z104" s="17" t="s">
        <v>1054</v>
      </c>
      <c r="AA104" s="17" t="s">
        <v>440</v>
      </c>
      <c r="AB104" s="17" t="s">
        <v>1026</v>
      </c>
      <c r="AC104" s="17" t="s">
        <v>428</v>
      </c>
      <c r="AD104" s="17" t="s">
        <v>943</v>
      </c>
      <c r="AE104" s="26">
        <v>270.0</v>
      </c>
      <c r="AF104" s="17" t="s">
        <v>1055</v>
      </c>
      <c r="AG104" s="36">
        <v>29.99</v>
      </c>
      <c r="AH104" s="26" t="s">
        <v>1056</v>
      </c>
      <c r="AI104" s="26">
        <v>29371.0</v>
      </c>
      <c r="AJ104" s="26">
        <v>29371.0</v>
      </c>
      <c r="AK104" s="26" t="s">
        <v>431</v>
      </c>
      <c r="AL104" s="26">
        <v>362.0</v>
      </c>
      <c r="AM104" s="26">
        <v>1917.0</v>
      </c>
      <c r="AN104" s="32"/>
      <c r="AO104" s="17" t="s">
        <v>422</v>
      </c>
      <c r="AP104" s="17" t="s">
        <v>483</v>
      </c>
      <c r="AQ104" s="17" t="s">
        <v>496</v>
      </c>
      <c r="AS104" s="32"/>
      <c r="AT104" s="26">
        <v>169.0</v>
      </c>
      <c r="AU104" s="26" t="s">
        <v>1028</v>
      </c>
      <c r="AV104" s="35">
        <v>111.0</v>
      </c>
      <c r="AW104" s="26">
        <v>150.0</v>
      </c>
      <c r="AX104" s="26" t="s">
        <v>1052</v>
      </c>
      <c r="AY104" s="26">
        <v>265.0</v>
      </c>
      <c r="AZ104" s="37">
        <v>45363.0</v>
      </c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</row>
    <row r="105">
      <c r="A105" s="20" t="s">
        <v>1057</v>
      </c>
      <c r="B105" s="20" t="s">
        <v>1058</v>
      </c>
      <c r="C105" s="17" t="s">
        <v>1059</v>
      </c>
      <c r="D105" s="17" t="s">
        <v>506</v>
      </c>
      <c r="E105" s="34" t="s">
        <v>477</v>
      </c>
      <c r="F105" s="26" t="s">
        <v>478</v>
      </c>
      <c r="G105" s="35">
        <v>138.0</v>
      </c>
      <c r="H105" s="32"/>
      <c r="I105" s="17" t="s">
        <v>414</v>
      </c>
      <c r="J105" s="17" t="s">
        <v>415</v>
      </c>
      <c r="L105" s="26">
        <v>5.0</v>
      </c>
      <c r="M105" s="17" t="s">
        <v>417</v>
      </c>
      <c r="N105" s="32"/>
      <c r="O105" s="32"/>
      <c r="P105" s="26">
        <v>-1.0</v>
      </c>
      <c r="Q105" s="17" t="s">
        <v>419</v>
      </c>
      <c r="R105" s="17" t="s">
        <v>420</v>
      </c>
      <c r="S105" s="17" t="s">
        <v>421</v>
      </c>
      <c r="T105" s="17" t="s">
        <v>422</v>
      </c>
      <c r="U105" s="17" t="s">
        <v>423</v>
      </c>
      <c r="V105" s="17" t="s">
        <v>1001</v>
      </c>
      <c r="W105" s="17" t="s">
        <v>403</v>
      </c>
      <c r="X105" s="17" t="s">
        <v>480</v>
      </c>
      <c r="Y105" s="17" t="s">
        <v>438</v>
      </c>
      <c r="Z105" s="17" t="s">
        <v>829</v>
      </c>
      <c r="AA105" s="17" t="s">
        <v>440</v>
      </c>
      <c r="AB105" s="17" t="s">
        <v>1026</v>
      </c>
      <c r="AC105" s="17" t="s">
        <v>428</v>
      </c>
      <c r="AD105" s="17" t="s">
        <v>502</v>
      </c>
      <c r="AE105" s="26">
        <v>480.0</v>
      </c>
      <c r="AF105" s="36">
        <v>40.0</v>
      </c>
      <c r="AG105" s="36">
        <v>41.27</v>
      </c>
      <c r="AH105" s="26" t="s">
        <v>1060</v>
      </c>
      <c r="AI105" s="26">
        <v>41388.0</v>
      </c>
      <c r="AJ105" s="26">
        <v>41388.0</v>
      </c>
      <c r="AK105" s="26" t="s">
        <v>431</v>
      </c>
      <c r="AL105" s="26">
        <v>536.0</v>
      </c>
      <c r="AM105" s="26">
        <v>1947.0</v>
      </c>
      <c r="AN105" s="32"/>
      <c r="AO105" s="32"/>
      <c r="AP105" s="32"/>
      <c r="AQ105" s="32"/>
      <c r="AR105" s="17" t="s">
        <v>512</v>
      </c>
      <c r="AS105" s="32"/>
      <c r="AT105" s="26">
        <v>169.0</v>
      </c>
      <c r="AU105" s="26" t="s">
        <v>1028</v>
      </c>
      <c r="AV105" s="35">
        <v>138.0</v>
      </c>
      <c r="AW105" s="26">
        <v>150.0</v>
      </c>
      <c r="AX105" s="26" t="s">
        <v>478</v>
      </c>
      <c r="AY105" s="26">
        <v>300.0</v>
      </c>
      <c r="AZ105" s="37">
        <v>45300.0</v>
      </c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</row>
    <row r="106">
      <c r="A106" s="20" t="s">
        <v>1061</v>
      </c>
      <c r="B106" s="20" t="s">
        <v>1062</v>
      </c>
      <c r="C106" s="17" t="s">
        <v>1063</v>
      </c>
      <c r="D106" s="17" t="s">
        <v>804</v>
      </c>
      <c r="E106" s="34" t="s">
        <v>477</v>
      </c>
      <c r="F106" s="26">
        <v>77.0</v>
      </c>
      <c r="G106" s="35">
        <v>118.0</v>
      </c>
      <c r="H106" s="32"/>
      <c r="I106" s="17" t="s">
        <v>414</v>
      </c>
      <c r="J106" s="17" t="s">
        <v>415</v>
      </c>
      <c r="L106" s="26">
        <v>5.0</v>
      </c>
      <c r="M106" s="17" t="s">
        <v>417</v>
      </c>
      <c r="N106" s="17" t="s">
        <v>418</v>
      </c>
      <c r="O106" s="26">
        <v>1000.0</v>
      </c>
      <c r="P106" s="26">
        <v>5.0</v>
      </c>
      <c r="Q106" s="26">
        <v>5.0</v>
      </c>
      <c r="R106" s="17" t="s">
        <v>419</v>
      </c>
      <c r="S106" s="17" t="s">
        <v>420</v>
      </c>
      <c r="T106" s="17" t="s">
        <v>421</v>
      </c>
      <c r="U106" s="17" t="s">
        <v>423</v>
      </c>
      <c r="V106" s="17" t="s">
        <v>732</v>
      </c>
      <c r="W106" s="17" t="s">
        <v>403</v>
      </c>
      <c r="X106" s="17" t="s">
        <v>493</v>
      </c>
      <c r="Y106" s="17" t="s">
        <v>438</v>
      </c>
      <c r="Z106" s="17" t="s">
        <v>881</v>
      </c>
      <c r="AA106" s="17" t="s">
        <v>440</v>
      </c>
      <c r="AB106" s="17" t="s">
        <v>1026</v>
      </c>
      <c r="AC106" s="17" t="s">
        <v>428</v>
      </c>
      <c r="AD106" s="17" t="s">
        <v>1064</v>
      </c>
      <c r="AE106" s="26">
        <v>680.0</v>
      </c>
      <c r="AF106" s="36">
        <v>48.97</v>
      </c>
      <c r="AG106" s="36">
        <v>53.99</v>
      </c>
      <c r="AH106" s="26" t="s">
        <v>1065</v>
      </c>
      <c r="AI106" s="26">
        <v>53847.0</v>
      </c>
      <c r="AJ106" s="26">
        <v>53847.0</v>
      </c>
      <c r="AK106" s="26" t="s">
        <v>777</v>
      </c>
      <c r="AL106" s="26">
        <v>558.0</v>
      </c>
      <c r="AM106" s="26">
        <v>2031.0</v>
      </c>
      <c r="AN106" s="32"/>
      <c r="AO106" s="17" t="s">
        <v>422</v>
      </c>
      <c r="AP106" s="17" t="s">
        <v>483</v>
      </c>
      <c r="AQ106" s="32"/>
      <c r="AR106" s="32"/>
      <c r="AS106" s="32"/>
      <c r="AT106" s="26">
        <v>169.0</v>
      </c>
      <c r="AU106" s="26" t="s">
        <v>1028</v>
      </c>
      <c r="AV106" s="35">
        <v>118.0</v>
      </c>
      <c r="AW106" s="26">
        <v>180.0</v>
      </c>
      <c r="AX106" s="26">
        <v>77.0</v>
      </c>
      <c r="AY106" s="26">
        <v>455.0</v>
      </c>
      <c r="AZ106" s="37">
        <v>45479.0</v>
      </c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</row>
    <row r="107">
      <c r="A107" s="20" t="s">
        <v>1066</v>
      </c>
      <c r="B107" s="20" t="s">
        <v>1067</v>
      </c>
      <c r="C107" s="17" t="s">
        <v>1068</v>
      </c>
      <c r="D107" s="17" t="s">
        <v>781</v>
      </c>
      <c r="E107" s="34" t="s">
        <v>477</v>
      </c>
      <c r="F107" s="26">
        <v>44.0</v>
      </c>
      <c r="G107" s="35">
        <v>93.0</v>
      </c>
      <c r="H107" s="17" t="s">
        <v>413</v>
      </c>
      <c r="I107" s="17" t="s">
        <v>414</v>
      </c>
      <c r="J107" s="17" t="s">
        <v>415</v>
      </c>
      <c r="L107" s="26">
        <v>5.0</v>
      </c>
      <c r="M107" s="32"/>
      <c r="N107" s="17" t="s">
        <v>418</v>
      </c>
      <c r="O107" s="26">
        <v>550.0</v>
      </c>
      <c r="P107" s="26">
        <v>-1.0</v>
      </c>
      <c r="Q107" s="17" t="s">
        <v>419</v>
      </c>
      <c r="R107" s="17" t="s">
        <v>420</v>
      </c>
      <c r="S107" s="17" t="s">
        <v>421</v>
      </c>
      <c r="T107" s="17" t="s">
        <v>422</v>
      </c>
      <c r="U107" s="17" t="s">
        <v>423</v>
      </c>
      <c r="V107" s="17" t="s">
        <v>1069</v>
      </c>
      <c r="W107" s="17" t="s">
        <v>403</v>
      </c>
      <c r="X107" s="17" t="s">
        <v>652</v>
      </c>
      <c r="Y107" s="17" t="s">
        <v>438</v>
      </c>
      <c r="Z107" s="17" t="s">
        <v>534</v>
      </c>
      <c r="AA107" s="17" t="s">
        <v>440</v>
      </c>
      <c r="AB107" s="17" t="s">
        <v>1026</v>
      </c>
      <c r="AC107" s="17" t="s">
        <v>428</v>
      </c>
      <c r="AD107" s="17" t="s">
        <v>536</v>
      </c>
      <c r="AE107" s="26">
        <v>340.0</v>
      </c>
      <c r="AF107" s="36">
        <v>23.3</v>
      </c>
      <c r="AG107" s="36">
        <v>24.29</v>
      </c>
      <c r="AH107" s="26" t="s">
        <v>1070</v>
      </c>
      <c r="AI107" s="26">
        <v>24292.0</v>
      </c>
      <c r="AJ107" s="26">
        <v>24292.0</v>
      </c>
      <c r="AK107" s="26" t="s">
        <v>495</v>
      </c>
      <c r="AL107" s="26">
        <v>1588.0</v>
      </c>
      <c r="AM107" s="26">
        <v>2039.0</v>
      </c>
      <c r="AN107" s="32"/>
      <c r="AO107" s="32"/>
      <c r="AP107" s="32"/>
      <c r="AQ107" s="17" t="s">
        <v>496</v>
      </c>
      <c r="AR107" s="17" t="s">
        <v>512</v>
      </c>
      <c r="AS107" s="32"/>
      <c r="AT107" s="26">
        <v>169.0</v>
      </c>
      <c r="AU107" s="26" t="s">
        <v>1028</v>
      </c>
      <c r="AV107" s="35">
        <v>93.0</v>
      </c>
      <c r="AW107" s="26">
        <v>135.0</v>
      </c>
      <c r="AX107" s="26">
        <v>44.0</v>
      </c>
      <c r="AY107" s="26">
        <v>260.0</v>
      </c>
      <c r="AZ107" s="37">
        <v>45423.0</v>
      </c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</row>
    <row r="108">
      <c r="A108" s="20" t="s">
        <v>1071</v>
      </c>
      <c r="B108" s="20" t="s">
        <v>904</v>
      </c>
      <c r="C108" s="17" t="s">
        <v>1072</v>
      </c>
      <c r="D108" s="17" t="s">
        <v>781</v>
      </c>
      <c r="E108" s="34" t="s">
        <v>477</v>
      </c>
      <c r="F108" s="26">
        <v>97.0</v>
      </c>
      <c r="G108" s="35">
        <v>188.0</v>
      </c>
      <c r="H108" s="17" t="s">
        <v>413</v>
      </c>
      <c r="I108" s="17" t="s">
        <v>414</v>
      </c>
      <c r="J108" s="17" t="s">
        <v>415</v>
      </c>
      <c r="K108" s="17" t="s">
        <v>416</v>
      </c>
      <c r="L108" s="26">
        <v>5.0</v>
      </c>
      <c r="M108" s="17" t="s">
        <v>417</v>
      </c>
      <c r="N108" s="32"/>
      <c r="O108" s="32"/>
      <c r="P108" s="26">
        <v>-1.0</v>
      </c>
      <c r="Q108" s="17" t="s">
        <v>419</v>
      </c>
      <c r="R108" s="17" t="s">
        <v>420</v>
      </c>
      <c r="S108" s="17" t="s">
        <v>421</v>
      </c>
      <c r="T108" s="17" t="s">
        <v>422</v>
      </c>
      <c r="U108" s="17" t="s">
        <v>423</v>
      </c>
      <c r="V108" s="17" t="s">
        <v>907</v>
      </c>
      <c r="W108" s="17" t="s">
        <v>403</v>
      </c>
      <c r="X108" s="17" t="s">
        <v>655</v>
      </c>
      <c r="Y108" s="17" t="s">
        <v>438</v>
      </c>
      <c r="Z108" s="17" t="s">
        <v>871</v>
      </c>
      <c r="AA108" s="17" t="s">
        <v>440</v>
      </c>
      <c r="AB108" s="17" t="s">
        <v>1026</v>
      </c>
      <c r="AC108" s="17" t="s">
        <v>428</v>
      </c>
      <c r="AD108" s="17" t="s">
        <v>1073</v>
      </c>
      <c r="AE108" s="26">
        <v>1340.0</v>
      </c>
      <c r="AF108" s="36">
        <v>107.224</v>
      </c>
      <c r="AG108" s="36">
        <v>113.044</v>
      </c>
      <c r="AH108" s="26" t="s">
        <v>1074</v>
      </c>
      <c r="AI108" s="26">
        <v>100000.0</v>
      </c>
      <c r="AJ108" s="26">
        <v>108288.0</v>
      </c>
      <c r="AK108" s="26" t="s">
        <v>495</v>
      </c>
      <c r="AL108" s="26">
        <v>554.0</v>
      </c>
      <c r="AM108" s="26">
        <v>2099.0</v>
      </c>
      <c r="AN108" s="32"/>
      <c r="AO108" s="32"/>
      <c r="AP108" s="32"/>
      <c r="AQ108" s="32"/>
      <c r="AR108" s="32"/>
      <c r="AS108" s="32"/>
      <c r="AT108" s="26">
        <v>169.0</v>
      </c>
      <c r="AU108" s="26" t="s">
        <v>1028</v>
      </c>
      <c r="AV108" s="35">
        <v>188.0</v>
      </c>
      <c r="AW108" s="26">
        <v>230.0</v>
      </c>
      <c r="AX108" s="26">
        <v>97.0</v>
      </c>
      <c r="AY108" s="26">
        <v>575.0</v>
      </c>
      <c r="AZ108" s="37">
        <v>45508.0</v>
      </c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</row>
    <row r="109">
      <c r="A109" s="20" t="s">
        <v>1075</v>
      </c>
      <c r="B109" s="20" t="s">
        <v>1076</v>
      </c>
      <c r="C109" s="17" t="s">
        <v>1077</v>
      </c>
      <c r="D109" s="17" t="s">
        <v>1012</v>
      </c>
      <c r="E109" s="34" t="s">
        <v>436</v>
      </c>
      <c r="F109" s="26">
        <v>55.0</v>
      </c>
      <c r="G109" s="35">
        <v>114.0</v>
      </c>
      <c r="H109" s="17" t="s">
        <v>413</v>
      </c>
      <c r="I109" s="17" t="s">
        <v>414</v>
      </c>
      <c r="J109" s="17" t="s">
        <v>415</v>
      </c>
      <c r="L109" s="26">
        <v>5.0</v>
      </c>
      <c r="M109" s="17" t="s">
        <v>417</v>
      </c>
      <c r="N109" s="17" t="s">
        <v>418</v>
      </c>
      <c r="O109" s="26">
        <v>300.0</v>
      </c>
      <c r="P109" s="26">
        <v>-1.0</v>
      </c>
      <c r="Q109" s="17" t="s">
        <v>419</v>
      </c>
      <c r="R109" s="17" t="s">
        <v>420</v>
      </c>
      <c r="S109" s="17" t="s">
        <v>421</v>
      </c>
      <c r="T109" s="17" t="s">
        <v>422</v>
      </c>
      <c r="U109" s="17" t="s">
        <v>423</v>
      </c>
      <c r="V109" s="17" t="s">
        <v>1078</v>
      </c>
      <c r="W109" s="17" t="s">
        <v>403</v>
      </c>
      <c r="X109" s="17" t="s">
        <v>589</v>
      </c>
      <c r="Y109" s="17" t="s">
        <v>438</v>
      </c>
      <c r="Z109" s="17" t="s">
        <v>1079</v>
      </c>
      <c r="AA109" s="17" t="s">
        <v>440</v>
      </c>
      <c r="AB109" s="17" t="s">
        <v>1026</v>
      </c>
      <c r="AC109" s="17" t="s">
        <v>428</v>
      </c>
      <c r="AD109" s="17" t="s">
        <v>1039</v>
      </c>
      <c r="AE109" s="26">
        <v>450.0</v>
      </c>
      <c r="AF109" s="36">
        <v>35.99</v>
      </c>
      <c r="AG109" s="36">
        <v>36.995</v>
      </c>
      <c r="AH109" s="26" t="s">
        <v>823</v>
      </c>
      <c r="AI109" s="26">
        <v>36976.0</v>
      </c>
      <c r="AJ109" s="26">
        <v>36976.0</v>
      </c>
      <c r="AK109" s="26" t="s">
        <v>567</v>
      </c>
      <c r="AL109" s="26">
        <v>1483.0</v>
      </c>
      <c r="AM109" s="26">
        <v>2211.0</v>
      </c>
      <c r="AN109" s="17" t="s">
        <v>465</v>
      </c>
      <c r="AO109" s="32"/>
      <c r="AP109" s="32"/>
      <c r="AQ109" s="32"/>
      <c r="AR109" s="17" t="s">
        <v>512</v>
      </c>
      <c r="AS109" s="32"/>
      <c r="AT109" s="26">
        <v>169.0</v>
      </c>
      <c r="AU109" s="26" t="s">
        <v>1028</v>
      </c>
      <c r="AV109" s="35">
        <v>114.0</v>
      </c>
      <c r="AW109" s="26">
        <v>170.0</v>
      </c>
      <c r="AX109" s="26">
        <v>55.0</v>
      </c>
      <c r="AY109" s="26">
        <v>325.0</v>
      </c>
      <c r="AZ109" s="37">
        <v>45419.0</v>
      </c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</row>
    <row r="110">
      <c r="A110" s="20" t="s">
        <v>1080</v>
      </c>
      <c r="B110" s="20" t="s">
        <v>869</v>
      </c>
      <c r="C110" s="17" t="s">
        <v>1081</v>
      </c>
      <c r="D110" s="17" t="s">
        <v>750</v>
      </c>
      <c r="E110" s="34" t="s">
        <v>436</v>
      </c>
      <c r="F110" s="26">
        <v>95.0</v>
      </c>
      <c r="G110" s="35">
        <v>198.0</v>
      </c>
      <c r="H110" s="17" t="s">
        <v>413</v>
      </c>
      <c r="I110" s="17" t="s">
        <v>414</v>
      </c>
      <c r="J110" s="17" t="s">
        <v>415</v>
      </c>
      <c r="K110" s="17" t="s">
        <v>595</v>
      </c>
      <c r="L110" s="26">
        <v>5.0</v>
      </c>
      <c r="M110" s="17" t="s">
        <v>417</v>
      </c>
      <c r="N110" s="17" t="s">
        <v>418</v>
      </c>
      <c r="O110" s="26">
        <v>1600.0</v>
      </c>
      <c r="P110" s="26">
        <v>5.0</v>
      </c>
      <c r="Q110" s="26">
        <v>5.0</v>
      </c>
      <c r="R110" s="17" t="s">
        <v>419</v>
      </c>
      <c r="S110" s="17" t="s">
        <v>420</v>
      </c>
      <c r="T110" s="17" t="s">
        <v>421</v>
      </c>
      <c r="U110" s="17" t="s">
        <v>488</v>
      </c>
      <c r="V110" s="17" t="s">
        <v>1082</v>
      </c>
      <c r="W110" s="17" t="s">
        <v>403</v>
      </c>
      <c r="X110" s="17" t="s">
        <v>1083</v>
      </c>
      <c r="Y110" s="17" t="s">
        <v>404</v>
      </c>
      <c r="Z110" s="17" t="s">
        <v>1084</v>
      </c>
      <c r="AA110" s="17" t="s">
        <v>401</v>
      </c>
      <c r="AB110" s="17" t="s">
        <v>1085</v>
      </c>
      <c r="AC110" s="17" t="s">
        <v>520</v>
      </c>
      <c r="AD110" s="17" t="s">
        <v>462</v>
      </c>
      <c r="AE110" s="26">
        <v>780.0</v>
      </c>
      <c r="AF110" s="36">
        <v>108.97</v>
      </c>
      <c r="AG110" s="36">
        <v>108.99</v>
      </c>
      <c r="AH110" s="17" t="s">
        <v>1086</v>
      </c>
      <c r="AI110" s="26">
        <v>100000.0</v>
      </c>
      <c r="AJ110" s="26">
        <v>110986.0</v>
      </c>
      <c r="AK110" s="26" t="s">
        <v>464</v>
      </c>
      <c r="AL110" s="26">
        <v>1570.0</v>
      </c>
      <c r="AM110" s="26">
        <v>1405.0</v>
      </c>
      <c r="AN110" s="32"/>
      <c r="AO110" s="17" t="s">
        <v>422</v>
      </c>
      <c r="AP110" s="32"/>
      <c r="AQ110" s="32"/>
      <c r="AR110" s="32"/>
      <c r="AS110" s="32"/>
      <c r="AT110" s="26">
        <v>170.0</v>
      </c>
      <c r="AU110" s="26" t="s">
        <v>1087</v>
      </c>
      <c r="AV110" s="35">
        <v>198.0</v>
      </c>
      <c r="AW110" s="26">
        <v>282.0</v>
      </c>
      <c r="AX110" s="26">
        <v>95.0</v>
      </c>
      <c r="AY110" s="26">
        <v>560.0</v>
      </c>
      <c r="AZ110" s="37">
        <v>45353.0</v>
      </c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</row>
    <row r="111">
      <c r="A111" s="20" t="s">
        <v>1088</v>
      </c>
      <c r="B111" s="20" t="s">
        <v>897</v>
      </c>
      <c r="C111" s="17" t="s">
        <v>1089</v>
      </c>
      <c r="D111" s="17" t="s">
        <v>750</v>
      </c>
      <c r="E111" s="34" t="s">
        <v>550</v>
      </c>
      <c r="F111" s="26" t="s">
        <v>836</v>
      </c>
      <c r="G111" s="35">
        <v>147.0</v>
      </c>
      <c r="H111" s="17" t="s">
        <v>413</v>
      </c>
      <c r="I111" s="17" t="s">
        <v>414</v>
      </c>
      <c r="J111" s="17" t="s">
        <v>415</v>
      </c>
      <c r="L111" s="26">
        <v>5.0</v>
      </c>
      <c r="M111" s="17" t="s">
        <v>417</v>
      </c>
      <c r="N111" s="17" t="s">
        <v>418</v>
      </c>
      <c r="O111" s="26">
        <v>1200.0</v>
      </c>
      <c r="P111" s="26">
        <v>-1.0</v>
      </c>
      <c r="Q111" s="17" t="s">
        <v>419</v>
      </c>
      <c r="R111" s="17" t="s">
        <v>420</v>
      </c>
      <c r="S111" s="17" t="s">
        <v>421</v>
      </c>
      <c r="T111" s="17" t="s">
        <v>422</v>
      </c>
      <c r="U111" s="17" t="s">
        <v>423</v>
      </c>
      <c r="V111" s="17" t="s">
        <v>678</v>
      </c>
      <c r="W111" s="17" t="s">
        <v>403</v>
      </c>
      <c r="X111" s="17" t="s">
        <v>493</v>
      </c>
      <c r="Y111" s="17" t="s">
        <v>404</v>
      </c>
      <c r="Z111" s="17" t="s">
        <v>661</v>
      </c>
      <c r="AA111" s="17" t="s">
        <v>401</v>
      </c>
      <c r="AB111" s="17" t="s">
        <v>1085</v>
      </c>
      <c r="AC111" s="17" t="s">
        <v>428</v>
      </c>
      <c r="AD111" s="17" t="s">
        <v>710</v>
      </c>
      <c r="AE111" s="26">
        <v>510.0</v>
      </c>
      <c r="AF111" s="36">
        <v>55.0</v>
      </c>
      <c r="AG111" s="36">
        <v>57.85</v>
      </c>
      <c r="AH111" s="26" t="s">
        <v>1090</v>
      </c>
      <c r="AI111" s="26">
        <v>55811.0</v>
      </c>
      <c r="AJ111" s="26">
        <v>55811.0</v>
      </c>
      <c r="AK111" s="26" t="s">
        <v>464</v>
      </c>
      <c r="AL111" s="26">
        <v>1762.0</v>
      </c>
      <c r="AM111" s="26">
        <v>1701.0</v>
      </c>
      <c r="AN111" s="32"/>
      <c r="AO111" s="32"/>
      <c r="AP111" s="17" t="s">
        <v>483</v>
      </c>
      <c r="AQ111" s="32"/>
      <c r="AR111" s="32"/>
      <c r="AS111" s="32"/>
      <c r="AT111" s="26">
        <v>170.0</v>
      </c>
      <c r="AU111" s="26" t="s">
        <v>1087</v>
      </c>
      <c r="AV111" s="35">
        <v>147.0</v>
      </c>
      <c r="AW111" s="26">
        <v>180.0</v>
      </c>
      <c r="AX111" s="26" t="s">
        <v>836</v>
      </c>
      <c r="AY111" s="26">
        <v>380.0</v>
      </c>
      <c r="AZ111" s="37">
        <v>45448.0</v>
      </c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</row>
    <row r="112">
      <c r="A112" s="20" t="s">
        <v>1091</v>
      </c>
      <c r="B112" s="20" t="s">
        <v>1092</v>
      </c>
      <c r="C112" s="17" t="s">
        <v>1093</v>
      </c>
      <c r="D112" s="17" t="s">
        <v>804</v>
      </c>
      <c r="E112" s="34" t="s">
        <v>477</v>
      </c>
      <c r="F112" s="26" t="s">
        <v>984</v>
      </c>
      <c r="G112" s="35">
        <v>136.0</v>
      </c>
      <c r="H112" s="17" t="s">
        <v>413</v>
      </c>
      <c r="I112" s="17" t="s">
        <v>414</v>
      </c>
      <c r="J112" s="17" t="s">
        <v>415</v>
      </c>
      <c r="L112" s="26">
        <v>7.0</v>
      </c>
      <c r="M112" s="17" t="s">
        <v>417</v>
      </c>
      <c r="N112" s="17" t="s">
        <v>418</v>
      </c>
      <c r="O112" s="26">
        <v>1400.0</v>
      </c>
      <c r="P112" s="26">
        <v>-1.0</v>
      </c>
      <c r="Q112" s="17" t="s">
        <v>419</v>
      </c>
      <c r="R112" s="17" t="s">
        <v>420</v>
      </c>
      <c r="S112" s="17" t="s">
        <v>421</v>
      </c>
      <c r="T112" s="17" t="s">
        <v>422</v>
      </c>
      <c r="U112" s="17" t="s">
        <v>423</v>
      </c>
      <c r="V112" s="17" t="s">
        <v>1094</v>
      </c>
      <c r="W112" s="17" t="s">
        <v>403</v>
      </c>
      <c r="X112" s="17" t="s">
        <v>581</v>
      </c>
      <c r="Y112" s="17" t="s">
        <v>438</v>
      </c>
      <c r="Z112" s="17" t="s">
        <v>860</v>
      </c>
      <c r="AA112" s="17" t="s">
        <v>440</v>
      </c>
      <c r="AB112" s="17" t="s">
        <v>1085</v>
      </c>
      <c r="AC112" s="17" t="s">
        <v>520</v>
      </c>
      <c r="AD112" s="17" t="s">
        <v>482</v>
      </c>
      <c r="AE112" s="26">
        <v>490.0</v>
      </c>
      <c r="AF112" s="36">
        <v>53.514</v>
      </c>
      <c r="AG112" s="36">
        <v>54.966</v>
      </c>
      <c r="AH112" s="26" t="s">
        <v>1095</v>
      </c>
      <c r="AI112" s="26">
        <v>56400.0</v>
      </c>
      <c r="AJ112" s="26">
        <v>56400.0</v>
      </c>
      <c r="AK112" s="26" t="s">
        <v>777</v>
      </c>
      <c r="AL112" s="26">
        <v>1575.0</v>
      </c>
      <c r="AM112" s="26">
        <v>1988.0</v>
      </c>
      <c r="AN112" s="32"/>
      <c r="AO112" s="32"/>
      <c r="AP112" s="17" t="s">
        <v>483</v>
      </c>
      <c r="AQ112" s="32"/>
      <c r="AR112" s="32"/>
      <c r="AS112" s="32"/>
      <c r="AT112" s="26">
        <v>170.0</v>
      </c>
      <c r="AU112" s="26" t="s">
        <v>1087</v>
      </c>
      <c r="AV112" s="35">
        <v>136.0</v>
      </c>
      <c r="AW112" s="26">
        <v>160.0</v>
      </c>
      <c r="AX112" s="26" t="s">
        <v>984</v>
      </c>
      <c r="AY112" s="26">
        <v>415.0</v>
      </c>
      <c r="AZ112" s="37">
        <v>45543.0</v>
      </c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</row>
    <row r="113">
      <c r="A113" s="20" t="s">
        <v>1096</v>
      </c>
      <c r="B113" s="20" t="s">
        <v>1097</v>
      </c>
      <c r="C113" s="17" t="s">
        <v>1098</v>
      </c>
      <c r="D113" s="17" t="s">
        <v>781</v>
      </c>
      <c r="E113" s="34" t="s">
        <v>477</v>
      </c>
      <c r="F113" s="26" t="s">
        <v>1099</v>
      </c>
      <c r="G113" s="35">
        <v>119.0</v>
      </c>
      <c r="H113" s="17" t="s">
        <v>413</v>
      </c>
      <c r="I113" s="17" t="s">
        <v>414</v>
      </c>
      <c r="J113" s="17" t="s">
        <v>415</v>
      </c>
      <c r="L113" s="26">
        <v>5.0</v>
      </c>
      <c r="M113" s="17" t="s">
        <v>417</v>
      </c>
      <c r="N113" s="17" t="s">
        <v>418</v>
      </c>
      <c r="O113" s="26">
        <v>750.0</v>
      </c>
      <c r="P113" s="26">
        <v>-1.0</v>
      </c>
      <c r="Q113" s="17" t="s">
        <v>419</v>
      </c>
      <c r="R113" s="17" t="s">
        <v>420</v>
      </c>
      <c r="S113" s="17" t="s">
        <v>421</v>
      </c>
      <c r="T113" s="17" t="s">
        <v>422</v>
      </c>
      <c r="U113" s="17" t="s">
        <v>423</v>
      </c>
      <c r="V113" s="17" t="s">
        <v>837</v>
      </c>
      <c r="W113" s="17" t="s">
        <v>403</v>
      </c>
      <c r="X113" s="17" t="s">
        <v>589</v>
      </c>
      <c r="Y113" s="17" t="s">
        <v>438</v>
      </c>
      <c r="Z113" s="17" t="s">
        <v>661</v>
      </c>
      <c r="AA113" s="17" t="s">
        <v>440</v>
      </c>
      <c r="AB113" s="17" t="s">
        <v>1085</v>
      </c>
      <c r="AC113" s="17" t="s">
        <v>428</v>
      </c>
      <c r="AD113" s="17" t="s">
        <v>710</v>
      </c>
      <c r="AE113" s="26">
        <v>510.0</v>
      </c>
      <c r="AF113" s="36">
        <v>43.5</v>
      </c>
      <c r="AG113" s="36">
        <v>43.49</v>
      </c>
      <c r="AH113" s="26" t="s">
        <v>1100</v>
      </c>
      <c r="AI113" s="26">
        <v>45127.0</v>
      </c>
      <c r="AJ113" s="26">
        <v>45127.0</v>
      </c>
      <c r="AK113" s="26" t="s">
        <v>495</v>
      </c>
      <c r="AL113" s="26">
        <v>1083.0</v>
      </c>
      <c r="AM113" s="26">
        <v>1994.0</v>
      </c>
      <c r="AN113" s="32"/>
      <c r="AO113" s="32"/>
      <c r="AP113" s="17" t="s">
        <v>483</v>
      </c>
      <c r="AQ113" s="32"/>
      <c r="AR113" s="32"/>
      <c r="AS113" s="32"/>
      <c r="AT113" s="26">
        <v>170.0</v>
      </c>
      <c r="AU113" s="26" t="s">
        <v>1087</v>
      </c>
      <c r="AV113" s="35">
        <v>119.0</v>
      </c>
      <c r="AW113" s="26">
        <v>170.0</v>
      </c>
      <c r="AX113" s="26" t="s">
        <v>1099</v>
      </c>
      <c r="AY113" s="26">
        <v>380.0</v>
      </c>
      <c r="AZ113" s="37">
        <v>45451.0</v>
      </c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</row>
    <row r="114">
      <c r="A114" s="20" t="s">
        <v>1101</v>
      </c>
      <c r="B114" s="20" t="s">
        <v>1102</v>
      </c>
      <c r="C114" s="17" t="s">
        <v>1103</v>
      </c>
      <c r="D114" s="17" t="s">
        <v>565</v>
      </c>
      <c r="E114" s="34" t="s">
        <v>477</v>
      </c>
      <c r="F114" s="26">
        <v>79.0</v>
      </c>
      <c r="G114" s="35">
        <v>110.0</v>
      </c>
      <c r="H114" s="32"/>
      <c r="I114" s="17" t="s">
        <v>414</v>
      </c>
      <c r="J114" s="17" t="s">
        <v>415</v>
      </c>
      <c r="L114" s="26">
        <v>5.0</v>
      </c>
      <c r="M114" s="17" t="s">
        <v>417</v>
      </c>
      <c r="N114" s="32"/>
      <c r="O114" s="32"/>
      <c r="P114" s="26">
        <v>5.0</v>
      </c>
      <c r="Q114" s="26">
        <v>5.0</v>
      </c>
      <c r="R114" s="17" t="s">
        <v>419</v>
      </c>
      <c r="S114" s="17" t="s">
        <v>420</v>
      </c>
      <c r="T114" s="17" t="s">
        <v>421</v>
      </c>
      <c r="U114" s="17" t="s">
        <v>423</v>
      </c>
      <c r="V114" s="17" t="s">
        <v>678</v>
      </c>
      <c r="W114" s="17" t="s">
        <v>403</v>
      </c>
      <c r="X114" s="17" t="s">
        <v>782</v>
      </c>
      <c r="Y114" s="17" t="s">
        <v>438</v>
      </c>
      <c r="Z114" s="17" t="s">
        <v>1104</v>
      </c>
      <c r="AA114" s="17" t="s">
        <v>440</v>
      </c>
      <c r="AB114" s="17" t="s">
        <v>1085</v>
      </c>
      <c r="AC114" s="17" t="s">
        <v>520</v>
      </c>
      <c r="AD114" s="17" t="s">
        <v>1105</v>
      </c>
      <c r="AE114" s="26">
        <v>750.0</v>
      </c>
      <c r="AF114" s="36">
        <v>52.77</v>
      </c>
      <c r="AG114" s="36">
        <v>49.99</v>
      </c>
      <c r="AH114" s="26" t="s">
        <v>1106</v>
      </c>
      <c r="AI114" s="26">
        <v>51359.0</v>
      </c>
      <c r="AJ114" s="26">
        <v>51359.0</v>
      </c>
      <c r="AK114" s="26" t="s">
        <v>567</v>
      </c>
      <c r="AL114" s="26">
        <v>297.0</v>
      </c>
      <c r="AM114" s="26">
        <v>2128.0</v>
      </c>
      <c r="AN114" s="32"/>
      <c r="AO114" s="17" t="s">
        <v>422</v>
      </c>
      <c r="AP114" s="17" t="s">
        <v>483</v>
      </c>
      <c r="AQ114" s="17" t="s">
        <v>496</v>
      </c>
      <c r="AS114" s="32"/>
      <c r="AT114" s="26">
        <v>170.0</v>
      </c>
      <c r="AU114" s="26" t="s">
        <v>1087</v>
      </c>
      <c r="AV114" s="35">
        <v>110.0</v>
      </c>
      <c r="AW114" s="26">
        <v>200.0</v>
      </c>
      <c r="AX114" s="26">
        <v>79.0</v>
      </c>
      <c r="AY114" s="26">
        <v>465.0</v>
      </c>
      <c r="AZ114" s="37">
        <v>45448.0</v>
      </c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</row>
    <row r="115">
      <c r="A115" s="20" t="s">
        <v>1107</v>
      </c>
      <c r="B115" s="20" t="s">
        <v>932</v>
      </c>
      <c r="C115" s="17" t="s">
        <v>1108</v>
      </c>
      <c r="D115" s="17" t="s">
        <v>565</v>
      </c>
      <c r="E115" s="34" t="s">
        <v>477</v>
      </c>
      <c r="F115" s="26" t="s">
        <v>828</v>
      </c>
      <c r="G115" s="35">
        <v>141.0</v>
      </c>
      <c r="H115" s="32"/>
      <c r="I115" s="17" t="s">
        <v>414</v>
      </c>
      <c r="J115" s="17" t="s">
        <v>415</v>
      </c>
      <c r="L115" s="26">
        <v>5.0</v>
      </c>
      <c r="M115" s="17" t="s">
        <v>417</v>
      </c>
      <c r="N115" s="17" t="s">
        <v>418</v>
      </c>
      <c r="O115" s="26">
        <v>750.0</v>
      </c>
      <c r="P115" s="26">
        <v>-1.0</v>
      </c>
      <c r="Q115" s="17" t="s">
        <v>419</v>
      </c>
      <c r="R115" s="17" t="s">
        <v>420</v>
      </c>
      <c r="S115" s="17" t="s">
        <v>421</v>
      </c>
      <c r="T115" s="17" t="s">
        <v>422</v>
      </c>
      <c r="U115" s="17" t="s">
        <v>423</v>
      </c>
      <c r="V115" s="17" t="s">
        <v>1109</v>
      </c>
      <c r="W115" s="17" t="s">
        <v>403</v>
      </c>
      <c r="X115" s="17" t="s">
        <v>589</v>
      </c>
      <c r="Y115" s="17" t="s">
        <v>438</v>
      </c>
      <c r="Z115" s="17" t="s">
        <v>720</v>
      </c>
      <c r="AA115" s="17" t="s">
        <v>440</v>
      </c>
      <c r="AB115" s="17" t="s">
        <v>1085</v>
      </c>
      <c r="AC115" s="17" t="s">
        <v>428</v>
      </c>
      <c r="AD115" s="17" t="s">
        <v>583</v>
      </c>
      <c r="AE115" s="26">
        <v>420.0</v>
      </c>
      <c r="AF115" s="36">
        <v>39.55</v>
      </c>
      <c r="AG115" s="36">
        <v>40.99</v>
      </c>
      <c r="AH115" s="26" t="s">
        <v>1110</v>
      </c>
      <c r="AI115" s="26">
        <v>40761.0</v>
      </c>
      <c r="AJ115" s="26">
        <v>40761.0</v>
      </c>
      <c r="AK115" s="26" t="s">
        <v>567</v>
      </c>
      <c r="AL115" s="26">
        <v>200.0</v>
      </c>
      <c r="AM115" s="26">
        <v>2191.0</v>
      </c>
      <c r="AN115" s="32"/>
      <c r="AO115" s="32"/>
      <c r="AP115" s="32"/>
      <c r="AQ115" s="32"/>
      <c r="AR115" s="17" t="s">
        <v>512</v>
      </c>
      <c r="AS115" s="32"/>
      <c r="AT115" s="26">
        <v>170.0</v>
      </c>
      <c r="AU115" s="26" t="s">
        <v>1087</v>
      </c>
      <c r="AV115" s="35">
        <v>141.0</v>
      </c>
      <c r="AW115" s="26">
        <v>170.0</v>
      </c>
      <c r="AX115" s="26" t="s">
        <v>828</v>
      </c>
      <c r="AY115" s="26">
        <v>290.0</v>
      </c>
      <c r="AZ115" s="37">
        <v>45298.0</v>
      </c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</row>
    <row r="116">
      <c r="A116" s="20" t="s">
        <v>1111</v>
      </c>
      <c r="B116" s="20" t="s">
        <v>1112</v>
      </c>
      <c r="C116" s="17" t="s">
        <v>1113</v>
      </c>
      <c r="D116" s="17" t="s">
        <v>487</v>
      </c>
      <c r="E116" s="34" t="s">
        <v>477</v>
      </c>
      <c r="F116" s="26">
        <v>89.0</v>
      </c>
      <c r="G116" s="35">
        <v>131.0</v>
      </c>
      <c r="H116" s="17" t="s">
        <v>413</v>
      </c>
      <c r="I116" s="17" t="s">
        <v>414</v>
      </c>
      <c r="J116" s="17" t="s">
        <v>415</v>
      </c>
      <c r="K116" s="17" t="s">
        <v>416</v>
      </c>
      <c r="L116" s="26">
        <v>5.0</v>
      </c>
      <c r="M116" s="17" t="s">
        <v>417</v>
      </c>
      <c r="N116" s="17" t="s">
        <v>418</v>
      </c>
      <c r="O116" s="26">
        <v>750.0</v>
      </c>
      <c r="P116" s="26">
        <v>5.0</v>
      </c>
      <c r="Q116" s="26">
        <v>5.0</v>
      </c>
      <c r="R116" s="17" t="s">
        <v>419</v>
      </c>
      <c r="S116" s="17" t="s">
        <v>420</v>
      </c>
      <c r="T116" s="17" t="s">
        <v>421</v>
      </c>
      <c r="U116" s="17" t="s">
        <v>423</v>
      </c>
      <c r="V116" s="17" t="s">
        <v>772</v>
      </c>
      <c r="W116" s="17" t="s">
        <v>403</v>
      </c>
      <c r="X116" s="17" t="s">
        <v>619</v>
      </c>
      <c r="Y116" s="17" t="s">
        <v>438</v>
      </c>
      <c r="Z116" s="17" t="s">
        <v>449</v>
      </c>
      <c r="AA116" s="17" t="s">
        <v>440</v>
      </c>
      <c r="AB116" s="17" t="s">
        <v>1085</v>
      </c>
      <c r="AC116" s="17" t="s">
        <v>428</v>
      </c>
      <c r="AD116" s="17" t="s">
        <v>1114</v>
      </c>
      <c r="AE116" s="26">
        <v>660.0</v>
      </c>
      <c r="AF116" s="36">
        <v>67.187</v>
      </c>
      <c r="AG116" s="36">
        <v>69.928</v>
      </c>
      <c r="AH116" s="17" t="s">
        <v>463</v>
      </c>
      <c r="AI116" s="26">
        <v>68557.0</v>
      </c>
      <c r="AJ116" s="26">
        <v>68557.0</v>
      </c>
      <c r="AK116" s="26" t="s">
        <v>495</v>
      </c>
      <c r="AL116" s="26">
        <v>338.0</v>
      </c>
      <c r="AM116" s="26">
        <v>2204.0</v>
      </c>
      <c r="AN116" s="32"/>
      <c r="AO116" s="17" t="s">
        <v>422</v>
      </c>
      <c r="AP116" s="32"/>
      <c r="AQ116" s="32"/>
      <c r="AR116" s="32"/>
      <c r="AS116" s="32"/>
      <c r="AT116" s="26">
        <v>170.0</v>
      </c>
      <c r="AU116" s="26" t="s">
        <v>1087</v>
      </c>
      <c r="AV116" s="35">
        <v>131.0</v>
      </c>
      <c r="AW116" s="26">
        <v>210.0</v>
      </c>
      <c r="AX116" s="26">
        <v>89.0</v>
      </c>
      <c r="AY116" s="26">
        <v>525.0</v>
      </c>
      <c r="AZ116" s="37">
        <v>45358.0</v>
      </c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</row>
    <row r="117">
      <c r="A117" s="20" t="s">
        <v>1115</v>
      </c>
      <c r="B117" s="20" t="s">
        <v>1010</v>
      </c>
      <c r="C117" s="17" t="s">
        <v>1116</v>
      </c>
      <c r="D117" s="17" t="s">
        <v>1012</v>
      </c>
      <c r="E117" s="34" t="s">
        <v>477</v>
      </c>
      <c r="F117" s="26">
        <v>52.0</v>
      </c>
      <c r="G117" s="35">
        <v>137.0</v>
      </c>
      <c r="H117" s="32"/>
      <c r="I117" s="17" t="s">
        <v>414</v>
      </c>
      <c r="J117" s="17" t="s">
        <v>415</v>
      </c>
      <c r="L117" s="26">
        <v>5.0</v>
      </c>
      <c r="M117" s="17" t="s">
        <v>417</v>
      </c>
      <c r="N117" s="17" t="s">
        <v>418</v>
      </c>
      <c r="O117" s="26">
        <v>500.0</v>
      </c>
      <c r="P117" s="26">
        <v>-1.0</v>
      </c>
      <c r="Q117" s="17" t="s">
        <v>419</v>
      </c>
      <c r="R117" s="17" t="s">
        <v>420</v>
      </c>
      <c r="S117" s="17" t="s">
        <v>421</v>
      </c>
      <c r="T117" s="17" t="s">
        <v>422</v>
      </c>
      <c r="U117" s="17" t="s">
        <v>423</v>
      </c>
      <c r="V117" s="17" t="s">
        <v>858</v>
      </c>
      <c r="W117" s="17" t="s">
        <v>403</v>
      </c>
      <c r="X117" s="17" t="s">
        <v>589</v>
      </c>
      <c r="Y117" s="17" t="s">
        <v>438</v>
      </c>
      <c r="Z117" s="17" t="s">
        <v>1117</v>
      </c>
      <c r="AA117" s="17" t="s">
        <v>440</v>
      </c>
      <c r="AB117" s="17" t="s">
        <v>1085</v>
      </c>
      <c r="AC117" s="17" t="s">
        <v>428</v>
      </c>
      <c r="AD117" s="17" t="s">
        <v>746</v>
      </c>
      <c r="AE117" s="26">
        <v>380.0</v>
      </c>
      <c r="AF117" s="36">
        <v>41.9</v>
      </c>
      <c r="AG117" s="36">
        <v>41.8</v>
      </c>
      <c r="AH117" s="17" t="s">
        <v>1118</v>
      </c>
      <c r="AI117" s="26">
        <v>41700.0</v>
      </c>
      <c r="AJ117" s="26">
        <v>41700.0</v>
      </c>
      <c r="AK117" s="26" t="s">
        <v>567</v>
      </c>
      <c r="AL117" s="26">
        <v>299.0</v>
      </c>
      <c r="AM117" s="26">
        <v>2269.0</v>
      </c>
      <c r="AN117" s="17" t="s">
        <v>465</v>
      </c>
      <c r="AO117" s="32"/>
      <c r="AP117" s="32"/>
      <c r="AQ117" s="17" t="s">
        <v>496</v>
      </c>
      <c r="AR117" s="17" t="s">
        <v>512</v>
      </c>
      <c r="AS117" s="32"/>
      <c r="AT117" s="26">
        <v>170.0</v>
      </c>
      <c r="AU117" s="26" t="s">
        <v>1087</v>
      </c>
      <c r="AV117" s="35">
        <v>137.0</v>
      </c>
      <c r="AW117" s="26">
        <v>170.0</v>
      </c>
      <c r="AX117" s="26">
        <v>52.0</v>
      </c>
      <c r="AY117" s="26">
        <v>305.0</v>
      </c>
      <c r="AZ117" s="37">
        <v>45388.0</v>
      </c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</row>
    <row r="118">
      <c r="A118" s="20" t="s">
        <v>1119</v>
      </c>
      <c r="B118" s="20" t="s">
        <v>1120</v>
      </c>
      <c r="C118" s="17" t="s">
        <v>1121</v>
      </c>
      <c r="D118" s="17" t="s">
        <v>435</v>
      </c>
      <c r="E118" s="34" t="s">
        <v>477</v>
      </c>
      <c r="F118" s="26" t="s">
        <v>828</v>
      </c>
      <c r="G118" s="35">
        <v>156.0</v>
      </c>
      <c r="H118" s="32"/>
      <c r="I118" s="17" t="s">
        <v>414</v>
      </c>
      <c r="J118" s="17" t="s">
        <v>415</v>
      </c>
      <c r="L118" s="26">
        <v>4.0</v>
      </c>
      <c r="M118" s="17" t="s">
        <v>417</v>
      </c>
      <c r="N118" s="32"/>
      <c r="O118" s="32"/>
      <c r="P118" s="26">
        <v>-1.0</v>
      </c>
      <c r="Q118" s="17" t="s">
        <v>419</v>
      </c>
      <c r="R118" s="17" t="s">
        <v>420</v>
      </c>
      <c r="S118" s="17" t="s">
        <v>421</v>
      </c>
      <c r="T118" s="17" t="s">
        <v>422</v>
      </c>
      <c r="U118" s="17" t="s">
        <v>423</v>
      </c>
      <c r="V118" s="17" t="s">
        <v>880</v>
      </c>
      <c r="W118" s="17" t="s">
        <v>403</v>
      </c>
      <c r="X118" s="17" t="s">
        <v>782</v>
      </c>
      <c r="Y118" s="17" t="s">
        <v>438</v>
      </c>
      <c r="Z118" s="17" t="s">
        <v>720</v>
      </c>
      <c r="AA118" s="17" t="s">
        <v>440</v>
      </c>
      <c r="AB118" s="17" t="s">
        <v>1085</v>
      </c>
      <c r="AC118" s="17" t="s">
        <v>428</v>
      </c>
      <c r="AD118" s="17" t="s">
        <v>583</v>
      </c>
      <c r="AE118" s="26">
        <v>420.0</v>
      </c>
      <c r="AF118" s="36">
        <v>40.65</v>
      </c>
      <c r="AG118" s="36">
        <v>50.49</v>
      </c>
      <c r="AH118" s="26" t="s">
        <v>1122</v>
      </c>
      <c r="AI118" s="26">
        <v>45330.0</v>
      </c>
      <c r="AJ118" s="26">
        <v>45330.0</v>
      </c>
      <c r="AK118" s="26" t="s">
        <v>444</v>
      </c>
      <c r="AL118" s="26">
        <v>254.0</v>
      </c>
      <c r="AM118" s="26">
        <v>3058.0</v>
      </c>
      <c r="AN118" s="32"/>
      <c r="AO118" s="32"/>
      <c r="AP118" s="32"/>
      <c r="AQ118" s="17" t="s">
        <v>496</v>
      </c>
      <c r="AR118" s="17" t="s">
        <v>512</v>
      </c>
      <c r="AS118" s="32"/>
      <c r="AT118" s="26">
        <v>170.0</v>
      </c>
      <c r="AU118" s="26" t="s">
        <v>1087</v>
      </c>
      <c r="AV118" s="35">
        <v>156.0</v>
      </c>
      <c r="AW118" s="26">
        <v>200.0</v>
      </c>
      <c r="AX118" s="26" t="s">
        <v>828</v>
      </c>
      <c r="AY118" s="26">
        <v>290.0</v>
      </c>
      <c r="AZ118" s="37">
        <v>45540.0</v>
      </c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</row>
    <row r="119">
      <c r="A119" s="20" t="s">
        <v>1123</v>
      </c>
      <c r="B119" s="20" t="s">
        <v>1124</v>
      </c>
      <c r="C119" s="17" t="s">
        <v>1125</v>
      </c>
      <c r="D119" s="17" t="s">
        <v>891</v>
      </c>
      <c r="E119" s="34" t="s">
        <v>550</v>
      </c>
      <c r="F119" s="26" t="s">
        <v>1126</v>
      </c>
      <c r="G119" s="35">
        <v>112.0</v>
      </c>
      <c r="H119" s="17" t="s">
        <v>413</v>
      </c>
      <c r="I119" s="17" t="s">
        <v>414</v>
      </c>
      <c r="J119" s="17" t="s">
        <v>415</v>
      </c>
      <c r="L119" s="26">
        <v>5.0</v>
      </c>
      <c r="M119" s="17" t="s">
        <v>417</v>
      </c>
      <c r="N119" s="17" t="s">
        <v>418</v>
      </c>
      <c r="O119" s="26">
        <v>500.0</v>
      </c>
      <c r="P119" s="26">
        <v>-1.0</v>
      </c>
      <c r="Q119" s="17" t="s">
        <v>419</v>
      </c>
      <c r="R119" s="17" t="s">
        <v>420</v>
      </c>
      <c r="S119" s="17" t="s">
        <v>421</v>
      </c>
      <c r="T119" s="17" t="s">
        <v>422</v>
      </c>
      <c r="U119" s="17" t="s">
        <v>423</v>
      </c>
      <c r="V119" s="17" t="s">
        <v>1033</v>
      </c>
      <c r="W119" s="17" t="s">
        <v>403</v>
      </c>
      <c r="X119" s="17" t="s">
        <v>459</v>
      </c>
      <c r="Y119" s="17" t="s">
        <v>404</v>
      </c>
      <c r="Z119" s="17" t="s">
        <v>460</v>
      </c>
      <c r="AA119" s="17" t="s">
        <v>401</v>
      </c>
      <c r="AB119" s="17" t="s">
        <v>1127</v>
      </c>
      <c r="AC119" s="17" t="s">
        <v>428</v>
      </c>
      <c r="AD119" s="17" t="s">
        <v>640</v>
      </c>
      <c r="AE119" s="26">
        <v>330.0</v>
      </c>
      <c r="AF119" s="36">
        <v>38.49</v>
      </c>
      <c r="AG119" s="36">
        <v>38.885</v>
      </c>
      <c r="AH119" s="26" t="s">
        <v>747</v>
      </c>
      <c r="AI119" s="26">
        <v>37673.0</v>
      </c>
      <c r="AJ119" s="26">
        <v>37673.0</v>
      </c>
      <c r="AK119" s="26" t="s">
        <v>537</v>
      </c>
      <c r="AL119" s="26">
        <v>743.0</v>
      </c>
      <c r="AM119" s="26">
        <v>1474.0</v>
      </c>
      <c r="AN119" s="17" t="s">
        <v>465</v>
      </c>
      <c r="AO119" s="32"/>
      <c r="AP119" s="17" t="s">
        <v>483</v>
      </c>
      <c r="AQ119" s="32"/>
      <c r="AR119" s="32"/>
      <c r="AS119" s="32"/>
      <c r="AT119" s="26">
        <v>171.0</v>
      </c>
      <c r="AU119" s="26" t="s">
        <v>1128</v>
      </c>
      <c r="AV119" s="35">
        <v>112.0</v>
      </c>
      <c r="AW119" s="26">
        <v>185.0</v>
      </c>
      <c r="AX119" s="26" t="s">
        <v>1126</v>
      </c>
      <c r="AY119" s="26">
        <v>335.0</v>
      </c>
      <c r="AZ119" s="37">
        <v>45480.0</v>
      </c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</row>
    <row r="120">
      <c r="A120" s="20" t="s">
        <v>1129</v>
      </c>
      <c r="B120" s="20" t="s">
        <v>1030</v>
      </c>
      <c r="C120" s="17" t="s">
        <v>1130</v>
      </c>
      <c r="D120" s="17" t="s">
        <v>1032</v>
      </c>
      <c r="E120" s="34" t="s">
        <v>550</v>
      </c>
      <c r="F120" s="26" t="s">
        <v>1131</v>
      </c>
      <c r="G120" s="35">
        <v>102.0</v>
      </c>
      <c r="H120" s="32"/>
      <c r="I120" s="17" t="s">
        <v>414</v>
      </c>
      <c r="J120" s="17" t="s">
        <v>415</v>
      </c>
      <c r="L120" s="26">
        <v>5.0</v>
      </c>
      <c r="M120" s="17" t="s">
        <v>417</v>
      </c>
      <c r="N120" s="17" t="s">
        <v>418</v>
      </c>
      <c r="O120" s="26">
        <v>500.0</v>
      </c>
      <c r="P120" s="26">
        <v>5.0</v>
      </c>
      <c r="Q120" s="26">
        <v>5.0</v>
      </c>
      <c r="R120" s="17" t="s">
        <v>419</v>
      </c>
      <c r="S120" s="17" t="s">
        <v>420</v>
      </c>
      <c r="T120" s="17" t="s">
        <v>421</v>
      </c>
      <c r="U120" s="17" t="s">
        <v>423</v>
      </c>
      <c r="V120" s="17" t="s">
        <v>892</v>
      </c>
      <c r="W120" s="17" t="s">
        <v>403</v>
      </c>
      <c r="X120" s="17" t="s">
        <v>581</v>
      </c>
      <c r="Y120" s="17" t="s">
        <v>404</v>
      </c>
      <c r="Z120" s="17" t="s">
        <v>852</v>
      </c>
      <c r="AA120" s="17" t="s">
        <v>401</v>
      </c>
      <c r="AB120" s="17" t="s">
        <v>1127</v>
      </c>
      <c r="AC120" s="17" t="s">
        <v>428</v>
      </c>
      <c r="AD120" s="17" t="s">
        <v>866</v>
      </c>
      <c r="AE120" s="26">
        <v>630.0</v>
      </c>
      <c r="AF120" s="36">
        <v>39.99</v>
      </c>
      <c r="AG120" s="36">
        <v>35.785</v>
      </c>
      <c r="AH120" s="26" t="s">
        <v>1132</v>
      </c>
      <c r="AI120" s="26">
        <v>36564.0</v>
      </c>
      <c r="AJ120" s="26">
        <v>36564.0</v>
      </c>
      <c r="AK120" s="26" t="s">
        <v>671</v>
      </c>
      <c r="AL120" s="26">
        <v>2507.0</v>
      </c>
      <c r="AM120" s="26">
        <v>1708.0</v>
      </c>
      <c r="AN120" s="17" t="s">
        <v>465</v>
      </c>
      <c r="AO120" s="17" t="s">
        <v>422</v>
      </c>
      <c r="AP120" s="17" t="s">
        <v>483</v>
      </c>
      <c r="AQ120" s="17" t="s">
        <v>496</v>
      </c>
      <c r="AS120" s="32"/>
      <c r="AT120" s="26">
        <v>171.0</v>
      </c>
      <c r="AU120" s="26" t="s">
        <v>1128</v>
      </c>
      <c r="AV120" s="35">
        <v>102.0</v>
      </c>
      <c r="AW120" s="26">
        <v>160.0</v>
      </c>
      <c r="AX120" s="26" t="s">
        <v>1131</v>
      </c>
      <c r="AY120" s="26">
        <v>360.0</v>
      </c>
      <c r="AZ120" s="37">
        <v>45542.0</v>
      </c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</row>
    <row r="121">
      <c r="A121" s="20" t="s">
        <v>1133</v>
      </c>
      <c r="B121" s="20" t="s">
        <v>1134</v>
      </c>
      <c r="C121" s="17" t="s">
        <v>1135</v>
      </c>
      <c r="D121" s="17" t="s">
        <v>469</v>
      </c>
      <c r="E121" s="34" t="s">
        <v>436</v>
      </c>
      <c r="F121" s="26">
        <v>60.0</v>
      </c>
      <c r="G121" s="35">
        <v>138.0</v>
      </c>
      <c r="H121" s="32"/>
      <c r="I121" s="17" t="s">
        <v>414</v>
      </c>
      <c r="J121" s="17" t="s">
        <v>415</v>
      </c>
      <c r="L121" s="26">
        <v>5.0</v>
      </c>
      <c r="M121" s="17" t="s">
        <v>417</v>
      </c>
      <c r="N121" s="32"/>
      <c r="O121" s="32"/>
      <c r="P121" s="26">
        <v>-1.0</v>
      </c>
      <c r="Q121" s="17" t="s">
        <v>419</v>
      </c>
      <c r="R121" s="17" t="s">
        <v>420</v>
      </c>
      <c r="S121" s="17" t="s">
        <v>421</v>
      </c>
      <c r="T121" s="17" t="s">
        <v>422</v>
      </c>
      <c r="U121" s="17" t="s">
        <v>423</v>
      </c>
      <c r="V121" s="17" t="s">
        <v>938</v>
      </c>
      <c r="W121" s="17" t="s">
        <v>543</v>
      </c>
      <c r="X121" s="17" t="s">
        <v>581</v>
      </c>
      <c r="Y121" s="17" t="s">
        <v>438</v>
      </c>
      <c r="Z121" s="17" t="s">
        <v>799</v>
      </c>
      <c r="AA121" s="17" t="s">
        <v>440</v>
      </c>
      <c r="AB121" s="17" t="s">
        <v>1127</v>
      </c>
      <c r="AC121" s="17" t="s">
        <v>428</v>
      </c>
      <c r="AD121" s="17" t="s">
        <v>830</v>
      </c>
      <c r="AE121" s="26">
        <v>430.0</v>
      </c>
      <c r="AF121" s="36">
        <v>47.588</v>
      </c>
      <c r="AG121" s="36">
        <v>48.975</v>
      </c>
      <c r="AH121" s="17" t="s">
        <v>463</v>
      </c>
      <c r="AI121" s="26">
        <v>48281.0</v>
      </c>
      <c r="AJ121" s="26">
        <v>48281.0</v>
      </c>
      <c r="AK121" s="26" t="s">
        <v>464</v>
      </c>
      <c r="AL121" s="26">
        <v>104.0</v>
      </c>
      <c r="AM121" s="26">
        <v>1766.0</v>
      </c>
      <c r="AN121" s="32"/>
      <c r="AO121" s="32"/>
      <c r="AP121" s="17" t="s">
        <v>483</v>
      </c>
      <c r="AQ121" s="32"/>
      <c r="AR121" s="32"/>
      <c r="AS121" s="32"/>
      <c r="AT121" s="26">
        <v>171.0</v>
      </c>
      <c r="AU121" s="26" t="s">
        <v>1128</v>
      </c>
      <c r="AV121" s="35">
        <v>138.0</v>
      </c>
      <c r="AW121" s="26">
        <v>160.0</v>
      </c>
      <c r="AX121" s="26">
        <v>60.0</v>
      </c>
      <c r="AY121" s="26">
        <v>350.0</v>
      </c>
      <c r="AZ121" s="26">
        <v>7.0</v>
      </c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</row>
    <row r="122">
      <c r="A122" s="20" t="s">
        <v>1136</v>
      </c>
      <c r="B122" s="20" t="s">
        <v>1058</v>
      </c>
      <c r="C122" s="17" t="s">
        <v>1137</v>
      </c>
      <c r="D122" s="17" t="s">
        <v>556</v>
      </c>
      <c r="E122" s="34" t="s">
        <v>477</v>
      </c>
      <c r="F122" s="26" t="s">
        <v>624</v>
      </c>
      <c r="G122" s="35">
        <v>142.0</v>
      </c>
      <c r="H122" s="32"/>
      <c r="I122" s="17" t="s">
        <v>414</v>
      </c>
      <c r="J122" s="17" t="s">
        <v>415</v>
      </c>
      <c r="L122" s="26">
        <v>5.0</v>
      </c>
      <c r="M122" s="17" t="s">
        <v>417</v>
      </c>
      <c r="N122" s="32"/>
      <c r="O122" s="32"/>
      <c r="P122" s="26">
        <v>-1.0</v>
      </c>
      <c r="Q122" s="17" t="s">
        <v>419</v>
      </c>
      <c r="R122" s="17" t="s">
        <v>420</v>
      </c>
      <c r="S122" s="17" t="s">
        <v>421</v>
      </c>
      <c r="T122" s="17" t="s">
        <v>422</v>
      </c>
      <c r="U122" s="17" t="s">
        <v>423</v>
      </c>
      <c r="V122" s="17" t="s">
        <v>1138</v>
      </c>
      <c r="W122" s="17" t="s">
        <v>403</v>
      </c>
      <c r="X122" s="17" t="s">
        <v>480</v>
      </c>
      <c r="Y122" s="17" t="s">
        <v>438</v>
      </c>
      <c r="Z122" s="17" t="s">
        <v>1139</v>
      </c>
      <c r="AA122" s="17" t="s">
        <v>440</v>
      </c>
      <c r="AB122" s="17" t="s">
        <v>1127</v>
      </c>
      <c r="AC122" s="17" t="s">
        <v>428</v>
      </c>
      <c r="AD122" s="17" t="s">
        <v>830</v>
      </c>
      <c r="AE122" s="26">
        <v>430.0</v>
      </c>
      <c r="AF122" s="36">
        <v>39.0</v>
      </c>
      <c r="AG122" s="36">
        <v>39.27</v>
      </c>
      <c r="AH122" s="26" t="s">
        <v>1140</v>
      </c>
      <c r="AI122" s="26">
        <v>38471.0</v>
      </c>
      <c r="AJ122" s="26">
        <v>38471.0</v>
      </c>
      <c r="AK122" s="26" t="s">
        <v>431</v>
      </c>
      <c r="AL122" s="26">
        <v>265.0</v>
      </c>
      <c r="AM122" s="26">
        <v>1946.0</v>
      </c>
      <c r="AN122" s="32"/>
      <c r="AO122" s="32"/>
      <c r="AP122" s="32"/>
      <c r="AQ122" s="32"/>
      <c r="AR122" s="17" t="s">
        <v>512</v>
      </c>
      <c r="AS122" s="32"/>
      <c r="AT122" s="26">
        <v>171.0</v>
      </c>
      <c r="AU122" s="26" t="s">
        <v>1128</v>
      </c>
      <c r="AV122" s="35">
        <v>142.0</v>
      </c>
      <c r="AW122" s="26">
        <v>150.0</v>
      </c>
      <c r="AX122" s="26" t="s">
        <v>624</v>
      </c>
      <c r="AY122" s="26">
        <v>270.0</v>
      </c>
      <c r="AZ122" s="37">
        <v>45544.0</v>
      </c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</row>
    <row r="123">
      <c r="A123" s="20" t="s">
        <v>1141</v>
      </c>
      <c r="B123" s="20" t="s">
        <v>999</v>
      </c>
      <c r="C123" s="17" t="s">
        <v>1142</v>
      </c>
      <c r="D123" s="17" t="s">
        <v>410</v>
      </c>
      <c r="E123" s="34" t="s">
        <v>550</v>
      </c>
      <c r="F123" s="26">
        <v>77.0</v>
      </c>
      <c r="G123" s="35">
        <v>112.0</v>
      </c>
      <c r="H123" s="17" t="s">
        <v>413</v>
      </c>
      <c r="I123" s="17" t="s">
        <v>414</v>
      </c>
      <c r="J123" s="17" t="s">
        <v>415</v>
      </c>
      <c r="L123" s="26">
        <v>5.0</v>
      </c>
      <c r="M123" s="17" t="s">
        <v>417</v>
      </c>
      <c r="N123" s="17" t="s">
        <v>418</v>
      </c>
      <c r="O123" s="26">
        <v>1000.0</v>
      </c>
      <c r="P123" s="26">
        <v>5.0</v>
      </c>
      <c r="Q123" s="26">
        <v>5.0</v>
      </c>
      <c r="R123" s="17" t="s">
        <v>419</v>
      </c>
      <c r="S123" s="17" t="s">
        <v>420</v>
      </c>
      <c r="T123" s="17" t="s">
        <v>421</v>
      </c>
      <c r="U123" s="17" t="s">
        <v>423</v>
      </c>
      <c r="V123" s="17" t="s">
        <v>732</v>
      </c>
      <c r="W123" s="17" t="s">
        <v>403</v>
      </c>
      <c r="X123" s="17" t="s">
        <v>493</v>
      </c>
      <c r="Y123" s="17" t="s">
        <v>404</v>
      </c>
      <c r="Z123" s="17" t="s">
        <v>1143</v>
      </c>
      <c r="AA123" s="17" t="s">
        <v>401</v>
      </c>
      <c r="AB123" s="17" t="s">
        <v>1127</v>
      </c>
      <c r="AC123" s="17" t="s">
        <v>428</v>
      </c>
      <c r="AD123" s="17" t="s">
        <v>1144</v>
      </c>
      <c r="AE123" s="26">
        <v>670.0</v>
      </c>
      <c r="AF123" s="36">
        <v>48.9</v>
      </c>
      <c r="AG123" s="36">
        <v>50.99</v>
      </c>
      <c r="AH123" s="26" t="s">
        <v>1145</v>
      </c>
      <c r="AI123" s="26">
        <v>50370.0</v>
      </c>
      <c r="AJ123" s="26">
        <v>50370.0</v>
      </c>
      <c r="AK123" s="26" t="s">
        <v>431</v>
      </c>
      <c r="AL123" s="26">
        <v>1217.0</v>
      </c>
      <c r="AM123" s="26">
        <v>2020.0</v>
      </c>
      <c r="AN123" s="32"/>
      <c r="AO123" s="17" t="s">
        <v>422</v>
      </c>
      <c r="AP123" s="17" t="s">
        <v>483</v>
      </c>
      <c r="AQ123" s="32"/>
      <c r="AR123" s="32"/>
      <c r="AS123" s="32"/>
      <c r="AT123" s="26">
        <v>171.0</v>
      </c>
      <c r="AU123" s="26" t="s">
        <v>1128</v>
      </c>
      <c r="AV123" s="35">
        <v>112.0</v>
      </c>
      <c r="AW123" s="26">
        <v>180.0</v>
      </c>
      <c r="AX123" s="26">
        <v>77.0</v>
      </c>
      <c r="AY123" s="26">
        <v>450.0</v>
      </c>
      <c r="AZ123" s="37">
        <v>45479.0</v>
      </c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</row>
    <row r="124">
      <c r="A124" s="20" t="s">
        <v>1146</v>
      </c>
      <c r="B124" s="20" t="s">
        <v>1147</v>
      </c>
      <c r="C124" s="17" t="s">
        <v>1148</v>
      </c>
      <c r="D124" s="17" t="s">
        <v>487</v>
      </c>
      <c r="E124" s="34" t="s">
        <v>477</v>
      </c>
      <c r="F124" s="26">
        <v>118.0</v>
      </c>
      <c r="G124" s="35">
        <v>169.0</v>
      </c>
      <c r="H124" s="17" t="s">
        <v>413</v>
      </c>
      <c r="I124" s="17" t="s">
        <v>414</v>
      </c>
      <c r="J124" s="17" t="s">
        <v>415</v>
      </c>
      <c r="K124" s="17" t="s">
        <v>416</v>
      </c>
      <c r="L124" s="26">
        <v>5.0</v>
      </c>
      <c r="M124" s="17" t="s">
        <v>417</v>
      </c>
      <c r="N124" s="17" t="s">
        <v>418</v>
      </c>
      <c r="O124" s="26">
        <v>750.0</v>
      </c>
      <c r="P124" s="26">
        <v>-1.0</v>
      </c>
      <c r="Q124" s="17" t="s">
        <v>419</v>
      </c>
      <c r="R124" s="17" t="s">
        <v>420</v>
      </c>
      <c r="S124" s="17" t="s">
        <v>421</v>
      </c>
      <c r="T124" s="17" t="s">
        <v>422</v>
      </c>
      <c r="U124" s="17" t="s">
        <v>423</v>
      </c>
      <c r="V124" s="17" t="s">
        <v>916</v>
      </c>
      <c r="W124" s="17" t="s">
        <v>403</v>
      </c>
      <c r="X124" s="17" t="s">
        <v>619</v>
      </c>
      <c r="Y124" s="17" t="s">
        <v>438</v>
      </c>
      <c r="Z124" s="17" t="s">
        <v>1149</v>
      </c>
      <c r="AA124" s="17" t="s">
        <v>440</v>
      </c>
      <c r="AB124" s="17" t="s">
        <v>1127</v>
      </c>
      <c r="AC124" s="17" t="s">
        <v>428</v>
      </c>
      <c r="AD124" s="17" t="s">
        <v>1150</v>
      </c>
      <c r="AE124" s="26">
        <v>870.0</v>
      </c>
      <c r="AF124" s="36">
        <v>109.551</v>
      </c>
      <c r="AG124" s="36">
        <v>110.905</v>
      </c>
      <c r="AH124" s="26" t="s">
        <v>1151</v>
      </c>
      <c r="AI124" s="26">
        <v>100000.0</v>
      </c>
      <c r="AJ124" s="26">
        <v>116652.0</v>
      </c>
      <c r="AK124" s="26" t="s">
        <v>495</v>
      </c>
      <c r="AL124" s="26">
        <v>1549.0</v>
      </c>
      <c r="AM124" s="26">
        <v>2193.0</v>
      </c>
      <c r="AN124" s="32"/>
      <c r="AO124" s="32"/>
      <c r="AP124" s="32"/>
      <c r="AQ124" s="32"/>
      <c r="AR124" s="32"/>
      <c r="AS124" s="32"/>
      <c r="AT124" s="26">
        <v>171.0</v>
      </c>
      <c r="AU124" s="26" t="s">
        <v>1128</v>
      </c>
      <c r="AV124" s="35">
        <v>169.0</v>
      </c>
      <c r="AW124" s="26">
        <v>210.0</v>
      </c>
      <c r="AX124" s="26">
        <v>118.0</v>
      </c>
      <c r="AY124" s="26">
        <v>690.0</v>
      </c>
      <c r="AZ124" s="37">
        <v>45328.0</v>
      </c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</row>
    <row r="125">
      <c r="A125" s="20" t="s">
        <v>1152</v>
      </c>
      <c r="B125" s="20" t="s">
        <v>791</v>
      </c>
      <c r="C125" s="17" t="s">
        <v>1153</v>
      </c>
      <c r="D125" s="17" t="s">
        <v>793</v>
      </c>
      <c r="E125" s="34" t="s">
        <v>477</v>
      </c>
      <c r="F125" s="26">
        <v>77.0</v>
      </c>
      <c r="G125" s="35">
        <v>100.0</v>
      </c>
      <c r="H125" s="32"/>
      <c r="I125" s="17" t="s">
        <v>414</v>
      </c>
      <c r="J125" s="17" t="s">
        <v>415</v>
      </c>
      <c r="L125" s="26">
        <v>5.0</v>
      </c>
      <c r="M125" s="17" t="s">
        <v>417</v>
      </c>
      <c r="N125" s="17" t="s">
        <v>418</v>
      </c>
      <c r="O125" s="26">
        <v>0.0</v>
      </c>
      <c r="P125" s="26">
        <v>-1.0</v>
      </c>
      <c r="Q125" s="17" t="s">
        <v>419</v>
      </c>
      <c r="R125" s="17" t="s">
        <v>420</v>
      </c>
      <c r="S125" s="17" t="s">
        <v>421</v>
      </c>
      <c r="T125" s="17" t="s">
        <v>422</v>
      </c>
      <c r="U125" s="17" t="s">
        <v>423</v>
      </c>
      <c r="V125" s="17" t="s">
        <v>1109</v>
      </c>
      <c r="W125" s="17" t="s">
        <v>403</v>
      </c>
      <c r="X125" s="17" t="s">
        <v>581</v>
      </c>
      <c r="Y125" s="17" t="s">
        <v>438</v>
      </c>
      <c r="Z125" s="17" t="s">
        <v>1143</v>
      </c>
      <c r="AA125" s="17" t="s">
        <v>440</v>
      </c>
      <c r="AB125" s="17" t="s">
        <v>1127</v>
      </c>
      <c r="AC125" s="17" t="s">
        <v>428</v>
      </c>
      <c r="AD125" s="17" t="s">
        <v>1144</v>
      </c>
      <c r="AE125" s="26">
        <v>670.0</v>
      </c>
      <c r="AF125" s="36">
        <v>47.595</v>
      </c>
      <c r="AG125" s="36">
        <v>42.99</v>
      </c>
      <c r="AH125" s="26" t="s">
        <v>1154</v>
      </c>
      <c r="AI125" s="26">
        <v>45217.0</v>
      </c>
      <c r="AJ125" s="26">
        <v>45217.0</v>
      </c>
      <c r="AK125" s="26" t="s">
        <v>495</v>
      </c>
      <c r="AL125" s="26">
        <v>555.0</v>
      </c>
      <c r="AM125" s="26">
        <v>2210.0</v>
      </c>
      <c r="AN125" s="32"/>
      <c r="AO125" s="32"/>
      <c r="AP125" s="17" t="s">
        <v>483</v>
      </c>
      <c r="AQ125" s="17" t="s">
        <v>496</v>
      </c>
      <c r="AS125" s="32"/>
      <c r="AT125" s="26">
        <v>171.0</v>
      </c>
      <c r="AU125" s="26" t="s">
        <v>1128</v>
      </c>
      <c r="AV125" s="35">
        <v>100.0</v>
      </c>
      <c r="AW125" s="26">
        <v>160.0</v>
      </c>
      <c r="AX125" s="26">
        <v>77.0</v>
      </c>
      <c r="AY125" s="26">
        <v>450.0</v>
      </c>
      <c r="AZ125" s="37">
        <v>45298.0</v>
      </c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</row>
    <row r="126">
      <c r="A126" s="20" t="s">
        <v>1155</v>
      </c>
      <c r="B126" s="20" t="s">
        <v>1076</v>
      </c>
      <c r="C126" s="17" t="s">
        <v>1156</v>
      </c>
      <c r="D126" s="17" t="s">
        <v>1012</v>
      </c>
      <c r="E126" s="34" t="s">
        <v>436</v>
      </c>
      <c r="F126" s="26">
        <v>78.0</v>
      </c>
      <c r="G126" s="35">
        <v>91.0</v>
      </c>
      <c r="H126" s="17" t="s">
        <v>413</v>
      </c>
      <c r="I126" s="17" t="s">
        <v>414</v>
      </c>
      <c r="J126" s="17" t="s">
        <v>415</v>
      </c>
      <c r="L126" s="26">
        <v>5.0</v>
      </c>
      <c r="M126" s="17" t="s">
        <v>417</v>
      </c>
      <c r="N126" s="17" t="s">
        <v>418</v>
      </c>
      <c r="O126" s="26">
        <v>1000.0</v>
      </c>
      <c r="P126" s="26">
        <v>-1.0</v>
      </c>
      <c r="Q126" s="17" t="s">
        <v>419</v>
      </c>
      <c r="R126" s="17" t="s">
        <v>420</v>
      </c>
      <c r="S126" s="17" t="s">
        <v>421</v>
      </c>
      <c r="T126" s="17" t="s">
        <v>422</v>
      </c>
      <c r="U126" s="17" t="s">
        <v>423</v>
      </c>
      <c r="V126" s="17" t="s">
        <v>1033</v>
      </c>
      <c r="W126" s="17" t="s">
        <v>403</v>
      </c>
      <c r="X126" s="17" t="s">
        <v>589</v>
      </c>
      <c r="Y126" s="17" t="s">
        <v>438</v>
      </c>
      <c r="Z126" s="17" t="s">
        <v>881</v>
      </c>
      <c r="AA126" s="17" t="s">
        <v>440</v>
      </c>
      <c r="AB126" s="17" t="s">
        <v>1127</v>
      </c>
      <c r="AC126" s="17" t="s">
        <v>428</v>
      </c>
      <c r="AD126" s="17" t="s">
        <v>981</v>
      </c>
      <c r="AE126" s="26">
        <v>570.0</v>
      </c>
      <c r="AF126" s="36">
        <v>41.39</v>
      </c>
      <c r="AG126" s="36">
        <v>41.495</v>
      </c>
      <c r="AH126" s="26" t="s">
        <v>1157</v>
      </c>
      <c r="AI126" s="26">
        <v>41426.0</v>
      </c>
      <c r="AJ126" s="26">
        <v>41426.0</v>
      </c>
      <c r="AK126" s="26" t="s">
        <v>567</v>
      </c>
      <c r="AL126" s="26">
        <v>6401.0</v>
      </c>
      <c r="AM126" s="26">
        <v>2212.0</v>
      </c>
      <c r="AN126" s="17" t="s">
        <v>465</v>
      </c>
      <c r="AO126" s="32"/>
      <c r="AP126" s="32"/>
      <c r="AQ126" s="32"/>
      <c r="AR126" s="17" t="s">
        <v>512</v>
      </c>
      <c r="AS126" s="32"/>
      <c r="AT126" s="26">
        <v>171.0</v>
      </c>
      <c r="AU126" s="26" t="s">
        <v>1128</v>
      </c>
      <c r="AV126" s="35">
        <v>91.0</v>
      </c>
      <c r="AW126" s="26">
        <v>170.0</v>
      </c>
      <c r="AX126" s="26">
        <v>78.0</v>
      </c>
      <c r="AY126" s="26">
        <v>455.0</v>
      </c>
      <c r="AZ126" s="37">
        <v>45480.0</v>
      </c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</row>
    <row r="127">
      <c r="A127" s="20" t="s">
        <v>1158</v>
      </c>
      <c r="B127" s="20" t="s">
        <v>995</v>
      </c>
      <c r="C127" s="17" t="s">
        <v>1159</v>
      </c>
      <c r="D127" s="17" t="s">
        <v>1012</v>
      </c>
      <c r="E127" s="34" t="s">
        <v>477</v>
      </c>
      <c r="F127" s="26">
        <v>77.0</v>
      </c>
      <c r="G127" s="35">
        <v>114.0</v>
      </c>
      <c r="H127" s="17" t="s">
        <v>413</v>
      </c>
      <c r="I127" s="17" t="s">
        <v>414</v>
      </c>
      <c r="J127" s="17" t="s">
        <v>415</v>
      </c>
      <c r="K127" s="17" t="s">
        <v>595</v>
      </c>
      <c r="L127" s="26">
        <v>5.0</v>
      </c>
      <c r="M127" s="17" t="s">
        <v>417</v>
      </c>
      <c r="N127" s="17" t="s">
        <v>418</v>
      </c>
      <c r="O127" s="26">
        <v>1000.0</v>
      </c>
      <c r="P127" s="26">
        <v>-1.0</v>
      </c>
      <c r="Q127" s="17" t="s">
        <v>419</v>
      </c>
      <c r="R127" s="17" t="s">
        <v>420</v>
      </c>
      <c r="S127" s="17" t="s">
        <v>421</v>
      </c>
      <c r="T127" s="17" t="s">
        <v>422</v>
      </c>
      <c r="U127" s="17" t="s">
        <v>423</v>
      </c>
      <c r="V127" s="17" t="s">
        <v>858</v>
      </c>
      <c r="W127" s="17" t="s">
        <v>403</v>
      </c>
      <c r="X127" s="17" t="s">
        <v>493</v>
      </c>
      <c r="Y127" s="17" t="s">
        <v>438</v>
      </c>
      <c r="Z127" s="17" t="s">
        <v>1143</v>
      </c>
      <c r="AA127" s="17" t="s">
        <v>440</v>
      </c>
      <c r="AB127" s="17" t="s">
        <v>1127</v>
      </c>
      <c r="AC127" s="17" t="s">
        <v>428</v>
      </c>
      <c r="AD127" s="17" t="s">
        <v>1144</v>
      </c>
      <c r="AE127" s="26">
        <v>670.0</v>
      </c>
      <c r="AF127" s="36">
        <v>50.911</v>
      </c>
      <c r="AG127" s="36">
        <v>47.85</v>
      </c>
      <c r="AH127" s="26" t="s">
        <v>1160</v>
      </c>
      <c r="AI127" s="26">
        <v>51349.0</v>
      </c>
      <c r="AJ127" s="26">
        <v>51349.0</v>
      </c>
      <c r="AK127" s="26" t="s">
        <v>567</v>
      </c>
      <c r="AL127" s="26">
        <v>294.0</v>
      </c>
      <c r="AM127" s="26">
        <v>2241.0</v>
      </c>
      <c r="AN127" s="32"/>
      <c r="AO127" s="32"/>
      <c r="AP127" s="32"/>
      <c r="AQ127" s="32"/>
      <c r="AR127" s="32"/>
      <c r="AS127" s="32"/>
      <c r="AT127" s="26">
        <v>171.0</v>
      </c>
      <c r="AU127" s="26" t="s">
        <v>1128</v>
      </c>
      <c r="AV127" s="35">
        <v>114.0</v>
      </c>
      <c r="AW127" s="26">
        <v>180.0</v>
      </c>
      <c r="AX127" s="26">
        <v>77.0</v>
      </c>
      <c r="AY127" s="26">
        <v>450.0</v>
      </c>
      <c r="AZ127" s="37">
        <v>45388.0</v>
      </c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</row>
    <row r="128">
      <c r="A128" s="20" t="s">
        <v>1161</v>
      </c>
      <c r="B128" s="20" t="s">
        <v>885</v>
      </c>
      <c r="C128" s="17" t="s">
        <v>1162</v>
      </c>
      <c r="D128" s="17" t="s">
        <v>435</v>
      </c>
      <c r="E128" s="34" t="s">
        <v>477</v>
      </c>
      <c r="F128" s="26">
        <v>59.0</v>
      </c>
      <c r="G128" s="35">
        <v>110.0</v>
      </c>
      <c r="H128" s="17" t="s">
        <v>413</v>
      </c>
      <c r="I128" s="17" t="s">
        <v>414</v>
      </c>
      <c r="J128" s="17" t="s">
        <v>415</v>
      </c>
      <c r="L128" s="26">
        <v>5.0</v>
      </c>
      <c r="M128" s="17" t="s">
        <v>417</v>
      </c>
      <c r="N128" s="17" t="s">
        <v>418</v>
      </c>
      <c r="O128" s="26">
        <v>1000.0</v>
      </c>
      <c r="P128" s="26">
        <v>-1.0</v>
      </c>
      <c r="Q128" s="17" t="s">
        <v>419</v>
      </c>
      <c r="R128" s="17" t="s">
        <v>420</v>
      </c>
      <c r="S128" s="17" t="s">
        <v>421</v>
      </c>
      <c r="T128" s="17" t="s">
        <v>422</v>
      </c>
      <c r="U128" s="17" t="s">
        <v>423</v>
      </c>
      <c r="V128" s="17" t="s">
        <v>1163</v>
      </c>
      <c r="W128" s="17" t="s">
        <v>403</v>
      </c>
      <c r="X128" s="17" t="s">
        <v>581</v>
      </c>
      <c r="Y128" s="17" t="s">
        <v>438</v>
      </c>
      <c r="Z128" s="17" t="s">
        <v>1164</v>
      </c>
      <c r="AA128" s="17" t="s">
        <v>440</v>
      </c>
      <c r="AB128" s="17" t="s">
        <v>1127</v>
      </c>
      <c r="AC128" s="17" t="s">
        <v>428</v>
      </c>
      <c r="AD128" s="17" t="s">
        <v>599</v>
      </c>
      <c r="AE128" s="26">
        <v>580.0</v>
      </c>
      <c r="AF128" s="17" t="s">
        <v>463</v>
      </c>
      <c r="AG128" s="36">
        <v>37.99</v>
      </c>
      <c r="AH128" s="17" t="s">
        <v>463</v>
      </c>
      <c r="AI128" s="26">
        <v>37990.0</v>
      </c>
      <c r="AJ128" s="26">
        <v>37990.0</v>
      </c>
      <c r="AK128" s="26" t="s">
        <v>444</v>
      </c>
      <c r="AL128" s="26">
        <v>567.0</v>
      </c>
      <c r="AM128" s="26">
        <v>3032.0</v>
      </c>
      <c r="AN128" s="32"/>
      <c r="AO128" s="32"/>
      <c r="AP128" s="17" t="s">
        <v>483</v>
      </c>
      <c r="AQ128" s="32"/>
      <c r="AR128" s="32"/>
      <c r="AS128" s="32"/>
      <c r="AT128" s="26">
        <v>171.0</v>
      </c>
      <c r="AU128" s="26" t="s">
        <v>1128</v>
      </c>
      <c r="AV128" s="35">
        <v>110.0</v>
      </c>
      <c r="AW128" s="26">
        <v>160.0</v>
      </c>
      <c r="AX128" s="26">
        <v>59.0</v>
      </c>
      <c r="AY128" s="26">
        <v>345.0</v>
      </c>
      <c r="AZ128" s="37">
        <v>45420.0</v>
      </c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</row>
    <row r="129">
      <c r="A129" s="20" t="s">
        <v>1165</v>
      </c>
      <c r="B129" s="20" t="s">
        <v>885</v>
      </c>
      <c r="C129" s="17" t="s">
        <v>1166</v>
      </c>
      <c r="D129" s="17" t="s">
        <v>435</v>
      </c>
      <c r="E129" s="34" t="s">
        <v>477</v>
      </c>
      <c r="F129" s="26">
        <v>77.0</v>
      </c>
      <c r="G129" s="35">
        <v>98.0</v>
      </c>
      <c r="H129" s="17" t="s">
        <v>413</v>
      </c>
      <c r="I129" s="17" t="s">
        <v>414</v>
      </c>
      <c r="J129" s="17" t="s">
        <v>415</v>
      </c>
      <c r="L129" s="26">
        <v>5.0</v>
      </c>
      <c r="M129" s="17" t="s">
        <v>417</v>
      </c>
      <c r="N129" s="17" t="s">
        <v>418</v>
      </c>
      <c r="O129" s="26">
        <v>1000.0</v>
      </c>
      <c r="P129" s="26">
        <v>-1.0</v>
      </c>
      <c r="Q129" s="17" t="s">
        <v>419</v>
      </c>
      <c r="R129" s="17" t="s">
        <v>420</v>
      </c>
      <c r="S129" s="17" t="s">
        <v>421</v>
      </c>
      <c r="T129" s="17" t="s">
        <v>422</v>
      </c>
      <c r="U129" s="17" t="s">
        <v>423</v>
      </c>
      <c r="V129" s="17" t="s">
        <v>759</v>
      </c>
      <c r="W129" s="17" t="s">
        <v>403</v>
      </c>
      <c r="X129" s="17" t="s">
        <v>493</v>
      </c>
      <c r="Y129" s="17" t="s">
        <v>438</v>
      </c>
      <c r="Z129" s="17" t="s">
        <v>1143</v>
      </c>
      <c r="AA129" s="17" t="s">
        <v>440</v>
      </c>
      <c r="AB129" s="17" t="s">
        <v>1127</v>
      </c>
      <c r="AC129" s="17" t="s">
        <v>428</v>
      </c>
      <c r="AD129" s="17" t="s">
        <v>1144</v>
      </c>
      <c r="AE129" s="26">
        <v>670.0</v>
      </c>
      <c r="AF129" s="36">
        <v>44.56</v>
      </c>
      <c r="AG129" s="36">
        <v>42.99</v>
      </c>
      <c r="AH129" s="26" t="s">
        <v>1167</v>
      </c>
      <c r="AI129" s="26">
        <v>43999.0</v>
      </c>
      <c r="AJ129" s="26">
        <v>43999.0</v>
      </c>
      <c r="AK129" s="26" t="s">
        <v>444</v>
      </c>
      <c r="AL129" s="26">
        <v>1654.0</v>
      </c>
      <c r="AM129" s="26">
        <v>3033.0</v>
      </c>
      <c r="AN129" s="32"/>
      <c r="AO129" s="32"/>
      <c r="AP129" s="17" t="s">
        <v>483</v>
      </c>
      <c r="AQ129" s="32"/>
      <c r="AR129" s="32"/>
      <c r="AS129" s="32"/>
      <c r="AT129" s="26">
        <v>171.0</v>
      </c>
      <c r="AU129" s="26" t="s">
        <v>1128</v>
      </c>
      <c r="AV129" s="35">
        <v>98.0</v>
      </c>
      <c r="AW129" s="26">
        <v>180.0</v>
      </c>
      <c r="AX129" s="26">
        <v>77.0</v>
      </c>
      <c r="AY129" s="26">
        <v>450.0</v>
      </c>
      <c r="AZ129" s="37">
        <v>45449.0</v>
      </c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</row>
    <row r="130">
      <c r="A130" s="20" t="s">
        <v>1168</v>
      </c>
      <c r="B130" s="20" t="s">
        <v>1169</v>
      </c>
      <c r="C130" s="17" t="s">
        <v>1170</v>
      </c>
      <c r="D130" s="17" t="s">
        <v>410</v>
      </c>
      <c r="E130" s="34" t="s">
        <v>477</v>
      </c>
      <c r="F130" s="26" t="s">
        <v>1171</v>
      </c>
      <c r="G130" s="35">
        <v>100.0</v>
      </c>
      <c r="H130" s="32"/>
      <c r="I130" s="17" t="s">
        <v>414</v>
      </c>
      <c r="J130" s="17" t="s">
        <v>415</v>
      </c>
      <c r="K130" s="17" t="s">
        <v>416</v>
      </c>
      <c r="L130" s="26">
        <v>5.0</v>
      </c>
      <c r="M130" s="17" t="s">
        <v>417</v>
      </c>
      <c r="N130" s="32"/>
      <c r="O130" s="32"/>
      <c r="P130" s="26">
        <v>5.0</v>
      </c>
      <c r="Q130" s="26">
        <v>5.0</v>
      </c>
      <c r="R130" s="17" t="s">
        <v>419</v>
      </c>
      <c r="S130" s="17" t="s">
        <v>420</v>
      </c>
      <c r="T130" s="17" t="s">
        <v>421</v>
      </c>
      <c r="U130" s="17" t="s">
        <v>423</v>
      </c>
      <c r="V130" s="17" t="s">
        <v>880</v>
      </c>
      <c r="W130" s="17" t="s">
        <v>403</v>
      </c>
      <c r="X130" s="17" t="s">
        <v>493</v>
      </c>
      <c r="Y130" s="17" t="s">
        <v>438</v>
      </c>
      <c r="Z130" s="17" t="s">
        <v>733</v>
      </c>
      <c r="AA130" s="17" t="s">
        <v>440</v>
      </c>
      <c r="AB130" s="17" t="s">
        <v>1172</v>
      </c>
      <c r="AC130" s="17" t="s">
        <v>428</v>
      </c>
      <c r="AD130" s="17" t="s">
        <v>662</v>
      </c>
      <c r="AE130" s="26">
        <v>530.0</v>
      </c>
      <c r="AF130" s="36">
        <v>44.99</v>
      </c>
      <c r="AG130" s="36">
        <v>45.99</v>
      </c>
      <c r="AH130" s="26" t="s">
        <v>1173</v>
      </c>
      <c r="AI130" s="26">
        <v>47843.0</v>
      </c>
      <c r="AJ130" s="26">
        <v>47843.0</v>
      </c>
      <c r="AK130" s="26" t="s">
        <v>431</v>
      </c>
      <c r="AL130" s="26">
        <v>1234.0</v>
      </c>
      <c r="AM130" s="26">
        <v>2001.0</v>
      </c>
      <c r="AN130" s="17" t="s">
        <v>465</v>
      </c>
      <c r="AO130" s="17" t="s">
        <v>422</v>
      </c>
      <c r="AP130" s="32"/>
      <c r="AQ130" s="32"/>
      <c r="AR130" s="32"/>
      <c r="AS130" s="32"/>
      <c r="AT130" s="26">
        <v>172.0</v>
      </c>
      <c r="AU130" s="26" t="s">
        <v>1174</v>
      </c>
      <c r="AV130" s="35">
        <v>100.0</v>
      </c>
      <c r="AW130" s="26">
        <v>180.0</v>
      </c>
      <c r="AX130" s="26" t="s">
        <v>1171</v>
      </c>
      <c r="AY130" s="26">
        <v>480.0</v>
      </c>
      <c r="AZ130" s="37">
        <v>45540.0</v>
      </c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</row>
    <row r="131">
      <c r="A131" s="20" t="s">
        <v>1175</v>
      </c>
      <c r="B131" s="20" t="s">
        <v>904</v>
      </c>
      <c r="C131" s="17" t="s">
        <v>1176</v>
      </c>
      <c r="D131" s="17" t="s">
        <v>781</v>
      </c>
      <c r="E131" s="34" t="s">
        <v>477</v>
      </c>
      <c r="F131" s="26">
        <v>97.0</v>
      </c>
      <c r="G131" s="35">
        <v>221.0</v>
      </c>
      <c r="H131" s="17" t="s">
        <v>413</v>
      </c>
      <c r="I131" s="17" t="s">
        <v>414</v>
      </c>
      <c r="J131" s="17" t="s">
        <v>415</v>
      </c>
      <c r="K131" s="17" t="s">
        <v>416</v>
      </c>
      <c r="L131" s="26">
        <v>5.0</v>
      </c>
      <c r="M131" s="17" t="s">
        <v>417</v>
      </c>
      <c r="N131" s="32"/>
      <c r="O131" s="32"/>
      <c r="P131" s="26">
        <v>-1.0</v>
      </c>
      <c r="Q131" s="17" t="s">
        <v>419</v>
      </c>
      <c r="R131" s="17" t="s">
        <v>420</v>
      </c>
      <c r="S131" s="17" t="s">
        <v>421</v>
      </c>
      <c r="T131" s="17" t="s">
        <v>422</v>
      </c>
      <c r="U131" s="17" t="s">
        <v>423</v>
      </c>
      <c r="V131" s="17" t="s">
        <v>991</v>
      </c>
      <c r="W131" s="17" t="s">
        <v>403</v>
      </c>
      <c r="X131" s="17" t="s">
        <v>701</v>
      </c>
      <c r="Y131" s="17" t="s">
        <v>438</v>
      </c>
      <c r="Z131" s="17" t="s">
        <v>783</v>
      </c>
      <c r="AA131" s="17" t="s">
        <v>440</v>
      </c>
      <c r="AB131" s="17" t="s">
        <v>1172</v>
      </c>
      <c r="AC131" s="17" t="s">
        <v>428</v>
      </c>
      <c r="AD131" s="17" t="s">
        <v>1177</v>
      </c>
      <c r="AE131" s="26">
        <v>1310.0</v>
      </c>
      <c r="AF131" s="36">
        <v>126.422</v>
      </c>
      <c r="AG131" s="36">
        <v>132.631</v>
      </c>
      <c r="AH131" s="26" t="s">
        <v>1178</v>
      </c>
      <c r="AI131" s="26">
        <v>100000.0</v>
      </c>
      <c r="AJ131" s="26">
        <v>124759.0</v>
      </c>
      <c r="AK131" s="26" t="s">
        <v>495</v>
      </c>
      <c r="AL131" s="26">
        <v>200.0</v>
      </c>
      <c r="AM131" s="26">
        <v>2101.0</v>
      </c>
      <c r="AN131" s="32"/>
      <c r="AO131" s="32"/>
      <c r="AP131" s="32"/>
      <c r="AQ131" s="32"/>
      <c r="AR131" s="32"/>
      <c r="AS131" s="32"/>
      <c r="AT131" s="26">
        <v>172.0</v>
      </c>
      <c r="AU131" s="26" t="s">
        <v>1174</v>
      </c>
      <c r="AV131" s="35">
        <v>221.0</v>
      </c>
      <c r="AW131" s="26">
        <v>250.0</v>
      </c>
      <c r="AX131" s="26">
        <v>97.0</v>
      </c>
      <c r="AY131" s="26">
        <v>565.0</v>
      </c>
      <c r="AZ131" s="37">
        <v>45476.0</v>
      </c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</row>
    <row r="132">
      <c r="A132" s="20" t="s">
        <v>1179</v>
      </c>
      <c r="B132" s="20" t="s">
        <v>1180</v>
      </c>
      <c r="C132" s="17" t="s">
        <v>1181</v>
      </c>
      <c r="D132" s="17" t="s">
        <v>793</v>
      </c>
      <c r="E132" s="34" t="s">
        <v>477</v>
      </c>
      <c r="F132" s="26">
        <v>79.0</v>
      </c>
      <c r="G132" s="35">
        <v>110.0</v>
      </c>
      <c r="H132" s="32"/>
      <c r="I132" s="17" t="s">
        <v>414</v>
      </c>
      <c r="J132" s="17" t="s">
        <v>415</v>
      </c>
      <c r="L132" s="26">
        <v>5.0</v>
      </c>
      <c r="M132" s="17" t="s">
        <v>417</v>
      </c>
      <c r="N132" s="32"/>
      <c r="O132" s="32"/>
      <c r="P132" s="26">
        <v>-1.0</v>
      </c>
      <c r="Q132" s="17" t="s">
        <v>419</v>
      </c>
      <c r="R132" s="17" t="s">
        <v>420</v>
      </c>
      <c r="S132" s="17" t="s">
        <v>421</v>
      </c>
      <c r="T132" s="17" t="s">
        <v>422</v>
      </c>
      <c r="U132" s="17" t="s">
        <v>423</v>
      </c>
      <c r="V132" s="17" t="s">
        <v>880</v>
      </c>
      <c r="W132" s="17" t="s">
        <v>403</v>
      </c>
      <c r="X132" s="17" t="s">
        <v>493</v>
      </c>
      <c r="Y132" s="17" t="s">
        <v>438</v>
      </c>
      <c r="Z132" s="17" t="s">
        <v>928</v>
      </c>
      <c r="AA132" s="17" t="s">
        <v>440</v>
      </c>
      <c r="AB132" s="17" t="s">
        <v>1172</v>
      </c>
      <c r="AC132" s="17" t="s">
        <v>428</v>
      </c>
      <c r="AD132" s="17" t="s">
        <v>1182</v>
      </c>
      <c r="AE132" s="26">
        <v>740.0</v>
      </c>
      <c r="AF132" s="36">
        <v>50.795</v>
      </c>
      <c r="AG132" s="36">
        <v>51.99</v>
      </c>
      <c r="AH132" s="17" t="s">
        <v>1183</v>
      </c>
      <c r="AI132" s="26">
        <v>50745.0</v>
      </c>
      <c r="AJ132" s="26">
        <v>50745.0</v>
      </c>
      <c r="AK132" s="26" t="s">
        <v>495</v>
      </c>
      <c r="AL132" s="26">
        <v>364.0</v>
      </c>
      <c r="AM132" s="26">
        <v>2152.0</v>
      </c>
      <c r="AN132" s="32"/>
      <c r="AO132" s="32"/>
      <c r="AP132" s="17" t="s">
        <v>483</v>
      </c>
      <c r="AQ132" s="17" t="s">
        <v>496</v>
      </c>
      <c r="AS132" s="32"/>
      <c r="AT132" s="26">
        <v>172.0</v>
      </c>
      <c r="AU132" s="26" t="s">
        <v>1174</v>
      </c>
      <c r="AV132" s="35">
        <v>110.0</v>
      </c>
      <c r="AW132" s="26">
        <v>180.0</v>
      </c>
      <c r="AX132" s="26">
        <v>79.0</v>
      </c>
      <c r="AY132" s="26">
        <v>460.0</v>
      </c>
      <c r="AZ132" s="37">
        <v>45540.0</v>
      </c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</row>
    <row r="133">
      <c r="A133" s="20" t="s">
        <v>1184</v>
      </c>
      <c r="B133" s="20" t="s">
        <v>1185</v>
      </c>
      <c r="C133" s="17" t="s">
        <v>1186</v>
      </c>
      <c r="D133" s="17" t="s">
        <v>1187</v>
      </c>
      <c r="E133" s="34" t="s">
        <v>477</v>
      </c>
      <c r="F133" s="26">
        <v>79.0</v>
      </c>
      <c r="G133" s="35">
        <v>114.0</v>
      </c>
      <c r="H133" s="32"/>
      <c r="I133" s="17" t="s">
        <v>414</v>
      </c>
      <c r="J133" s="17" t="s">
        <v>415</v>
      </c>
      <c r="L133" s="26">
        <v>5.0</v>
      </c>
      <c r="M133" s="17" t="s">
        <v>417</v>
      </c>
      <c r="N133" s="32"/>
      <c r="O133" s="32"/>
      <c r="P133" s="26">
        <v>-1.0</v>
      </c>
      <c r="Q133" s="17" t="s">
        <v>419</v>
      </c>
      <c r="R133" s="17" t="s">
        <v>420</v>
      </c>
      <c r="S133" s="17" t="s">
        <v>421</v>
      </c>
      <c r="T133" s="17" t="s">
        <v>422</v>
      </c>
      <c r="U133" s="17" t="s">
        <v>423</v>
      </c>
      <c r="V133" s="17" t="s">
        <v>678</v>
      </c>
      <c r="W133" s="17" t="s">
        <v>403</v>
      </c>
      <c r="X133" s="17" t="s">
        <v>782</v>
      </c>
      <c r="Y133" s="17" t="s">
        <v>438</v>
      </c>
      <c r="Z133" s="17" t="s">
        <v>928</v>
      </c>
      <c r="AA133" s="17" t="s">
        <v>440</v>
      </c>
      <c r="AB133" s="17" t="s">
        <v>1172</v>
      </c>
      <c r="AC133" s="17" t="s">
        <v>428</v>
      </c>
      <c r="AD133" s="17" t="s">
        <v>1182</v>
      </c>
      <c r="AE133" s="26">
        <v>740.0</v>
      </c>
      <c r="AF133" s="36">
        <v>52.295</v>
      </c>
      <c r="AG133" s="36">
        <v>51.99</v>
      </c>
      <c r="AH133" s="26" t="s">
        <v>1188</v>
      </c>
      <c r="AI133" s="26">
        <v>52481.0</v>
      </c>
      <c r="AJ133" s="26">
        <v>52481.0</v>
      </c>
      <c r="AK133" s="26" t="s">
        <v>567</v>
      </c>
      <c r="AL133" s="26">
        <v>249.0</v>
      </c>
      <c r="AM133" s="26">
        <v>2153.0</v>
      </c>
      <c r="AN133" s="32"/>
      <c r="AO133" s="32"/>
      <c r="AP133" s="17" t="s">
        <v>483</v>
      </c>
      <c r="AQ133" s="17" t="s">
        <v>496</v>
      </c>
      <c r="AS133" s="32"/>
      <c r="AT133" s="26">
        <v>172.0</v>
      </c>
      <c r="AU133" s="26" t="s">
        <v>1174</v>
      </c>
      <c r="AV133" s="35">
        <v>114.0</v>
      </c>
      <c r="AW133" s="26">
        <v>200.0</v>
      </c>
      <c r="AX133" s="26">
        <v>79.0</v>
      </c>
      <c r="AY133" s="26">
        <v>460.0</v>
      </c>
      <c r="AZ133" s="37">
        <v>45448.0</v>
      </c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</row>
    <row r="134">
      <c r="A134" s="20" t="s">
        <v>1189</v>
      </c>
      <c r="B134" s="20" t="s">
        <v>904</v>
      </c>
      <c r="C134" s="17" t="s">
        <v>1190</v>
      </c>
      <c r="D134" s="17" t="s">
        <v>638</v>
      </c>
      <c r="E134" s="34" t="s">
        <v>477</v>
      </c>
      <c r="F134" s="26">
        <v>97.0</v>
      </c>
      <c r="G134" s="35">
        <v>202.0</v>
      </c>
      <c r="H134" s="17" t="s">
        <v>413</v>
      </c>
      <c r="I134" s="17" t="s">
        <v>414</v>
      </c>
      <c r="J134" s="17" t="s">
        <v>415</v>
      </c>
      <c r="K134" s="17" t="s">
        <v>416</v>
      </c>
      <c r="L134" s="26">
        <v>5.0</v>
      </c>
      <c r="M134" s="17" t="s">
        <v>417</v>
      </c>
      <c r="N134" s="32"/>
      <c r="O134" s="32"/>
      <c r="P134" s="26">
        <v>-1.0</v>
      </c>
      <c r="Q134" s="17" t="s">
        <v>419</v>
      </c>
      <c r="R134" s="17" t="s">
        <v>420</v>
      </c>
      <c r="S134" s="17" t="s">
        <v>421</v>
      </c>
      <c r="T134" s="17" t="s">
        <v>422</v>
      </c>
      <c r="U134" s="17" t="s">
        <v>423</v>
      </c>
      <c r="V134" s="17" t="s">
        <v>1020</v>
      </c>
      <c r="W134" s="17" t="s">
        <v>403</v>
      </c>
      <c r="X134" s="17" t="s">
        <v>655</v>
      </c>
      <c r="Y134" s="17" t="s">
        <v>438</v>
      </c>
      <c r="Z134" s="17" t="s">
        <v>783</v>
      </c>
      <c r="AA134" s="17" t="s">
        <v>440</v>
      </c>
      <c r="AB134" s="17" t="s">
        <v>1172</v>
      </c>
      <c r="AC134" s="17" t="s">
        <v>428</v>
      </c>
      <c r="AD134" s="17" t="s">
        <v>1177</v>
      </c>
      <c r="AE134" s="26">
        <v>1310.0</v>
      </c>
      <c r="AF134" s="36">
        <v>111.924</v>
      </c>
      <c r="AG134" s="36">
        <v>116.562</v>
      </c>
      <c r="AH134" s="17" t="s">
        <v>463</v>
      </c>
      <c r="AI134" s="26">
        <v>100000.0</v>
      </c>
      <c r="AJ134" s="26">
        <v>114243.0</v>
      </c>
      <c r="AK134" s="26" t="s">
        <v>444</v>
      </c>
      <c r="AL134" s="26">
        <v>262.0</v>
      </c>
      <c r="AM134" s="26">
        <v>3061.0</v>
      </c>
      <c r="AN134" s="32"/>
      <c r="AO134" s="32"/>
      <c r="AP134" s="32"/>
      <c r="AQ134" s="32"/>
      <c r="AR134" s="32"/>
      <c r="AS134" s="32"/>
      <c r="AT134" s="26">
        <v>172.0</v>
      </c>
      <c r="AU134" s="26" t="s">
        <v>1174</v>
      </c>
      <c r="AV134" s="35">
        <v>202.0</v>
      </c>
      <c r="AW134" s="26">
        <v>230.0</v>
      </c>
      <c r="AX134" s="26">
        <v>97.0</v>
      </c>
      <c r="AY134" s="26">
        <v>565.0</v>
      </c>
      <c r="AZ134" s="37">
        <v>45447.0</v>
      </c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</row>
    <row r="135">
      <c r="A135" s="20" t="s">
        <v>1191</v>
      </c>
      <c r="B135" s="20" t="s">
        <v>1192</v>
      </c>
      <c r="C135" s="17" t="s">
        <v>1193</v>
      </c>
      <c r="D135" s="17" t="s">
        <v>1194</v>
      </c>
      <c r="E135" s="34" t="s">
        <v>550</v>
      </c>
      <c r="F135" s="26">
        <v>64.0</v>
      </c>
      <c r="G135" s="35">
        <v>128.0</v>
      </c>
      <c r="H135" s="17" t="s">
        <v>413</v>
      </c>
      <c r="I135" s="17" t="s">
        <v>414</v>
      </c>
      <c r="J135" s="17" t="s">
        <v>415</v>
      </c>
      <c r="L135" s="26">
        <v>5.0</v>
      </c>
      <c r="M135" s="17" t="s">
        <v>417</v>
      </c>
      <c r="N135" s="17" t="s">
        <v>418</v>
      </c>
      <c r="O135" s="26">
        <v>0.0</v>
      </c>
      <c r="P135" s="26">
        <v>-1.0</v>
      </c>
      <c r="Q135" s="17" t="s">
        <v>419</v>
      </c>
      <c r="R135" s="17" t="s">
        <v>420</v>
      </c>
      <c r="S135" s="17" t="s">
        <v>421</v>
      </c>
      <c r="T135" s="17" t="s">
        <v>422</v>
      </c>
      <c r="U135" s="17" t="s">
        <v>423</v>
      </c>
      <c r="V135" s="17" t="s">
        <v>892</v>
      </c>
      <c r="W135" s="17" t="s">
        <v>403</v>
      </c>
      <c r="X135" s="17" t="s">
        <v>954</v>
      </c>
      <c r="Y135" s="17" t="s">
        <v>404</v>
      </c>
      <c r="Z135" s="17" t="s">
        <v>1195</v>
      </c>
      <c r="AA135" s="17" t="s">
        <v>401</v>
      </c>
      <c r="AB135" s="17" t="s">
        <v>1196</v>
      </c>
      <c r="AC135" s="17" t="s">
        <v>428</v>
      </c>
      <c r="AD135" s="17" t="s">
        <v>775</v>
      </c>
      <c r="AE135" s="26">
        <v>350.0</v>
      </c>
      <c r="AF135" s="36">
        <v>47.45</v>
      </c>
      <c r="AG135" s="17" t="s">
        <v>463</v>
      </c>
      <c r="AH135" s="17" t="s">
        <v>463</v>
      </c>
      <c r="AI135" s="26">
        <v>47450.0</v>
      </c>
      <c r="AJ135" s="26">
        <v>47450.0</v>
      </c>
      <c r="AK135" s="26" t="s">
        <v>671</v>
      </c>
      <c r="AL135" s="26">
        <v>308.0</v>
      </c>
      <c r="AM135" s="26">
        <v>1749.0</v>
      </c>
      <c r="AN135" s="32"/>
      <c r="AO135" s="32"/>
      <c r="AP135" s="32"/>
      <c r="AQ135" s="32"/>
      <c r="AR135" s="17" t="s">
        <v>512</v>
      </c>
      <c r="AS135" s="32"/>
      <c r="AT135" s="26">
        <v>173.0</v>
      </c>
      <c r="AU135" s="26" t="s">
        <v>1197</v>
      </c>
      <c r="AV135" s="35">
        <v>128.0</v>
      </c>
      <c r="AW135" s="26">
        <v>167.0</v>
      </c>
      <c r="AX135" s="26">
        <v>64.0</v>
      </c>
      <c r="AY135" s="26">
        <v>370.0</v>
      </c>
      <c r="AZ135" s="37">
        <v>45542.0</v>
      </c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</row>
    <row r="136">
      <c r="A136" s="20" t="s">
        <v>1198</v>
      </c>
      <c r="B136" s="20" t="s">
        <v>1199</v>
      </c>
      <c r="C136" s="17" t="s">
        <v>1200</v>
      </c>
      <c r="D136" s="17" t="s">
        <v>700</v>
      </c>
      <c r="E136" s="34" t="s">
        <v>477</v>
      </c>
      <c r="F136" s="26" t="s">
        <v>1201</v>
      </c>
      <c r="G136" s="35">
        <v>165.0</v>
      </c>
      <c r="H136" s="17" t="s">
        <v>413</v>
      </c>
      <c r="I136" s="17" t="s">
        <v>414</v>
      </c>
      <c r="J136" s="17" t="s">
        <v>415</v>
      </c>
      <c r="K136" s="17" t="s">
        <v>416</v>
      </c>
      <c r="L136" s="26">
        <v>5.0</v>
      </c>
      <c r="M136" s="17" t="s">
        <v>417</v>
      </c>
      <c r="N136" s="17" t="s">
        <v>418</v>
      </c>
      <c r="O136" s="26">
        <v>1500.0</v>
      </c>
      <c r="P136" s="26">
        <v>5.0</v>
      </c>
      <c r="Q136" s="26">
        <v>5.0</v>
      </c>
      <c r="R136" s="17" t="s">
        <v>419</v>
      </c>
      <c r="S136" s="17" t="s">
        <v>420</v>
      </c>
      <c r="T136" s="17" t="s">
        <v>421</v>
      </c>
      <c r="U136" s="17" t="s">
        <v>423</v>
      </c>
      <c r="V136" s="17" t="s">
        <v>596</v>
      </c>
      <c r="W136" s="17" t="s">
        <v>403</v>
      </c>
      <c r="X136" s="17" t="s">
        <v>1202</v>
      </c>
      <c r="Y136" s="17" t="s">
        <v>438</v>
      </c>
      <c r="Z136" s="17" t="s">
        <v>844</v>
      </c>
      <c r="AA136" s="17" t="s">
        <v>440</v>
      </c>
      <c r="AB136" s="17" t="s">
        <v>1196</v>
      </c>
      <c r="AC136" s="17" t="s">
        <v>428</v>
      </c>
      <c r="AD136" s="17" t="s">
        <v>1105</v>
      </c>
      <c r="AE136" s="26">
        <v>750.0</v>
      </c>
      <c r="AF136" s="36">
        <v>70.2</v>
      </c>
      <c r="AG136" s="36">
        <v>77.572</v>
      </c>
      <c r="AH136" s="26" t="s">
        <v>1203</v>
      </c>
      <c r="AI136" s="26">
        <v>77664.0</v>
      </c>
      <c r="AJ136" s="26">
        <v>77664.0</v>
      </c>
      <c r="AK136" s="26" t="s">
        <v>552</v>
      </c>
      <c r="AL136" s="26">
        <v>1007.0</v>
      </c>
      <c r="AM136" s="26">
        <v>1906.0</v>
      </c>
      <c r="AN136" s="32"/>
      <c r="AO136" s="17" t="s">
        <v>422</v>
      </c>
      <c r="AP136" s="32"/>
      <c r="AQ136" s="32"/>
      <c r="AR136" s="32"/>
      <c r="AS136" s="32"/>
      <c r="AT136" s="26">
        <v>173.0</v>
      </c>
      <c r="AU136" s="26" t="s">
        <v>1197</v>
      </c>
      <c r="AV136" s="35">
        <v>165.0</v>
      </c>
      <c r="AW136" s="26">
        <v>193.0</v>
      </c>
      <c r="AX136" s="26" t="s">
        <v>1201</v>
      </c>
      <c r="AY136" s="26">
        <v>470.0</v>
      </c>
      <c r="AZ136" s="26">
        <v>6.0</v>
      </c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</row>
    <row r="137">
      <c r="A137" s="20" t="s">
        <v>1204</v>
      </c>
      <c r="B137" s="20" t="s">
        <v>1050</v>
      </c>
      <c r="C137" s="17" t="s">
        <v>1205</v>
      </c>
      <c r="D137" s="17" t="s">
        <v>506</v>
      </c>
      <c r="E137" s="34" t="s">
        <v>477</v>
      </c>
      <c r="F137" s="26" t="s">
        <v>1052</v>
      </c>
      <c r="G137" s="35">
        <v>121.0</v>
      </c>
      <c r="H137" s="32"/>
      <c r="I137" s="32"/>
      <c r="J137" s="17" t="s">
        <v>415</v>
      </c>
      <c r="L137" s="26">
        <v>5.0</v>
      </c>
      <c r="M137" s="17" t="s">
        <v>417</v>
      </c>
      <c r="N137" s="32"/>
      <c r="O137" s="32"/>
      <c r="P137" s="26">
        <v>5.0</v>
      </c>
      <c r="Q137" s="26">
        <v>5.0</v>
      </c>
      <c r="R137" s="17" t="s">
        <v>419</v>
      </c>
      <c r="S137" s="17" t="s">
        <v>420</v>
      </c>
      <c r="T137" s="17" t="s">
        <v>421</v>
      </c>
      <c r="U137" s="17" t="s">
        <v>488</v>
      </c>
      <c r="V137" s="17" t="s">
        <v>787</v>
      </c>
      <c r="W137" s="17" t="s">
        <v>403</v>
      </c>
      <c r="X137" s="17" t="s">
        <v>581</v>
      </c>
      <c r="Y137" s="17" t="s">
        <v>438</v>
      </c>
      <c r="Z137" s="17" t="s">
        <v>534</v>
      </c>
      <c r="AA137" s="17" t="s">
        <v>440</v>
      </c>
      <c r="AB137" s="17" t="s">
        <v>1196</v>
      </c>
      <c r="AC137" s="17" t="s">
        <v>428</v>
      </c>
      <c r="AD137" s="17" t="s">
        <v>943</v>
      </c>
      <c r="AE137" s="26">
        <v>270.0</v>
      </c>
      <c r="AF137" s="17" t="s">
        <v>1206</v>
      </c>
      <c r="AG137" s="36">
        <v>32.99</v>
      </c>
      <c r="AH137" s="26" t="s">
        <v>1207</v>
      </c>
      <c r="AI137" s="26">
        <v>31421.0</v>
      </c>
      <c r="AJ137" s="26">
        <v>31421.0</v>
      </c>
      <c r="AK137" s="26" t="s">
        <v>431</v>
      </c>
      <c r="AL137" s="26">
        <v>205.0</v>
      </c>
      <c r="AM137" s="26">
        <v>1918.0</v>
      </c>
      <c r="AN137" s="32"/>
      <c r="AO137" s="17" t="s">
        <v>422</v>
      </c>
      <c r="AP137" s="17" t="s">
        <v>483</v>
      </c>
      <c r="AQ137" s="17" t="s">
        <v>496</v>
      </c>
      <c r="AS137" s="32"/>
      <c r="AT137" s="26">
        <v>173.0</v>
      </c>
      <c r="AU137" s="26" t="s">
        <v>1197</v>
      </c>
      <c r="AV137" s="35">
        <v>121.0</v>
      </c>
      <c r="AW137" s="26">
        <v>160.0</v>
      </c>
      <c r="AX137" s="26" t="s">
        <v>1052</v>
      </c>
      <c r="AY137" s="26">
        <v>260.0</v>
      </c>
      <c r="AZ137" s="26">
        <v>8.0</v>
      </c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</row>
    <row r="138">
      <c r="A138" s="20" t="s">
        <v>1208</v>
      </c>
      <c r="B138" s="20" t="s">
        <v>1050</v>
      </c>
      <c r="C138" s="17" t="s">
        <v>1209</v>
      </c>
      <c r="D138" s="17" t="s">
        <v>506</v>
      </c>
      <c r="E138" s="34" t="s">
        <v>550</v>
      </c>
      <c r="F138" s="26" t="s">
        <v>1210</v>
      </c>
      <c r="G138" s="35">
        <v>98.0</v>
      </c>
      <c r="H138" s="32"/>
      <c r="I138" s="17" t="s">
        <v>414</v>
      </c>
      <c r="J138" s="17" t="s">
        <v>415</v>
      </c>
      <c r="L138" s="26">
        <v>5.0</v>
      </c>
      <c r="M138" s="17" t="s">
        <v>417</v>
      </c>
      <c r="N138" s="17" t="s">
        <v>418</v>
      </c>
      <c r="O138" s="26">
        <v>0.0</v>
      </c>
      <c r="P138" s="26">
        <v>5.0</v>
      </c>
      <c r="Q138" s="26">
        <v>5.0</v>
      </c>
      <c r="R138" s="17" t="s">
        <v>419</v>
      </c>
      <c r="S138" s="17" t="s">
        <v>420</v>
      </c>
      <c r="T138" s="17" t="s">
        <v>421</v>
      </c>
      <c r="U138" s="17" t="s">
        <v>423</v>
      </c>
      <c r="V138" s="17" t="s">
        <v>938</v>
      </c>
      <c r="W138" s="17" t="s">
        <v>403</v>
      </c>
      <c r="X138" s="17" t="s">
        <v>581</v>
      </c>
      <c r="Y138" s="17" t="s">
        <v>404</v>
      </c>
      <c r="Z138" s="17" t="s">
        <v>799</v>
      </c>
      <c r="AA138" s="17" t="s">
        <v>401</v>
      </c>
      <c r="AB138" s="17" t="s">
        <v>1196</v>
      </c>
      <c r="AC138" s="17" t="s">
        <v>428</v>
      </c>
      <c r="AD138" s="17" t="s">
        <v>775</v>
      </c>
      <c r="AE138" s="26">
        <v>350.0</v>
      </c>
      <c r="AF138" s="36">
        <v>32.99</v>
      </c>
      <c r="AG138" s="36">
        <v>35.49</v>
      </c>
      <c r="AH138" s="26" t="s">
        <v>1211</v>
      </c>
      <c r="AI138" s="26">
        <v>34401.0</v>
      </c>
      <c r="AJ138" s="26">
        <v>34401.0</v>
      </c>
      <c r="AK138" s="26" t="s">
        <v>431</v>
      </c>
      <c r="AL138" s="26">
        <v>2796.0</v>
      </c>
      <c r="AM138" s="26">
        <v>1919.0</v>
      </c>
      <c r="AN138" s="17" t="s">
        <v>465</v>
      </c>
      <c r="AO138" s="17" t="s">
        <v>422</v>
      </c>
      <c r="AP138" s="17" t="s">
        <v>483</v>
      </c>
      <c r="AQ138" s="17" t="s">
        <v>496</v>
      </c>
      <c r="AS138" s="32"/>
      <c r="AT138" s="26">
        <v>173.0</v>
      </c>
      <c r="AU138" s="26" t="s">
        <v>1197</v>
      </c>
      <c r="AV138" s="35">
        <v>98.0</v>
      </c>
      <c r="AW138" s="26">
        <v>160.0</v>
      </c>
      <c r="AX138" s="26" t="s">
        <v>1210</v>
      </c>
      <c r="AY138" s="26">
        <v>350.0</v>
      </c>
      <c r="AZ138" s="26">
        <v>7.0</v>
      </c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</row>
    <row r="139">
      <c r="A139" s="20" t="s">
        <v>1212</v>
      </c>
      <c r="B139" s="20" t="s">
        <v>1213</v>
      </c>
      <c r="C139" s="17" t="s">
        <v>1214</v>
      </c>
      <c r="D139" s="17" t="s">
        <v>565</v>
      </c>
      <c r="E139" s="34" t="s">
        <v>477</v>
      </c>
      <c r="F139" s="26">
        <v>77.0</v>
      </c>
      <c r="G139" s="35">
        <v>120.0</v>
      </c>
      <c r="H139" s="17" t="s">
        <v>413</v>
      </c>
      <c r="I139" s="17" t="s">
        <v>414</v>
      </c>
      <c r="J139" s="17" t="s">
        <v>415</v>
      </c>
      <c r="L139" s="26">
        <v>5.0</v>
      </c>
      <c r="M139" s="17" t="s">
        <v>417</v>
      </c>
      <c r="N139" s="17" t="s">
        <v>418</v>
      </c>
      <c r="O139" s="26">
        <v>1000.0</v>
      </c>
      <c r="P139" s="26">
        <v>5.0</v>
      </c>
      <c r="Q139" s="26">
        <v>5.0</v>
      </c>
      <c r="R139" s="17" t="s">
        <v>419</v>
      </c>
      <c r="S139" s="17" t="s">
        <v>420</v>
      </c>
      <c r="T139" s="17" t="s">
        <v>421</v>
      </c>
      <c r="U139" s="17" t="s">
        <v>423</v>
      </c>
      <c r="V139" s="17" t="s">
        <v>1215</v>
      </c>
      <c r="W139" s="17" t="s">
        <v>403</v>
      </c>
      <c r="X139" s="17" t="s">
        <v>493</v>
      </c>
      <c r="Y139" s="17" t="s">
        <v>438</v>
      </c>
      <c r="Z139" s="17" t="s">
        <v>1025</v>
      </c>
      <c r="AA139" s="17" t="s">
        <v>440</v>
      </c>
      <c r="AB139" s="17" t="s">
        <v>1196</v>
      </c>
      <c r="AC139" s="17" t="s">
        <v>428</v>
      </c>
      <c r="AD139" s="17" t="s">
        <v>1114</v>
      </c>
      <c r="AE139" s="26">
        <v>660.0</v>
      </c>
      <c r="AF139" s="36">
        <v>56.21</v>
      </c>
      <c r="AG139" s="36">
        <v>49.99</v>
      </c>
      <c r="AH139" s="26" t="s">
        <v>1216</v>
      </c>
      <c r="AI139" s="26">
        <v>53547.0</v>
      </c>
      <c r="AJ139" s="26">
        <v>53547.0</v>
      </c>
      <c r="AK139" s="26" t="s">
        <v>567</v>
      </c>
      <c r="AL139" s="26">
        <v>411.0</v>
      </c>
      <c r="AM139" s="26">
        <v>1971.0</v>
      </c>
      <c r="AN139" s="32"/>
      <c r="AO139" s="17" t="s">
        <v>422</v>
      </c>
      <c r="AP139" s="17" t="s">
        <v>483</v>
      </c>
      <c r="AQ139" s="32"/>
      <c r="AR139" s="32"/>
      <c r="AS139" s="32"/>
      <c r="AT139" s="26">
        <v>173.0</v>
      </c>
      <c r="AU139" s="26" t="s">
        <v>1197</v>
      </c>
      <c r="AV139" s="35">
        <v>120.0</v>
      </c>
      <c r="AW139" s="26">
        <v>180.0</v>
      </c>
      <c r="AX139" s="26">
        <v>77.0</v>
      </c>
      <c r="AY139" s="26">
        <v>445.0</v>
      </c>
      <c r="AZ139" s="37">
        <v>45510.0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</row>
    <row r="140">
      <c r="A140" s="20" t="s">
        <v>1217</v>
      </c>
      <c r="B140" s="20" t="s">
        <v>1218</v>
      </c>
      <c r="C140" s="17" t="s">
        <v>1219</v>
      </c>
      <c r="D140" s="17" t="s">
        <v>804</v>
      </c>
      <c r="E140" s="34" t="s">
        <v>477</v>
      </c>
      <c r="F140" s="26">
        <v>77.0</v>
      </c>
      <c r="G140" s="35">
        <v>112.0</v>
      </c>
      <c r="H140" s="17" t="s">
        <v>413</v>
      </c>
      <c r="I140" s="17" t="s">
        <v>414</v>
      </c>
      <c r="J140" s="17" t="s">
        <v>415</v>
      </c>
      <c r="L140" s="26">
        <v>5.0</v>
      </c>
      <c r="M140" s="17" t="s">
        <v>417</v>
      </c>
      <c r="N140" s="17" t="s">
        <v>418</v>
      </c>
      <c r="O140" s="26">
        <v>1000.0</v>
      </c>
      <c r="P140" s="26">
        <v>5.0</v>
      </c>
      <c r="Q140" s="26">
        <v>5.0</v>
      </c>
      <c r="R140" s="17" t="s">
        <v>419</v>
      </c>
      <c r="S140" s="17" t="s">
        <v>420</v>
      </c>
      <c r="T140" s="17" t="s">
        <v>421</v>
      </c>
      <c r="U140" s="17" t="s">
        <v>423</v>
      </c>
      <c r="V140" s="17" t="s">
        <v>732</v>
      </c>
      <c r="W140" s="17" t="s">
        <v>403</v>
      </c>
      <c r="X140" s="17" t="s">
        <v>493</v>
      </c>
      <c r="Y140" s="17" t="s">
        <v>438</v>
      </c>
      <c r="Z140" s="17" t="s">
        <v>1025</v>
      </c>
      <c r="AA140" s="17" t="s">
        <v>440</v>
      </c>
      <c r="AB140" s="17" t="s">
        <v>1196</v>
      </c>
      <c r="AC140" s="17" t="s">
        <v>428</v>
      </c>
      <c r="AD140" s="17" t="s">
        <v>1114</v>
      </c>
      <c r="AE140" s="26">
        <v>660.0</v>
      </c>
      <c r="AF140" s="36">
        <v>46.335</v>
      </c>
      <c r="AG140" s="36">
        <v>49.99</v>
      </c>
      <c r="AH140" s="26" t="s">
        <v>1220</v>
      </c>
      <c r="AI140" s="26">
        <v>49755.0</v>
      </c>
      <c r="AJ140" s="26">
        <v>49755.0</v>
      </c>
      <c r="AK140" s="26" t="s">
        <v>777</v>
      </c>
      <c r="AL140" s="26">
        <v>2179.0</v>
      </c>
      <c r="AM140" s="26">
        <v>2028.0</v>
      </c>
      <c r="AN140" s="32"/>
      <c r="AO140" s="17" t="s">
        <v>422</v>
      </c>
      <c r="AP140" s="17" t="s">
        <v>483</v>
      </c>
      <c r="AQ140" s="32"/>
      <c r="AR140" s="32"/>
      <c r="AS140" s="32"/>
      <c r="AT140" s="26">
        <v>173.0</v>
      </c>
      <c r="AU140" s="26" t="s">
        <v>1197</v>
      </c>
      <c r="AV140" s="35">
        <v>112.0</v>
      </c>
      <c r="AW140" s="26">
        <v>180.0</v>
      </c>
      <c r="AX140" s="26">
        <v>77.0</v>
      </c>
      <c r="AY140" s="26">
        <v>445.0</v>
      </c>
      <c r="AZ140" s="37">
        <v>45479.0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</row>
    <row r="141">
      <c r="A141" s="20" t="s">
        <v>1221</v>
      </c>
      <c r="B141" s="20" t="s">
        <v>1222</v>
      </c>
      <c r="C141" s="17" t="s">
        <v>1223</v>
      </c>
      <c r="D141" s="17" t="s">
        <v>435</v>
      </c>
      <c r="E141" s="34" t="s">
        <v>477</v>
      </c>
      <c r="F141" s="26">
        <v>52.0</v>
      </c>
      <c r="G141" s="35">
        <v>144.0</v>
      </c>
      <c r="H141" s="17" t="s">
        <v>413</v>
      </c>
      <c r="I141" s="17" t="s">
        <v>414</v>
      </c>
      <c r="J141" s="17" t="s">
        <v>415</v>
      </c>
      <c r="L141" s="26">
        <v>5.0</v>
      </c>
      <c r="M141" s="17" t="s">
        <v>417</v>
      </c>
      <c r="N141" s="17" t="s">
        <v>418</v>
      </c>
      <c r="O141" s="26">
        <v>1000.0</v>
      </c>
      <c r="P141" s="26">
        <v>5.0</v>
      </c>
      <c r="Q141" s="26">
        <v>5.0</v>
      </c>
      <c r="R141" s="17" t="s">
        <v>419</v>
      </c>
      <c r="S141" s="17" t="s">
        <v>420</v>
      </c>
      <c r="T141" s="17" t="s">
        <v>421</v>
      </c>
      <c r="U141" s="17" t="s">
        <v>423</v>
      </c>
      <c r="V141" s="17" t="s">
        <v>639</v>
      </c>
      <c r="W141" s="17" t="s">
        <v>403</v>
      </c>
      <c r="X141" s="17" t="s">
        <v>581</v>
      </c>
      <c r="Y141" s="17" t="s">
        <v>438</v>
      </c>
      <c r="Z141" s="17" t="s">
        <v>829</v>
      </c>
      <c r="AA141" s="17" t="s">
        <v>440</v>
      </c>
      <c r="AB141" s="17" t="s">
        <v>1196</v>
      </c>
      <c r="AC141" s="17" t="s">
        <v>428</v>
      </c>
      <c r="AD141" s="17" t="s">
        <v>746</v>
      </c>
      <c r="AE141" s="26">
        <v>380.0</v>
      </c>
      <c r="AF141" s="36">
        <v>42.5</v>
      </c>
      <c r="AG141" s="36">
        <v>41.45</v>
      </c>
      <c r="AH141" s="26" t="s">
        <v>1224</v>
      </c>
      <c r="AI141" s="26">
        <v>43268.0</v>
      </c>
      <c r="AJ141" s="26">
        <v>43268.0</v>
      </c>
      <c r="AK141" s="26" t="s">
        <v>444</v>
      </c>
      <c r="AL141" s="26">
        <v>157.0</v>
      </c>
      <c r="AM141" s="26">
        <v>2167.0</v>
      </c>
      <c r="AN141" s="32"/>
      <c r="AO141" s="17" t="s">
        <v>422</v>
      </c>
      <c r="AP141" s="17" t="s">
        <v>483</v>
      </c>
      <c r="AQ141" s="32"/>
      <c r="AR141" s="32"/>
      <c r="AS141" s="32"/>
      <c r="AT141" s="26">
        <v>173.0</v>
      </c>
      <c r="AU141" s="26" t="s">
        <v>1197</v>
      </c>
      <c r="AV141" s="35">
        <v>144.0</v>
      </c>
      <c r="AW141" s="26">
        <v>160.0</v>
      </c>
      <c r="AX141" s="26">
        <v>52.0</v>
      </c>
      <c r="AY141" s="26">
        <v>300.0</v>
      </c>
      <c r="AZ141" s="26">
        <v>9.0</v>
      </c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</row>
    <row r="142">
      <c r="A142" s="20" t="s">
        <v>1225</v>
      </c>
      <c r="B142" s="20" t="s">
        <v>1226</v>
      </c>
      <c r="C142" s="17" t="s">
        <v>1227</v>
      </c>
      <c r="D142" s="17" t="s">
        <v>487</v>
      </c>
      <c r="E142" s="34" t="s">
        <v>477</v>
      </c>
      <c r="F142" s="26" t="s">
        <v>1228</v>
      </c>
      <c r="G142" s="35">
        <v>150.0</v>
      </c>
      <c r="H142" s="32"/>
      <c r="I142" s="17" t="s">
        <v>414</v>
      </c>
      <c r="J142" s="17" t="s">
        <v>415</v>
      </c>
      <c r="L142" s="26">
        <v>2.0</v>
      </c>
      <c r="M142" s="32"/>
      <c r="N142" s="32"/>
      <c r="O142" s="32"/>
      <c r="P142" s="26">
        <v>-1.0</v>
      </c>
      <c r="Q142" s="17" t="s">
        <v>419</v>
      </c>
      <c r="R142" s="17" t="s">
        <v>420</v>
      </c>
      <c r="S142" s="17" t="s">
        <v>421</v>
      </c>
      <c r="T142" s="17" t="s">
        <v>422</v>
      </c>
      <c r="U142" s="17" t="s">
        <v>423</v>
      </c>
      <c r="V142" s="17" t="s">
        <v>1024</v>
      </c>
      <c r="W142" s="17" t="s">
        <v>403</v>
      </c>
      <c r="X142" s="17" t="s">
        <v>1229</v>
      </c>
      <c r="Y142" s="17" t="s">
        <v>438</v>
      </c>
      <c r="Z142" s="17" t="s">
        <v>598</v>
      </c>
      <c r="AA142" s="17" t="s">
        <v>440</v>
      </c>
      <c r="AB142" s="17" t="s">
        <v>1196</v>
      </c>
      <c r="AC142" s="17" t="s">
        <v>428</v>
      </c>
      <c r="AD142" s="17" t="s">
        <v>722</v>
      </c>
      <c r="AE142" s="26">
        <v>460.0</v>
      </c>
      <c r="AF142" s="17" t="s">
        <v>1230</v>
      </c>
      <c r="AG142" s="36">
        <v>65.49</v>
      </c>
      <c r="AH142" s="26" t="s">
        <v>1231</v>
      </c>
      <c r="AI142" s="26">
        <v>64578.0</v>
      </c>
      <c r="AJ142" s="26">
        <v>64578.0</v>
      </c>
      <c r="AK142" s="26" t="s">
        <v>495</v>
      </c>
      <c r="AL142" s="26">
        <v>160.0</v>
      </c>
      <c r="AM142" s="26">
        <v>2202.0</v>
      </c>
      <c r="AN142" s="17" t="s">
        <v>465</v>
      </c>
      <c r="AO142" s="32"/>
      <c r="AP142" s="32"/>
      <c r="AQ142" s="32"/>
      <c r="AR142" s="32"/>
      <c r="AS142" s="32"/>
      <c r="AT142" s="26">
        <v>173.0</v>
      </c>
      <c r="AU142" s="26" t="s">
        <v>1197</v>
      </c>
      <c r="AV142" s="35">
        <v>150.0</v>
      </c>
      <c r="AW142" s="26">
        <v>195.0</v>
      </c>
      <c r="AX142" s="26" t="s">
        <v>1228</v>
      </c>
      <c r="AY142" s="26">
        <v>430.0</v>
      </c>
      <c r="AZ142" s="26">
        <v>5.0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</row>
    <row r="143">
      <c r="A143" s="20" t="s">
        <v>1232</v>
      </c>
      <c r="B143" s="20" t="s">
        <v>1112</v>
      </c>
      <c r="C143" s="17" t="s">
        <v>1233</v>
      </c>
      <c r="D143" s="17" t="s">
        <v>487</v>
      </c>
      <c r="E143" s="34" t="s">
        <v>477</v>
      </c>
      <c r="F143" s="26">
        <v>96.0</v>
      </c>
      <c r="G143" s="35">
        <v>136.0</v>
      </c>
      <c r="H143" s="17" t="s">
        <v>413</v>
      </c>
      <c r="I143" s="17" t="s">
        <v>414</v>
      </c>
      <c r="J143" s="17" t="s">
        <v>415</v>
      </c>
      <c r="K143" s="17" t="s">
        <v>416</v>
      </c>
      <c r="L143" s="26">
        <v>5.0</v>
      </c>
      <c r="M143" s="17" t="s">
        <v>417</v>
      </c>
      <c r="N143" s="17" t="s">
        <v>418</v>
      </c>
      <c r="O143" s="26">
        <v>750.0</v>
      </c>
      <c r="P143" s="26">
        <v>5.0</v>
      </c>
      <c r="Q143" s="26">
        <v>5.0</v>
      </c>
      <c r="R143" s="17" t="s">
        <v>419</v>
      </c>
      <c r="S143" s="17" t="s">
        <v>420</v>
      </c>
      <c r="T143" s="17" t="s">
        <v>421</v>
      </c>
      <c r="U143" s="17" t="s">
        <v>423</v>
      </c>
      <c r="V143" s="17" t="s">
        <v>755</v>
      </c>
      <c r="W143" s="17" t="s">
        <v>403</v>
      </c>
      <c r="X143" s="17" t="s">
        <v>619</v>
      </c>
      <c r="Y143" s="17" t="s">
        <v>438</v>
      </c>
      <c r="Z143" s="17" t="s">
        <v>1234</v>
      </c>
      <c r="AA143" s="17" t="s">
        <v>440</v>
      </c>
      <c r="AB143" s="17" t="s">
        <v>1196</v>
      </c>
      <c r="AC143" s="17" t="s">
        <v>428</v>
      </c>
      <c r="AD143" s="17" t="s">
        <v>1235</v>
      </c>
      <c r="AE143" s="26">
        <v>770.0</v>
      </c>
      <c r="AF143" s="36">
        <v>71.412</v>
      </c>
      <c r="AG143" s="36">
        <v>75.736</v>
      </c>
      <c r="AH143" s="26" t="s">
        <v>1236</v>
      </c>
      <c r="AI143" s="26">
        <v>75254.0</v>
      </c>
      <c r="AJ143" s="26">
        <v>75254.0</v>
      </c>
      <c r="AK143" s="26" t="s">
        <v>495</v>
      </c>
      <c r="AL143" s="26">
        <v>606.0</v>
      </c>
      <c r="AM143" s="26">
        <v>2205.0</v>
      </c>
      <c r="AN143" s="32"/>
      <c r="AO143" s="17" t="s">
        <v>422</v>
      </c>
      <c r="AP143" s="32"/>
      <c r="AQ143" s="32"/>
      <c r="AR143" s="32"/>
      <c r="AS143" s="32"/>
      <c r="AT143" s="26">
        <v>173.0</v>
      </c>
      <c r="AU143" s="26" t="s">
        <v>1197</v>
      </c>
      <c r="AV143" s="35">
        <v>136.0</v>
      </c>
      <c r="AW143" s="26">
        <v>210.0</v>
      </c>
      <c r="AX143" s="26">
        <v>96.0</v>
      </c>
      <c r="AY143" s="26">
        <v>555.0</v>
      </c>
      <c r="AZ143" s="37">
        <v>45418.0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</row>
    <row r="144">
      <c r="A144" s="20" t="s">
        <v>1237</v>
      </c>
      <c r="B144" s="20" t="s">
        <v>1238</v>
      </c>
      <c r="C144" s="17" t="s">
        <v>1239</v>
      </c>
      <c r="D144" s="17" t="s">
        <v>1012</v>
      </c>
      <c r="E144" s="34" t="s">
        <v>477</v>
      </c>
      <c r="F144" s="26">
        <v>52.0</v>
      </c>
      <c r="G144" s="35">
        <v>159.0</v>
      </c>
      <c r="H144" s="17" t="s">
        <v>413</v>
      </c>
      <c r="I144" s="17" t="s">
        <v>414</v>
      </c>
      <c r="J144" s="17" t="s">
        <v>415</v>
      </c>
      <c r="L144" s="26">
        <v>5.0</v>
      </c>
      <c r="M144" s="17" t="s">
        <v>417</v>
      </c>
      <c r="N144" s="17" t="s">
        <v>418</v>
      </c>
      <c r="O144" s="26">
        <v>1000.0</v>
      </c>
      <c r="P144" s="26">
        <v>5.0</v>
      </c>
      <c r="Q144" s="26">
        <v>5.0</v>
      </c>
      <c r="R144" s="17" t="s">
        <v>419</v>
      </c>
      <c r="S144" s="17" t="s">
        <v>420</v>
      </c>
      <c r="T144" s="17" t="s">
        <v>421</v>
      </c>
      <c r="U144" s="17" t="s">
        <v>423</v>
      </c>
      <c r="V144" s="17" t="s">
        <v>639</v>
      </c>
      <c r="W144" s="17" t="s">
        <v>403</v>
      </c>
      <c r="X144" s="17" t="s">
        <v>581</v>
      </c>
      <c r="Y144" s="17" t="s">
        <v>438</v>
      </c>
      <c r="Z144" s="17" t="s">
        <v>829</v>
      </c>
      <c r="AA144" s="17" t="s">
        <v>440</v>
      </c>
      <c r="AB144" s="17" t="s">
        <v>1196</v>
      </c>
      <c r="AC144" s="17" t="s">
        <v>428</v>
      </c>
      <c r="AD144" s="17" t="s">
        <v>502</v>
      </c>
      <c r="AE144" s="26">
        <v>480.0</v>
      </c>
      <c r="AF144" s="36">
        <v>47.6</v>
      </c>
      <c r="AG144" s="17" t="s">
        <v>463</v>
      </c>
      <c r="AH144" s="17" t="s">
        <v>463</v>
      </c>
      <c r="AI144" s="26">
        <v>47600.0</v>
      </c>
      <c r="AJ144" s="26">
        <v>47600.0</v>
      </c>
      <c r="AK144" s="26" t="s">
        <v>567</v>
      </c>
      <c r="AL144" s="26">
        <v>112.0</v>
      </c>
      <c r="AM144" s="26">
        <v>2249.0</v>
      </c>
      <c r="AN144" s="32"/>
      <c r="AO144" s="17" t="s">
        <v>422</v>
      </c>
      <c r="AP144" s="17" t="s">
        <v>483</v>
      </c>
      <c r="AQ144" s="32"/>
      <c r="AR144" s="32"/>
      <c r="AS144" s="32"/>
      <c r="AT144" s="26">
        <v>173.0</v>
      </c>
      <c r="AU144" s="26" t="s">
        <v>1197</v>
      </c>
      <c r="AV144" s="35">
        <v>159.0</v>
      </c>
      <c r="AW144" s="26">
        <v>160.0</v>
      </c>
      <c r="AX144" s="26">
        <v>52.0</v>
      </c>
      <c r="AY144" s="26">
        <v>300.0</v>
      </c>
      <c r="AZ144" s="26">
        <v>9.0</v>
      </c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</row>
    <row r="145">
      <c r="A145" s="20" t="s">
        <v>1240</v>
      </c>
      <c r="B145" s="20" t="s">
        <v>1241</v>
      </c>
      <c r="C145" s="17" t="s">
        <v>1242</v>
      </c>
      <c r="D145" s="17" t="s">
        <v>684</v>
      </c>
      <c r="E145" s="34" t="s">
        <v>477</v>
      </c>
      <c r="F145" s="26" t="s">
        <v>685</v>
      </c>
      <c r="G145" s="35">
        <v>189.0</v>
      </c>
      <c r="H145" s="17" t="s">
        <v>413</v>
      </c>
      <c r="I145" s="17" t="s">
        <v>414</v>
      </c>
      <c r="J145" s="17" t="s">
        <v>415</v>
      </c>
      <c r="K145" s="17" t="s">
        <v>595</v>
      </c>
      <c r="L145" s="26">
        <v>5.0</v>
      </c>
      <c r="M145" s="17" t="s">
        <v>417</v>
      </c>
      <c r="N145" s="17" t="s">
        <v>418</v>
      </c>
      <c r="O145" s="26">
        <v>2100.0</v>
      </c>
      <c r="P145" s="26">
        <v>-1.0</v>
      </c>
      <c r="Q145" s="17" t="s">
        <v>419</v>
      </c>
      <c r="R145" s="17" t="s">
        <v>420</v>
      </c>
      <c r="S145" s="17" t="s">
        <v>421</v>
      </c>
      <c r="T145" s="17" t="s">
        <v>422</v>
      </c>
      <c r="U145" s="17" t="s">
        <v>423</v>
      </c>
      <c r="V145" s="17" t="s">
        <v>1243</v>
      </c>
      <c r="W145" s="17" t="s">
        <v>403</v>
      </c>
      <c r="X145" s="17" t="s">
        <v>644</v>
      </c>
      <c r="Y145" s="17" t="s">
        <v>438</v>
      </c>
      <c r="Z145" s="17" t="s">
        <v>1244</v>
      </c>
      <c r="AA145" s="17" t="s">
        <v>440</v>
      </c>
      <c r="AB145" s="17" t="s">
        <v>1196</v>
      </c>
      <c r="AC145" s="17" t="s">
        <v>428</v>
      </c>
      <c r="AD145" s="17" t="s">
        <v>1245</v>
      </c>
      <c r="AE145" s="26">
        <v>1100.0</v>
      </c>
      <c r="AF145" s="36">
        <v>99.5</v>
      </c>
      <c r="AG145" s="36">
        <v>99.99</v>
      </c>
      <c r="AH145" s="26" t="s">
        <v>1246</v>
      </c>
      <c r="AI145" s="26">
        <v>100000.0</v>
      </c>
      <c r="AJ145" s="26">
        <v>103871.0</v>
      </c>
      <c r="AK145" s="26" t="s">
        <v>444</v>
      </c>
      <c r="AL145" s="26">
        <v>172.0</v>
      </c>
      <c r="AM145" s="26">
        <v>2271.0</v>
      </c>
      <c r="AN145" s="32"/>
      <c r="AO145" s="32"/>
      <c r="AP145" s="32"/>
      <c r="AQ145" s="32"/>
      <c r="AR145" s="32"/>
      <c r="AS145" s="32"/>
      <c r="AT145" s="26">
        <v>173.0</v>
      </c>
      <c r="AU145" s="26" t="s">
        <v>1197</v>
      </c>
      <c r="AV145" s="35">
        <v>189.0</v>
      </c>
      <c r="AW145" s="26">
        <v>240.0</v>
      </c>
      <c r="AX145" s="26" t="s">
        <v>685</v>
      </c>
      <c r="AY145" s="26">
        <v>550.0</v>
      </c>
      <c r="AZ145" s="37">
        <v>45538.0</v>
      </c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</row>
    <row r="146">
      <c r="A146" s="20" t="s">
        <v>1247</v>
      </c>
      <c r="B146" s="20" t="s">
        <v>795</v>
      </c>
      <c r="C146" s="17" t="s">
        <v>1248</v>
      </c>
      <c r="D146" s="17" t="s">
        <v>891</v>
      </c>
      <c r="E146" s="34" t="s">
        <v>436</v>
      </c>
      <c r="F146" s="26">
        <v>75.0</v>
      </c>
      <c r="G146" s="35">
        <v>146.0</v>
      </c>
      <c r="H146" s="17" t="s">
        <v>413</v>
      </c>
      <c r="I146" s="17" t="s">
        <v>414</v>
      </c>
      <c r="J146" s="17" t="s">
        <v>415</v>
      </c>
      <c r="L146" s="26">
        <v>5.0</v>
      </c>
      <c r="M146" s="17" t="s">
        <v>417</v>
      </c>
      <c r="N146" s="17" t="s">
        <v>418</v>
      </c>
      <c r="O146" s="26">
        <v>1600.0</v>
      </c>
      <c r="P146" s="26">
        <v>5.0</v>
      </c>
      <c r="Q146" s="26">
        <v>5.0</v>
      </c>
      <c r="R146" s="17" t="s">
        <v>419</v>
      </c>
      <c r="S146" s="17" t="s">
        <v>420</v>
      </c>
      <c r="T146" s="17" t="s">
        <v>421</v>
      </c>
      <c r="U146" s="17" t="s">
        <v>488</v>
      </c>
      <c r="V146" s="17" t="s">
        <v>1249</v>
      </c>
      <c r="W146" s="17" t="s">
        <v>403</v>
      </c>
      <c r="X146" s="17" t="s">
        <v>701</v>
      </c>
      <c r="Y146" s="17" t="s">
        <v>438</v>
      </c>
      <c r="Z146" s="17" t="s">
        <v>598</v>
      </c>
      <c r="AA146" s="17" t="s">
        <v>440</v>
      </c>
      <c r="AB146" s="17" t="s">
        <v>1250</v>
      </c>
      <c r="AC146" s="17" t="s">
        <v>428</v>
      </c>
      <c r="AD146" s="17" t="s">
        <v>1114</v>
      </c>
      <c r="AE146" s="26">
        <v>660.0</v>
      </c>
      <c r="AF146" s="36">
        <v>60.97</v>
      </c>
      <c r="AG146" s="36">
        <v>58.99</v>
      </c>
      <c r="AH146" s="26" t="s">
        <v>522</v>
      </c>
      <c r="AI146" s="26">
        <v>62982.0</v>
      </c>
      <c r="AJ146" s="26">
        <v>62982.0</v>
      </c>
      <c r="AK146" s="26" t="s">
        <v>537</v>
      </c>
      <c r="AL146" s="26">
        <v>1666.0</v>
      </c>
      <c r="AM146" s="26">
        <v>1183.0</v>
      </c>
      <c r="AN146" s="32"/>
      <c r="AO146" s="17" t="s">
        <v>422</v>
      </c>
      <c r="AP146" s="32"/>
      <c r="AQ146" s="32"/>
      <c r="AR146" s="32"/>
      <c r="AS146" s="32"/>
      <c r="AT146" s="26">
        <v>174.0</v>
      </c>
      <c r="AU146" s="26" t="s">
        <v>1251</v>
      </c>
      <c r="AV146" s="35">
        <v>146.0</v>
      </c>
      <c r="AW146" s="26">
        <v>250.0</v>
      </c>
      <c r="AX146" s="26">
        <v>75.0</v>
      </c>
      <c r="AY146" s="26">
        <v>430.0</v>
      </c>
      <c r="AZ146" s="37">
        <v>45507.0</v>
      </c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</row>
    <row r="147">
      <c r="A147" s="20" t="s">
        <v>1252</v>
      </c>
      <c r="B147" s="20" t="s">
        <v>1124</v>
      </c>
      <c r="C147" s="17" t="s">
        <v>1253</v>
      </c>
      <c r="D147" s="17" t="s">
        <v>951</v>
      </c>
      <c r="E147" s="34" t="s">
        <v>436</v>
      </c>
      <c r="F147" s="26">
        <v>46.0</v>
      </c>
      <c r="G147" s="35">
        <v>135.0</v>
      </c>
      <c r="H147" s="17" t="s">
        <v>413</v>
      </c>
      <c r="I147" s="17" t="s">
        <v>414</v>
      </c>
      <c r="J147" s="17" t="s">
        <v>415</v>
      </c>
      <c r="L147" s="26">
        <v>5.0</v>
      </c>
      <c r="M147" s="32"/>
      <c r="N147" s="17" t="s">
        <v>418</v>
      </c>
      <c r="O147" s="26">
        <v>500.0</v>
      </c>
      <c r="P147" s="26">
        <v>-1.0</v>
      </c>
      <c r="Q147" s="17" t="s">
        <v>419</v>
      </c>
      <c r="R147" s="17" t="s">
        <v>420</v>
      </c>
      <c r="S147" s="17" t="s">
        <v>421</v>
      </c>
      <c r="T147" s="17" t="s">
        <v>422</v>
      </c>
      <c r="U147" s="17" t="s">
        <v>423</v>
      </c>
      <c r="V147" s="17" t="s">
        <v>1033</v>
      </c>
      <c r="W147" s="17" t="s">
        <v>403</v>
      </c>
      <c r="X147" s="17" t="s">
        <v>459</v>
      </c>
      <c r="Y147" s="17" t="s">
        <v>438</v>
      </c>
      <c r="Z147" s="17" t="s">
        <v>1054</v>
      </c>
      <c r="AA147" s="17" t="s">
        <v>440</v>
      </c>
      <c r="AB147" s="17" t="s">
        <v>1250</v>
      </c>
      <c r="AC147" s="17" t="s">
        <v>428</v>
      </c>
      <c r="AD147" s="17" t="s">
        <v>1254</v>
      </c>
      <c r="AE147" s="26">
        <v>320.0</v>
      </c>
      <c r="AF147" s="36">
        <v>35.49</v>
      </c>
      <c r="AG147" s="36">
        <v>35.885</v>
      </c>
      <c r="AH147" s="17" t="s">
        <v>463</v>
      </c>
      <c r="AI147" s="26">
        <v>35687.0</v>
      </c>
      <c r="AJ147" s="26">
        <v>35687.0</v>
      </c>
      <c r="AK147" s="26" t="s">
        <v>537</v>
      </c>
      <c r="AL147" s="26">
        <v>243.0</v>
      </c>
      <c r="AM147" s="26">
        <v>1646.0</v>
      </c>
      <c r="AN147" s="17" t="s">
        <v>465</v>
      </c>
      <c r="AO147" s="32"/>
      <c r="AP147" s="17" t="s">
        <v>483</v>
      </c>
      <c r="AQ147" s="32"/>
      <c r="AR147" s="32"/>
      <c r="AS147" s="32"/>
      <c r="AT147" s="26">
        <v>174.0</v>
      </c>
      <c r="AU147" s="26" t="s">
        <v>1251</v>
      </c>
      <c r="AV147" s="35">
        <v>135.0</v>
      </c>
      <c r="AW147" s="26">
        <v>185.0</v>
      </c>
      <c r="AX147" s="26">
        <v>46.0</v>
      </c>
      <c r="AY147" s="26">
        <v>265.0</v>
      </c>
      <c r="AZ147" s="37">
        <v>45480.0</v>
      </c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</row>
    <row r="148">
      <c r="A148" s="20" t="s">
        <v>1255</v>
      </c>
      <c r="B148" s="20" t="s">
        <v>889</v>
      </c>
      <c r="C148" s="17" t="s">
        <v>1256</v>
      </c>
      <c r="D148" s="17" t="s">
        <v>891</v>
      </c>
      <c r="E148" s="34" t="s">
        <v>477</v>
      </c>
      <c r="F148" s="26">
        <v>59.0</v>
      </c>
      <c r="G148" s="35">
        <v>121.0</v>
      </c>
      <c r="H148" s="17" t="s">
        <v>413</v>
      </c>
      <c r="J148" s="32"/>
      <c r="K148" s="32"/>
      <c r="L148" s="26">
        <v>5.0</v>
      </c>
      <c r="M148" s="17" t="s">
        <v>417</v>
      </c>
      <c r="N148" s="32"/>
      <c r="O148" s="32"/>
      <c r="P148" s="26">
        <v>5.0</v>
      </c>
      <c r="Q148" s="26">
        <v>5.0</v>
      </c>
      <c r="R148" s="17" t="s">
        <v>419</v>
      </c>
      <c r="S148" s="17" t="s">
        <v>420</v>
      </c>
      <c r="T148" s="17" t="s">
        <v>421</v>
      </c>
      <c r="U148" s="17" t="s">
        <v>423</v>
      </c>
      <c r="V148" s="17" t="s">
        <v>797</v>
      </c>
      <c r="W148" s="17" t="s">
        <v>403</v>
      </c>
      <c r="X148" s="17" t="s">
        <v>1257</v>
      </c>
      <c r="Y148" s="17" t="s">
        <v>438</v>
      </c>
      <c r="Z148" s="17" t="s">
        <v>481</v>
      </c>
      <c r="AA148" s="17" t="s">
        <v>440</v>
      </c>
      <c r="AB148" s="17" t="s">
        <v>1250</v>
      </c>
      <c r="AC148" s="17" t="s">
        <v>428</v>
      </c>
      <c r="AD148" s="17" t="s">
        <v>644</v>
      </c>
      <c r="AE148" s="26">
        <v>240.0</v>
      </c>
      <c r="AF148" s="36">
        <v>41.1</v>
      </c>
      <c r="AG148" s="17" t="s">
        <v>463</v>
      </c>
      <c r="AH148" s="17" t="s">
        <v>463</v>
      </c>
      <c r="AI148" s="26">
        <v>41100.0</v>
      </c>
      <c r="AJ148" s="26">
        <v>41100.0</v>
      </c>
      <c r="AK148" s="26" t="s">
        <v>537</v>
      </c>
      <c r="AL148" s="26">
        <v>378.0</v>
      </c>
      <c r="AM148" s="26">
        <v>1657.0</v>
      </c>
      <c r="AN148" s="32"/>
      <c r="AO148" s="17" t="s">
        <v>422</v>
      </c>
      <c r="AP148" s="17" t="s">
        <v>483</v>
      </c>
      <c r="AQ148" s="17" t="s">
        <v>496</v>
      </c>
      <c r="AS148" s="32"/>
      <c r="AT148" s="26">
        <v>174.0</v>
      </c>
      <c r="AU148" s="26" t="s">
        <v>1251</v>
      </c>
      <c r="AV148" s="35">
        <v>121.0</v>
      </c>
      <c r="AW148" s="26">
        <v>157.0</v>
      </c>
      <c r="AX148" s="26">
        <v>59.0</v>
      </c>
      <c r="AY148" s="26">
        <v>340.0</v>
      </c>
      <c r="AZ148" s="37">
        <v>45541.0</v>
      </c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</row>
    <row r="149">
      <c r="A149" s="20" t="s">
        <v>1258</v>
      </c>
      <c r="B149" s="20" t="s">
        <v>1259</v>
      </c>
      <c r="C149" s="17" t="s">
        <v>1260</v>
      </c>
      <c r="D149" s="17" t="s">
        <v>835</v>
      </c>
      <c r="E149" s="34" t="s">
        <v>477</v>
      </c>
      <c r="F149" s="26" t="s">
        <v>1261</v>
      </c>
      <c r="G149" s="35">
        <v>107.0</v>
      </c>
      <c r="H149" s="32"/>
      <c r="I149" s="17" t="s">
        <v>414</v>
      </c>
      <c r="J149" s="17" t="s">
        <v>415</v>
      </c>
      <c r="L149" s="26">
        <v>5.0</v>
      </c>
      <c r="M149" s="17" t="s">
        <v>417</v>
      </c>
      <c r="N149" s="32"/>
      <c r="O149" s="32"/>
      <c r="P149" s="26">
        <v>5.0</v>
      </c>
      <c r="Q149" s="26">
        <v>5.0</v>
      </c>
      <c r="R149" s="17" t="s">
        <v>419</v>
      </c>
      <c r="S149" s="17" t="s">
        <v>420</v>
      </c>
      <c r="T149" s="17" t="s">
        <v>421</v>
      </c>
      <c r="U149" s="17" t="s">
        <v>423</v>
      </c>
      <c r="V149" s="17" t="s">
        <v>557</v>
      </c>
      <c r="W149" s="17" t="s">
        <v>403</v>
      </c>
      <c r="X149" s="17" t="s">
        <v>581</v>
      </c>
      <c r="Y149" s="17" t="s">
        <v>438</v>
      </c>
      <c r="Z149" s="17" t="s">
        <v>481</v>
      </c>
      <c r="AA149" s="17" t="s">
        <v>440</v>
      </c>
      <c r="AB149" s="17" t="s">
        <v>1250</v>
      </c>
      <c r="AC149" s="17" t="s">
        <v>428</v>
      </c>
      <c r="AD149" s="17" t="s">
        <v>1262</v>
      </c>
      <c r="AE149" s="26">
        <v>290.0</v>
      </c>
      <c r="AF149" s="36">
        <v>32.49</v>
      </c>
      <c r="AG149" s="17" t="s">
        <v>463</v>
      </c>
      <c r="AH149" s="26" t="s">
        <v>816</v>
      </c>
      <c r="AI149" s="26">
        <v>36367.0</v>
      </c>
      <c r="AJ149" s="26">
        <v>36367.0</v>
      </c>
      <c r="AK149" s="26" t="s">
        <v>777</v>
      </c>
      <c r="AL149" s="26">
        <v>129.0</v>
      </c>
      <c r="AM149" s="26">
        <v>2092.0</v>
      </c>
      <c r="AN149" s="32"/>
      <c r="AO149" s="17" t="s">
        <v>422</v>
      </c>
      <c r="AP149" s="17" t="s">
        <v>483</v>
      </c>
      <c r="AQ149" s="17" t="s">
        <v>496</v>
      </c>
      <c r="AS149" s="32"/>
      <c r="AT149" s="26">
        <v>174.0</v>
      </c>
      <c r="AU149" s="26" t="s">
        <v>1251</v>
      </c>
      <c r="AV149" s="35">
        <v>107.0</v>
      </c>
      <c r="AW149" s="26">
        <v>160.0</v>
      </c>
      <c r="AX149" s="26" t="s">
        <v>1261</v>
      </c>
      <c r="AY149" s="26">
        <v>340.0</v>
      </c>
      <c r="AZ149" s="37">
        <v>45330.0</v>
      </c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</row>
    <row r="150">
      <c r="A150" s="20" t="s">
        <v>1263</v>
      </c>
      <c r="B150" s="20" t="s">
        <v>856</v>
      </c>
      <c r="C150" s="17" t="s">
        <v>1264</v>
      </c>
      <c r="D150" s="17" t="s">
        <v>565</v>
      </c>
      <c r="E150" s="34" t="s">
        <v>477</v>
      </c>
      <c r="F150" s="26">
        <v>79.0</v>
      </c>
      <c r="G150" s="35">
        <v>127.0</v>
      </c>
      <c r="H150" s="17" t="s">
        <v>413</v>
      </c>
      <c r="I150" s="17" t="s">
        <v>414</v>
      </c>
      <c r="J150" s="17" t="s">
        <v>415</v>
      </c>
      <c r="K150" s="17" t="s">
        <v>595</v>
      </c>
      <c r="L150" s="26">
        <v>5.0</v>
      </c>
      <c r="M150" s="17" t="s">
        <v>417</v>
      </c>
      <c r="N150" s="17" t="s">
        <v>418</v>
      </c>
      <c r="O150" s="26">
        <v>1500.0</v>
      </c>
      <c r="P150" s="26">
        <v>5.0</v>
      </c>
      <c r="Q150" s="26">
        <v>5.0</v>
      </c>
      <c r="R150" s="17" t="s">
        <v>419</v>
      </c>
      <c r="S150" s="17" t="s">
        <v>420</v>
      </c>
      <c r="T150" s="17" t="s">
        <v>421</v>
      </c>
      <c r="U150" s="17" t="s">
        <v>423</v>
      </c>
      <c r="V150" s="17" t="s">
        <v>1265</v>
      </c>
      <c r="W150" s="17" t="s">
        <v>403</v>
      </c>
      <c r="X150" s="17" t="s">
        <v>859</v>
      </c>
      <c r="Y150" s="17" t="s">
        <v>438</v>
      </c>
      <c r="Z150" s="17" t="s">
        <v>881</v>
      </c>
      <c r="AA150" s="17" t="s">
        <v>440</v>
      </c>
      <c r="AB150" s="17" t="s">
        <v>1250</v>
      </c>
      <c r="AC150" s="17" t="s">
        <v>428</v>
      </c>
      <c r="AD150" s="17" t="s">
        <v>1064</v>
      </c>
      <c r="AE150" s="26">
        <v>680.0</v>
      </c>
      <c r="AF150" s="36">
        <v>56.99</v>
      </c>
      <c r="AG150" s="36">
        <v>55.2</v>
      </c>
      <c r="AH150" s="26" t="s">
        <v>1266</v>
      </c>
      <c r="AI150" s="26">
        <v>57694.0</v>
      </c>
      <c r="AJ150" s="26">
        <v>57694.0</v>
      </c>
      <c r="AK150" s="26" t="s">
        <v>567</v>
      </c>
      <c r="AL150" s="26">
        <v>337.0</v>
      </c>
      <c r="AM150" s="26">
        <v>2227.0</v>
      </c>
      <c r="AN150" s="32"/>
      <c r="AO150" s="17" t="s">
        <v>422</v>
      </c>
      <c r="AP150" s="32"/>
      <c r="AQ150" s="32"/>
      <c r="AR150" s="32"/>
      <c r="AS150" s="32"/>
      <c r="AT150" s="26">
        <v>174.0</v>
      </c>
      <c r="AU150" s="26" t="s">
        <v>1251</v>
      </c>
      <c r="AV150" s="35">
        <v>127.0</v>
      </c>
      <c r="AW150" s="26">
        <v>205.0</v>
      </c>
      <c r="AX150" s="26">
        <v>79.0</v>
      </c>
      <c r="AY150" s="26">
        <v>455.0</v>
      </c>
      <c r="AZ150" s="37">
        <v>45416.0</v>
      </c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</row>
    <row r="151">
      <c r="A151" s="20" t="s">
        <v>1267</v>
      </c>
      <c r="B151" s="20" t="s">
        <v>1268</v>
      </c>
      <c r="C151" s="17" t="s">
        <v>1269</v>
      </c>
      <c r="D151" s="17" t="s">
        <v>1012</v>
      </c>
      <c r="E151" s="34" t="s">
        <v>436</v>
      </c>
      <c r="F151" s="26">
        <v>60.0</v>
      </c>
      <c r="G151" s="35">
        <v>128.0</v>
      </c>
      <c r="H151" s="17" t="s">
        <v>413</v>
      </c>
      <c r="I151" s="17" t="s">
        <v>414</v>
      </c>
      <c r="J151" s="17" t="s">
        <v>415</v>
      </c>
      <c r="L151" s="26">
        <v>5.0</v>
      </c>
      <c r="M151" s="17" t="s">
        <v>417</v>
      </c>
      <c r="N151" s="17" t="s">
        <v>418</v>
      </c>
      <c r="O151" s="26">
        <v>750.0</v>
      </c>
      <c r="P151" s="26">
        <v>5.0</v>
      </c>
      <c r="Q151" s="26">
        <v>5.0</v>
      </c>
      <c r="R151" s="17" t="s">
        <v>419</v>
      </c>
      <c r="S151" s="17" t="s">
        <v>420</v>
      </c>
      <c r="T151" s="17" t="s">
        <v>421</v>
      </c>
      <c r="U151" s="17" t="s">
        <v>423</v>
      </c>
      <c r="V151" s="17" t="s">
        <v>1163</v>
      </c>
      <c r="W151" s="17" t="s">
        <v>403</v>
      </c>
      <c r="X151" s="17" t="s">
        <v>459</v>
      </c>
      <c r="Y151" s="17" t="s">
        <v>438</v>
      </c>
      <c r="Z151" s="17" t="s">
        <v>1164</v>
      </c>
      <c r="AA151" s="17" t="s">
        <v>440</v>
      </c>
      <c r="AB151" s="17" t="s">
        <v>1250</v>
      </c>
      <c r="AC151" s="17" t="s">
        <v>428</v>
      </c>
      <c r="AD151" s="17" t="s">
        <v>680</v>
      </c>
      <c r="AE151" s="26">
        <v>800.0</v>
      </c>
      <c r="AF151" s="36">
        <v>43.9</v>
      </c>
      <c r="AG151" s="36">
        <v>42.995</v>
      </c>
      <c r="AH151" s="26" t="s">
        <v>1270</v>
      </c>
      <c r="AI151" s="26">
        <v>44260.0</v>
      </c>
      <c r="AJ151" s="26">
        <v>44260.0</v>
      </c>
      <c r="AK151" s="26" t="s">
        <v>567</v>
      </c>
      <c r="AL151" s="26">
        <v>999.0</v>
      </c>
      <c r="AM151" s="26">
        <v>2235.0</v>
      </c>
      <c r="AN151" s="17" t="s">
        <v>465</v>
      </c>
      <c r="AO151" s="17" t="s">
        <v>422</v>
      </c>
      <c r="AP151" s="17" t="s">
        <v>483</v>
      </c>
      <c r="AQ151" s="32"/>
      <c r="AR151" s="32"/>
      <c r="AS151" s="32"/>
      <c r="AT151" s="26">
        <v>174.0</v>
      </c>
      <c r="AU151" s="26" t="s">
        <v>1251</v>
      </c>
      <c r="AV151" s="35">
        <v>128.0</v>
      </c>
      <c r="AW151" s="26">
        <v>185.0</v>
      </c>
      <c r="AX151" s="26">
        <v>60.0</v>
      </c>
      <c r="AY151" s="26">
        <v>345.0</v>
      </c>
      <c r="AZ151" s="37">
        <v>45420.0</v>
      </c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</row>
    <row r="152">
      <c r="A152" s="20" t="s">
        <v>1271</v>
      </c>
      <c r="B152" s="20" t="s">
        <v>1030</v>
      </c>
      <c r="C152" s="17" t="s">
        <v>1272</v>
      </c>
      <c r="D152" s="17" t="s">
        <v>556</v>
      </c>
      <c r="E152" s="34" t="s">
        <v>477</v>
      </c>
      <c r="F152" s="26" t="s">
        <v>1228</v>
      </c>
      <c r="G152" s="35">
        <v>101.0</v>
      </c>
      <c r="H152" s="32"/>
      <c r="I152" s="17" t="s">
        <v>414</v>
      </c>
      <c r="J152" s="17" t="s">
        <v>415</v>
      </c>
      <c r="L152" s="26">
        <v>5.0</v>
      </c>
      <c r="M152" s="17" t="s">
        <v>417</v>
      </c>
      <c r="N152" s="17" t="s">
        <v>418</v>
      </c>
      <c r="O152" s="26">
        <v>500.0</v>
      </c>
      <c r="P152" s="26">
        <v>5.0</v>
      </c>
      <c r="Q152" s="26">
        <v>5.0</v>
      </c>
      <c r="R152" s="17" t="s">
        <v>419</v>
      </c>
      <c r="S152" s="17" t="s">
        <v>420</v>
      </c>
      <c r="T152" s="17" t="s">
        <v>421</v>
      </c>
      <c r="U152" s="17" t="s">
        <v>423</v>
      </c>
      <c r="V152" s="17" t="s">
        <v>755</v>
      </c>
      <c r="W152" s="17" t="s">
        <v>403</v>
      </c>
      <c r="X152" s="17" t="s">
        <v>493</v>
      </c>
      <c r="Y152" s="17" t="s">
        <v>438</v>
      </c>
      <c r="Z152" s="17" t="s">
        <v>1273</v>
      </c>
      <c r="AA152" s="17" t="s">
        <v>440</v>
      </c>
      <c r="AB152" s="17" t="s">
        <v>1274</v>
      </c>
      <c r="AC152" s="17" t="s">
        <v>428</v>
      </c>
      <c r="AD152" s="17" t="s">
        <v>1275</v>
      </c>
      <c r="AE152" s="26">
        <v>590.0</v>
      </c>
      <c r="AF152" s="36">
        <v>45.99</v>
      </c>
      <c r="AG152" s="36">
        <v>41.285</v>
      </c>
      <c r="AH152" s="26" t="s">
        <v>1276</v>
      </c>
      <c r="AI152" s="26">
        <v>43081.0</v>
      </c>
      <c r="AJ152" s="26">
        <v>43081.0</v>
      </c>
      <c r="AK152" s="26" t="s">
        <v>431</v>
      </c>
      <c r="AL152" s="26">
        <v>551.0</v>
      </c>
      <c r="AM152" s="26">
        <v>1973.0</v>
      </c>
      <c r="AN152" s="17" t="s">
        <v>465</v>
      </c>
      <c r="AO152" s="17" t="s">
        <v>422</v>
      </c>
      <c r="AP152" s="17" t="s">
        <v>483</v>
      </c>
      <c r="AQ152" s="17" t="s">
        <v>496</v>
      </c>
      <c r="AS152" s="32"/>
      <c r="AT152" s="26">
        <v>175.0</v>
      </c>
      <c r="AU152" s="26" t="s">
        <v>1277</v>
      </c>
      <c r="AV152" s="35">
        <v>101.0</v>
      </c>
      <c r="AW152" s="26">
        <v>180.0</v>
      </c>
      <c r="AX152" s="26" t="s">
        <v>1228</v>
      </c>
      <c r="AY152" s="26">
        <v>425.0</v>
      </c>
      <c r="AZ152" s="37">
        <v>45418.0</v>
      </c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</row>
    <row r="153">
      <c r="A153" s="20" t="s">
        <v>1278</v>
      </c>
      <c r="B153" s="20" t="s">
        <v>1279</v>
      </c>
      <c r="C153" s="17" t="s">
        <v>1280</v>
      </c>
      <c r="D153" s="17" t="s">
        <v>835</v>
      </c>
      <c r="E153" s="34" t="s">
        <v>477</v>
      </c>
      <c r="F153" s="26">
        <v>62.0</v>
      </c>
      <c r="G153" s="35">
        <v>121.0</v>
      </c>
      <c r="H153" s="32"/>
      <c r="I153" s="17" t="s">
        <v>414</v>
      </c>
      <c r="J153" s="17" t="s">
        <v>415</v>
      </c>
      <c r="L153" s="26">
        <v>5.0</v>
      </c>
      <c r="M153" s="17" t="s">
        <v>417</v>
      </c>
      <c r="N153" s="17" t="s">
        <v>418</v>
      </c>
      <c r="O153" s="26">
        <v>1600.0</v>
      </c>
      <c r="P153" s="26">
        <v>5.0</v>
      </c>
      <c r="Q153" s="26">
        <v>5.0</v>
      </c>
      <c r="R153" s="17" t="s">
        <v>419</v>
      </c>
      <c r="S153" s="17" t="s">
        <v>420</v>
      </c>
      <c r="T153" s="17" t="s">
        <v>421</v>
      </c>
      <c r="U153" s="17" t="s">
        <v>423</v>
      </c>
      <c r="V153" s="17" t="s">
        <v>1281</v>
      </c>
      <c r="W153" s="17" t="s">
        <v>403</v>
      </c>
      <c r="X153" s="17" t="s">
        <v>493</v>
      </c>
      <c r="Y153" s="17" t="s">
        <v>438</v>
      </c>
      <c r="Z153" s="17" t="s">
        <v>1282</v>
      </c>
      <c r="AA153" s="17" t="s">
        <v>440</v>
      </c>
      <c r="AB153" s="17" t="s">
        <v>1274</v>
      </c>
      <c r="AC153" s="17" t="s">
        <v>428</v>
      </c>
      <c r="AD153" s="17" t="s">
        <v>1283</v>
      </c>
      <c r="AE153" s="26">
        <v>550.0</v>
      </c>
      <c r="AF153" s="36">
        <v>43.49</v>
      </c>
      <c r="AG153" s="36">
        <v>43.395</v>
      </c>
      <c r="AH153" s="26" t="s">
        <v>1284</v>
      </c>
      <c r="AI153" s="26">
        <v>43125.0</v>
      </c>
      <c r="AJ153" s="26">
        <v>43125.0</v>
      </c>
      <c r="AK153" s="26" t="s">
        <v>777</v>
      </c>
      <c r="AL153" s="26">
        <v>123.0</v>
      </c>
      <c r="AM153" s="26">
        <v>1999.0</v>
      </c>
      <c r="AN153" s="17" t="s">
        <v>465</v>
      </c>
      <c r="AO153" s="17" t="s">
        <v>422</v>
      </c>
      <c r="AP153" s="32"/>
      <c r="AQ153" s="32"/>
      <c r="AR153" s="17" t="s">
        <v>512</v>
      </c>
      <c r="AS153" s="32"/>
      <c r="AT153" s="26">
        <v>175.0</v>
      </c>
      <c r="AU153" s="26" t="s">
        <v>1277</v>
      </c>
      <c r="AV153" s="35">
        <v>121.0</v>
      </c>
      <c r="AW153" s="26">
        <v>180.0</v>
      </c>
      <c r="AX153" s="26">
        <v>62.0</v>
      </c>
      <c r="AY153" s="26">
        <v>355.0</v>
      </c>
      <c r="AZ153" s="37">
        <v>45509.0</v>
      </c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</row>
    <row r="154">
      <c r="A154" s="20" t="s">
        <v>1285</v>
      </c>
      <c r="B154" s="20" t="s">
        <v>999</v>
      </c>
      <c r="C154" s="17" t="s">
        <v>1286</v>
      </c>
      <c r="D154" s="17" t="s">
        <v>410</v>
      </c>
      <c r="E154" s="34" t="s">
        <v>477</v>
      </c>
      <c r="F154" s="26">
        <v>77.0</v>
      </c>
      <c r="G154" s="35">
        <v>122.0</v>
      </c>
      <c r="H154" s="17" t="s">
        <v>413</v>
      </c>
      <c r="I154" s="17" t="s">
        <v>414</v>
      </c>
      <c r="J154" s="17" t="s">
        <v>415</v>
      </c>
      <c r="L154" s="26">
        <v>5.0</v>
      </c>
      <c r="M154" s="17" t="s">
        <v>417</v>
      </c>
      <c r="N154" s="17" t="s">
        <v>418</v>
      </c>
      <c r="O154" s="26">
        <v>1200.0</v>
      </c>
      <c r="P154" s="26">
        <v>5.0</v>
      </c>
      <c r="Q154" s="26">
        <v>5.0</v>
      </c>
      <c r="R154" s="17" t="s">
        <v>419</v>
      </c>
      <c r="S154" s="17" t="s">
        <v>420</v>
      </c>
      <c r="T154" s="17" t="s">
        <v>421</v>
      </c>
      <c r="U154" s="17" t="s">
        <v>423</v>
      </c>
      <c r="V154" s="17" t="s">
        <v>759</v>
      </c>
      <c r="W154" s="17" t="s">
        <v>403</v>
      </c>
      <c r="X154" s="17" t="s">
        <v>493</v>
      </c>
      <c r="Y154" s="17" t="s">
        <v>438</v>
      </c>
      <c r="Z154" s="17" t="s">
        <v>959</v>
      </c>
      <c r="AA154" s="17" t="s">
        <v>440</v>
      </c>
      <c r="AB154" s="17" t="s">
        <v>1274</v>
      </c>
      <c r="AC154" s="17" t="s">
        <v>428</v>
      </c>
      <c r="AD154" s="17" t="s">
        <v>1114</v>
      </c>
      <c r="AE154" s="26">
        <v>660.0</v>
      </c>
      <c r="AF154" s="36">
        <v>51.15</v>
      </c>
      <c r="AG154" s="17" t="s">
        <v>463</v>
      </c>
      <c r="AH154" s="26" t="s">
        <v>1287</v>
      </c>
      <c r="AI154" s="26">
        <v>53522.0</v>
      </c>
      <c r="AJ154" s="26">
        <v>53522.0</v>
      </c>
      <c r="AK154" s="26" t="s">
        <v>431</v>
      </c>
      <c r="AL154" s="26">
        <v>358.0</v>
      </c>
      <c r="AM154" s="26">
        <v>2021.0</v>
      </c>
      <c r="AN154" s="32"/>
      <c r="AO154" s="17" t="s">
        <v>422</v>
      </c>
      <c r="AP154" s="17" t="s">
        <v>483</v>
      </c>
      <c r="AQ154" s="32"/>
      <c r="AR154" s="32"/>
      <c r="AS154" s="32"/>
      <c r="AT154" s="26">
        <v>175.0</v>
      </c>
      <c r="AU154" s="26" t="s">
        <v>1277</v>
      </c>
      <c r="AV154" s="35">
        <v>122.0</v>
      </c>
      <c r="AW154" s="26">
        <v>180.0</v>
      </c>
      <c r="AX154" s="26">
        <v>77.0</v>
      </c>
      <c r="AY154" s="26">
        <v>440.0</v>
      </c>
      <c r="AZ154" s="37">
        <v>45449.0</v>
      </c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</row>
    <row r="155">
      <c r="A155" s="20" t="s">
        <v>1288</v>
      </c>
      <c r="B155" s="20" t="s">
        <v>1279</v>
      </c>
      <c r="C155" s="17" t="s">
        <v>1289</v>
      </c>
      <c r="D155" s="17" t="s">
        <v>835</v>
      </c>
      <c r="E155" s="34" t="s">
        <v>550</v>
      </c>
      <c r="F155" s="26">
        <v>62.0</v>
      </c>
      <c r="G155" s="35">
        <v>131.0</v>
      </c>
      <c r="H155" s="32"/>
      <c r="I155" s="17" t="s">
        <v>414</v>
      </c>
      <c r="J155" s="17" t="s">
        <v>415</v>
      </c>
      <c r="L155" s="26">
        <v>5.0</v>
      </c>
      <c r="M155" s="17" t="s">
        <v>417</v>
      </c>
      <c r="N155" s="17" t="s">
        <v>418</v>
      </c>
      <c r="O155" s="26">
        <v>1600.0</v>
      </c>
      <c r="P155" s="26">
        <v>5.0</v>
      </c>
      <c r="Q155" s="26">
        <v>5.0</v>
      </c>
      <c r="R155" s="17" t="s">
        <v>419</v>
      </c>
      <c r="S155" s="17" t="s">
        <v>420</v>
      </c>
      <c r="T155" s="17" t="s">
        <v>421</v>
      </c>
      <c r="U155" s="17" t="s">
        <v>423</v>
      </c>
      <c r="V155" s="17" t="s">
        <v>1281</v>
      </c>
      <c r="W155" s="17" t="s">
        <v>403</v>
      </c>
      <c r="X155" s="17" t="s">
        <v>493</v>
      </c>
      <c r="Y155" s="17" t="s">
        <v>404</v>
      </c>
      <c r="Z155" s="17" t="s">
        <v>1282</v>
      </c>
      <c r="AA155" s="17" t="s">
        <v>401</v>
      </c>
      <c r="AB155" s="17" t="s">
        <v>1274</v>
      </c>
      <c r="AC155" s="17" t="s">
        <v>428</v>
      </c>
      <c r="AD155" s="17" t="s">
        <v>1283</v>
      </c>
      <c r="AE155" s="26">
        <v>550.0</v>
      </c>
      <c r="AF155" s="36">
        <v>46.49</v>
      </c>
      <c r="AG155" s="36">
        <v>46.055</v>
      </c>
      <c r="AH155" s="26" t="s">
        <v>1290</v>
      </c>
      <c r="AI155" s="26">
        <v>46354.0</v>
      </c>
      <c r="AJ155" s="26">
        <v>46354.0</v>
      </c>
      <c r="AK155" s="26" t="s">
        <v>777</v>
      </c>
      <c r="AL155" s="26">
        <v>284.0</v>
      </c>
      <c r="AM155" s="26">
        <v>2054.0</v>
      </c>
      <c r="AN155" s="17" t="s">
        <v>465</v>
      </c>
      <c r="AO155" s="17" t="s">
        <v>422</v>
      </c>
      <c r="AP155" s="32"/>
      <c r="AQ155" s="32"/>
      <c r="AR155" s="17" t="s">
        <v>512</v>
      </c>
      <c r="AS155" s="32"/>
      <c r="AT155" s="26">
        <v>175.0</v>
      </c>
      <c r="AU155" s="26" t="s">
        <v>1277</v>
      </c>
      <c r="AV155" s="35">
        <v>131.0</v>
      </c>
      <c r="AW155" s="26">
        <v>180.0</v>
      </c>
      <c r="AX155" s="26">
        <v>62.0</v>
      </c>
      <c r="AY155" s="26">
        <v>355.0</v>
      </c>
      <c r="AZ155" s="37">
        <v>45509.0</v>
      </c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</row>
    <row r="156">
      <c r="A156" s="20" t="s">
        <v>1291</v>
      </c>
      <c r="B156" s="20" t="s">
        <v>1259</v>
      </c>
      <c r="C156" s="17" t="s">
        <v>1292</v>
      </c>
      <c r="D156" s="17" t="s">
        <v>835</v>
      </c>
      <c r="E156" s="34" t="s">
        <v>477</v>
      </c>
      <c r="F156" s="26" t="s">
        <v>1293</v>
      </c>
      <c r="G156" s="35">
        <v>123.0</v>
      </c>
      <c r="H156" s="32"/>
      <c r="I156" s="17" t="s">
        <v>414</v>
      </c>
      <c r="J156" s="17" t="s">
        <v>415</v>
      </c>
      <c r="L156" s="26">
        <v>5.0</v>
      </c>
      <c r="M156" s="17" t="s">
        <v>417</v>
      </c>
      <c r="N156" s="32"/>
      <c r="O156" s="32"/>
      <c r="P156" s="26">
        <v>5.0</v>
      </c>
      <c r="Q156" s="26">
        <v>5.0</v>
      </c>
      <c r="R156" s="17" t="s">
        <v>419</v>
      </c>
      <c r="S156" s="17" t="s">
        <v>420</v>
      </c>
      <c r="T156" s="17" t="s">
        <v>421</v>
      </c>
      <c r="U156" s="17" t="s">
        <v>423</v>
      </c>
      <c r="V156" s="17" t="s">
        <v>899</v>
      </c>
      <c r="W156" s="17" t="s">
        <v>403</v>
      </c>
      <c r="X156" s="17" t="s">
        <v>581</v>
      </c>
      <c r="Y156" s="17" t="s">
        <v>438</v>
      </c>
      <c r="Z156" s="17" t="s">
        <v>534</v>
      </c>
      <c r="AA156" s="17" t="s">
        <v>440</v>
      </c>
      <c r="AB156" s="17" t="s">
        <v>1274</v>
      </c>
      <c r="AC156" s="17" t="s">
        <v>428</v>
      </c>
      <c r="AD156" s="17" t="s">
        <v>644</v>
      </c>
      <c r="AE156" s="26">
        <v>240.0</v>
      </c>
      <c r="AF156" s="36">
        <v>26.99</v>
      </c>
      <c r="AG156" s="17" t="s">
        <v>463</v>
      </c>
      <c r="AH156" s="26" t="s">
        <v>1294</v>
      </c>
      <c r="AI156" s="26">
        <v>31892.0</v>
      </c>
      <c r="AJ156" s="26">
        <v>31892.0</v>
      </c>
      <c r="AK156" s="26" t="s">
        <v>777</v>
      </c>
      <c r="AL156" s="26">
        <v>201.0</v>
      </c>
      <c r="AM156" s="26">
        <v>2091.0</v>
      </c>
      <c r="AN156" s="32"/>
      <c r="AO156" s="17" t="s">
        <v>422</v>
      </c>
      <c r="AP156" s="17" t="s">
        <v>483</v>
      </c>
      <c r="AQ156" s="17" t="s">
        <v>496</v>
      </c>
      <c r="AS156" s="32"/>
      <c r="AT156" s="26">
        <v>175.0</v>
      </c>
      <c r="AU156" s="26" t="s">
        <v>1277</v>
      </c>
      <c r="AV156" s="35">
        <v>123.0</v>
      </c>
      <c r="AW156" s="26">
        <v>160.0</v>
      </c>
      <c r="AX156" s="26" t="s">
        <v>1293</v>
      </c>
      <c r="AY156" s="26">
        <v>260.0</v>
      </c>
      <c r="AZ156" s="37">
        <v>45359.0</v>
      </c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</row>
    <row r="157">
      <c r="A157" s="20" t="s">
        <v>1295</v>
      </c>
      <c r="B157" s="20" t="s">
        <v>1296</v>
      </c>
      <c r="C157" s="17" t="s">
        <v>1297</v>
      </c>
      <c r="D157" s="17" t="s">
        <v>1037</v>
      </c>
      <c r="E157" s="34" t="s">
        <v>550</v>
      </c>
      <c r="F157" s="26">
        <v>64.0</v>
      </c>
      <c r="G157" s="35">
        <v>150.0</v>
      </c>
      <c r="H157" s="17" t="s">
        <v>413</v>
      </c>
      <c r="I157" s="17" t="s">
        <v>414</v>
      </c>
      <c r="J157" s="17" t="s">
        <v>415</v>
      </c>
      <c r="L157" s="26">
        <v>5.0</v>
      </c>
      <c r="M157" s="32"/>
      <c r="N157" s="17" t="s">
        <v>418</v>
      </c>
      <c r="O157" s="26">
        <v>750.0</v>
      </c>
      <c r="P157" s="26">
        <v>5.0</v>
      </c>
      <c r="Q157" s="26">
        <v>5.0</v>
      </c>
      <c r="R157" s="17" t="s">
        <v>419</v>
      </c>
      <c r="S157" s="17" t="s">
        <v>420</v>
      </c>
      <c r="T157" s="17" t="s">
        <v>421</v>
      </c>
      <c r="U157" s="17" t="s">
        <v>423</v>
      </c>
      <c r="V157" s="17" t="s">
        <v>787</v>
      </c>
      <c r="W157" s="17" t="s">
        <v>403</v>
      </c>
      <c r="X157" s="17" t="s">
        <v>581</v>
      </c>
      <c r="Y157" s="17" t="s">
        <v>404</v>
      </c>
      <c r="Z157" s="17" t="s">
        <v>1298</v>
      </c>
      <c r="AA157" s="17" t="s">
        <v>401</v>
      </c>
      <c r="AB157" s="17" t="s">
        <v>1274</v>
      </c>
      <c r="AC157" s="17" t="s">
        <v>428</v>
      </c>
      <c r="AD157" s="17" t="s">
        <v>1299</v>
      </c>
      <c r="AE157" s="26">
        <v>540.0</v>
      </c>
      <c r="AF157" s="36">
        <v>54.89</v>
      </c>
      <c r="AG157" s="36">
        <v>54.495</v>
      </c>
      <c r="AH157" s="17" t="s">
        <v>463</v>
      </c>
      <c r="AI157" s="26">
        <v>54692.0</v>
      </c>
      <c r="AJ157" s="26">
        <v>54692.0</v>
      </c>
      <c r="AK157" s="26" t="s">
        <v>552</v>
      </c>
      <c r="AL157" s="26">
        <v>288.0</v>
      </c>
      <c r="AM157" s="26">
        <v>3027.0</v>
      </c>
      <c r="AN157" s="32"/>
      <c r="AO157" s="17" t="s">
        <v>422</v>
      </c>
      <c r="AP157" s="17" t="s">
        <v>483</v>
      </c>
      <c r="AQ157" s="32"/>
      <c r="AR157" s="32"/>
      <c r="AS157" s="32"/>
      <c r="AT157" s="26">
        <v>175.0</v>
      </c>
      <c r="AU157" s="26" t="s">
        <v>1277</v>
      </c>
      <c r="AV157" s="35">
        <v>150.0</v>
      </c>
      <c r="AW157" s="26">
        <v>160.0</v>
      </c>
      <c r="AX157" s="26">
        <v>64.0</v>
      </c>
      <c r="AY157" s="26">
        <v>365.0</v>
      </c>
      <c r="AZ157" s="26">
        <v>8.0</v>
      </c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</row>
    <row r="158">
      <c r="A158" s="20" t="s">
        <v>1300</v>
      </c>
      <c r="B158" s="20" t="s">
        <v>1301</v>
      </c>
      <c r="C158" s="17" t="s">
        <v>1302</v>
      </c>
      <c r="D158" s="17" t="s">
        <v>1303</v>
      </c>
      <c r="E158" s="34" t="s">
        <v>411</v>
      </c>
      <c r="F158" s="26">
        <v>30.0</v>
      </c>
      <c r="G158" s="35">
        <v>212.0</v>
      </c>
      <c r="H158" s="17" t="s">
        <v>413</v>
      </c>
      <c r="I158" s="17" t="s">
        <v>414</v>
      </c>
      <c r="J158" s="17" t="s">
        <v>415</v>
      </c>
      <c r="L158" s="26">
        <v>5.0</v>
      </c>
      <c r="M158" s="32"/>
      <c r="N158" s="32"/>
      <c r="O158" s="32"/>
      <c r="P158" s="26">
        <v>5.0</v>
      </c>
      <c r="Q158" s="26">
        <v>5.0</v>
      </c>
      <c r="R158" s="17" t="s">
        <v>419</v>
      </c>
      <c r="S158" s="17" t="s">
        <v>420</v>
      </c>
      <c r="T158" s="17" t="s">
        <v>421</v>
      </c>
      <c r="U158" s="17" t="s">
        <v>423</v>
      </c>
      <c r="V158" s="17" t="s">
        <v>719</v>
      </c>
      <c r="W158" s="17" t="s">
        <v>403</v>
      </c>
      <c r="X158" s="17" t="s">
        <v>527</v>
      </c>
      <c r="Y158" s="17" t="s">
        <v>404</v>
      </c>
      <c r="Z158" s="17" t="s">
        <v>1304</v>
      </c>
      <c r="AA158" s="17" t="s">
        <v>401</v>
      </c>
      <c r="AB158" s="17" t="s">
        <v>1305</v>
      </c>
      <c r="AC158" s="17" t="s">
        <v>428</v>
      </c>
      <c r="AD158" s="17" t="s">
        <v>589</v>
      </c>
      <c r="AE158" s="26">
        <v>170.0</v>
      </c>
      <c r="AF158" s="36">
        <v>35.99</v>
      </c>
      <c r="AG158" s="36">
        <v>36.44</v>
      </c>
      <c r="AH158" s="26" t="s">
        <v>1306</v>
      </c>
      <c r="AI158" s="26">
        <v>36122.0</v>
      </c>
      <c r="AJ158" s="26">
        <v>36122.0</v>
      </c>
      <c r="AK158" s="26" t="s">
        <v>537</v>
      </c>
      <c r="AL158" s="26">
        <v>793.0</v>
      </c>
      <c r="AM158" s="26">
        <v>1680.0</v>
      </c>
      <c r="AN158" s="32"/>
      <c r="AO158" s="17" t="s">
        <v>422</v>
      </c>
      <c r="AP158" s="17" t="s">
        <v>483</v>
      </c>
      <c r="AQ158" s="32"/>
      <c r="AR158" s="32"/>
      <c r="AS158" s="32"/>
      <c r="AT158" s="26">
        <v>176.0</v>
      </c>
      <c r="AU158" s="26" t="s">
        <v>1307</v>
      </c>
      <c r="AV158" s="35">
        <v>212.0</v>
      </c>
      <c r="AW158" s="26">
        <v>140.0</v>
      </c>
      <c r="AX158" s="26">
        <v>30.0</v>
      </c>
      <c r="AY158" s="26">
        <v>170.0</v>
      </c>
      <c r="AZ158" s="37">
        <v>45482.0</v>
      </c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</row>
    <row r="159">
      <c r="A159" s="20" t="s">
        <v>1308</v>
      </c>
      <c r="B159" s="20" t="s">
        <v>1309</v>
      </c>
      <c r="C159" s="17" t="s">
        <v>1310</v>
      </c>
      <c r="D159" s="17" t="s">
        <v>770</v>
      </c>
      <c r="E159" s="34" t="s">
        <v>477</v>
      </c>
      <c r="F159" s="26">
        <v>60.0</v>
      </c>
      <c r="G159" s="35">
        <v>124.0</v>
      </c>
      <c r="H159" s="17" t="s">
        <v>413</v>
      </c>
      <c r="I159" s="17" t="s">
        <v>414</v>
      </c>
      <c r="J159" s="17" t="s">
        <v>415</v>
      </c>
      <c r="L159" s="26">
        <v>5.0</v>
      </c>
      <c r="M159" s="17" t="s">
        <v>417</v>
      </c>
      <c r="N159" s="17" t="s">
        <v>418</v>
      </c>
      <c r="O159" s="26">
        <v>1100.0</v>
      </c>
      <c r="P159" s="26">
        <v>-1.0</v>
      </c>
      <c r="Q159" s="17" t="s">
        <v>419</v>
      </c>
      <c r="R159" s="17" t="s">
        <v>420</v>
      </c>
      <c r="S159" s="17" t="s">
        <v>421</v>
      </c>
      <c r="T159" s="17" t="s">
        <v>422</v>
      </c>
      <c r="U159" s="17" t="s">
        <v>423</v>
      </c>
      <c r="V159" s="17" t="s">
        <v>837</v>
      </c>
      <c r="W159" s="17" t="s">
        <v>403</v>
      </c>
      <c r="X159" s="17" t="s">
        <v>480</v>
      </c>
      <c r="Y159" s="17" t="s">
        <v>438</v>
      </c>
      <c r="Z159" s="17" t="s">
        <v>481</v>
      </c>
      <c r="AA159" s="17" t="s">
        <v>440</v>
      </c>
      <c r="AB159" s="17" t="s">
        <v>1305</v>
      </c>
      <c r="AC159" s="17" t="s">
        <v>428</v>
      </c>
      <c r="AD159" s="17" t="s">
        <v>788</v>
      </c>
      <c r="AE159" s="26">
        <v>400.0</v>
      </c>
      <c r="AF159" s="36">
        <v>41.4</v>
      </c>
      <c r="AG159" s="36">
        <v>42.47</v>
      </c>
      <c r="AH159" s="26" t="s">
        <v>1311</v>
      </c>
      <c r="AI159" s="26">
        <v>42329.0</v>
      </c>
      <c r="AJ159" s="26">
        <v>42329.0</v>
      </c>
      <c r="AK159" s="26" t="s">
        <v>777</v>
      </c>
      <c r="AL159" s="26">
        <v>273.0</v>
      </c>
      <c r="AM159" s="26">
        <v>2068.0</v>
      </c>
      <c r="AN159" s="32"/>
      <c r="AO159" s="32"/>
      <c r="AP159" s="17" t="s">
        <v>483</v>
      </c>
      <c r="AQ159" s="32"/>
      <c r="AR159" s="32"/>
      <c r="AS159" s="32"/>
      <c r="AT159" s="26">
        <v>176.0</v>
      </c>
      <c r="AU159" s="26" t="s">
        <v>1307</v>
      </c>
      <c r="AV159" s="35">
        <v>124.0</v>
      </c>
      <c r="AW159" s="26">
        <v>150.0</v>
      </c>
      <c r="AX159" s="26">
        <v>60.0</v>
      </c>
      <c r="AY159" s="26">
        <v>340.0</v>
      </c>
      <c r="AZ159" s="37">
        <v>45451.0</v>
      </c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</row>
    <row r="160">
      <c r="A160" s="20" t="s">
        <v>1312</v>
      </c>
      <c r="B160" s="20" t="s">
        <v>1112</v>
      </c>
      <c r="C160" s="17" t="s">
        <v>1313</v>
      </c>
      <c r="D160" s="17" t="s">
        <v>487</v>
      </c>
      <c r="E160" s="34" t="s">
        <v>477</v>
      </c>
      <c r="F160" s="26" t="s">
        <v>1314</v>
      </c>
      <c r="G160" s="35">
        <v>148.0</v>
      </c>
      <c r="H160" s="17" t="s">
        <v>413</v>
      </c>
      <c r="I160" s="17" t="s">
        <v>414</v>
      </c>
      <c r="J160" s="17" t="s">
        <v>415</v>
      </c>
      <c r="K160" s="17" t="s">
        <v>416</v>
      </c>
      <c r="L160" s="26">
        <v>5.0</v>
      </c>
      <c r="M160" s="17" t="s">
        <v>417</v>
      </c>
      <c r="N160" s="17" t="s">
        <v>418</v>
      </c>
      <c r="O160" s="26">
        <v>1700.0</v>
      </c>
      <c r="P160" s="26">
        <v>5.0</v>
      </c>
      <c r="Q160" s="26">
        <v>5.0</v>
      </c>
      <c r="R160" s="17" t="s">
        <v>419</v>
      </c>
      <c r="S160" s="17" t="s">
        <v>420</v>
      </c>
      <c r="T160" s="17" t="s">
        <v>421</v>
      </c>
      <c r="U160" s="17" t="s">
        <v>423</v>
      </c>
      <c r="V160" s="17" t="s">
        <v>1315</v>
      </c>
      <c r="W160" s="17" t="s">
        <v>403</v>
      </c>
      <c r="X160" s="17" t="s">
        <v>619</v>
      </c>
      <c r="Y160" s="17" t="s">
        <v>438</v>
      </c>
      <c r="Z160" s="17" t="s">
        <v>679</v>
      </c>
      <c r="AA160" s="17" t="s">
        <v>440</v>
      </c>
      <c r="AB160" s="17" t="s">
        <v>1305</v>
      </c>
      <c r="AC160" s="17" t="s">
        <v>428</v>
      </c>
      <c r="AD160" s="17" t="s">
        <v>1235</v>
      </c>
      <c r="AE160" s="26">
        <v>770.0</v>
      </c>
      <c r="AF160" s="36">
        <v>74.149</v>
      </c>
      <c r="AG160" s="36">
        <v>78.791</v>
      </c>
      <c r="AH160" s="17" t="s">
        <v>463</v>
      </c>
      <c r="AI160" s="26">
        <v>76470.0</v>
      </c>
      <c r="AJ160" s="26">
        <v>76470.0</v>
      </c>
      <c r="AK160" s="26" t="s">
        <v>495</v>
      </c>
      <c r="AL160" s="26">
        <v>218.0</v>
      </c>
      <c r="AM160" s="26">
        <v>2206.0</v>
      </c>
      <c r="AN160" s="32"/>
      <c r="AO160" s="17" t="s">
        <v>422</v>
      </c>
      <c r="AP160" s="32"/>
      <c r="AQ160" s="32"/>
      <c r="AR160" s="32"/>
      <c r="AS160" s="32"/>
      <c r="AT160" s="26">
        <v>176.0</v>
      </c>
      <c r="AU160" s="26" t="s">
        <v>1307</v>
      </c>
      <c r="AV160" s="35">
        <v>148.0</v>
      </c>
      <c r="AW160" s="26">
        <v>210.0</v>
      </c>
      <c r="AX160" s="26" t="s">
        <v>1314</v>
      </c>
      <c r="AY160" s="26">
        <v>515.0</v>
      </c>
      <c r="AZ160" s="37">
        <v>45357.0</v>
      </c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</row>
    <row r="161">
      <c r="A161" s="20" t="s">
        <v>1316</v>
      </c>
      <c r="B161" s="20" t="s">
        <v>1317</v>
      </c>
      <c r="C161" s="17" t="s">
        <v>1318</v>
      </c>
      <c r="D161" s="17" t="s">
        <v>565</v>
      </c>
      <c r="E161" s="34" t="s">
        <v>477</v>
      </c>
      <c r="F161" s="26">
        <v>44.0</v>
      </c>
      <c r="G161" s="35">
        <v>109.0</v>
      </c>
      <c r="H161" s="32"/>
      <c r="I161" s="17" t="s">
        <v>414</v>
      </c>
      <c r="J161" s="17" t="s">
        <v>415</v>
      </c>
      <c r="L161" s="26">
        <v>5.0</v>
      </c>
      <c r="M161" s="32"/>
      <c r="N161" s="17" t="s">
        <v>418</v>
      </c>
      <c r="O161" s="26">
        <v>350.0</v>
      </c>
      <c r="P161" s="26">
        <v>-1.0</v>
      </c>
      <c r="Q161" s="17" t="s">
        <v>419</v>
      </c>
      <c r="R161" s="17" t="s">
        <v>420</v>
      </c>
      <c r="S161" s="17" t="s">
        <v>421</v>
      </c>
      <c r="T161" s="17" t="s">
        <v>422</v>
      </c>
      <c r="U161" s="17" t="s">
        <v>423</v>
      </c>
      <c r="V161" s="17" t="s">
        <v>1319</v>
      </c>
      <c r="W161" s="17" t="s">
        <v>403</v>
      </c>
      <c r="X161" s="17" t="s">
        <v>1320</v>
      </c>
      <c r="Y161" s="17" t="s">
        <v>438</v>
      </c>
      <c r="Z161" s="17" t="s">
        <v>605</v>
      </c>
      <c r="AA161" s="17" t="s">
        <v>440</v>
      </c>
      <c r="AB161" s="17" t="s">
        <v>1305</v>
      </c>
      <c r="AC161" s="17" t="s">
        <v>428</v>
      </c>
      <c r="AD161" s="17" t="s">
        <v>1254</v>
      </c>
      <c r="AE161" s="26">
        <v>320.0</v>
      </c>
      <c r="AF161" s="36">
        <v>26.49</v>
      </c>
      <c r="AG161" s="36">
        <v>27.39</v>
      </c>
      <c r="AH161" s="17" t="s">
        <v>1321</v>
      </c>
      <c r="AI161" s="26">
        <v>27351.0</v>
      </c>
      <c r="AJ161" s="26">
        <v>27351.0</v>
      </c>
      <c r="AK161" s="26" t="s">
        <v>567</v>
      </c>
      <c r="AL161" s="26">
        <v>405.0</v>
      </c>
      <c r="AM161" s="26">
        <v>2224.0</v>
      </c>
      <c r="AN161" s="32"/>
      <c r="AO161" s="32"/>
      <c r="AP161" s="32"/>
      <c r="AQ161" s="32"/>
      <c r="AR161" s="17" t="s">
        <v>512</v>
      </c>
      <c r="AS161" s="32"/>
      <c r="AT161" s="26">
        <v>176.0</v>
      </c>
      <c r="AU161" s="26" t="s">
        <v>1307</v>
      </c>
      <c r="AV161" s="35">
        <v>109.0</v>
      </c>
      <c r="AW161" s="26">
        <v>145.0</v>
      </c>
      <c r="AX161" s="26">
        <v>44.0</v>
      </c>
      <c r="AY161" s="26">
        <v>250.0</v>
      </c>
      <c r="AZ161" s="37">
        <v>45547.0</v>
      </c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</row>
    <row r="162">
      <c r="A162" s="20" t="s">
        <v>1322</v>
      </c>
      <c r="B162" s="20" t="s">
        <v>856</v>
      </c>
      <c r="C162" s="17" t="s">
        <v>1323</v>
      </c>
      <c r="D162" s="17" t="s">
        <v>565</v>
      </c>
      <c r="E162" s="34" t="s">
        <v>477</v>
      </c>
      <c r="F162" s="26">
        <v>79.0</v>
      </c>
      <c r="G162" s="35">
        <v>142.0</v>
      </c>
      <c r="H162" s="17" t="s">
        <v>413</v>
      </c>
      <c r="I162" s="17" t="s">
        <v>414</v>
      </c>
      <c r="J162" s="17" t="s">
        <v>415</v>
      </c>
      <c r="K162" s="17" t="s">
        <v>595</v>
      </c>
      <c r="L162" s="26">
        <v>5.0</v>
      </c>
      <c r="M162" s="17" t="s">
        <v>417</v>
      </c>
      <c r="N162" s="17" t="s">
        <v>418</v>
      </c>
      <c r="O162" s="26">
        <v>1500.0</v>
      </c>
      <c r="P162" s="26">
        <v>5.0</v>
      </c>
      <c r="Q162" s="26">
        <v>5.0</v>
      </c>
      <c r="R162" s="17" t="s">
        <v>419</v>
      </c>
      <c r="S162" s="17" t="s">
        <v>420</v>
      </c>
      <c r="T162" s="17" t="s">
        <v>421</v>
      </c>
      <c r="U162" s="17" t="s">
        <v>423</v>
      </c>
      <c r="V162" s="17" t="s">
        <v>1324</v>
      </c>
      <c r="W162" s="17" t="s">
        <v>403</v>
      </c>
      <c r="X162" s="17" t="s">
        <v>859</v>
      </c>
      <c r="Y162" s="17" t="s">
        <v>438</v>
      </c>
      <c r="Z162" s="17" t="s">
        <v>1143</v>
      </c>
      <c r="AA162" s="17" t="s">
        <v>440</v>
      </c>
      <c r="AB162" s="17" t="s">
        <v>1305</v>
      </c>
      <c r="AC162" s="17" t="s">
        <v>428</v>
      </c>
      <c r="AD162" s="17" t="s">
        <v>1144</v>
      </c>
      <c r="AE162" s="26">
        <v>670.0</v>
      </c>
      <c r="AF162" s="36">
        <v>63.49</v>
      </c>
      <c r="AG162" s="36">
        <v>61.7</v>
      </c>
      <c r="AH162" s="26" t="s">
        <v>1325</v>
      </c>
      <c r="AI162" s="26">
        <v>63944.0</v>
      </c>
      <c r="AJ162" s="26">
        <v>63944.0</v>
      </c>
      <c r="AK162" s="26" t="s">
        <v>567</v>
      </c>
      <c r="AL162" s="26">
        <v>187.0</v>
      </c>
      <c r="AM162" s="26">
        <v>2228.0</v>
      </c>
      <c r="AN162" s="32"/>
      <c r="AO162" s="17" t="s">
        <v>422</v>
      </c>
      <c r="AP162" s="32"/>
      <c r="AQ162" s="32"/>
      <c r="AR162" s="32"/>
      <c r="AS162" s="32"/>
      <c r="AT162" s="26">
        <v>176.0</v>
      </c>
      <c r="AU162" s="26" t="s">
        <v>1307</v>
      </c>
      <c r="AV162" s="35">
        <v>142.0</v>
      </c>
      <c r="AW162" s="26">
        <v>205.0</v>
      </c>
      <c r="AX162" s="26">
        <v>79.0</v>
      </c>
      <c r="AY162" s="26">
        <v>450.0</v>
      </c>
      <c r="AZ162" s="37">
        <v>45326.0</v>
      </c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</row>
    <row r="163">
      <c r="A163" s="20" t="s">
        <v>1326</v>
      </c>
      <c r="B163" s="20" t="s">
        <v>1327</v>
      </c>
      <c r="C163" s="17" t="s">
        <v>1328</v>
      </c>
      <c r="D163" s="17" t="s">
        <v>565</v>
      </c>
      <c r="E163" s="34" t="s">
        <v>477</v>
      </c>
      <c r="F163" s="26">
        <v>44.0</v>
      </c>
      <c r="G163" s="35">
        <v>115.0</v>
      </c>
      <c r="H163" s="32"/>
      <c r="I163" s="17" t="s">
        <v>414</v>
      </c>
      <c r="J163" s="17" t="s">
        <v>415</v>
      </c>
      <c r="L163" s="26">
        <v>5.0</v>
      </c>
      <c r="M163" s="32"/>
      <c r="N163" s="17" t="s">
        <v>418</v>
      </c>
      <c r="O163" s="26">
        <v>350.0</v>
      </c>
      <c r="P163" s="26">
        <v>-1.0</v>
      </c>
      <c r="Q163" s="17" t="s">
        <v>419</v>
      </c>
      <c r="R163" s="17" t="s">
        <v>420</v>
      </c>
      <c r="S163" s="17" t="s">
        <v>421</v>
      </c>
      <c r="T163" s="17" t="s">
        <v>422</v>
      </c>
      <c r="U163" s="17" t="s">
        <v>423</v>
      </c>
      <c r="V163" s="17" t="s">
        <v>1329</v>
      </c>
      <c r="W163" s="17" t="s">
        <v>403</v>
      </c>
      <c r="X163" s="17" t="s">
        <v>527</v>
      </c>
      <c r="Y163" s="17" t="s">
        <v>438</v>
      </c>
      <c r="Z163" s="17" t="s">
        <v>605</v>
      </c>
      <c r="AA163" s="17" t="s">
        <v>440</v>
      </c>
      <c r="AB163" s="17" t="s">
        <v>1305</v>
      </c>
      <c r="AC163" s="17" t="s">
        <v>428</v>
      </c>
      <c r="AD163" s="17" t="s">
        <v>1254</v>
      </c>
      <c r="AE163" s="26">
        <v>320.0</v>
      </c>
      <c r="AF163" s="36">
        <v>28.99</v>
      </c>
      <c r="AG163" s="36">
        <v>30.499</v>
      </c>
      <c r="AH163" s="26" t="s">
        <v>608</v>
      </c>
      <c r="AI163" s="26">
        <v>28836.0</v>
      </c>
      <c r="AJ163" s="26">
        <v>28836.0</v>
      </c>
      <c r="AK163" s="26" t="s">
        <v>567</v>
      </c>
      <c r="AL163" s="26">
        <v>431.0</v>
      </c>
      <c r="AM163" s="26">
        <v>2238.0</v>
      </c>
      <c r="AN163" s="32"/>
      <c r="AO163" s="32"/>
      <c r="AP163" s="32"/>
      <c r="AQ163" s="32"/>
      <c r="AR163" s="17" t="s">
        <v>512</v>
      </c>
      <c r="AS163" s="32"/>
      <c r="AT163" s="26">
        <v>176.0</v>
      </c>
      <c r="AU163" s="26" t="s">
        <v>1307</v>
      </c>
      <c r="AV163" s="35">
        <v>115.0</v>
      </c>
      <c r="AW163" s="26">
        <v>140.0</v>
      </c>
      <c r="AX163" s="26">
        <v>44.0</v>
      </c>
      <c r="AY163" s="26">
        <v>250.0</v>
      </c>
      <c r="AZ163" s="37">
        <v>45303.0</v>
      </c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</row>
    <row r="164">
      <c r="A164" s="20" t="s">
        <v>1330</v>
      </c>
      <c r="B164" s="20" t="s">
        <v>1331</v>
      </c>
      <c r="C164" s="26">
        <v>2.0</v>
      </c>
      <c r="D164" s="32"/>
      <c r="E164" s="34" t="s">
        <v>436</v>
      </c>
      <c r="F164" s="26">
        <v>66.0</v>
      </c>
      <c r="G164" s="35">
        <v>93.0</v>
      </c>
      <c r="H164" s="17" t="s">
        <v>413</v>
      </c>
      <c r="I164" s="17" t="s">
        <v>414</v>
      </c>
      <c r="J164" s="17" t="s">
        <v>415</v>
      </c>
      <c r="L164" s="26">
        <v>5.0</v>
      </c>
      <c r="M164" s="32"/>
      <c r="N164" s="17" t="s">
        <v>418</v>
      </c>
      <c r="O164" s="26">
        <v>1600.0</v>
      </c>
      <c r="P164" s="26">
        <v>-1.0</v>
      </c>
      <c r="Q164" s="17" t="s">
        <v>419</v>
      </c>
      <c r="R164" s="17" t="s">
        <v>420</v>
      </c>
      <c r="S164" s="17" t="s">
        <v>421</v>
      </c>
      <c r="T164" s="17" t="s">
        <v>422</v>
      </c>
      <c r="U164" s="17" t="s">
        <v>423</v>
      </c>
      <c r="V164" s="17" t="s">
        <v>927</v>
      </c>
      <c r="W164" s="17" t="s">
        <v>403</v>
      </c>
      <c r="X164" s="17" t="s">
        <v>493</v>
      </c>
      <c r="Y164" s="17" t="s">
        <v>438</v>
      </c>
      <c r="Z164" s="17" t="s">
        <v>582</v>
      </c>
      <c r="AA164" s="17" t="s">
        <v>440</v>
      </c>
      <c r="AB164" s="17" t="s">
        <v>1305</v>
      </c>
      <c r="AC164" s="17" t="s">
        <v>428</v>
      </c>
      <c r="AD164" s="17" t="s">
        <v>482</v>
      </c>
      <c r="AE164" s="26">
        <v>490.0</v>
      </c>
      <c r="AF164" s="36">
        <v>35.995</v>
      </c>
      <c r="AG164" s="36">
        <v>33.995</v>
      </c>
      <c r="AH164" s="17" t="s">
        <v>463</v>
      </c>
      <c r="AI164" s="26">
        <v>34995.0</v>
      </c>
      <c r="AJ164" s="26">
        <v>34995.0</v>
      </c>
      <c r="AK164" s="26" t="s">
        <v>444</v>
      </c>
      <c r="AL164" s="26">
        <v>659.0</v>
      </c>
      <c r="AM164" s="26">
        <v>3045.0</v>
      </c>
      <c r="AN164" s="17" t="s">
        <v>465</v>
      </c>
      <c r="AO164" s="32"/>
      <c r="AP164" s="17" t="s">
        <v>483</v>
      </c>
      <c r="AQ164" s="32"/>
      <c r="AR164" s="32"/>
      <c r="AS164" s="32"/>
      <c r="AT164" s="26">
        <v>176.0</v>
      </c>
      <c r="AU164" s="26" t="s">
        <v>1307</v>
      </c>
      <c r="AV164" s="35">
        <v>93.0</v>
      </c>
      <c r="AW164" s="26">
        <v>180.0</v>
      </c>
      <c r="AX164" s="26">
        <v>66.0</v>
      </c>
      <c r="AY164" s="26">
        <v>375.0</v>
      </c>
      <c r="AZ164" s="37">
        <v>45417.0</v>
      </c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</row>
    <row r="165">
      <c r="A165" s="20" t="s">
        <v>1332</v>
      </c>
      <c r="B165" s="20" t="s">
        <v>1333</v>
      </c>
      <c r="C165" s="17" t="s">
        <v>1334</v>
      </c>
      <c r="D165" s="17" t="s">
        <v>435</v>
      </c>
      <c r="E165" s="34" t="s">
        <v>477</v>
      </c>
      <c r="F165" s="26" t="s">
        <v>828</v>
      </c>
      <c r="G165" s="35">
        <v>170.0</v>
      </c>
      <c r="H165" s="32"/>
      <c r="I165" s="17" t="s">
        <v>414</v>
      </c>
      <c r="J165" s="17" t="s">
        <v>415</v>
      </c>
      <c r="L165" s="26">
        <v>5.0</v>
      </c>
      <c r="M165" s="17" t="s">
        <v>417</v>
      </c>
      <c r="N165" s="17" t="s">
        <v>418</v>
      </c>
      <c r="O165" s="26">
        <v>750.0</v>
      </c>
      <c r="P165" s="26">
        <v>-1.0</v>
      </c>
      <c r="Q165" s="17" t="s">
        <v>419</v>
      </c>
      <c r="R165" s="17" t="s">
        <v>420</v>
      </c>
      <c r="S165" s="17" t="s">
        <v>421</v>
      </c>
      <c r="T165" s="17" t="s">
        <v>422</v>
      </c>
      <c r="U165" s="17" t="s">
        <v>423</v>
      </c>
      <c r="V165" s="17" t="s">
        <v>858</v>
      </c>
      <c r="W165" s="17" t="s">
        <v>403</v>
      </c>
      <c r="X165" s="17" t="s">
        <v>782</v>
      </c>
      <c r="Y165" s="17" t="s">
        <v>438</v>
      </c>
      <c r="Z165" s="17" t="s">
        <v>1335</v>
      </c>
      <c r="AA165" s="17" t="s">
        <v>440</v>
      </c>
      <c r="AB165" s="17" t="s">
        <v>1305</v>
      </c>
      <c r="AC165" s="17" t="s">
        <v>428</v>
      </c>
      <c r="AD165" s="17" t="s">
        <v>788</v>
      </c>
      <c r="AE165" s="26">
        <v>400.0</v>
      </c>
      <c r="AF165" s="36">
        <v>43.15</v>
      </c>
      <c r="AG165" s="36">
        <v>52.49</v>
      </c>
      <c r="AH165" s="26" t="s">
        <v>1336</v>
      </c>
      <c r="AI165" s="26">
        <v>47520.0</v>
      </c>
      <c r="AJ165" s="26">
        <v>47520.0</v>
      </c>
      <c r="AK165" s="26" t="s">
        <v>444</v>
      </c>
      <c r="AL165" s="26">
        <v>234.0</v>
      </c>
      <c r="AM165" s="26">
        <v>3059.0</v>
      </c>
      <c r="AN165" s="32"/>
      <c r="AO165" s="32"/>
      <c r="AP165" s="32"/>
      <c r="AQ165" s="32"/>
      <c r="AR165" s="17" t="s">
        <v>512</v>
      </c>
      <c r="AS165" s="32"/>
      <c r="AT165" s="26">
        <v>176.0</v>
      </c>
      <c r="AU165" s="26" t="s">
        <v>1307</v>
      </c>
      <c r="AV165" s="35">
        <v>170.0</v>
      </c>
      <c r="AW165" s="26">
        <v>200.0</v>
      </c>
      <c r="AX165" s="26" t="s">
        <v>828</v>
      </c>
      <c r="AY165" s="26">
        <v>280.0</v>
      </c>
      <c r="AZ165" s="37">
        <v>45388.0</v>
      </c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</row>
    <row r="166">
      <c r="A166" s="20" t="s">
        <v>1337</v>
      </c>
      <c r="B166" s="20" t="s">
        <v>1338</v>
      </c>
      <c r="C166" s="17" t="s">
        <v>1339</v>
      </c>
      <c r="D166" s="17" t="s">
        <v>1340</v>
      </c>
      <c r="E166" s="34" t="s">
        <v>436</v>
      </c>
      <c r="F166" s="26">
        <v>54.0</v>
      </c>
      <c r="G166" s="35">
        <v>154.0</v>
      </c>
      <c r="H166" s="17" t="s">
        <v>413</v>
      </c>
      <c r="I166" s="17" t="s">
        <v>414</v>
      </c>
      <c r="J166" s="17" t="s">
        <v>415</v>
      </c>
      <c r="L166" s="26">
        <v>5.0</v>
      </c>
      <c r="M166" s="17" t="s">
        <v>417</v>
      </c>
      <c r="N166" s="17" t="s">
        <v>418</v>
      </c>
      <c r="O166" s="26">
        <v>750.0</v>
      </c>
      <c r="P166" s="26">
        <v>5.0</v>
      </c>
      <c r="Q166" s="26">
        <v>5.0</v>
      </c>
      <c r="R166" s="17" t="s">
        <v>419</v>
      </c>
      <c r="S166" s="17" t="s">
        <v>420</v>
      </c>
      <c r="T166" s="17" t="s">
        <v>421</v>
      </c>
      <c r="U166" s="17" t="s">
        <v>423</v>
      </c>
      <c r="V166" s="17" t="s">
        <v>1163</v>
      </c>
      <c r="W166" s="17" t="s">
        <v>403</v>
      </c>
      <c r="X166" s="17" t="s">
        <v>459</v>
      </c>
      <c r="Y166" s="17" t="s">
        <v>438</v>
      </c>
      <c r="Z166" s="17" t="s">
        <v>1117</v>
      </c>
      <c r="AA166" s="17" t="s">
        <v>440</v>
      </c>
      <c r="AB166" s="17" t="s">
        <v>1341</v>
      </c>
      <c r="AC166" s="17" t="s">
        <v>428</v>
      </c>
      <c r="AD166" s="17" t="s">
        <v>1105</v>
      </c>
      <c r="AE166" s="26">
        <v>750.0</v>
      </c>
      <c r="AF166" s="36">
        <v>46.99</v>
      </c>
      <c r="AG166" s="17" t="s">
        <v>463</v>
      </c>
      <c r="AH166" s="17" t="s">
        <v>463</v>
      </c>
      <c r="AI166" s="26">
        <v>46990.0</v>
      </c>
      <c r="AJ166" s="26">
        <v>46990.0</v>
      </c>
      <c r="AK166" s="26" t="s">
        <v>1342</v>
      </c>
      <c r="AL166" s="26">
        <v>269.0</v>
      </c>
      <c r="AM166" s="26">
        <v>1480.0</v>
      </c>
      <c r="AN166" s="17" t="s">
        <v>465</v>
      </c>
      <c r="AO166" s="17" t="s">
        <v>422</v>
      </c>
      <c r="AP166" s="17" t="s">
        <v>483</v>
      </c>
      <c r="AQ166" s="32"/>
      <c r="AR166" s="32"/>
      <c r="AS166" s="32"/>
      <c r="AT166" s="26">
        <v>177.0</v>
      </c>
      <c r="AU166" s="26" t="s">
        <v>1343</v>
      </c>
      <c r="AV166" s="35">
        <v>154.0</v>
      </c>
      <c r="AW166" s="26">
        <v>185.0</v>
      </c>
      <c r="AX166" s="26">
        <v>54.0</v>
      </c>
      <c r="AY166" s="26">
        <v>305.0</v>
      </c>
      <c r="AZ166" s="37">
        <v>45420.0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</row>
    <row r="167">
      <c r="A167" s="20" t="s">
        <v>1344</v>
      </c>
      <c r="B167" s="20" t="s">
        <v>1345</v>
      </c>
      <c r="C167" s="17" t="s">
        <v>1346</v>
      </c>
      <c r="D167" s="17" t="s">
        <v>1032</v>
      </c>
      <c r="E167" s="34" t="s">
        <v>477</v>
      </c>
      <c r="F167" s="26" t="s">
        <v>1347</v>
      </c>
      <c r="G167" s="35">
        <v>201.0</v>
      </c>
      <c r="H167" s="32"/>
      <c r="I167" s="17" t="s">
        <v>414</v>
      </c>
      <c r="J167" s="17" t="s">
        <v>415</v>
      </c>
      <c r="K167" s="17" t="s">
        <v>416</v>
      </c>
      <c r="L167" s="26">
        <v>5.0</v>
      </c>
      <c r="M167" s="17" t="s">
        <v>417</v>
      </c>
      <c r="N167" s="17" t="s">
        <v>418</v>
      </c>
      <c r="O167" s="26">
        <v>2000.0</v>
      </c>
      <c r="P167" s="26">
        <v>5.0</v>
      </c>
      <c r="Q167" s="26">
        <v>5.0</v>
      </c>
      <c r="R167" s="17" t="s">
        <v>419</v>
      </c>
      <c r="S167" s="17" t="s">
        <v>420</v>
      </c>
      <c r="T167" s="17" t="s">
        <v>421</v>
      </c>
      <c r="U167" s="17" t="s">
        <v>423</v>
      </c>
      <c r="V167" s="17" t="s">
        <v>1249</v>
      </c>
      <c r="W167" s="17" t="s">
        <v>403</v>
      </c>
      <c r="X167" s="17" t="s">
        <v>782</v>
      </c>
      <c r="Y167" s="17" t="s">
        <v>438</v>
      </c>
      <c r="Z167" s="17" t="s">
        <v>860</v>
      </c>
      <c r="AA167" s="17" t="s">
        <v>440</v>
      </c>
      <c r="AB167" s="17" t="s">
        <v>1341</v>
      </c>
      <c r="AC167" s="17" t="s">
        <v>428</v>
      </c>
      <c r="AD167" s="17" t="s">
        <v>599</v>
      </c>
      <c r="AE167" s="26">
        <v>580.0</v>
      </c>
      <c r="AF167" s="36">
        <v>81.9</v>
      </c>
      <c r="AG167" s="36">
        <v>84.9</v>
      </c>
      <c r="AH167" s="17" t="s">
        <v>463</v>
      </c>
      <c r="AI167" s="26">
        <v>83400.0</v>
      </c>
      <c r="AJ167" s="26">
        <v>83400.0</v>
      </c>
      <c r="AK167" s="26" t="s">
        <v>671</v>
      </c>
      <c r="AL167" s="26">
        <v>416.0</v>
      </c>
      <c r="AM167" s="26">
        <v>1751.0</v>
      </c>
      <c r="AN167" s="32"/>
      <c r="AO167" s="17" t="s">
        <v>422</v>
      </c>
      <c r="AP167" s="32"/>
      <c r="AQ167" s="32"/>
      <c r="AR167" s="32"/>
      <c r="AS167" s="32"/>
      <c r="AT167" s="26">
        <v>177.0</v>
      </c>
      <c r="AU167" s="26" t="s">
        <v>1343</v>
      </c>
      <c r="AV167" s="35">
        <v>201.0</v>
      </c>
      <c r="AW167" s="26">
        <v>200.0</v>
      </c>
      <c r="AX167" s="26" t="s">
        <v>1347</v>
      </c>
      <c r="AY167" s="26">
        <v>415.0</v>
      </c>
      <c r="AZ167" s="37">
        <v>45507.0</v>
      </c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</row>
    <row r="168">
      <c r="A168" s="20" t="s">
        <v>1348</v>
      </c>
      <c r="B168" s="20" t="s">
        <v>1097</v>
      </c>
      <c r="C168" s="17" t="s">
        <v>1349</v>
      </c>
      <c r="D168" s="17" t="s">
        <v>781</v>
      </c>
      <c r="E168" s="34" t="s">
        <v>550</v>
      </c>
      <c r="F168" s="26" t="s">
        <v>1099</v>
      </c>
      <c r="G168" s="35">
        <v>140.0</v>
      </c>
      <c r="H168" s="17" t="s">
        <v>413</v>
      </c>
      <c r="I168" s="17" t="s">
        <v>414</v>
      </c>
      <c r="J168" s="17" t="s">
        <v>415</v>
      </c>
      <c r="L168" s="26">
        <v>5.0</v>
      </c>
      <c r="M168" s="17" t="s">
        <v>417</v>
      </c>
      <c r="N168" s="17" t="s">
        <v>418</v>
      </c>
      <c r="O168" s="26">
        <v>1200.0</v>
      </c>
      <c r="P168" s="26">
        <v>-1.0</v>
      </c>
      <c r="Q168" s="17" t="s">
        <v>419</v>
      </c>
      <c r="R168" s="17" t="s">
        <v>420</v>
      </c>
      <c r="S168" s="17" t="s">
        <v>421</v>
      </c>
      <c r="T168" s="17" t="s">
        <v>422</v>
      </c>
      <c r="U168" s="17" t="s">
        <v>423</v>
      </c>
      <c r="V168" s="17" t="s">
        <v>678</v>
      </c>
      <c r="W168" s="17" t="s">
        <v>403</v>
      </c>
      <c r="X168" s="17" t="s">
        <v>493</v>
      </c>
      <c r="Y168" s="17" t="s">
        <v>404</v>
      </c>
      <c r="Z168" s="17" t="s">
        <v>1298</v>
      </c>
      <c r="AA168" s="17" t="s">
        <v>401</v>
      </c>
      <c r="AB168" s="17" t="s">
        <v>1341</v>
      </c>
      <c r="AC168" s="17" t="s">
        <v>428</v>
      </c>
      <c r="AD168" s="17" t="s">
        <v>482</v>
      </c>
      <c r="AE168" s="26">
        <v>490.0</v>
      </c>
      <c r="AF168" s="36">
        <v>49.5</v>
      </c>
      <c r="AG168" s="36">
        <v>49.49</v>
      </c>
      <c r="AH168" s="26" t="s">
        <v>1350</v>
      </c>
      <c r="AI168" s="26">
        <v>51082.0</v>
      </c>
      <c r="AJ168" s="26">
        <v>51082.0</v>
      </c>
      <c r="AK168" s="26" t="s">
        <v>495</v>
      </c>
      <c r="AL168" s="26">
        <v>343.0</v>
      </c>
      <c r="AM168" s="26">
        <v>1995.0</v>
      </c>
      <c r="AN168" s="32"/>
      <c r="AO168" s="32"/>
      <c r="AP168" s="17" t="s">
        <v>483</v>
      </c>
      <c r="AQ168" s="32"/>
      <c r="AR168" s="32"/>
      <c r="AS168" s="32"/>
      <c r="AT168" s="26">
        <v>177.0</v>
      </c>
      <c r="AU168" s="26" t="s">
        <v>1343</v>
      </c>
      <c r="AV168" s="35">
        <v>140.0</v>
      </c>
      <c r="AW168" s="26">
        <v>180.0</v>
      </c>
      <c r="AX168" s="26" t="s">
        <v>1099</v>
      </c>
      <c r="AY168" s="26">
        <v>365.0</v>
      </c>
      <c r="AZ168" s="37">
        <v>45448.0</v>
      </c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</row>
    <row r="169">
      <c r="A169" s="20" t="s">
        <v>1351</v>
      </c>
      <c r="B169" s="20" t="s">
        <v>1238</v>
      </c>
      <c r="C169" s="17" t="s">
        <v>1352</v>
      </c>
      <c r="D169" s="17" t="s">
        <v>410</v>
      </c>
      <c r="E169" s="34" t="s">
        <v>477</v>
      </c>
      <c r="F169" s="26">
        <v>77.0</v>
      </c>
      <c r="G169" s="35">
        <v>132.0</v>
      </c>
      <c r="H169" s="17" t="s">
        <v>413</v>
      </c>
      <c r="I169" s="17" t="s">
        <v>414</v>
      </c>
      <c r="J169" s="17" t="s">
        <v>415</v>
      </c>
      <c r="L169" s="26">
        <v>5.0</v>
      </c>
      <c r="M169" s="17" t="s">
        <v>417</v>
      </c>
      <c r="N169" s="17" t="s">
        <v>418</v>
      </c>
      <c r="O169" s="26">
        <v>1000.0</v>
      </c>
      <c r="P169" s="26">
        <v>5.0</v>
      </c>
      <c r="Q169" s="26">
        <v>5.0</v>
      </c>
      <c r="R169" s="17" t="s">
        <v>419</v>
      </c>
      <c r="S169" s="17" t="s">
        <v>420</v>
      </c>
      <c r="T169" s="17" t="s">
        <v>421</v>
      </c>
      <c r="U169" s="17" t="s">
        <v>423</v>
      </c>
      <c r="V169" s="17" t="s">
        <v>732</v>
      </c>
      <c r="W169" s="17" t="s">
        <v>403</v>
      </c>
      <c r="X169" s="17" t="s">
        <v>493</v>
      </c>
      <c r="Y169" s="17" t="s">
        <v>438</v>
      </c>
      <c r="Z169" s="17" t="s">
        <v>1353</v>
      </c>
      <c r="AA169" s="17" t="s">
        <v>440</v>
      </c>
      <c r="AB169" s="17" t="s">
        <v>1341</v>
      </c>
      <c r="AC169" s="17" t="s">
        <v>428</v>
      </c>
      <c r="AD169" s="17" t="s">
        <v>1354</v>
      </c>
      <c r="AE169" s="26">
        <v>650.0</v>
      </c>
      <c r="AF169" s="36">
        <v>54.95</v>
      </c>
      <c r="AG169" s="36">
        <v>56.915</v>
      </c>
      <c r="AH169" s="26" t="s">
        <v>1355</v>
      </c>
      <c r="AI169" s="26">
        <v>57315.0</v>
      </c>
      <c r="AJ169" s="26">
        <v>57315.0</v>
      </c>
      <c r="AK169" s="26" t="s">
        <v>431</v>
      </c>
      <c r="AL169" s="26">
        <v>283.0</v>
      </c>
      <c r="AM169" s="26">
        <v>2016.0</v>
      </c>
      <c r="AN169" s="32"/>
      <c r="AO169" s="17" t="s">
        <v>422</v>
      </c>
      <c r="AP169" s="17" t="s">
        <v>483</v>
      </c>
      <c r="AQ169" s="32"/>
      <c r="AR169" s="32"/>
      <c r="AS169" s="32"/>
      <c r="AT169" s="26">
        <v>177.0</v>
      </c>
      <c r="AU169" s="26" t="s">
        <v>1343</v>
      </c>
      <c r="AV169" s="35">
        <v>132.0</v>
      </c>
      <c r="AW169" s="26">
        <v>180.0</v>
      </c>
      <c r="AX169" s="26">
        <v>77.0</v>
      </c>
      <c r="AY169" s="26">
        <v>435.0</v>
      </c>
      <c r="AZ169" s="37">
        <v>45479.0</v>
      </c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</row>
    <row r="170">
      <c r="A170" s="20" t="s">
        <v>1356</v>
      </c>
      <c r="B170" s="20" t="s">
        <v>999</v>
      </c>
      <c r="C170" s="17" t="s">
        <v>1357</v>
      </c>
      <c r="D170" s="17" t="s">
        <v>410</v>
      </c>
      <c r="E170" s="34" t="s">
        <v>477</v>
      </c>
      <c r="F170" s="26">
        <v>77.0</v>
      </c>
      <c r="G170" s="35">
        <v>140.0</v>
      </c>
      <c r="H170" s="17" t="s">
        <v>413</v>
      </c>
      <c r="I170" s="17" t="s">
        <v>414</v>
      </c>
      <c r="J170" s="17" t="s">
        <v>415</v>
      </c>
      <c r="L170" s="26">
        <v>5.0</v>
      </c>
      <c r="M170" s="17" t="s">
        <v>417</v>
      </c>
      <c r="N170" s="17" t="s">
        <v>418</v>
      </c>
      <c r="O170" s="26">
        <v>1200.0</v>
      </c>
      <c r="P170" s="26">
        <v>5.0</v>
      </c>
      <c r="Q170" s="26">
        <v>5.0</v>
      </c>
      <c r="R170" s="17" t="s">
        <v>419</v>
      </c>
      <c r="S170" s="17" t="s">
        <v>420</v>
      </c>
      <c r="T170" s="17" t="s">
        <v>421</v>
      </c>
      <c r="U170" s="17" t="s">
        <v>423</v>
      </c>
      <c r="V170" s="17" t="s">
        <v>927</v>
      </c>
      <c r="W170" s="17" t="s">
        <v>403</v>
      </c>
      <c r="X170" s="17" t="s">
        <v>493</v>
      </c>
      <c r="Y170" s="17" t="s">
        <v>438</v>
      </c>
      <c r="Z170" s="17" t="s">
        <v>1353</v>
      </c>
      <c r="AA170" s="17" t="s">
        <v>440</v>
      </c>
      <c r="AB170" s="17" t="s">
        <v>1341</v>
      </c>
      <c r="AC170" s="17" t="s">
        <v>428</v>
      </c>
      <c r="AD170" s="17" t="s">
        <v>1354</v>
      </c>
      <c r="AE170" s="26">
        <v>650.0</v>
      </c>
      <c r="AF170" s="36">
        <v>61.05</v>
      </c>
      <c r="AG170" s="17" t="s">
        <v>463</v>
      </c>
      <c r="AH170" s="26" t="s">
        <v>1358</v>
      </c>
      <c r="AI170" s="26">
        <v>61069.0</v>
      </c>
      <c r="AJ170" s="26">
        <v>61069.0</v>
      </c>
      <c r="AK170" s="26" t="s">
        <v>431</v>
      </c>
      <c r="AL170" s="26">
        <v>191.0</v>
      </c>
      <c r="AM170" s="26">
        <v>2022.0</v>
      </c>
      <c r="AN170" s="32"/>
      <c r="AO170" s="17" t="s">
        <v>422</v>
      </c>
      <c r="AP170" s="17" t="s">
        <v>483</v>
      </c>
      <c r="AQ170" s="32"/>
      <c r="AR170" s="32"/>
      <c r="AS170" s="32"/>
      <c r="AT170" s="26">
        <v>177.0</v>
      </c>
      <c r="AU170" s="26" t="s">
        <v>1343</v>
      </c>
      <c r="AV170" s="35">
        <v>140.0</v>
      </c>
      <c r="AW170" s="26">
        <v>180.0</v>
      </c>
      <c r="AX170" s="26">
        <v>77.0</v>
      </c>
      <c r="AY170" s="26">
        <v>435.0</v>
      </c>
      <c r="AZ170" s="37">
        <v>45417.0</v>
      </c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</row>
    <row r="171">
      <c r="A171" s="20" t="s">
        <v>1359</v>
      </c>
      <c r="B171" s="20" t="s">
        <v>1218</v>
      </c>
      <c r="C171" s="17" t="s">
        <v>1360</v>
      </c>
      <c r="D171" s="17" t="s">
        <v>804</v>
      </c>
      <c r="E171" s="34" t="s">
        <v>550</v>
      </c>
      <c r="F171" s="26">
        <v>77.0</v>
      </c>
      <c r="G171" s="35">
        <v>118.0</v>
      </c>
      <c r="H171" s="17" t="s">
        <v>413</v>
      </c>
      <c r="I171" s="17" t="s">
        <v>414</v>
      </c>
      <c r="J171" s="17" t="s">
        <v>415</v>
      </c>
      <c r="L171" s="26">
        <v>5.0</v>
      </c>
      <c r="M171" s="17" t="s">
        <v>417</v>
      </c>
      <c r="N171" s="17" t="s">
        <v>418</v>
      </c>
      <c r="O171" s="26">
        <v>1200.0</v>
      </c>
      <c r="P171" s="26">
        <v>5.0</v>
      </c>
      <c r="Q171" s="26">
        <v>5.0</v>
      </c>
      <c r="R171" s="17" t="s">
        <v>419</v>
      </c>
      <c r="S171" s="17" t="s">
        <v>420</v>
      </c>
      <c r="T171" s="17" t="s">
        <v>421</v>
      </c>
      <c r="U171" s="17" t="s">
        <v>423</v>
      </c>
      <c r="V171" s="17" t="s">
        <v>759</v>
      </c>
      <c r="W171" s="17" t="s">
        <v>403</v>
      </c>
      <c r="X171" s="17" t="s">
        <v>493</v>
      </c>
      <c r="Y171" s="17" t="s">
        <v>404</v>
      </c>
      <c r="Z171" s="17" t="s">
        <v>1353</v>
      </c>
      <c r="AA171" s="17" t="s">
        <v>401</v>
      </c>
      <c r="AB171" s="17" t="s">
        <v>1341</v>
      </c>
      <c r="AC171" s="17" t="s">
        <v>428</v>
      </c>
      <c r="AD171" s="17" t="s">
        <v>1354</v>
      </c>
      <c r="AE171" s="26">
        <v>650.0</v>
      </c>
      <c r="AF171" s="36">
        <v>49.02</v>
      </c>
      <c r="AG171" s="36">
        <v>51.99</v>
      </c>
      <c r="AH171" s="26" t="s">
        <v>1361</v>
      </c>
      <c r="AI171" s="26">
        <v>51334.0</v>
      </c>
      <c r="AJ171" s="26">
        <v>51334.0</v>
      </c>
      <c r="AK171" s="26" t="s">
        <v>777</v>
      </c>
      <c r="AL171" s="26">
        <v>286.0</v>
      </c>
      <c r="AM171" s="26">
        <v>2029.0</v>
      </c>
      <c r="AN171" s="32"/>
      <c r="AO171" s="17" t="s">
        <v>422</v>
      </c>
      <c r="AP171" s="17" t="s">
        <v>483</v>
      </c>
      <c r="AQ171" s="32"/>
      <c r="AR171" s="32"/>
      <c r="AS171" s="32"/>
      <c r="AT171" s="26">
        <v>177.0</v>
      </c>
      <c r="AU171" s="26" t="s">
        <v>1343</v>
      </c>
      <c r="AV171" s="35">
        <v>118.0</v>
      </c>
      <c r="AW171" s="26">
        <v>180.0</v>
      </c>
      <c r="AX171" s="26">
        <v>77.0</v>
      </c>
      <c r="AY171" s="26">
        <v>435.0</v>
      </c>
      <c r="AZ171" s="37">
        <v>45449.0</v>
      </c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</row>
    <row r="172">
      <c r="A172" s="20" t="s">
        <v>1362</v>
      </c>
      <c r="B172" s="20" t="s">
        <v>1279</v>
      </c>
      <c r="C172" s="17" t="s">
        <v>1363</v>
      </c>
      <c r="D172" s="17" t="s">
        <v>835</v>
      </c>
      <c r="E172" s="34" t="s">
        <v>477</v>
      </c>
      <c r="F172" s="26">
        <v>47.0</v>
      </c>
      <c r="G172" s="35">
        <v>144.0</v>
      </c>
      <c r="H172" s="32"/>
      <c r="I172" s="32"/>
      <c r="J172" s="17" t="s">
        <v>415</v>
      </c>
      <c r="L172" s="26">
        <v>5.0</v>
      </c>
      <c r="M172" s="17" t="s">
        <v>417</v>
      </c>
      <c r="N172" s="32"/>
      <c r="O172" s="32"/>
      <c r="P172" s="26">
        <v>5.0</v>
      </c>
      <c r="Q172" s="26">
        <v>5.0</v>
      </c>
      <c r="R172" s="17" t="s">
        <v>419</v>
      </c>
      <c r="S172" s="17" t="s">
        <v>420</v>
      </c>
      <c r="T172" s="17" t="s">
        <v>421</v>
      </c>
      <c r="U172" s="17" t="s">
        <v>423</v>
      </c>
      <c r="V172" s="17" t="s">
        <v>880</v>
      </c>
      <c r="W172" s="17" t="s">
        <v>403</v>
      </c>
      <c r="X172" s="17" t="s">
        <v>493</v>
      </c>
      <c r="Y172" s="17" t="s">
        <v>438</v>
      </c>
      <c r="Z172" s="17" t="s">
        <v>1054</v>
      </c>
      <c r="AA172" s="17" t="s">
        <v>440</v>
      </c>
      <c r="AB172" s="17" t="s">
        <v>1341</v>
      </c>
      <c r="AC172" s="17" t="s">
        <v>428</v>
      </c>
      <c r="AD172" s="17" t="s">
        <v>536</v>
      </c>
      <c r="AE172" s="26">
        <v>340.0</v>
      </c>
      <c r="AF172" s="36">
        <v>38.49</v>
      </c>
      <c r="AG172" s="36">
        <v>38.395</v>
      </c>
      <c r="AH172" s="26" t="s">
        <v>1364</v>
      </c>
      <c r="AI172" s="26">
        <v>38259.0</v>
      </c>
      <c r="AJ172" s="26">
        <v>38259.0</v>
      </c>
      <c r="AK172" s="26" t="s">
        <v>777</v>
      </c>
      <c r="AL172" s="26">
        <v>146.0</v>
      </c>
      <c r="AM172" s="26">
        <v>2052.0</v>
      </c>
      <c r="AN172" s="17" t="s">
        <v>465</v>
      </c>
      <c r="AO172" s="17" t="s">
        <v>422</v>
      </c>
      <c r="AP172" s="32"/>
      <c r="AQ172" s="32"/>
      <c r="AR172" s="17" t="s">
        <v>512</v>
      </c>
      <c r="AS172" s="32"/>
      <c r="AT172" s="26">
        <v>177.0</v>
      </c>
      <c r="AU172" s="26" t="s">
        <v>1343</v>
      </c>
      <c r="AV172" s="35">
        <v>144.0</v>
      </c>
      <c r="AW172" s="26">
        <v>180.0</v>
      </c>
      <c r="AX172" s="26">
        <v>47.0</v>
      </c>
      <c r="AY172" s="26">
        <v>265.0</v>
      </c>
      <c r="AZ172" s="37">
        <v>45540.0</v>
      </c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</row>
    <row r="173">
      <c r="A173" s="20" t="s">
        <v>1365</v>
      </c>
      <c r="B173" s="20" t="s">
        <v>1366</v>
      </c>
      <c r="C173" s="17" t="s">
        <v>1367</v>
      </c>
      <c r="D173" s="17" t="s">
        <v>565</v>
      </c>
      <c r="E173" s="34" t="s">
        <v>477</v>
      </c>
      <c r="F173" s="26">
        <v>86.0</v>
      </c>
      <c r="G173" s="35">
        <v>139.0</v>
      </c>
      <c r="H173" s="17" t="s">
        <v>413</v>
      </c>
      <c r="I173" s="17" t="s">
        <v>414</v>
      </c>
      <c r="J173" s="17" t="s">
        <v>415</v>
      </c>
      <c r="K173" s="17" t="s">
        <v>595</v>
      </c>
      <c r="L173" s="26">
        <v>5.0</v>
      </c>
      <c r="M173" s="17" t="s">
        <v>417</v>
      </c>
      <c r="N173" s="17" t="s">
        <v>418</v>
      </c>
      <c r="O173" s="26">
        <v>1200.0</v>
      </c>
      <c r="P173" s="26">
        <v>5.0</v>
      </c>
      <c r="Q173" s="26">
        <v>5.0</v>
      </c>
      <c r="R173" s="17" t="s">
        <v>419</v>
      </c>
      <c r="S173" s="17" t="s">
        <v>420</v>
      </c>
      <c r="T173" s="17" t="s">
        <v>421</v>
      </c>
      <c r="U173" s="17" t="s">
        <v>423</v>
      </c>
      <c r="V173" s="17" t="s">
        <v>686</v>
      </c>
      <c r="W173" s="17" t="s">
        <v>403</v>
      </c>
      <c r="X173" s="17" t="s">
        <v>493</v>
      </c>
      <c r="Y173" s="17" t="s">
        <v>438</v>
      </c>
      <c r="Z173" s="17" t="s">
        <v>620</v>
      </c>
      <c r="AA173" s="17" t="s">
        <v>440</v>
      </c>
      <c r="AB173" s="17" t="s">
        <v>1341</v>
      </c>
      <c r="AC173" s="17" t="s">
        <v>428</v>
      </c>
      <c r="AD173" s="17" t="s">
        <v>462</v>
      </c>
      <c r="AE173" s="26">
        <v>780.0</v>
      </c>
      <c r="AF173" s="36">
        <v>63.155</v>
      </c>
      <c r="AG173" s="36">
        <v>67.99</v>
      </c>
      <c r="AH173" s="26" t="s">
        <v>1368</v>
      </c>
      <c r="AI173" s="26">
        <v>67474.0</v>
      </c>
      <c r="AJ173" s="26">
        <v>67474.0</v>
      </c>
      <c r="AK173" s="26" t="s">
        <v>567</v>
      </c>
      <c r="AL173" s="26">
        <v>355.0</v>
      </c>
      <c r="AM173" s="26">
        <v>2216.0</v>
      </c>
      <c r="AN173" s="32"/>
      <c r="AO173" s="17" t="s">
        <v>422</v>
      </c>
      <c r="AP173" s="32"/>
      <c r="AQ173" s="32"/>
      <c r="AR173" s="32"/>
      <c r="AS173" s="32"/>
      <c r="AT173" s="26">
        <v>177.0</v>
      </c>
      <c r="AU173" s="26" t="s">
        <v>1343</v>
      </c>
      <c r="AV173" s="35">
        <v>139.0</v>
      </c>
      <c r="AW173" s="26">
        <v>180.0</v>
      </c>
      <c r="AX173" s="26">
        <v>86.0</v>
      </c>
      <c r="AY173" s="26">
        <v>485.0</v>
      </c>
      <c r="AZ173" s="37">
        <v>45387.0</v>
      </c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</row>
    <row r="174">
      <c r="A174" s="20" t="s">
        <v>1369</v>
      </c>
      <c r="B174" s="20" t="s">
        <v>1370</v>
      </c>
      <c r="C174" s="17" t="s">
        <v>1371</v>
      </c>
      <c r="D174" s="17" t="s">
        <v>684</v>
      </c>
      <c r="E174" s="34" t="s">
        <v>436</v>
      </c>
      <c r="F174" s="26">
        <v>61.0</v>
      </c>
      <c r="G174" s="35">
        <v>110.0</v>
      </c>
      <c r="H174" s="32"/>
      <c r="I174" s="17" t="s">
        <v>414</v>
      </c>
      <c r="J174" s="17" t="s">
        <v>415</v>
      </c>
      <c r="L174" s="26">
        <v>5.0</v>
      </c>
      <c r="M174" s="32"/>
      <c r="N174" s="32"/>
      <c r="O174" s="32"/>
      <c r="P174" s="26">
        <v>-1.0</v>
      </c>
      <c r="Q174" s="17" t="s">
        <v>419</v>
      </c>
      <c r="R174" s="17" t="s">
        <v>420</v>
      </c>
      <c r="S174" s="17" t="s">
        <v>421</v>
      </c>
      <c r="T174" s="17" t="s">
        <v>422</v>
      </c>
      <c r="U174" s="17" t="s">
        <v>423</v>
      </c>
      <c r="V174" s="17" t="s">
        <v>851</v>
      </c>
      <c r="W174" s="17" t="s">
        <v>403</v>
      </c>
      <c r="X174" s="17" t="s">
        <v>1372</v>
      </c>
      <c r="Y174" s="17" t="s">
        <v>438</v>
      </c>
      <c r="Z174" s="17" t="s">
        <v>1164</v>
      </c>
      <c r="AA174" s="17" t="s">
        <v>440</v>
      </c>
      <c r="AB174" s="17" t="s">
        <v>1341</v>
      </c>
      <c r="AC174" s="17" t="s">
        <v>428</v>
      </c>
      <c r="AD174" s="17" t="s">
        <v>1254</v>
      </c>
      <c r="AE174" s="26">
        <v>320.0</v>
      </c>
      <c r="AF174" s="17" t="s">
        <v>463</v>
      </c>
      <c r="AG174" s="17" t="s">
        <v>463</v>
      </c>
      <c r="AH174" s="26" t="s">
        <v>1373</v>
      </c>
      <c r="AI174" s="26">
        <v>38013.0</v>
      </c>
      <c r="AJ174" s="26">
        <v>38013.0</v>
      </c>
      <c r="AK174" s="26" t="s">
        <v>444</v>
      </c>
      <c r="AL174" s="26">
        <v>372.0</v>
      </c>
      <c r="AM174" s="26">
        <v>3046.0</v>
      </c>
      <c r="AN174" s="32"/>
      <c r="AO174" s="32"/>
      <c r="AP174" s="17" t="s">
        <v>483</v>
      </c>
      <c r="AQ174" s="32"/>
      <c r="AR174" s="32"/>
      <c r="AS174" s="32"/>
      <c r="AT174" s="26">
        <v>177.0</v>
      </c>
      <c r="AU174" s="26" t="s">
        <v>1343</v>
      </c>
      <c r="AV174" s="35">
        <v>110.0</v>
      </c>
      <c r="AW174" s="26">
        <v>172.0</v>
      </c>
      <c r="AX174" s="26">
        <v>61.0</v>
      </c>
      <c r="AY174" s="26">
        <v>345.0</v>
      </c>
      <c r="AZ174" s="37">
        <v>45450.0</v>
      </c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</row>
    <row r="175">
      <c r="A175" s="20" t="s">
        <v>1374</v>
      </c>
      <c r="B175" s="20" t="s">
        <v>738</v>
      </c>
      <c r="C175" s="17" t="s">
        <v>1375</v>
      </c>
      <c r="D175" s="17" t="s">
        <v>435</v>
      </c>
      <c r="E175" s="34" t="s">
        <v>477</v>
      </c>
      <c r="F175" s="26" t="s">
        <v>685</v>
      </c>
      <c r="G175" s="35">
        <v>152.0</v>
      </c>
      <c r="H175" s="17" t="s">
        <v>413</v>
      </c>
      <c r="I175" s="17" t="s">
        <v>414</v>
      </c>
      <c r="J175" s="17" t="s">
        <v>415</v>
      </c>
      <c r="L175" s="26">
        <v>5.0</v>
      </c>
      <c r="M175" s="17" t="s">
        <v>417</v>
      </c>
      <c r="N175" s="17" t="s">
        <v>418</v>
      </c>
      <c r="O175" s="26">
        <v>2100.0</v>
      </c>
      <c r="P175" s="26">
        <v>-1.0</v>
      </c>
      <c r="Q175" s="17" t="s">
        <v>419</v>
      </c>
      <c r="R175" s="17" t="s">
        <v>420</v>
      </c>
      <c r="S175" s="17" t="s">
        <v>421</v>
      </c>
      <c r="T175" s="17" t="s">
        <v>422</v>
      </c>
      <c r="U175" s="17" t="s">
        <v>423</v>
      </c>
      <c r="V175" s="17" t="s">
        <v>1265</v>
      </c>
      <c r="W175" s="17" t="s">
        <v>403</v>
      </c>
      <c r="X175" s="17" t="s">
        <v>619</v>
      </c>
      <c r="Y175" s="17" t="s">
        <v>438</v>
      </c>
      <c r="Z175" s="17" t="s">
        <v>1376</v>
      </c>
      <c r="AA175" s="17" t="s">
        <v>440</v>
      </c>
      <c r="AB175" s="17" t="s">
        <v>1341</v>
      </c>
      <c r="AC175" s="17" t="s">
        <v>428</v>
      </c>
      <c r="AD175" s="17" t="s">
        <v>1377</v>
      </c>
      <c r="AE175" s="26">
        <v>1070.0</v>
      </c>
      <c r="AF175" s="36">
        <v>81.45</v>
      </c>
      <c r="AG175" s="36">
        <v>81.49</v>
      </c>
      <c r="AH175" s="17" t="s">
        <v>463</v>
      </c>
      <c r="AI175" s="26">
        <v>81470.0</v>
      </c>
      <c r="AJ175" s="26">
        <v>81470.0</v>
      </c>
      <c r="AK175" s="26" t="s">
        <v>444</v>
      </c>
      <c r="AL175" s="26">
        <v>327.0</v>
      </c>
      <c r="AM175" s="26">
        <v>3054.0</v>
      </c>
      <c r="AN175" s="32"/>
      <c r="AO175" s="32"/>
      <c r="AP175" s="32"/>
      <c r="AQ175" s="32"/>
      <c r="AR175" s="32"/>
      <c r="AS175" s="32"/>
      <c r="AT175" s="26">
        <v>177.0</v>
      </c>
      <c r="AU175" s="26" t="s">
        <v>1343</v>
      </c>
      <c r="AV175" s="35">
        <v>152.0</v>
      </c>
      <c r="AW175" s="26">
        <v>210.0</v>
      </c>
      <c r="AX175" s="26" t="s">
        <v>685</v>
      </c>
      <c r="AY175" s="26">
        <v>535.0</v>
      </c>
      <c r="AZ175" s="37">
        <v>45416.0</v>
      </c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</row>
    <row r="176">
      <c r="A176" s="20" t="s">
        <v>1378</v>
      </c>
      <c r="B176" s="20" t="s">
        <v>1345</v>
      </c>
      <c r="C176" s="17" t="s">
        <v>1379</v>
      </c>
      <c r="D176" s="17" t="s">
        <v>1032</v>
      </c>
      <c r="E176" s="34" t="s">
        <v>477</v>
      </c>
      <c r="F176" s="26">
        <v>90.0</v>
      </c>
      <c r="G176" s="35">
        <v>183.0</v>
      </c>
      <c r="H176" s="32"/>
      <c r="I176" s="17" t="s">
        <v>414</v>
      </c>
      <c r="J176" s="17" t="s">
        <v>415</v>
      </c>
      <c r="K176" s="17" t="s">
        <v>416</v>
      </c>
      <c r="L176" s="26">
        <v>5.0</v>
      </c>
      <c r="M176" s="17" t="s">
        <v>417</v>
      </c>
      <c r="N176" s="17" t="s">
        <v>418</v>
      </c>
      <c r="O176" s="26">
        <v>2000.0</v>
      </c>
      <c r="P176" s="26">
        <v>5.0</v>
      </c>
      <c r="Q176" s="26">
        <v>5.0</v>
      </c>
      <c r="R176" s="17" t="s">
        <v>419</v>
      </c>
      <c r="S176" s="17" t="s">
        <v>420</v>
      </c>
      <c r="T176" s="17" t="s">
        <v>421</v>
      </c>
      <c r="U176" s="17" t="s">
        <v>423</v>
      </c>
      <c r="V176" s="17" t="s">
        <v>1249</v>
      </c>
      <c r="W176" s="17" t="s">
        <v>403</v>
      </c>
      <c r="X176" s="17" t="s">
        <v>782</v>
      </c>
      <c r="Y176" s="17" t="s">
        <v>438</v>
      </c>
      <c r="Z176" s="17" t="s">
        <v>1380</v>
      </c>
      <c r="AA176" s="17" t="s">
        <v>440</v>
      </c>
      <c r="AB176" s="17" t="s">
        <v>1381</v>
      </c>
      <c r="AC176" s="17" t="s">
        <v>428</v>
      </c>
      <c r="AD176" s="17" t="s">
        <v>662</v>
      </c>
      <c r="AE176" s="26">
        <v>530.0</v>
      </c>
      <c r="AF176" s="36">
        <v>90.9</v>
      </c>
      <c r="AG176" s="36">
        <v>93.9</v>
      </c>
      <c r="AH176" s="17" t="s">
        <v>463</v>
      </c>
      <c r="AI176" s="26">
        <v>92400.0</v>
      </c>
      <c r="AJ176" s="26">
        <v>92400.0</v>
      </c>
      <c r="AK176" s="26" t="s">
        <v>671</v>
      </c>
      <c r="AL176" s="26">
        <v>227.0</v>
      </c>
      <c r="AM176" s="26">
        <v>1752.0</v>
      </c>
      <c r="AN176" s="32"/>
      <c r="AO176" s="17" t="s">
        <v>422</v>
      </c>
      <c r="AP176" s="32"/>
      <c r="AQ176" s="32"/>
      <c r="AR176" s="32"/>
      <c r="AS176" s="32"/>
      <c r="AT176" s="26">
        <v>178.0</v>
      </c>
      <c r="AU176" s="26" t="s">
        <v>1382</v>
      </c>
      <c r="AV176" s="35">
        <v>183.0</v>
      </c>
      <c r="AW176" s="26">
        <v>200.0</v>
      </c>
      <c r="AX176" s="26">
        <v>90.0</v>
      </c>
      <c r="AY176" s="26">
        <v>505.0</v>
      </c>
      <c r="AZ176" s="37">
        <v>45507.0</v>
      </c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</row>
    <row r="177">
      <c r="A177" s="20" t="s">
        <v>1383</v>
      </c>
      <c r="B177" s="20" t="s">
        <v>1384</v>
      </c>
      <c r="C177" s="17" t="s">
        <v>1385</v>
      </c>
      <c r="D177" s="17" t="s">
        <v>541</v>
      </c>
      <c r="E177" s="34" t="s">
        <v>477</v>
      </c>
      <c r="F177" s="26">
        <v>49.0</v>
      </c>
      <c r="G177" s="35">
        <v>137.0</v>
      </c>
      <c r="H177" s="17" t="s">
        <v>413</v>
      </c>
      <c r="I177" s="17" t="s">
        <v>414</v>
      </c>
      <c r="J177" s="17" t="s">
        <v>415</v>
      </c>
      <c r="L177" s="26">
        <v>5.0</v>
      </c>
      <c r="M177" s="32"/>
      <c r="N177" s="17" t="s">
        <v>418</v>
      </c>
      <c r="O177" s="26">
        <v>1000.0</v>
      </c>
      <c r="P177" s="26">
        <v>-1.0</v>
      </c>
      <c r="Q177" s="17" t="s">
        <v>419</v>
      </c>
      <c r="R177" s="17" t="s">
        <v>420</v>
      </c>
      <c r="S177" s="17" t="s">
        <v>421</v>
      </c>
      <c r="T177" s="17" t="s">
        <v>422</v>
      </c>
      <c r="U177" s="17" t="s">
        <v>423</v>
      </c>
      <c r="V177" s="17" t="s">
        <v>1386</v>
      </c>
      <c r="W177" s="17" t="s">
        <v>403</v>
      </c>
      <c r="X177" s="17" t="s">
        <v>493</v>
      </c>
      <c r="Y177" s="17" t="s">
        <v>438</v>
      </c>
      <c r="Z177" s="17" t="s">
        <v>1387</v>
      </c>
      <c r="AA177" s="17" t="s">
        <v>440</v>
      </c>
      <c r="AB177" s="17" t="s">
        <v>1381</v>
      </c>
      <c r="AC177" s="17" t="s">
        <v>428</v>
      </c>
      <c r="AD177" s="17" t="s">
        <v>583</v>
      </c>
      <c r="AE177" s="26">
        <v>420.0</v>
      </c>
      <c r="AF177" s="36">
        <v>36.59</v>
      </c>
      <c r="AG177" s="36">
        <v>38.495</v>
      </c>
      <c r="AH177" s="26" t="s">
        <v>1388</v>
      </c>
      <c r="AI177" s="26">
        <v>37620.0</v>
      </c>
      <c r="AJ177" s="26">
        <v>37620.0</v>
      </c>
      <c r="AK177" s="26" t="s">
        <v>431</v>
      </c>
      <c r="AL177" s="26">
        <v>604.0</v>
      </c>
      <c r="AM177" s="26">
        <v>1909.0</v>
      </c>
      <c r="AN177" s="32"/>
      <c r="AO177" s="32"/>
      <c r="AP177" s="32"/>
      <c r="AQ177" s="32"/>
      <c r="AR177" s="17" t="s">
        <v>512</v>
      </c>
      <c r="AS177" s="32"/>
      <c r="AT177" s="26">
        <v>178.0</v>
      </c>
      <c r="AU177" s="26" t="s">
        <v>1382</v>
      </c>
      <c r="AV177" s="35">
        <v>137.0</v>
      </c>
      <c r="AW177" s="26">
        <v>180.0</v>
      </c>
      <c r="AX177" s="26">
        <v>49.0</v>
      </c>
      <c r="AY177" s="26">
        <v>275.0</v>
      </c>
      <c r="AZ177" s="37">
        <v>45478.0</v>
      </c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</row>
    <row r="178">
      <c r="A178" s="20" t="s">
        <v>1389</v>
      </c>
      <c r="B178" s="20" t="s">
        <v>1384</v>
      </c>
      <c r="C178" s="17" t="s">
        <v>1390</v>
      </c>
      <c r="D178" s="17" t="s">
        <v>541</v>
      </c>
      <c r="E178" s="34" t="s">
        <v>550</v>
      </c>
      <c r="F178" s="26">
        <v>64.0</v>
      </c>
      <c r="G178" s="35">
        <v>118.0</v>
      </c>
      <c r="H178" s="17" t="s">
        <v>413</v>
      </c>
      <c r="I178" s="17" t="s">
        <v>414</v>
      </c>
      <c r="J178" s="17" t="s">
        <v>415</v>
      </c>
      <c r="L178" s="26">
        <v>5.0</v>
      </c>
      <c r="M178" s="17" t="s">
        <v>417</v>
      </c>
      <c r="N178" s="17" t="s">
        <v>418</v>
      </c>
      <c r="O178" s="26">
        <v>1400.0</v>
      </c>
      <c r="P178" s="26">
        <v>-1.0</v>
      </c>
      <c r="Q178" s="17" t="s">
        <v>419</v>
      </c>
      <c r="R178" s="17" t="s">
        <v>420</v>
      </c>
      <c r="S178" s="17" t="s">
        <v>421</v>
      </c>
      <c r="T178" s="17" t="s">
        <v>422</v>
      </c>
      <c r="U178" s="17" t="s">
        <v>423</v>
      </c>
      <c r="V178" s="17" t="s">
        <v>1391</v>
      </c>
      <c r="W178" s="17" t="s">
        <v>403</v>
      </c>
      <c r="X178" s="17" t="s">
        <v>493</v>
      </c>
      <c r="Y178" s="17" t="s">
        <v>404</v>
      </c>
      <c r="Z178" s="17" t="s">
        <v>852</v>
      </c>
      <c r="AA178" s="17" t="s">
        <v>401</v>
      </c>
      <c r="AB178" s="17" t="s">
        <v>1381</v>
      </c>
      <c r="AC178" s="17" t="s">
        <v>428</v>
      </c>
      <c r="AD178" s="17" t="s">
        <v>853</v>
      </c>
      <c r="AE178" s="26">
        <v>600.0</v>
      </c>
      <c r="AF178" s="36">
        <v>41.79</v>
      </c>
      <c r="AG178" s="36">
        <v>43.495</v>
      </c>
      <c r="AH178" s="26" t="s">
        <v>1392</v>
      </c>
      <c r="AI178" s="26">
        <v>42630.0</v>
      </c>
      <c r="AJ178" s="26">
        <v>42630.0</v>
      </c>
      <c r="AK178" s="26" t="s">
        <v>431</v>
      </c>
      <c r="AL178" s="26">
        <v>1509.0</v>
      </c>
      <c r="AM178" s="26">
        <v>1910.0</v>
      </c>
      <c r="AN178" s="32"/>
      <c r="AO178" s="32"/>
      <c r="AP178" s="32"/>
      <c r="AQ178" s="32"/>
      <c r="AR178" s="17" t="s">
        <v>512</v>
      </c>
      <c r="AS178" s="32"/>
      <c r="AT178" s="26">
        <v>178.0</v>
      </c>
      <c r="AU178" s="26" t="s">
        <v>1382</v>
      </c>
      <c r="AV178" s="35">
        <v>118.0</v>
      </c>
      <c r="AW178" s="26">
        <v>180.0</v>
      </c>
      <c r="AX178" s="26">
        <v>64.0</v>
      </c>
      <c r="AY178" s="26">
        <v>360.0</v>
      </c>
      <c r="AZ178" s="37">
        <v>45356.0</v>
      </c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</row>
    <row r="179">
      <c r="A179" s="20" t="s">
        <v>1393</v>
      </c>
      <c r="B179" s="20" t="s">
        <v>1199</v>
      </c>
      <c r="C179" s="17" t="s">
        <v>1394</v>
      </c>
      <c r="D179" s="17" t="s">
        <v>781</v>
      </c>
      <c r="E179" s="34" t="s">
        <v>477</v>
      </c>
      <c r="F179" s="26" t="s">
        <v>1201</v>
      </c>
      <c r="G179" s="35">
        <v>171.0</v>
      </c>
      <c r="H179" s="17" t="s">
        <v>413</v>
      </c>
      <c r="I179" s="17" t="s">
        <v>414</v>
      </c>
      <c r="J179" s="17" t="s">
        <v>415</v>
      </c>
      <c r="K179" s="17" t="s">
        <v>416</v>
      </c>
      <c r="L179" s="26">
        <v>5.0</v>
      </c>
      <c r="M179" s="17" t="s">
        <v>417</v>
      </c>
      <c r="N179" s="17" t="s">
        <v>418</v>
      </c>
      <c r="O179" s="26">
        <v>2000.0</v>
      </c>
      <c r="P179" s="26">
        <v>5.0</v>
      </c>
      <c r="Q179" s="26">
        <v>5.0</v>
      </c>
      <c r="R179" s="17" t="s">
        <v>419</v>
      </c>
      <c r="S179" s="17" t="s">
        <v>420</v>
      </c>
      <c r="T179" s="17" t="s">
        <v>421</v>
      </c>
      <c r="U179" s="17" t="s">
        <v>423</v>
      </c>
      <c r="V179" s="17" t="s">
        <v>686</v>
      </c>
      <c r="W179" s="17" t="s">
        <v>403</v>
      </c>
      <c r="X179" s="17" t="s">
        <v>1395</v>
      </c>
      <c r="Y179" s="17" t="s">
        <v>438</v>
      </c>
      <c r="Z179" s="17" t="s">
        <v>881</v>
      </c>
      <c r="AA179" s="17" t="s">
        <v>440</v>
      </c>
      <c r="AB179" s="17" t="s">
        <v>1381</v>
      </c>
      <c r="AC179" s="17" t="s">
        <v>428</v>
      </c>
      <c r="AD179" s="17" t="s">
        <v>429</v>
      </c>
      <c r="AE179" s="26">
        <v>730.0</v>
      </c>
      <c r="AF179" s="36">
        <v>75.6</v>
      </c>
      <c r="AG179" s="36">
        <v>80.227</v>
      </c>
      <c r="AH179" s="17" t="s">
        <v>463</v>
      </c>
      <c r="AI179" s="26">
        <v>77913.0</v>
      </c>
      <c r="AJ179" s="26">
        <v>77913.0</v>
      </c>
      <c r="AK179" s="26" t="s">
        <v>495</v>
      </c>
      <c r="AL179" s="26">
        <v>227.0</v>
      </c>
      <c r="AM179" s="26">
        <v>2096.0</v>
      </c>
      <c r="AN179" s="32"/>
      <c r="AO179" s="17" t="s">
        <v>422</v>
      </c>
      <c r="AP179" s="32"/>
      <c r="AQ179" s="32"/>
      <c r="AR179" s="32"/>
      <c r="AS179" s="32"/>
      <c r="AT179" s="26">
        <v>178.0</v>
      </c>
      <c r="AU179" s="26" t="s">
        <v>1382</v>
      </c>
      <c r="AV179" s="35">
        <v>171.0</v>
      </c>
      <c r="AW179" s="26">
        <v>215.0</v>
      </c>
      <c r="AX179" s="26" t="s">
        <v>1201</v>
      </c>
      <c r="AY179" s="26">
        <v>455.0</v>
      </c>
      <c r="AZ179" s="37">
        <v>45387.0</v>
      </c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</row>
    <row r="180">
      <c r="A180" s="20" t="s">
        <v>1396</v>
      </c>
      <c r="B180" s="20" t="s">
        <v>1397</v>
      </c>
      <c r="C180" s="17" t="s">
        <v>1398</v>
      </c>
      <c r="D180" s="17" t="s">
        <v>781</v>
      </c>
      <c r="E180" s="34" t="s">
        <v>477</v>
      </c>
      <c r="F180" s="26" t="s">
        <v>1201</v>
      </c>
      <c r="G180" s="35">
        <v>170.0</v>
      </c>
      <c r="H180" s="17" t="s">
        <v>413</v>
      </c>
      <c r="I180" s="17" t="s">
        <v>414</v>
      </c>
      <c r="J180" s="17" t="s">
        <v>415</v>
      </c>
      <c r="L180" s="26">
        <v>5.0</v>
      </c>
      <c r="M180" s="17" t="s">
        <v>417</v>
      </c>
      <c r="N180" s="17" t="s">
        <v>418</v>
      </c>
      <c r="O180" s="26">
        <v>1500.0</v>
      </c>
      <c r="P180" s="26">
        <v>5.0</v>
      </c>
      <c r="Q180" s="26">
        <v>5.0</v>
      </c>
      <c r="R180" s="17" t="s">
        <v>419</v>
      </c>
      <c r="S180" s="17" t="s">
        <v>420</v>
      </c>
      <c r="T180" s="17" t="s">
        <v>421</v>
      </c>
      <c r="U180" s="17" t="s">
        <v>423</v>
      </c>
      <c r="V180" s="17" t="s">
        <v>424</v>
      </c>
      <c r="W180" s="17" t="s">
        <v>403</v>
      </c>
      <c r="X180" s="17" t="s">
        <v>1202</v>
      </c>
      <c r="Y180" s="17" t="s">
        <v>438</v>
      </c>
      <c r="Z180" s="17" t="s">
        <v>881</v>
      </c>
      <c r="AA180" s="17" t="s">
        <v>440</v>
      </c>
      <c r="AB180" s="17" t="s">
        <v>1381</v>
      </c>
      <c r="AC180" s="17" t="s">
        <v>428</v>
      </c>
      <c r="AD180" s="17" t="s">
        <v>429</v>
      </c>
      <c r="AE180" s="26">
        <v>730.0</v>
      </c>
      <c r="AF180" s="36">
        <v>72.2</v>
      </c>
      <c r="AG180" s="36">
        <v>79.622</v>
      </c>
      <c r="AH180" s="26" t="s">
        <v>1399</v>
      </c>
      <c r="AI180" s="26">
        <v>77419.0</v>
      </c>
      <c r="AJ180" s="26">
        <v>77419.0</v>
      </c>
      <c r="AK180" s="26" t="s">
        <v>495</v>
      </c>
      <c r="AL180" s="26">
        <v>452.0</v>
      </c>
      <c r="AM180" s="26">
        <v>2114.0</v>
      </c>
      <c r="AN180" s="32"/>
      <c r="AO180" s="17" t="s">
        <v>422</v>
      </c>
      <c r="AP180" s="32"/>
      <c r="AQ180" s="32"/>
      <c r="AR180" s="32"/>
      <c r="AS180" s="32"/>
      <c r="AT180" s="26">
        <v>178.0</v>
      </c>
      <c r="AU180" s="26" t="s">
        <v>1382</v>
      </c>
      <c r="AV180" s="35">
        <v>170.0</v>
      </c>
      <c r="AW180" s="26">
        <v>193.0</v>
      </c>
      <c r="AX180" s="26" t="s">
        <v>1201</v>
      </c>
      <c r="AY180" s="26">
        <v>455.0</v>
      </c>
      <c r="AZ180" s="37">
        <v>45297.0</v>
      </c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</row>
    <row r="181">
      <c r="A181" s="20" t="s">
        <v>1400</v>
      </c>
      <c r="B181" s="20" t="s">
        <v>1401</v>
      </c>
      <c r="C181" s="17" t="s">
        <v>1402</v>
      </c>
      <c r="D181" s="17" t="s">
        <v>793</v>
      </c>
      <c r="E181" s="34" t="s">
        <v>477</v>
      </c>
      <c r="F181" s="26">
        <v>66.0</v>
      </c>
      <c r="G181" s="35">
        <v>119.0</v>
      </c>
      <c r="H181" s="32"/>
      <c r="I181" s="17" t="s">
        <v>414</v>
      </c>
      <c r="J181" s="17" t="s">
        <v>415</v>
      </c>
      <c r="L181" s="26">
        <v>5.0</v>
      </c>
      <c r="M181" s="17" t="s">
        <v>417</v>
      </c>
      <c r="N181" s="17" t="s">
        <v>418</v>
      </c>
      <c r="P181" s="26">
        <v>5.0</v>
      </c>
      <c r="Q181" s="26">
        <v>5.0</v>
      </c>
      <c r="R181" s="17" t="s">
        <v>419</v>
      </c>
      <c r="S181" s="17" t="s">
        <v>420</v>
      </c>
      <c r="T181" s="17" t="s">
        <v>421</v>
      </c>
      <c r="U181" s="17" t="s">
        <v>423</v>
      </c>
      <c r="V181" s="17" t="s">
        <v>797</v>
      </c>
      <c r="W181" s="17" t="s">
        <v>403</v>
      </c>
      <c r="X181" s="17" t="s">
        <v>782</v>
      </c>
      <c r="Y181" s="17" t="s">
        <v>438</v>
      </c>
      <c r="Z181" s="17" t="s">
        <v>1195</v>
      </c>
      <c r="AA181" s="17" t="s">
        <v>440</v>
      </c>
      <c r="AB181" s="17" t="s">
        <v>1381</v>
      </c>
      <c r="AC181" s="17" t="s">
        <v>428</v>
      </c>
      <c r="AD181" s="17" t="s">
        <v>1182</v>
      </c>
      <c r="AE181" s="26">
        <v>740.0</v>
      </c>
      <c r="AF181" s="36">
        <v>43.6</v>
      </c>
      <c r="AG181" s="36">
        <v>44.188</v>
      </c>
      <c r="AH181" s="17" t="s">
        <v>463</v>
      </c>
      <c r="AI181" s="26">
        <v>43894.0</v>
      </c>
      <c r="AJ181" s="26">
        <v>43894.0</v>
      </c>
      <c r="AK181" s="26" t="s">
        <v>495</v>
      </c>
      <c r="AL181" s="26">
        <v>586.0</v>
      </c>
      <c r="AM181" s="26">
        <v>2181.0</v>
      </c>
      <c r="AN181" s="17" t="s">
        <v>465</v>
      </c>
      <c r="AO181" s="17" t="s">
        <v>422</v>
      </c>
      <c r="AP181" s="32"/>
      <c r="AQ181" s="32"/>
      <c r="AR181" s="32"/>
      <c r="AS181" s="32"/>
      <c r="AT181" s="26">
        <v>178.0</v>
      </c>
      <c r="AU181" s="26" t="s">
        <v>1382</v>
      </c>
      <c r="AV181" s="35">
        <v>119.0</v>
      </c>
      <c r="AW181" s="26">
        <v>200.0</v>
      </c>
      <c r="AX181" s="26">
        <v>66.0</v>
      </c>
      <c r="AY181" s="26">
        <v>370.0</v>
      </c>
      <c r="AZ181" s="37">
        <v>45541.0</v>
      </c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</row>
    <row r="182">
      <c r="A182" s="20" t="s">
        <v>1403</v>
      </c>
      <c r="B182" s="20" t="s">
        <v>1404</v>
      </c>
      <c r="C182" s="17" t="s">
        <v>1405</v>
      </c>
      <c r="D182" s="17" t="s">
        <v>565</v>
      </c>
      <c r="E182" s="34" t="s">
        <v>477</v>
      </c>
      <c r="F182" s="26">
        <v>97.0</v>
      </c>
      <c r="G182" s="35">
        <v>232.0</v>
      </c>
      <c r="H182" s="32"/>
      <c r="I182" s="17" t="s">
        <v>414</v>
      </c>
      <c r="J182" s="17" t="s">
        <v>415</v>
      </c>
      <c r="K182" s="17" t="s">
        <v>416</v>
      </c>
      <c r="L182" s="26">
        <v>4.0</v>
      </c>
      <c r="M182" s="17" t="s">
        <v>417</v>
      </c>
      <c r="N182" s="32"/>
      <c r="O182" s="32"/>
      <c r="P182" s="26">
        <v>-1.0</v>
      </c>
      <c r="Q182" s="17" t="s">
        <v>419</v>
      </c>
      <c r="R182" s="17" t="s">
        <v>420</v>
      </c>
      <c r="S182" s="17" t="s">
        <v>421</v>
      </c>
      <c r="T182" s="17" t="s">
        <v>422</v>
      </c>
      <c r="U182" s="17" t="s">
        <v>423</v>
      </c>
      <c r="V182" s="17" t="s">
        <v>1406</v>
      </c>
      <c r="W182" s="17" t="s">
        <v>403</v>
      </c>
      <c r="X182" s="17" t="s">
        <v>1407</v>
      </c>
      <c r="Y182" s="17" t="s">
        <v>438</v>
      </c>
      <c r="Z182" s="17" t="s">
        <v>439</v>
      </c>
      <c r="AA182" s="17" t="s">
        <v>440</v>
      </c>
      <c r="AB182" s="17" t="s">
        <v>1381</v>
      </c>
      <c r="AC182" s="17" t="s">
        <v>428</v>
      </c>
      <c r="AD182" s="17" t="s">
        <v>1408</v>
      </c>
      <c r="AE182" s="26">
        <v>1270.0</v>
      </c>
      <c r="AF182" s="36">
        <v>126.0</v>
      </c>
      <c r="AG182" s="36">
        <v>129.99</v>
      </c>
      <c r="AH182" s="26" t="s">
        <v>1409</v>
      </c>
      <c r="AI182" s="26">
        <v>100000.0</v>
      </c>
      <c r="AJ182" s="26">
        <v>126626.0</v>
      </c>
      <c r="AK182" s="26" t="s">
        <v>567</v>
      </c>
      <c r="AL182" s="26">
        <v>312.0</v>
      </c>
      <c r="AM182" s="26">
        <v>2219.0</v>
      </c>
      <c r="AN182" s="32"/>
      <c r="AO182" s="32"/>
      <c r="AP182" s="32"/>
      <c r="AQ182" s="32"/>
      <c r="AR182" s="32"/>
      <c r="AS182" s="32"/>
      <c r="AT182" s="26">
        <v>178.0</v>
      </c>
      <c r="AU182" s="26" t="s">
        <v>1382</v>
      </c>
      <c r="AV182" s="35">
        <v>232.0</v>
      </c>
      <c r="AW182" s="26">
        <v>245.0</v>
      </c>
      <c r="AX182" s="26">
        <v>97.0</v>
      </c>
      <c r="AY182" s="26">
        <v>545.0</v>
      </c>
      <c r="AZ182" s="37">
        <v>45385.0</v>
      </c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</row>
    <row r="183">
      <c r="A183" s="20" t="s">
        <v>1410</v>
      </c>
      <c r="B183" s="20" t="s">
        <v>1268</v>
      </c>
      <c r="C183" s="17" t="s">
        <v>1411</v>
      </c>
      <c r="D183" s="17" t="s">
        <v>1012</v>
      </c>
      <c r="E183" s="34" t="s">
        <v>436</v>
      </c>
      <c r="F183" s="26">
        <v>80.0</v>
      </c>
      <c r="G183" s="35">
        <v>110.0</v>
      </c>
      <c r="H183" s="17" t="s">
        <v>413</v>
      </c>
      <c r="I183" s="17" t="s">
        <v>414</v>
      </c>
      <c r="J183" s="17" t="s">
        <v>415</v>
      </c>
      <c r="L183" s="26">
        <v>5.0</v>
      </c>
      <c r="M183" s="17" t="s">
        <v>417</v>
      </c>
      <c r="N183" s="17" t="s">
        <v>418</v>
      </c>
      <c r="O183" s="26">
        <v>1600.0</v>
      </c>
      <c r="P183" s="26">
        <v>5.0</v>
      </c>
      <c r="Q183" s="26">
        <v>5.0</v>
      </c>
      <c r="R183" s="17" t="s">
        <v>419</v>
      </c>
      <c r="S183" s="17" t="s">
        <v>420</v>
      </c>
      <c r="T183" s="17" t="s">
        <v>421</v>
      </c>
      <c r="U183" s="17" t="s">
        <v>423</v>
      </c>
      <c r="V183" s="17" t="s">
        <v>1078</v>
      </c>
      <c r="W183" s="17" t="s">
        <v>403</v>
      </c>
      <c r="X183" s="17" t="s">
        <v>459</v>
      </c>
      <c r="Y183" s="17" t="s">
        <v>438</v>
      </c>
      <c r="Z183" s="17" t="s">
        <v>1143</v>
      </c>
      <c r="AA183" s="17" t="s">
        <v>440</v>
      </c>
      <c r="AB183" s="17" t="s">
        <v>1381</v>
      </c>
      <c r="AC183" s="17" t="s">
        <v>428</v>
      </c>
      <c r="AD183" s="17" t="s">
        <v>1412</v>
      </c>
      <c r="AE183" s="26">
        <v>1110.0</v>
      </c>
      <c r="AF183" s="36">
        <v>51.65</v>
      </c>
      <c r="AG183" s="36">
        <v>46.995</v>
      </c>
      <c r="AH183" s="26" t="s">
        <v>1413</v>
      </c>
      <c r="AI183" s="26">
        <v>49518.0</v>
      </c>
      <c r="AJ183" s="26">
        <v>49518.0</v>
      </c>
      <c r="AK183" s="26" t="s">
        <v>567</v>
      </c>
      <c r="AL183" s="26">
        <v>1335.0</v>
      </c>
      <c r="AM183" s="26">
        <v>2236.0</v>
      </c>
      <c r="AN183" s="17" t="s">
        <v>465</v>
      </c>
      <c r="AO183" s="17" t="s">
        <v>422</v>
      </c>
      <c r="AP183" s="17" t="s">
        <v>483</v>
      </c>
      <c r="AQ183" s="32"/>
      <c r="AR183" s="32"/>
      <c r="AS183" s="32"/>
      <c r="AT183" s="26">
        <v>178.0</v>
      </c>
      <c r="AU183" s="26" t="s">
        <v>1382</v>
      </c>
      <c r="AV183" s="35">
        <v>110.0</v>
      </c>
      <c r="AW183" s="26">
        <v>185.0</v>
      </c>
      <c r="AX183" s="26">
        <v>80.0</v>
      </c>
      <c r="AY183" s="26">
        <v>450.0</v>
      </c>
      <c r="AZ183" s="37">
        <v>45419.0</v>
      </c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</row>
    <row r="184">
      <c r="A184" s="20" t="s">
        <v>1414</v>
      </c>
      <c r="B184" s="20" t="s">
        <v>995</v>
      </c>
      <c r="C184" s="17" t="s">
        <v>1415</v>
      </c>
      <c r="D184" s="17" t="s">
        <v>1012</v>
      </c>
      <c r="E184" s="34" t="s">
        <v>477</v>
      </c>
      <c r="F184" s="26">
        <v>79.0</v>
      </c>
      <c r="G184" s="35">
        <v>131.0</v>
      </c>
      <c r="H184" s="17" t="s">
        <v>413</v>
      </c>
      <c r="I184" s="17" t="s">
        <v>414</v>
      </c>
      <c r="J184" s="17" t="s">
        <v>415</v>
      </c>
      <c r="K184" s="17" t="s">
        <v>595</v>
      </c>
      <c r="L184" s="26">
        <v>5.0</v>
      </c>
      <c r="M184" s="17" t="s">
        <v>417</v>
      </c>
      <c r="N184" s="17" t="s">
        <v>418</v>
      </c>
      <c r="O184" s="26">
        <v>1200.0</v>
      </c>
      <c r="P184" s="26">
        <v>-1.0</v>
      </c>
      <c r="Q184" s="17" t="s">
        <v>419</v>
      </c>
      <c r="R184" s="17" t="s">
        <v>420</v>
      </c>
      <c r="S184" s="17" t="s">
        <v>421</v>
      </c>
      <c r="T184" s="17" t="s">
        <v>422</v>
      </c>
      <c r="U184" s="17" t="s">
        <v>423</v>
      </c>
      <c r="V184" s="17" t="s">
        <v>1391</v>
      </c>
      <c r="W184" s="17" t="s">
        <v>403</v>
      </c>
      <c r="X184" s="17" t="s">
        <v>493</v>
      </c>
      <c r="Y184" s="17" t="s">
        <v>438</v>
      </c>
      <c r="Z184" s="17" t="s">
        <v>1025</v>
      </c>
      <c r="AA184" s="17" t="s">
        <v>440</v>
      </c>
      <c r="AB184" s="17" t="s">
        <v>1381</v>
      </c>
      <c r="AC184" s="17" t="s">
        <v>428</v>
      </c>
      <c r="AD184" s="17" t="s">
        <v>760</v>
      </c>
      <c r="AE184" s="26">
        <v>710.0</v>
      </c>
      <c r="AF184" s="36">
        <v>54.831</v>
      </c>
      <c r="AG184" s="36">
        <v>55.85</v>
      </c>
      <c r="AH184" s="26" t="s">
        <v>1416</v>
      </c>
      <c r="AI184" s="26">
        <v>58427.0</v>
      </c>
      <c r="AJ184" s="26">
        <v>58427.0</v>
      </c>
      <c r="AK184" s="26" t="s">
        <v>567</v>
      </c>
      <c r="AL184" s="26">
        <v>309.0</v>
      </c>
      <c r="AM184" s="26">
        <v>2242.0</v>
      </c>
      <c r="AN184" s="32"/>
      <c r="AO184" s="32"/>
      <c r="AP184" s="32"/>
      <c r="AQ184" s="32"/>
      <c r="AR184" s="32"/>
      <c r="AS184" s="32"/>
      <c r="AT184" s="26">
        <v>178.0</v>
      </c>
      <c r="AU184" s="26" t="s">
        <v>1382</v>
      </c>
      <c r="AV184" s="35">
        <v>131.0</v>
      </c>
      <c r="AW184" s="26">
        <v>180.0</v>
      </c>
      <c r="AX184" s="26">
        <v>79.0</v>
      </c>
      <c r="AY184" s="26">
        <v>445.0</v>
      </c>
      <c r="AZ184" s="37">
        <v>45356.0</v>
      </c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</row>
    <row r="185">
      <c r="A185" s="20" t="s">
        <v>1417</v>
      </c>
      <c r="B185" s="20" t="s">
        <v>1418</v>
      </c>
      <c r="C185" s="17" t="s">
        <v>1419</v>
      </c>
      <c r="D185" s="17" t="s">
        <v>435</v>
      </c>
      <c r="E185" s="34" t="s">
        <v>477</v>
      </c>
      <c r="F185" s="26" t="s">
        <v>478</v>
      </c>
      <c r="G185" s="35">
        <v>130.0</v>
      </c>
      <c r="H185" s="32"/>
      <c r="I185" s="17" t="s">
        <v>414</v>
      </c>
      <c r="J185" s="17" t="s">
        <v>415</v>
      </c>
      <c r="L185" s="26">
        <v>5.0</v>
      </c>
      <c r="M185" s="17" t="s">
        <v>417</v>
      </c>
      <c r="N185" s="32"/>
      <c r="O185" s="32"/>
      <c r="P185" s="26">
        <v>4.0</v>
      </c>
      <c r="Q185" s="26">
        <v>4.0</v>
      </c>
      <c r="R185" s="17" t="s">
        <v>419</v>
      </c>
      <c r="S185" s="17" t="s">
        <v>420</v>
      </c>
      <c r="T185" s="17" t="s">
        <v>421</v>
      </c>
      <c r="U185" s="17" t="s">
        <v>423</v>
      </c>
      <c r="V185" s="17" t="s">
        <v>639</v>
      </c>
      <c r="W185" s="17" t="s">
        <v>403</v>
      </c>
      <c r="X185" s="17" t="s">
        <v>480</v>
      </c>
      <c r="Y185" s="17" t="s">
        <v>438</v>
      </c>
      <c r="Z185" s="17" t="s">
        <v>751</v>
      </c>
      <c r="AA185" s="17" t="s">
        <v>440</v>
      </c>
      <c r="AB185" s="17" t="s">
        <v>1381</v>
      </c>
      <c r="AC185" s="17" t="s">
        <v>428</v>
      </c>
      <c r="AD185" s="17" t="s">
        <v>722</v>
      </c>
      <c r="AE185" s="26">
        <v>460.0</v>
      </c>
      <c r="AF185" s="36">
        <v>36.74</v>
      </c>
      <c r="AG185" s="36">
        <v>35.999</v>
      </c>
      <c r="AH185" s="26" t="s">
        <v>1420</v>
      </c>
      <c r="AI185" s="26">
        <v>36990.0</v>
      </c>
      <c r="AJ185" s="26">
        <v>36990.0</v>
      </c>
      <c r="AK185" s="26" t="s">
        <v>444</v>
      </c>
      <c r="AL185" s="26">
        <v>420.0</v>
      </c>
      <c r="AM185" s="26">
        <v>3051.0</v>
      </c>
      <c r="AN185" s="32"/>
      <c r="AO185" s="17" t="s">
        <v>422</v>
      </c>
      <c r="AP185" s="32"/>
      <c r="AQ185" s="32"/>
      <c r="AR185" s="17" t="s">
        <v>512</v>
      </c>
      <c r="AS185" s="32"/>
      <c r="AT185" s="26">
        <v>178.0</v>
      </c>
      <c r="AU185" s="26" t="s">
        <v>1382</v>
      </c>
      <c r="AV185" s="35">
        <v>130.0</v>
      </c>
      <c r="AW185" s="26">
        <v>150.0</v>
      </c>
      <c r="AX185" s="26" t="s">
        <v>478</v>
      </c>
      <c r="AY185" s="26">
        <v>285.0</v>
      </c>
      <c r="AZ185" s="26">
        <v>9.0</v>
      </c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</row>
    <row r="186">
      <c r="A186" s="20" t="s">
        <v>1421</v>
      </c>
      <c r="B186" s="20" t="s">
        <v>1422</v>
      </c>
      <c r="C186" s="17" t="s">
        <v>1423</v>
      </c>
      <c r="D186" s="17" t="s">
        <v>469</v>
      </c>
      <c r="E186" s="34" t="s">
        <v>477</v>
      </c>
      <c r="F186" s="26" t="s">
        <v>1347</v>
      </c>
      <c r="G186" s="35">
        <v>149.0</v>
      </c>
      <c r="H186" s="32"/>
      <c r="I186" s="17" t="s">
        <v>414</v>
      </c>
      <c r="J186" s="17" t="s">
        <v>415</v>
      </c>
      <c r="K186" s="17" t="s">
        <v>416</v>
      </c>
      <c r="L186" s="26">
        <v>5.0</v>
      </c>
      <c r="M186" s="17" t="s">
        <v>417</v>
      </c>
      <c r="N186" s="17" t="s">
        <v>418</v>
      </c>
      <c r="O186" s="26">
        <v>1400.0</v>
      </c>
      <c r="P186" s="26">
        <v>5.0</v>
      </c>
      <c r="Q186" s="26">
        <v>5.0</v>
      </c>
      <c r="R186" s="17" t="s">
        <v>419</v>
      </c>
      <c r="S186" s="17" t="s">
        <v>420</v>
      </c>
      <c r="T186" s="17" t="s">
        <v>421</v>
      </c>
      <c r="U186" s="17" t="s">
        <v>423</v>
      </c>
      <c r="V186" s="17" t="s">
        <v>1424</v>
      </c>
      <c r="W186" s="17" t="s">
        <v>403</v>
      </c>
      <c r="X186" s="17" t="s">
        <v>782</v>
      </c>
      <c r="Y186" s="17" t="s">
        <v>438</v>
      </c>
      <c r="Z186" s="17" t="s">
        <v>1425</v>
      </c>
      <c r="AA186" s="17" t="s">
        <v>440</v>
      </c>
      <c r="AB186" s="17" t="s">
        <v>1426</v>
      </c>
      <c r="AC186" s="17" t="s">
        <v>428</v>
      </c>
      <c r="AD186" s="17" t="s">
        <v>981</v>
      </c>
      <c r="AE186" s="26">
        <v>570.0</v>
      </c>
      <c r="AF186" s="36">
        <v>59.5</v>
      </c>
      <c r="AG186" s="36">
        <v>62.7</v>
      </c>
      <c r="AH186" s="17" t="s">
        <v>463</v>
      </c>
      <c r="AI186" s="26">
        <v>61100.0</v>
      </c>
      <c r="AJ186" s="26">
        <v>61100.0</v>
      </c>
      <c r="AK186" s="26" t="s">
        <v>464</v>
      </c>
      <c r="AL186" s="26">
        <v>133.0</v>
      </c>
      <c r="AM186" s="26">
        <v>1786.0</v>
      </c>
      <c r="AN186" s="32"/>
      <c r="AO186" s="17" t="s">
        <v>422</v>
      </c>
      <c r="AP186" s="32"/>
      <c r="AQ186" s="32"/>
      <c r="AR186" s="32"/>
      <c r="AS186" s="32"/>
      <c r="AT186" s="26">
        <v>179.0</v>
      </c>
      <c r="AU186" s="26" t="s">
        <v>1427</v>
      </c>
      <c r="AV186" s="35">
        <v>149.0</v>
      </c>
      <c r="AW186" s="26">
        <v>200.0</v>
      </c>
      <c r="AX186" s="26" t="s">
        <v>1347</v>
      </c>
      <c r="AY186" s="26">
        <v>410.0</v>
      </c>
      <c r="AZ186" s="26">
        <v>4.0</v>
      </c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</row>
    <row r="187">
      <c r="A187" s="20" t="s">
        <v>1428</v>
      </c>
      <c r="B187" s="20" t="s">
        <v>1429</v>
      </c>
      <c r="C187" s="17" t="s">
        <v>1430</v>
      </c>
      <c r="D187" s="17" t="s">
        <v>410</v>
      </c>
      <c r="E187" s="34" t="s">
        <v>436</v>
      </c>
      <c r="F187" s="26">
        <v>94.0</v>
      </c>
      <c r="G187" s="35">
        <v>116.0</v>
      </c>
      <c r="H187" s="32"/>
      <c r="I187" s="17" t="s">
        <v>414</v>
      </c>
      <c r="J187" s="17" t="s">
        <v>415</v>
      </c>
      <c r="K187" s="17" t="s">
        <v>595</v>
      </c>
      <c r="L187" s="26">
        <v>5.0</v>
      </c>
      <c r="M187" s="17" t="s">
        <v>417</v>
      </c>
      <c r="N187" s="17" t="s">
        <v>418</v>
      </c>
      <c r="O187" s="26">
        <v>1500.0</v>
      </c>
      <c r="P187" s="26">
        <v>5.0</v>
      </c>
      <c r="Q187" s="26">
        <v>5.0</v>
      </c>
      <c r="R187" s="17" t="s">
        <v>419</v>
      </c>
      <c r="S187" s="17" t="s">
        <v>420</v>
      </c>
      <c r="T187" s="17" t="s">
        <v>421</v>
      </c>
      <c r="U187" s="17" t="s">
        <v>423</v>
      </c>
      <c r="V187" s="17" t="s">
        <v>580</v>
      </c>
      <c r="W187" s="17" t="s">
        <v>403</v>
      </c>
      <c r="X187" s="17" t="s">
        <v>782</v>
      </c>
      <c r="Y187" s="17" t="s">
        <v>438</v>
      </c>
      <c r="Z187" s="17" t="s">
        <v>449</v>
      </c>
      <c r="AA187" s="17" t="s">
        <v>440</v>
      </c>
      <c r="AB187" s="17" t="s">
        <v>1426</v>
      </c>
      <c r="AC187" s="17" t="s">
        <v>428</v>
      </c>
      <c r="AD187" s="17" t="s">
        <v>760</v>
      </c>
      <c r="AE187" s="26">
        <v>710.0</v>
      </c>
      <c r="AF187" s="36">
        <v>60.97</v>
      </c>
      <c r="AG187" s="36">
        <v>60.49</v>
      </c>
      <c r="AH187" s="17" t="s">
        <v>463</v>
      </c>
      <c r="AI187" s="26">
        <v>60730.0</v>
      </c>
      <c r="AJ187" s="26">
        <v>60730.0</v>
      </c>
      <c r="AK187" s="26" t="s">
        <v>431</v>
      </c>
      <c r="AL187" s="26">
        <v>744.0</v>
      </c>
      <c r="AM187" s="26">
        <v>1933.0</v>
      </c>
      <c r="AN187" s="17" t="s">
        <v>465</v>
      </c>
      <c r="AO187" s="17" t="s">
        <v>422</v>
      </c>
      <c r="AP187" s="32"/>
      <c r="AQ187" s="32"/>
      <c r="AR187" s="32"/>
      <c r="AS187" s="32"/>
      <c r="AT187" s="26">
        <v>179.0</v>
      </c>
      <c r="AU187" s="26" t="s">
        <v>1427</v>
      </c>
      <c r="AV187" s="35">
        <v>116.0</v>
      </c>
      <c r="AW187" s="26">
        <v>200.0</v>
      </c>
      <c r="AX187" s="26">
        <v>94.0</v>
      </c>
      <c r="AY187" s="26">
        <v>525.0</v>
      </c>
      <c r="AZ187" s="37">
        <v>45329.0</v>
      </c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</row>
    <row r="188">
      <c r="A188" s="20" t="s">
        <v>1431</v>
      </c>
      <c r="B188" s="20" t="s">
        <v>1432</v>
      </c>
      <c r="C188" s="17" t="s">
        <v>1433</v>
      </c>
      <c r="D188" s="17" t="s">
        <v>804</v>
      </c>
      <c r="E188" s="34" t="s">
        <v>477</v>
      </c>
      <c r="F188" s="26">
        <v>77.0</v>
      </c>
      <c r="G188" s="35">
        <v>142.0</v>
      </c>
      <c r="H188" s="32"/>
      <c r="I188" s="17" t="s">
        <v>414</v>
      </c>
      <c r="J188" s="17" t="s">
        <v>415</v>
      </c>
      <c r="L188" s="26">
        <v>5.0</v>
      </c>
      <c r="M188" s="17" t="s">
        <v>417</v>
      </c>
      <c r="N188" s="17" t="s">
        <v>418</v>
      </c>
      <c r="O188" s="26">
        <v>1200.0</v>
      </c>
      <c r="P188" s="26">
        <v>5.0</v>
      </c>
      <c r="Q188" s="26">
        <v>5.0</v>
      </c>
      <c r="R188" s="17" t="s">
        <v>419</v>
      </c>
      <c r="S188" s="17" t="s">
        <v>420</v>
      </c>
      <c r="T188" s="17" t="s">
        <v>421</v>
      </c>
      <c r="U188" s="17" t="s">
        <v>423</v>
      </c>
      <c r="V188" s="17" t="s">
        <v>927</v>
      </c>
      <c r="W188" s="17" t="s">
        <v>403</v>
      </c>
      <c r="X188" s="17" t="s">
        <v>493</v>
      </c>
      <c r="Y188" s="17" t="s">
        <v>438</v>
      </c>
      <c r="Z188" s="17" t="s">
        <v>598</v>
      </c>
      <c r="AA188" s="17" t="s">
        <v>440</v>
      </c>
      <c r="AB188" s="17" t="s">
        <v>1426</v>
      </c>
      <c r="AC188" s="17" t="s">
        <v>428</v>
      </c>
      <c r="AD188" s="17" t="s">
        <v>861</v>
      </c>
      <c r="AE188" s="26">
        <v>640.0</v>
      </c>
      <c r="AF188" s="36">
        <v>56.455</v>
      </c>
      <c r="AG188" s="36">
        <v>62.99</v>
      </c>
      <c r="AH188" s="26" t="s">
        <v>1434</v>
      </c>
      <c r="AI188" s="26">
        <v>61038.0</v>
      </c>
      <c r="AJ188" s="26">
        <v>61038.0</v>
      </c>
      <c r="AK188" s="26" t="s">
        <v>777</v>
      </c>
      <c r="AL188" s="26">
        <v>236.0</v>
      </c>
      <c r="AM188" s="26">
        <v>2033.0</v>
      </c>
      <c r="AN188" s="32"/>
      <c r="AO188" s="17" t="s">
        <v>422</v>
      </c>
      <c r="AP188" s="17" t="s">
        <v>483</v>
      </c>
      <c r="AQ188" s="32"/>
      <c r="AR188" s="32"/>
      <c r="AS188" s="32"/>
      <c r="AT188" s="26">
        <v>179.0</v>
      </c>
      <c r="AU188" s="26" t="s">
        <v>1427</v>
      </c>
      <c r="AV188" s="35">
        <v>142.0</v>
      </c>
      <c r="AW188" s="26">
        <v>180.0</v>
      </c>
      <c r="AX188" s="26">
        <v>77.0</v>
      </c>
      <c r="AY188" s="26">
        <v>430.0</v>
      </c>
      <c r="AZ188" s="37">
        <v>45417.0</v>
      </c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</row>
    <row r="189">
      <c r="A189" s="20" t="s">
        <v>1435</v>
      </c>
      <c r="B189" s="20" t="s">
        <v>1436</v>
      </c>
      <c r="C189" s="17" t="s">
        <v>1437</v>
      </c>
      <c r="D189" s="17" t="s">
        <v>781</v>
      </c>
      <c r="E189" s="34" t="s">
        <v>477</v>
      </c>
      <c r="F189" s="26" t="s">
        <v>906</v>
      </c>
      <c r="G189" s="35">
        <v>225.0</v>
      </c>
      <c r="H189" s="17" t="s">
        <v>413</v>
      </c>
      <c r="I189" s="17" t="s">
        <v>414</v>
      </c>
      <c r="J189" s="17" t="s">
        <v>415</v>
      </c>
      <c r="L189" s="26">
        <v>5.0</v>
      </c>
      <c r="M189" s="17" t="s">
        <v>417</v>
      </c>
      <c r="N189" s="32"/>
      <c r="O189" s="32"/>
      <c r="P189" s="26">
        <v>-1.0</v>
      </c>
      <c r="Q189" s="17" t="s">
        <v>419</v>
      </c>
      <c r="R189" s="17" t="s">
        <v>420</v>
      </c>
      <c r="S189" s="17" t="s">
        <v>421</v>
      </c>
      <c r="T189" s="17" t="s">
        <v>422</v>
      </c>
      <c r="U189" s="17" t="s">
        <v>423</v>
      </c>
      <c r="V189" s="17" t="s">
        <v>907</v>
      </c>
      <c r="W189" s="17" t="s">
        <v>403</v>
      </c>
      <c r="X189" s="17" t="s">
        <v>655</v>
      </c>
      <c r="Y189" s="17" t="s">
        <v>438</v>
      </c>
      <c r="Z189" s="17" t="s">
        <v>928</v>
      </c>
      <c r="AA189" s="17" t="s">
        <v>440</v>
      </c>
      <c r="AB189" s="17" t="s">
        <v>1426</v>
      </c>
      <c r="AC189" s="17" t="s">
        <v>428</v>
      </c>
      <c r="AD189" s="17" t="s">
        <v>1438</v>
      </c>
      <c r="AE189" s="26">
        <v>1010.0</v>
      </c>
      <c r="AF189" s="36">
        <v>102.4</v>
      </c>
      <c r="AG189" s="36">
        <v>108.1</v>
      </c>
      <c r="AH189" s="26" t="s">
        <v>1439</v>
      </c>
      <c r="AI189" s="26">
        <v>100000.0</v>
      </c>
      <c r="AJ189" s="26">
        <v>103631.0</v>
      </c>
      <c r="AK189" s="26" t="s">
        <v>495</v>
      </c>
      <c r="AL189" s="26">
        <v>71.0</v>
      </c>
      <c r="AM189" s="26">
        <v>2104.0</v>
      </c>
      <c r="AN189" s="32"/>
      <c r="AO189" s="32"/>
      <c r="AP189" s="32"/>
      <c r="AQ189" s="32"/>
      <c r="AR189" s="32"/>
      <c r="AS189" s="32"/>
      <c r="AT189" s="26">
        <v>179.0</v>
      </c>
      <c r="AU189" s="26" t="s">
        <v>1427</v>
      </c>
      <c r="AV189" s="35">
        <v>225.0</v>
      </c>
      <c r="AW189" s="26">
        <v>230.0</v>
      </c>
      <c r="AX189" s="26" t="s">
        <v>906</v>
      </c>
      <c r="AY189" s="26">
        <v>460.0</v>
      </c>
      <c r="AZ189" s="37">
        <v>45508.0</v>
      </c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</row>
    <row r="190">
      <c r="A190" s="20" t="s">
        <v>1440</v>
      </c>
      <c r="B190" s="20" t="s">
        <v>1441</v>
      </c>
      <c r="C190" s="17" t="s">
        <v>1442</v>
      </c>
      <c r="D190" s="17" t="s">
        <v>565</v>
      </c>
      <c r="E190" s="34" t="s">
        <v>477</v>
      </c>
      <c r="F190" s="26">
        <v>86.0</v>
      </c>
      <c r="G190" s="35">
        <v>142.0</v>
      </c>
      <c r="H190" s="17" t="s">
        <v>413</v>
      </c>
      <c r="I190" s="17" t="s">
        <v>414</v>
      </c>
      <c r="J190" s="17" t="s">
        <v>415</v>
      </c>
      <c r="L190" s="26">
        <v>5.0</v>
      </c>
      <c r="M190" s="17" t="s">
        <v>417</v>
      </c>
      <c r="N190" s="17" t="s">
        <v>418</v>
      </c>
      <c r="O190" s="26">
        <v>1200.0</v>
      </c>
      <c r="P190" s="26">
        <v>5.0</v>
      </c>
      <c r="Q190" s="26">
        <v>5.0</v>
      </c>
      <c r="R190" s="17" t="s">
        <v>419</v>
      </c>
      <c r="S190" s="17" t="s">
        <v>420</v>
      </c>
      <c r="T190" s="17" t="s">
        <v>421</v>
      </c>
      <c r="U190" s="17" t="s">
        <v>423</v>
      </c>
      <c r="V190" s="17" t="s">
        <v>927</v>
      </c>
      <c r="W190" s="17" t="s">
        <v>403</v>
      </c>
      <c r="X190" s="17" t="s">
        <v>493</v>
      </c>
      <c r="Y190" s="17" t="s">
        <v>438</v>
      </c>
      <c r="Z190" s="17" t="s">
        <v>733</v>
      </c>
      <c r="AA190" s="17" t="s">
        <v>440</v>
      </c>
      <c r="AB190" s="17" t="s">
        <v>1426</v>
      </c>
      <c r="AC190" s="17" t="s">
        <v>428</v>
      </c>
      <c r="AD190" s="17" t="s">
        <v>1235</v>
      </c>
      <c r="AE190" s="26">
        <v>770.0</v>
      </c>
      <c r="AF190" s="36">
        <v>63.955</v>
      </c>
      <c r="AG190" s="36">
        <v>68.99</v>
      </c>
      <c r="AH190" s="26" t="s">
        <v>1443</v>
      </c>
      <c r="AI190" s="26">
        <v>68338.0</v>
      </c>
      <c r="AJ190" s="26">
        <v>68338.0</v>
      </c>
      <c r="AK190" s="26" t="s">
        <v>567</v>
      </c>
      <c r="AL190" s="26">
        <v>406.0</v>
      </c>
      <c r="AM190" s="26">
        <v>2158.0</v>
      </c>
      <c r="AN190" s="32"/>
      <c r="AO190" s="17" t="s">
        <v>422</v>
      </c>
      <c r="AP190" s="32"/>
      <c r="AQ190" s="32"/>
      <c r="AR190" s="32"/>
      <c r="AS190" s="32"/>
      <c r="AT190" s="26">
        <v>179.0</v>
      </c>
      <c r="AU190" s="26" t="s">
        <v>1427</v>
      </c>
      <c r="AV190" s="35">
        <v>142.0</v>
      </c>
      <c r="AW190" s="26">
        <v>180.0</v>
      </c>
      <c r="AX190" s="26">
        <v>86.0</v>
      </c>
      <c r="AY190" s="26">
        <v>480.0</v>
      </c>
      <c r="AZ190" s="37">
        <v>45417.0</v>
      </c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</row>
    <row r="191">
      <c r="A191" s="20" t="s">
        <v>1444</v>
      </c>
      <c r="B191" s="20" t="s">
        <v>1222</v>
      </c>
      <c r="C191" s="17" t="s">
        <v>1445</v>
      </c>
      <c r="D191" s="17" t="s">
        <v>843</v>
      </c>
      <c r="E191" s="34" t="s">
        <v>477</v>
      </c>
      <c r="F191" s="26">
        <v>77.0</v>
      </c>
      <c r="G191" s="35">
        <v>114.0</v>
      </c>
      <c r="H191" s="17" t="s">
        <v>413</v>
      </c>
      <c r="I191" s="17" t="s">
        <v>414</v>
      </c>
      <c r="J191" s="17" t="s">
        <v>415</v>
      </c>
      <c r="L191" s="26">
        <v>5.0</v>
      </c>
      <c r="M191" s="17" t="s">
        <v>417</v>
      </c>
      <c r="N191" s="17" t="s">
        <v>418</v>
      </c>
      <c r="O191" s="26">
        <v>1000.0</v>
      </c>
      <c r="P191" s="26">
        <v>5.0</v>
      </c>
      <c r="Q191" s="26">
        <v>5.0</v>
      </c>
      <c r="R191" s="17" t="s">
        <v>419</v>
      </c>
      <c r="S191" s="17" t="s">
        <v>420</v>
      </c>
      <c r="T191" s="17" t="s">
        <v>421</v>
      </c>
      <c r="U191" s="17" t="s">
        <v>423</v>
      </c>
      <c r="V191" s="17" t="s">
        <v>858</v>
      </c>
      <c r="W191" s="17" t="s">
        <v>403</v>
      </c>
      <c r="X191" s="17" t="s">
        <v>493</v>
      </c>
      <c r="Y191" s="17" t="s">
        <v>438</v>
      </c>
      <c r="Z191" s="17" t="s">
        <v>598</v>
      </c>
      <c r="AA191" s="17" t="s">
        <v>440</v>
      </c>
      <c r="AB191" s="17" t="s">
        <v>1426</v>
      </c>
      <c r="AC191" s="17" t="s">
        <v>428</v>
      </c>
      <c r="AD191" s="17" t="s">
        <v>861</v>
      </c>
      <c r="AE191" s="26">
        <v>640.0</v>
      </c>
      <c r="AF191" s="36">
        <v>48.51</v>
      </c>
      <c r="AG191" s="36">
        <v>45.95</v>
      </c>
      <c r="AH191" s="26" t="s">
        <v>997</v>
      </c>
      <c r="AI191" s="26">
        <v>49072.0</v>
      </c>
      <c r="AJ191" s="26">
        <v>49072.0</v>
      </c>
      <c r="AK191" s="26" t="s">
        <v>495</v>
      </c>
      <c r="AL191" s="26">
        <v>817.0</v>
      </c>
      <c r="AM191" s="26">
        <v>2168.0</v>
      </c>
      <c r="AN191" s="32"/>
      <c r="AO191" s="17" t="s">
        <v>422</v>
      </c>
      <c r="AP191" s="17" t="s">
        <v>483</v>
      </c>
      <c r="AQ191" s="32"/>
      <c r="AR191" s="32"/>
      <c r="AS191" s="32"/>
      <c r="AT191" s="26">
        <v>179.0</v>
      </c>
      <c r="AU191" s="26" t="s">
        <v>1427</v>
      </c>
      <c r="AV191" s="35">
        <v>114.0</v>
      </c>
      <c r="AW191" s="26">
        <v>180.0</v>
      </c>
      <c r="AX191" s="26">
        <v>77.0</v>
      </c>
      <c r="AY191" s="26">
        <v>430.0</v>
      </c>
      <c r="AZ191" s="37">
        <v>45388.0</v>
      </c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</row>
    <row r="192">
      <c r="A192" s="20" t="s">
        <v>1446</v>
      </c>
      <c r="B192" s="20" t="s">
        <v>1147</v>
      </c>
      <c r="C192" s="17" t="s">
        <v>1447</v>
      </c>
      <c r="D192" s="17" t="s">
        <v>487</v>
      </c>
      <c r="E192" s="34" t="s">
        <v>477</v>
      </c>
      <c r="F192" s="26">
        <v>118.0</v>
      </c>
      <c r="G192" s="35">
        <v>174.0</v>
      </c>
      <c r="H192" s="17" t="s">
        <v>413</v>
      </c>
      <c r="I192" s="17" t="s">
        <v>414</v>
      </c>
      <c r="J192" s="17" t="s">
        <v>415</v>
      </c>
      <c r="K192" s="17" t="s">
        <v>416</v>
      </c>
      <c r="L192" s="26">
        <v>5.0</v>
      </c>
      <c r="M192" s="17" t="s">
        <v>417</v>
      </c>
      <c r="N192" s="17" t="s">
        <v>418</v>
      </c>
      <c r="O192" s="26">
        <v>1700.0</v>
      </c>
      <c r="P192" s="26">
        <v>-1.0</v>
      </c>
      <c r="Q192" s="17" t="s">
        <v>419</v>
      </c>
      <c r="R192" s="17" t="s">
        <v>420</v>
      </c>
      <c r="S192" s="17" t="s">
        <v>421</v>
      </c>
      <c r="T192" s="17" t="s">
        <v>422</v>
      </c>
      <c r="U192" s="17" t="s">
        <v>423</v>
      </c>
      <c r="V192" s="17" t="s">
        <v>1386</v>
      </c>
      <c r="W192" s="17" t="s">
        <v>403</v>
      </c>
      <c r="X192" s="17" t="s">
        <v>619</v>
      </c>
      <c r="Y192" s="17" t="s">
        <v>438</v>
      </c>
      <c r="Z192" s="17" t="s">
        <v>1448</v>
      </c>
      <c r="AA192" s="17" t="s">
        <v>440</v>
      </c>
      <c r="AB192" s="17" t="s">
        <v>1426</v>
      </c>
      <c r="AC192" s="17" t="s">
        <v>428</v>
      </c>
      <c r="AD192" s="17" t="s">
        <v>442</v>
      </c>
      <c r="AE192" s="26">
        <v>840.0</v>
      </c>
      <c r="AF192" s="36">
        <v>113.359</v>
      </c>
      <c r="AG192" s="36">
        <v>115.745</v>
      </c>
      <c r="AH192" s="17" t="s">
        <v>463</v>
      </c>
      <c r="AI192" s="26">
        <v>100000.0</v>
      </c>
      <c r="AJ192" s="26">
        <v>114552.0</v>
      </c>
      <c r="AK192" s="26" t="s">
        <v>495</v>
      </c>
      <c r="AL192" s="26">
        <v>370.0</v>
      </c>
      <c r="AM192" s="26">
        <v>2194.0</v>
      </c>
      <c r="AN192" s="32"/>
      <c r="AO192" s="32"/>
      <c r="AP192" s="32"/>
      <c r="AQ192" s="32"/>
      <c r="AR192" s="32"/>
      <c r="AS192" s="32"/>
      <c r="AT192" s="26">
        <v>179.0</v>
      </c>
      <c r="AU192" s="26" t="s">
        <v>1427</v>
      </c>
      <c r="AV192" s="35">
        <v>174.0</v>
      </c>
      <c r="AW192" s="26">
        <v>210.0</v>
      </c>
      <c r="AX192" s="26">
        <v>118.0</v>
      </c>
      <c r="AY192" s="26">
        <v>660.0</v>
      </c>
      <c r="AZ192" s="37">
        <v>45478.0</v>
      </c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</row>
    <row r="193">
      <c r="A193" s="20" t="s">
        <v>1449</v>
      </c>
      <c r="B193" s="20" t="s">
        <v>1112</v>
      </c>
      <c r="C193" s="17" t="s">
        <v>1450</v>
      </c>
      <c r="D193" s="17" t="s">
        <v>487</v>
      </c>
      <c r="E193" s="34" t="s">
        <v>477</v>
      </c>
      <c r="F193" s="26" t="s">
        <v>1314</v>
      </c>
      <c r="G193" s="35">
        <v>177.0</v>
      </c>
      <c r="H193" s="17" t="s">
        <v>413</v>
      </c>
      <c r="I193" s="17" t="s">
        <v>414</v>
      </c>
      <c r="J193" s="17" t="s">
        <v>415</v>
      </c>
      <c r="K193" s="17" t="s">
        <v>416</v>
      </c>
      <c r="L193" s="26">
        <v>5.0</v>
      </c>
      <c r="M193" s="17" t="s">
        <v>417</v>
      </c>
      <c r="N193" s="17" t="s">
        <v>418</v>
      </c>
      <c r="O193" s="26">
        <v>1700.0</v>
      </c>
      <c r="P193" s="26">
        <v>5.0</v>
      </c>
      <c r="Q193" s="26">
        <v>5.0</v>
      </c>
      <c r="R193" s="17" t="s">
        <v>419</v>
      </c>
      <c r="S193" s="17" t="s">
        <v>420</v>
      </c>
      <c r="T193" s="17" t="s">
        <v>421</v>
      </c>
      <c r="U193" s="17" t="s">
        <v>423</v>
      </c>
      <c r="V193" s="17" t="s">
        <v>764</v>
      </c>
      <c r="W193" s="17" t="s">
        <v>403</v>
      </c>
      <c r="X193" s="17" t="s">
        <v>619</v>
      </c>
      <c r="Y193" s="17" t="s">
        <v>438</v>
      </c>
      <c r="Z193" s="17" t="s">
        <v>1380</v>
      </c>
      <c r="AA193" s="17" t="s">
        <v>440</v>
      </c>
      <c r="AB193" s="17" t="s">
        <v>1426</v>
      </c>
      <c r="AC193" s="17" t="s">
        <v>428</v>
      </c>
      <c r="AD193" s="17" t="s">
        <v>1105</v>
      </c>
      <c r="AE193" s="26">
        <v>750.0</v>
      </c>
      <c r="AF193" s="36">
        <v>88.215</v>
      </c>
      <c r="AG193" s="36">
        <v>87.231</v>
      </c>
      <c r="AH193" s="26" t="s">
        <v>1451</v>
      </c>
      <c r="AI193" s="26">
        <v>89382.0</v>
      </c>
      <c r="AJ193" s="26">
        <v>89382.0</v>
      </c>
      <c r="AK193" s="26" t="s">
        <v>495</v>
      </c>
      <c r="AL193" s="26">
        <v>144.0</v>
      </c>
      <c r="AM193" s="26">
        <v>2207.0</v>
      </c>
      <c r="AN193" s="32"/>
      <c r="AO193" s="17" t="s">
        <v>422</v>
      </c>
      <c r="AP193" s="32"/>
      <c r="AQ193" s="32"/>
      <c r="AR193" s="32"/>
      <c r="AS193" s="32"/>
      <c r="AT193" s="26">
        <v>179.0</v>
      </c>
      <c r="AU193" s="26" t="s">
        <v>1427</v>
      </c>
      <c r="AV193" s="35">
        <v>177.0</v>
      </c>
      <c r="AW193" s="26">
        <v>210.0</v>
      </c>
      <c r="AX193" s="26" t="s">
        <v>1314</v>
      </c>
      <c r="AY193" s="26">
        <v>505.0</v>
      </c>
      <c r="AZ193" s="37">
        <v>45477.0</v>
      </c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</row>
    <row r="194">
      <c r="A194" s="20" t="s">
        <v>1452</v>
      </c>
      <c r="B194" s="20" t="s">
        <v>1453</v>
      </c>
      <c r="C194" s="17" t="s">
        <v>1339</v>
      </c>
      <c r="D194" s="17" t="s">
        <v>684</v>
      </c>
      <c r="E194" s="34" t="s">
        <v>436</v>
      </c>
      <c r="F194" s="26">
        <v>60.0</v>
      </c>
      <c r="G194" s="35">
        <v>134.0</v>
      </c>
      <c r="H194" s="17" t="s">
        <v>413</v>
      </c>
      <c r="I194" s="17" t="s">
        <v>414</v>
      </c>
      <c r="J194" s="17" t="s">
        <v>415</v>
      </c>
      <c r="L194" s="26">
        <v>5.0</v>
      </c>
      <c r="M194" s="17" t="s">
        <v>417</v>
      </c>
      <c r="N194" s="17" t="s">
        <v>418</v>
      </c>
      <c r="O194" s="26">
        <v>750.0</v>
      </c>
      <c r="P194" s="26">
        <v>5.0</v>
      </c>
      <c r="Q194" s="26">
        <v>5.0</v>
      </c>
      <c r="R194" s="17" t="s">
        <v>419</v>
      </c>
      <c r="S194" s="17" t="s">
        <v>420</v>
      </c>
      <c r="T194" s="17" t="s">
        <v>421</v>
      </c>
      <c r="U194" s="17" t="s">
        <v>423</v>
      </c>
      <c r="V194" s="17" t="s">
        <v>625</v>
      </c>
      <c r="W194" s="17" t="s">
        <v>403</v>
      </c>
      <c r="X194" s="17" t="s">
        <v>459</v>
      </c>
      <c r="Y194" s="17" t="s">
        <v>438</v>
      </c>
      <c r="Z194" s="17" t="s">
        <v>460</v>
      </c>
      <c r="AA194" s="17" t="s">
        <v>440</v>
      </c>
      <c r="AB194" s="17" t="s">
        <v>1426</v>
      </c>
      <c r="AC194" s="17" t="s">
        <v>428</v>
      </c>
      <c r="AD194" s="17" t="s">
        <v>462</v>
      </c>
      <c r="AE194" s="26">
        <v>780.0</v>
      </c>
      <c r="AF194" s="36">
        <v>44.99</v>
      </c>
      <c r="AG194" s="36">
        <v>44.995</v>
      </c>
      <c r="AH194" s="17" t="s">
        <v>463</v>
      </c>
      <c r="AI194" s="26">
        <v>44992.0</v>
      </c>
      <c r="AJ194" s="26">
        <v>44992.0</v>
      </c>
      <c r="AK194" s="26" t="s">
        <v>444</v>
      </c>
      <c r="AL194" s="26">
        <v>442.0</v>
      </c>
      <c r="AM194" s="26">
        <v>3030.0</v>
      </c>
      <c r="AN194" s="17" t="s">
        <v>465</v>
      </c>
      <c r="AO194" s="17" t="s">
        <v>422</v>
      </c>
      <c r="AP194" s="17" t="s">
        <v>483</v>
      </c>
      <c r="AQ194" s="32"/>
      <c r="AR194" s="32"/>
      <c r="AS194" s="32"/>
      <c r="AT194" s="26">
        <v>179.0</v>
      </c>
      <c r="AU194" s="26" t="s">
        <v>1427</v>
      </c>
      <c r="AV194" s="35">
        <v>134.0</v>
      </c>
      <c r="AW194" s="26">
        <v>185.0</v>
      </c>
      <c r="AX194" s="26">
        <v>60.0</v>
      </c>
      <c r="AY194" s="26">
        <v>335.0</v>
      </c>
      <c r="AZ194" s="37">
        <v>45481.0</v>
      </c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</row>
    <row r="195">
      <c r="A195" s="20" t="s">
        <v>1454</v>
      </c>
      <c r="B195" s="20" t="s">
        <v>1338</v>
      </c>
      <c r="C195" s="17" t="s">
        <v>1455</v>
      </c>
      <c r="D195" s="17" t="s">
        <v>1340</v>
      </c>
      <c r="E195" s="34" t="s">
        <v>436</v>
      </c>
      <c r="F195" s="26">
        <v>74.0</v>
      </c>
      <c r="G195" s="35">
        <v>127.0</v>
      </c>
      <c r="H195" s="17" t="s">
        <v>413</v>
      </c>
      <c r="I195" s="17" t="s">
        <v>414</v>
      </c>
      <c r="J195" s="17" t="s">
        <v>415</v>
      </c>
      <c r="L195" s="26">
        <v>5.0</v>
      </c>
      <c r="M195" s="17" t="s">
        <v>417</v>
      </c>
      <c r="N195" s="17" t="s">
        <v>418</v>
      </c>
      <c r="O195" s="26">
        <v>1600.0</v>
      </c>
      <c r="P195" s="26">
        <v>5.0</v>
      </c>
      <c r="Q195" s="26">
        <v>5.0</v>
      </c>
      <c r="R195" s="17" t="s">
        <v>419</v>
      </c>
      <c r="S195" s="17" t="s">
        <v>420</v>
      </c>
      <c r="T195" s="17" t="s">
        <v>421</v>
      </c>
      <c r="U195" s="17" t="s">
        <v>423</v>
      </c>
      <c r="V195" s="17" t="s">
        <v>772</v>
      </c>
      <c r="W195" s="17" t="s">
        <v>403</v>
      </c>
      <c r="X195" s="17" t="s">
        <v>459</v>
      </c>
      <c r="Y195" s="17" t="s">
        <v>438</v>
      </c>
      <c r="Z195" s="17" t="s">
        <v>1425</v>
      </c>
      <c r="AA195" s="17" t="s">
        <v>440</v>
      </c>
      <c r="AB195" s="17" t="s">
        <v>1456</v>
      </c>
      <c r="AC195" s="17" t="s">
        <v>428</v>
      </c>
      <c r="AD195" s="17" t="s">
        <v>1377</v>
      </c>
      <c r="AE195" s="26">
        <v>1070.0</v>
      </c>
      <c r="AF195" s="36">
        <v>51.99</v>
      </c>
      <c r="AG195" s="17" t="s">
        <v>463</v>
      </c>
      <c r="AH195" s="17" t="s">
        <v>463</v>
      </c>
      <c r="AI195" s="26">
        <v>51990.0</v>
      </c>
      <c r="AJ195" s="26">
        <v>51990.0</v>
      </c>
      <c r="AK195" s="26" t="s">
        <v>1342</v>
      </c>
      <c r="AL195" s="26">
        <v>1248.0</v>
      </c>
      <c r="AM195" s="26">
        <v>1481.0</v>
      </c>
      <c r="AN195" s="17" t="s">
        <v>465</v>
      </c>
      <c r="AO195" s="17" t="s">
        <v>422</v>
      </c>
      <c r="AP195" s="17" t="s">
        <v>483</v>
      </c>
      <c r="AQ195" s="32"/>
      <c r="AR195" s="32"/>
      <c r="AS195" s="32"/>
      <c r="AT195" s="26">
        <v>180.0</v>
      </c>
      <c r="AU195" s="26" t="s">
        <v>1457</v>
      </c>
      <c r="AV195" s="35">
        <v>127.0</v>
      </c>
      <c r="AW195" s="26">
        <v>185.0</v>
      </c>
      <c r="AX195" s="26">
        <v>74.0</v>
      </c>
      <c r="AY195" s="26">
        <v>410.0</v>
      </c>
      <c r="AZ195" s="37">
        <v>45358.0</v>
      </c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</row>
    <row r="196">
      <c r="A196" s="20" t="s">
        <v>1458</v>
      </c>
      <c r="B196" s="20" t="s">
        <v>1459</v>
      </c>
      <c r="C196" s="17" t="s">
        <v>1460</v>
      </c>
      <c r="D196" s="17" t="s">
        <v>1461</v>
      </c>
      <c r="E196" s="34" t="s">
        <v>477</v>
      </c>
      <c r="F196" s="26" t="s">
        <v>1462</v>
      </c>
      <c r="G196" s="35">
        <v>146.0</v>
      </c>
      <c r="H196" s="32"/>
      <c r="I196" s="32"/>
      <c r="J196" s="17" t="s">
        <v>415</v>
      </c>
      <c r="K196" s="17" t="s">
        <v>416</v>
      </c>
      <c r="L196" s="26">
        <v>5.0</v>
      </c>
      <c r="M196" s="17" t="s">
        <v>417</v>
      </c>
      <c r="N196" s="32"/>
      <c r="O196" s="32"/>
      <c r="P196" s="26">
        <v>-1.0</v>
      </c>
      <c r="Q196" s="17" t="s">
        <v>419</v>
      </c>
      <c r="R196" s="17" t="s">
        <v>420</v>
      </c>
      <c r="S196" s="17" t="s">
        <v>421</v>
      </c>
      <c r="T196" s="17" t="s">
        <v>422</v>
      </c>
      <c r="U196" s="17" t="s">
        <v>423</v>
      </c>
      <c r="V196" s="17" t="s">
        <v>1243</v>
      </c>
      <c r="W196" s="17" t="s">
        <v>403</v>
      </c>
      <c r="X196" s="17" t="s">
        <v>493</v>
      </c>
      <c r="Y196" s="17" t="s">
        <v>438</v>
      </c>
      <c r="Z196" s="17" t="s">
        <v>740</v>
      </c>
      <c r="AA196" s="17" t="s">
        <v>440</v>
      </c>
      <c r="AB196" s="17" t="s">
        <v>1456</v>
      </c>
      <c r="AC196" s="17" t="s">
        <v>428</v>
      </c>
      <c r="AD196" s="17" t="s">
        <v>1039</v>
      </c>
      <c r="AE196" s="26">
        <v>450.0</v>
      </c>
      <c r="AF196" s="36">
        <v>69.02</v>
      </c>
      <c r="AG196" s="36">
        <v>69.99</v>
      </c>
      <c r="AH196" s="17" t="s">
        <v>463</v>
      </c>
      <c r="AI196" s="26">
        <v>69505.0</v>
      </c>
      <c r="AJ196" s="26">
        <v>69505.0</v>
      </c>
      <c r="AK196" s="26" t="s">
        <v>552</v>
      </c>
      <c r="AL196" s="26">
        <v>1712.0</v>
      </c>
      <c r="AM196" s="26">
        <v>1784.0</v>
      </c>
      <c r="AN196" s="17" t="s">
        <v>465</v>
      </c>
      <c r="AO196" s="32"/>
      <c r="AP196" s="32"/>
      <c r="AQ196" s="32"/>
      <c r="AR196" s="32"/>
      <c r="AS196" s="32"/>
      <c r="AT196" s="26">
        <v>180.0</v>
      </c>
      <c r="AU196" s="26" t="s">
        <v>1457</v>
      </c>
      <c r="AV196" s="35">
        <v>146.0</v>
      </c>
      <c r="AW196" s="26">
        <v>180.0</v>
      </c>
      <c r="AX196" s="26" t="s">
        <v>1462</v>
      </c>
      <c r="AY196" s="26">
        <v>475.0</v>
      </c>
      <c r="AZ196" s="37">
        <v>45538.0</v>
      </c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</row>
    <row r="197">
      <c r="A197" s="20" t="s">
        <v>1463</v>
      </c>
      <c r="B197" s="20" t="s">
        <v>1422</v>
      </c>
      <c r="C197" s="17" t="s">
        <v>1464</v>
      </c>
      <c r="D197" s="17" t="s">
        <v>469</v>
      </c>
      <c r="E197" s="34" t="s">
        <v>477</v>
      </c>
      <c r="F197" s="26">
        <v>90.0</v>
      </c>
      <c r="G197" s="35">
        <v>140.0</v>
      </c>
      <c r="H197" s="32"/>
      <c r="I197" s="17" t="s">
        <v>414</v>
      </c>
      <c r="J197" s="17" t="s">
        <v>415</v>
      </c>
      <c r="K197" s="17" t="s">
        <v>416</v>
      </c>
      <c r="L197" s="26">
        <v>5.0</v>
      </c>
      <c r="M197" s="17" t="s">
        <v>417</v>
      </c>
      <c r="N197" s="17" t="s">
        <v>418</v>
      </c>
      <c r="O197" s="26">
        <v>1400.0</v>
      </c>
      <c r="P197" s="26">
        <v>5.0</v>
      </c>
      <c r="Q197" s="26">
        <v>5.0</v>
      </c>
      <c r="R197" s="17" t="s">
        <v>419</v>
      </c>
      <c r="S197" s="17" t="s">
        <v>420</v>
      </c>
      <c r="T197" s="17" t="s">
        <v>421</v>
      </c>
      <c r="U197" s="17" t="s">
        <v>423</v>
      </c>
      <c r="V197" s="17" t="s">
        <v>1424</v>
      </c>
      <c r="W197" s="17" t="s">
        <v>403</v>
      </c>
      <c r="X197" s="17" t="s">
        <v>782</v>
      </c>
      <c r="Y197" s="17" t="s">
        <v>438</v>
      </c>
      <c r="Z197" s="17" t="s">
        <v>1465</v>
      </c>
      <c r="AA197" s="17" t="s">
        <v>440</v>
      </c>
      <c r="AB197" s="17" t="s">
        <v>1456</v>
      </c>
      <c r="AC197" s="17" t="s">
        <v>428</v>
      </c>
      <c r="AD197" s="17" t="s">
        <v>901</v>
      </c>
      <c r="AE197" s="26">
        <v>520.0</v>
      </c>
      <c r="AF197" s="36">
        <v>68.5</v>
      </c>
      <c r="AG197" s="36">
        <v>71.7</v>
      </c>
      <c r="AH197" s="17" t="s">
        <v>463</v>
      </c>
      <c r="AI197" s="26">
        <v>70100.0</v>
      </c>
      <c r="AJ197" s="26">
        <v>70100.0</v>
      </c>
      <c r="AK197" s="26" t="s">
        <v>464</v>
      </c>
      <c r="AL197" s="26">
        <v>539.0</v>
      </c>
      <c r="AM197" s="26">
        <v>1787.0</v>
      </c>
      <c r="AN197" s="32"/>
      <c r="AO197" s="17" t="s">
        <v>422</v>
      </c>
      <c r="AP197" s="32"/>
      <c r="AQ197" s="32"/>
      <c r="AR197" s="32"/>
      <c r="AS197" s="32"/>
      <c r="AT197" s="26">
        <v>180.0</v>
      </c>
      <c r="AU197" s="26" t="s">
        <v>1457</v>
      </c>
      <c r="AV197" s="35">
        <v>140.0</v>
      </c>
      <c r="AW197" s="26">
        <v>200.0</v>
      </c>
      <c r="AX197" s="26">
        <v>90.0</v>
      </c>
      <c r="AY197" s="26">
        <v>500.0</v>
      </c>
      <c r="AZ197" s="26">
        <v>4.0</v>
      </c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</row>
    <row r="198">
      <c r="A198" s="20" t="s">
        <v>1466</v>
      </c>
      <c r="B198" s="20" t="s">
        <v>919</v>
      </c>
      <c r="C198" s="17" t="s">
        <v>1467</v>
      </c>
      <c r="D198" s="17" t="s">
        <v>549</v>
      </c>
      <c r="E198" s="34" t="s">
        <v>477</v>
      </c>
      <c r="F198" s="26" t="s">
        <v>921</v>
      </c>
      <c r="G198" s="35">
        <v>130.0</v>
      </c>
      <c r="H198" s="32"/>
      <c r="I198" s="17" t="s">
        <v>414</v>
      </c>
      <c r="J198" s="17" t="s">
        <v>415</v>
      </c>
      <c r="K198" s="17" t="s">
        <v>416</v>
      </c>
      <c r="L198" s="26">
        <v>5.0</v>
      </c>
      <c r="M198" s="17" t="s">
        <v>417</v>
      </c>
      <c r="N198" s="32"/>
      <c r="O198" s="32"/>
      <c r="P198" s="26">
        <v>5.0</v>
      </c>
      <c r="Q198" s="26">
        <v>5.0</v>
      </c>
      <c r="R198" s="17" t="s">
        <v>419</v>
      </c>
      <c r="S198" s="17" t="s">
        <v>420</v>
      </c>
      <c r="T198" s="17" t="s">
        <v>421</v>
      </c>
      <c r="U198" s="17" t="s">
        <v>423</v>
      </c>
      <c r="V198" s="17" t="s">
        <v>1468</v>
      </c>
      <c r="W198" s="17" t="s">
        <v>403</v>
      </c>
      <c r="X198" s="17" t="s">
        <v>782</v>
      </c>
      <c r="Y198" s="17" t="s">
        <v>438</v>
      </c>
      <c r="Z198" s="17" t="s">
        <v>928</v>
      </c>
      <c r="AA198" s="17" t="s">
        <v>440</v>
      </c>
      <c r="AB198" s="17" t="s">
        <v>1456</v>
      </c>
      <c r="AC198" s="17" t="s">
        <v>428</v>
      </c>
      <c r="AD198" s="17" t="s">
        <v>1182</v>
      </c>
      <c r="AE198" s="26">
        <v>740.0</v>
      </c>
      <c r="AF198" s="36">
        <v>58.6</v>
      </c>
      <c r="AG198" s="36">
        <v>61.188</v>
      </c>
      <c r="AH198" s="17" t="s">
        <v>463</v>
      </c>
      <c r="AI198" s="26">
        <v>59894.0</v>
      </c>
      <c r="AJ198" s="26">
        <v>59894.0</v>
      </c>
      <c r="AK198" s="26" t="s">
        <v>552</v>
      </c>
      <c r="AL198" s="26">
        <v>200.0</v>
      </c>
      <c r="AM198" s="26">
        <v>1822.0</v>
      </c>
      <c r="AN198" s="17" t="s">
        <v>465</v>
      </c>
      <c r="AO198" s="17" t="s">
        <v>422</v>
      </c>
      <c r="AP198" s="32"/>
      <c r="AQ198" s="32"/>
      <c r="AR198" s="32"/>
      <c r="AS198" s="32"/>
      <c r="AT198" s="26">
        <v>180.0</v>
      </c>
      <c r="AU198" s="26" t="s">
        <v>1457</v>
      </c>
      <c r="AV198" s="35">
        <v>130.0</v>
      </c>
      <c r="AW198" s="26">
        <v>200.0</v>
      </c>
      <c r="AX198" s="26" t="s">
        <v>921</v>
      </c>
      <c r="AY198" s="26">
        <v>460.0</v>
      </c>
      <c r="AZ198" s="37">
        <v>45295.0</v>
      </c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</row>
    <row r="199">
      <c r="A199" s="20" t="s">
        <v>1469</v>
      </c>
      <c r="B199" s="20" t="s">
        <v>1470</v>
      </c>
      <c r="C199" s="17" t="s">
        <v>1471</v>
      </c>
      <c r="D199" s="17" t="s">
        <v>804</v>
      </c>
      <c r="E199" s="34" t="s">
        <v>477</v>
      </c>
      <c r="F199" s="26">
        <v>64.0</v>
      </c>
      <c r="G199" s="35">
        <v>126.0</v>
      </c>
      <c r="H199" s="17" t="s">
        <v>413</v>
      </c>
      <c r="I199" s="17" t="s">
        <v>414</v>
      </c>
      <c r="J199" s="17" t="s">
        <v>415</v>
      </c>
      <c r="L199" s="26">
        <v>5.0</v>
      </c>
      <c r="M199" s="17" t="s">
        <v>417</v>
      </c>
      <c r="N199" s="17" t="s">
        <v>418</v>
      </c>
      <c r="O199" s="26">
        <v>1600.0</v>
      </c>
      <c r="P199" s="26">
        <v>5.0</v>
      </c>
      <c r="Q199" s="26">
        <v>5.0</v>
      </c>
      <c r="R199" s="17" t="s">
        <v>419</v>
      </c>
      <c r="S199" s="17" t="s">
        <v>420</v>
      </c>
      <c r="T199" s="17" t="s">
        <v>421</v>
      </c>
      <c r="U199" s="17" t="s">
        <v>423</v>
      </c>
      <c r="V199" s="17" t="s">
        <v>678</v>
      </c>
      <c r="W199" s="17" t="s">
        <v>403</v>
      </c>
      <c r="X199" s="17" t="s">
        <v>493</v>
      </c>
      <c r="Y199" s="17" t="s">
        <v>438</v>
      </c>
      <c r="Z199" s="17" t="s">
        <v>1282</v>
      </c>
      <c r="AA199" s="17" t="s">
        <v>440</v>
      </c>
      <c r="AB199" s="17" t="s">
        <v>1456</v>
      </c>
      <c r="AC199" s="17" t="s">
        <v>428</v>
      </c>
      <c r="AD199" s="17" t="s">
        <v>1275</v>
      </c>
      <c r="AE199" s="26">
        <v>590.0</v>
      </c>
      <c r="AF199" s="36">
        <v>45.97</v>
      </c>
      <c r="AG199" s="36">
        <v>43.49</v>
      </c>
      <c r="AH199" s="17" t="s">
        <v>463</v>
      </c>
      <c r="AI199" s="26">
        <v>44730.0</v>
      </c>
      <c r="AJ199" s="26">
        <v>44730.0</v>
      </c>
      <c r="AK199" s="26" t="s">
        <v>777</v>
      </c>
      <c r="AL199" s="26">
        <v>432.0</v>
      </c>
      <c r="AM199" s="26">
        <v>1936.0</v>
      </c>
      <c r="AN199" s="17" t="s">
        <v>465</v>
      </c>
      <c r="AO199" s="17" t="s">
        <v>422</v>
      </c>
      <c r="AP199" s="32"/>
      <c r="AQ199" s="32"/>
      <c r="AR199" s="17" t="s">
        <v>512</v>
      </c>
      <c r="AS199" s="32"/>
      <c r="AT199" s="26">
        <v>180.0</v>
      </c>
      <c r="AU199" s="26" t="s">
        <v>1457</v>
      </c>
      <c r="AV199" s="35">
        <v>126.0</v>
      </c>
      <c r="AW199" s="26">
        <v>180.0</v>
      </c>
      <c r="AX199" s="26">
        <v>64.0</v>
      </c>
      <c r="AY199" s="26">
        <v>355.0</v>
      </c>
      <c r="AZ199" s="37">
        <v>45448.0</v>
      </c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</row>
    <row r="200">
      <c r="A200" s="20" t="s">
        <v>1472</v>
      </c>
      <c r="B200" s="20" t="s">
        <v>1213</v>
      </c>
      <c r="C200" s="17" t="s">
        <v>1473</v>
      </c>
      <c r="D200" s="17" t="s">
        <v>565</v>
      </c>
      <c r="E200" s="34" t="s">
        <v>477</v>
      </c>
      <c r="F200" s="26">
        <v>77.0</v>
      </c>
      <c r="G200" s="35">
        <v>148.0</v>
      </c>
      <c r="H200" s="17" t="s">
        <v>413</v>
      </c>
      <c r="I200" s="17" t="s">
        <v>414</v>
      </c>
      <c r="J200" s="17" t="s">
        <v>415</v>
      </c>
      <c r="L200" s="26">
        <v>5.0</v>
      </c>
      <c r="M200" s="17" t="s">
        <v>417</v>
      </c>
      <c r="N200" s="17" t="s">
        <v>418</v>
      </c>
      <c r="O200" s="26">
        <v>1200.0</v>
      </c>
      <c r="P200" s="26">
        <v>5.0</v>
      </c>
      <c r="Q200" s="26">
        <v>5.0</v>
      </c>
      <c r="R200" s="17" t="s">
        <v>419</v>
      </c>
      <c r="S200" s="17" t="s">
        <v>420</v>
      </c>
      <c r="T200" s="17" t="s">
        <v>421</v>
      </c>
      <c r="U200" s="17" t="s">
        <v>423</v>
      </c>
      <c r="V200" s="17" t="s">
        <v>927</v>
      </c>
      <c r="W200" s="17" t="s">
        <v>403</v>
      </c>
      <c r="X200" s="17" t="s">
        <v>493</v>
      </c>
      <c r="Y200" s="17" t="s">
        <v>438</v>
      </c>
      <c r="Z200" s="17" t="s">
        <v>1273</v>
      </c>
      <c r="AA200" s="17" t="s">
        <v>440</v>
      </c>
      <c r="AB200" s="17" t="s">
        <v>1474</v>
      </c>
      <c r="AC200" s="17" t="s">
        <v>428</v>
      </c>
      <c r="AD200" s="17" t="s">
        <v>866</v>
      </c>
      <c r="AE200" s="26">
        <v>630.0</v>
      </c>
      <c r="AF200" s="36">
        <v>60.78</v>
      </c>
      <c r="AG200" s="36">
        <v>62.99</v>
      </c>
      <c r="AH200" s="26" t="s">
        <v>1475</v>
      </c>
      <c r="AI200" s="26">
        <v>62698.0</v>
      </c>
      <c r="AJ200" s="26">
        <v>62698.0</v>
      </c>
      <c r="AK200" s="26" t="s">
        <v>567</v>
      </c>
      <c r="AL200" s="26">
        <v>644.0</v>
      </c>
      <c r="AM200" s="26">
        <v>1972.0</v>
      </c>
      <c r="AN200" s="32"/>
      <c r="AO200" s="17" t="s">
        <v>422</v>
      </c>
      <c r="AP200" s="17" t="s">
        <v>483</v>
      </c>
      <c r="AQ200" s="32"/>
      <c r="AR200" s="32"/>
      <c r="AS200" s="32"/>
      <c r="AT200" s="26">
        <v>181.0</v>
      </c>
      <c r="AU200" s="26" t="s">
        <v>1476</v>
      </c>
      <c r="AV200" s="35">
        <v>148.0</v>
      </c>
      <c r="AW200" s="26">
        <v>180.0</v>
      </c>
      <c r="AX200" s="26">
        <v>77.0</v>
      </c>
      <c r="AY200" s="26">
        <v>425.0</v>
      </c>
      <c r="AZ200" s="37">
        <v>45417.0</v>
      </c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</row>
    <row r="201">
      <c r="A201" s="20" t="s">
        <v>1477</v>
      </c>
      <c r="B201" s="20" t="s">
        <v>1309</v>
      </c>
      <c r="C201" s="17" t="s">
        <v>1478</v>
      </c>
      <c r="D201" s="17" t="s">
        <v>770</v>
      </c>
      <c r="E201" s="34" t="s">
        <v>550</v>
      </c>
      <c r="F201" s="26">
        <v>87.0</v>
      </c>
      <c r="G201" s="35">
        <v>100.0</v>
      </c>
      <c r="H201" s="17" t="s">
        <v>413</v>
      </c>
      <c r="I201" s="17" t="s">
        <v>414</v>
      </c>
      <c r="J201" s="17" t="s">
        <v>415</v>
      </c>
      <c r="L201" s="26">
        <v>5.0</v>
      </c>
      <c r="M201" s="17" t="s">
        <v>417</v>
      </c>
      <c r="N201" s="17" t="s">
        <v>418</v>
      </c>
      <c r="O201" s="26">
        <v>1100.0</v>
      </c>
      <c r="P201" s="26">
        <v>-1.0</v>
      </c>
      <c r="Q201" s="17" t="s">
        <v>419</v>
      </c>
      <c r="R201" s="17" t="s">
        <v>420</v>
      </c>
      <c r="S201" s="17" t="s">
        <v>421</v>
      </c>
      <c r="T201" s="17" t="s">
        <v>422</v>
      </c>
      <c r="U201" s="17" t="s">
        <v>423</v>
      </c>
      <c r="V201" s="17" t="s">
        <v>892</v>
      </c>
      <c r="W201" s="17" t="s">
        <v>403</v>
      </c>
      <c r="X201" s="17" t="s">
        <v>589</v>
      </c>
      <c r="Y201" s="17" t="s">
        <v>404</v>
      </c>
      <c r="Z201" s="17" t="s">
        <v>733</v>
      </c>
      <c r="AA201" s="17" t="s">
        <v>401</v>
      </c>
      <c r="AB201" s="17" t="s">
        <v>1474</v>
      </c>
      <c r="AC201" s="17" t="s">
        <v>428</v>
      </c>
      <c r="AD201" s="17" t="s">
        <v>805</v>
      </c>
      <c r="AE201" s="26">
        <v>500.0</v>
      </c>
      <c r="AF201" s="36">
        <v>48.9</v>
      </c>
      <c r="AG201" s="36">
        <v>47.97</v>
      </c>
      <c r="AH201" s="26" t="s">
        <v>1479</v>
      </c>
      <c r="AI201" s="26">
        <v>48004.0</v>
      </c>
      <c r="AJ201" s="26">
        <v>48004.0</v>
      </c>
      <c r="AK201" s="26" t="s">
        <v>777</v>
      </c>
      <c r="AL201" s="26">
        <v>1487.0</v>
      </c>
      <c r="AM201" s="26">
        <v>2069.0</v>
      </c>
      <c r="AN201" s="32"/>
      <c r="AO201" s="32"/>
      <c r="AP201" s="17" t="s">
        <v>483</v>
      </c>
      <c r="AQ201" s="32"/>
      <c r="AR201" s="32"/>
      <c r="AS201" s="32"/>
      <c r="AT201" s="26">
        <v>181.0</v>
      </c>
      <c r="AU201" s="26" t="s">
        <v>1476</v>
      </c>
      <c r="AV201" s="35">
        <v>100.0</v>
      </c>
      <c r="AW201" s="26">
        <v>170.0</v>
      </c>
      <c r="AX201" s="26">
        <v>87.0</v>
      </c>
      <c r="AY201" s="26">
        <v>480.0</v>
      </c>
      <c r="AZ201" s="37">
        <v>45542.0</v>
      </c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</row>
    <row r="202">
      <c r="A202" s="20" t="s">
        <v>1480</v>
      </c>
      <c r="B202" s="20" t="s">
        <v>904</v>
      </c>
      <c r="C202" s="17" t="s">
        <v>1481</v>
      </c>
      <c r="D202" s="17" t="s">
        <v>781</v>
      </c>
      <c r="E202" s="34" t="s">
        <v>477</v>
      </c>
      <c r="F202" s="26">
        <v>97.0</v>
      </c>
      <c r="G202" s="35">
        <v>320.0</v>
      </c>
      <c r="H202" s="17" t="s">
        <v>413</v>
      </c>
      <c r="I202" s="17" t="s">
        <v>414</v>
      </c>
      <c r="J202" s="17" t="s">
        <v>415</v>
      </c>
      <c r="K202" s="17" t="s">
        <v>416</v>
      </c>
      <c r="L202" s="26">
        <v>5.0</v>
      </c>
      <c r="M202" s="17" t="s">
        <v>417</v>
      </c>
      <c r="N202" s="32"/>
      <c r="O202" s="32"/>
      <c r="P202" s="26">
        <v>-1.0</v>
      </c>
      <c r="Q202" s="17" t="s">
        <v>419</v>
      </c>
      <c r="R202" s="17" t="s">
        <v>420</v>
      </c>
      <c r="S202" s="17" t="s">
        <v>421</v>
      </c>
      <c r="T202" s="17" t="s">
        <v>422</v>
      </c>
      <c r="U202" s="17" t="s">
        <v>423</v>
      </c>
      <c r="V202" s="17" t="s">
        <v>1482</v>
      </c>
      <c r="W202" s="17" t="s">
        <v>403</v>
      </c>
      <c r="X202" s="17" t="s">
        <v>1483</v>
      </c>
      <c r="Y202" s="17" t="s">
        <v>438</v>
      </c>
      <c r="Z202" s="17" t="s">
        <v>1376</v>
      </c>
      <c r="AA202" s="17" t="s">
        <v>440</v>
      </c>
      <c r="AB202" s="17" t="s">
        <v>1474</v>
      </c>
      <c r="AC202" s="17" t="s">
        <v>428</v>
      </c>
      <c r="AD202" s="17" t="s">
        <v>1484</v>
      </c>
      <c r="AE202" s="26">
        <v>1240.0</v>
      </c>
      <c r="AF202" s="36">
        <v>175.6</v>
      </c>
      <c r="AG202" s="36">
        <v>183.0</v>
      </c>
      <c r="AH202" s="26" t="s">
        <v>1485</v>
      </c>
      <c r="AI202" s="26">
        <v>100000.0</v>
      </c>
      <c r="AJ202" s="26">
        <v>170938.0</v>
      </c>
      <c r="AK202" s="26" t="s">
        <v>495</v>
      </c>
      <c r="AL202" s="26">
        <v>101.0</v>
      </c>
      <c r="AM202" s="26">
        <v>2102.0</v>
      </c>
      <c r="AN202" s="32"/>
      <c r="AO202" s="32"/>
      <c r="AP202" s="32"/>
      <c r="AQ202" s="32"/>
      <c r="AR202" s="32"/>
      <c r="AS202" s="32"/>
      <c r="AT202" s="26">
        <v>181.0</v>
      </c>
      <c r="AU202" s="26" t="s">
        <v>1476</v>
      </c>
      <c r="AV202" s="35">
        <v>320.0</v>
      </c>
      <c r="AW202" s="26">
        <v>260.0</v>
      </c>
      <c r="AX202" s="26">
        <v>97.0</v>
      </c>
      <c r="AY202" s="26">
        <v>535.0</v>
      </c>
      <c r="AZ202" s="37">
        <v>45475.0</v>
      </c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</row>
    <row r="203">
      <c r="A203" s="20" t="s">
        <v>1486</v>
      </c>
      <c r="B203" s="20" t="s">
        <v>1487</v>
      </c>
      <c r="C203" s="17" t="s">
        <v>1488</v>
      </c>
      <c r="D203" s="17" t="s">
        <v>565</v>
      </c>
      <c r="E203" s="34" t="s">
        <v>477</v>
      </c>
      <c r="F203" s="26" t="s">
        <v>677</v>
      </c>
      <c r="G203" s="35">
        <v>173.0</v>
      </c>
      <c r="H203" s="17" t="s">
        <v>413</v>
      </c>
      <c r="I203" s="17" t="s">
        <v>414</v>
      </c>
      <c r="J203" s="17" t="s">
        <v>415</v>
      </c>
      <c r="K203" s="17" t="s">
        <v>595</v>
      </c>
      <c r="L203" s="26">
        <v>5.0</v>
      </c>
      <c r="M203" s="17" t="s">
        <v>417</v>
      </c>
      <c r="N203" s="17" t="s">
        <v>418</v>
      </c>
      <c r="O203" s="26">
        <v>1600.0</v>
      </c>
      <c r="P203" s="26">
        <v>-1.0</v>
      </c>
      <c r="Q203" s="17" t="s">
        <v>419</v>
      </c>
      <c r="R203" s="17" t="s">
        <v>420</v>
      </c>
      <c r="S203" s="17" t="s">
        <v>421</v>
      </c>
      <c r="T203" s="17" t="s">
        <v>422</v>
      </c>
      <c r="U203" s="17" t="s">
        <v>423</v>
      </c>
      <c r="V203" s="17" t="s">
        <v>1243</v>
      </c>
      <c r="W203" s="17" t="s">
        <v>403</v>
      </c>
      <c r="X203" s="17" t="s">
        <v>1489</v>
      </c>
      <c r="Y203" s="17" t="s">
        <v>438</v>
      </c>
      <c r="Z203" s="17" t="s">
        <v>1143</v>
      </c>
      <c r="AA203" s="17" t="s">
        <v>440</v>
      </c>
      <c r="AB203" s="17" t="s">
        <v>1474</v>
      </c>
      <c r="AC203" s="17" t="s">
        <v>428</v>
      </c>
      <c r="AD203" s="17" t="s">
        <v>882</v>
      </c>
      <c r="AE203" s="26">
        <v>700.0</v>
      </c>
      <c r="AF203" s="36">
        <v>72.1</v>
      </c>
      <c r="AG203" s="36">
        <v>77.999</v>
      </c>
      <c r="AH203" s="26" t="s">
        <v>1490</v>
      </c>
      <c r="AI203" s="26">
        <v>77776.0</v>
      </c>
      <c r="AJ203" s="26">
        <v>77776.0</v>
      </c>
      <c r="AK203" s="26" t="s">
        <v>567</v>
      </c>
      <c r="AL203" s="26">
        <v>426.0</v>
      </c>
      <c r="AM203" s="26">
        <v>2201.0</v>
      </c>
      <c r="AN203" s="32"/>
      <c r="AO203" s="32"/>
      <c r="AP203" s="32"/>
      <c r="AQ203" s="32"/>
      <c r="AR203" s="32"/>
      <c r="AS203" s="32"/>
      <c r="AT203" s="26">
        <v>181.0</v>
      </c>
      <c r="AU203" s="26" t="s">
        <v>1476</v>
      </c>
      <c r="AV203" s="35">
        <v>173.0</v>
      </c>
      <c r="AW203" s="26">
        <v>225.0</v>
      </c>
      <c r="AX203" s="26" t="s">
        <v>677</v>
      </c>
      <c r="AY203" s="26">
        <v>450.0</v>
      </c>
      <c r="AZ203" s="37">
        <v>45538.0</v>
      </c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</row>
    <row r="204">
      <c r="A204" s="20" t="s">
        <v>1491</v>
      </c>
      <c r="B204" s="20" t="s">
        <v>1492</v>
      </c>
      <c r="C204" s="17" t="s">
        <v>1493</v>
      </c>
      <c r="D204" s="17" t="s">
        <v>684</v>
      </c>
      <c r="E204" s="34" t="s">
        <v>477</v>
      </c>
      <c r="F204" s="26" t="s">
        <v>685</v>
      </c>
      <c r="G204" s="35">
        <v>201.0</v>
      </c>
      <c r="H204" s="17" t="s">
        <v>413</v>
      </c>
      <c r="I204" s="17" t="s">
        <v>414</v>
      </c>
      <c r="J204" s="17" t="s">
        <v>415</v>
      </c>
      <c r="L204" s="26">
        <v>5.0</v>
      </c>
      <c r="M204" s="17" t="s">
        <v>417</v>
      </c>
      <c r="N204" s="17" t="s">
        <v>418</v>
      </c>
      <c r="O204" s="26">
        <v>2100.0</v>
      </c>
      <c r="P204" s="26">
        <v>-1.0</v>
      </c>
      <c r="Q204" s="17" t="s">
        <v>419</v>
      </c>
      <c r="R204" s="17" t="s">
        <v>420</v>
      </c>
      <c r="S204" s="17" t="s">
        <v>421</v>
      </c>
      <c r="T204" s="17" t="s">
        <v>422</v>
      </c>
      <c r="U204" s="17" t="s">
        <v>423</v>
      </c>
      <c r="V204" s="17" t="s">
        <v>1243</v>
      </c>
      <c r="W204" s="17" t="s">
        <v>403</v>
      </c>
      <c r="X204" s="17" t="s">
        <v>644</v>
      </c>
      <c r="Y204" s="17" t="s">
        <v>438</v>
      </c>
      <c r="Z204" s="17" t="s">
        <v>449</v>
      </c>
      <c r="AA204" s="17" t="s">
        <v>440</v>
      </c>
      <c r="AB204" s="17" t="s">
        <v>1474</v>
      </c>
      <c r="AC204" s="17" t="s">
        <v>428</v>
      </c>
      <c r="AD204" s="17" t="s">
        <v>1494</v>
      </c>
      <c r="AE204" s="26">
        <v>1050.0</v>
      </c>
      <c r="AF204" s="36">
        <v>101.15</v>
      </c>
      <c r="AG204" s="36">
        <v>101.49</v>
      </c>
      <c r="AH204" s="26" t="s">
        <v>1495</v>
      </c>
      <c r="AI204" s="26">
        <v>100000.0</v>
      </c>
      <c r="AJ204" s="26">
        <v>105611.0</v>
      </c>
      <c r="AK204" s="26" t="s">
        <v>444</v>
      </c>
      <c r="AL204" s="26">
        <v>163.0</v>
      </c>
      <c r="AM204" s="26">
        <v>2273.0</v>
      </c>
      <c r="AN204" s="32"/>
      <c r="AO204" s="32"/>
      <c r="AP204" s="32"/>
      <c r="AQ204" s="32"/>
      <c r="AR204" s="32"/>
      <c r="AS204" s="32"/>
      <c r="AT204" s="26">
        <v>181.0</v>
      </c>
      <c r="AU204" s="26" t="s">
        <v>1476</v>
      </c>
      <c r="AV204" s="35">
        <v>201.0</v>
      </c>
      <c r="AW204" s="26">
        <v>240.0</v>
      </c>
      <c r="AX204" s="26" t="s">
        <v>685</v>
      </c>
      <c r="AY204" s="26">
        <v>525.0</v>
      </c>
      <c r="AZ204" s="37">
        <v>45538.0</v>
      </c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</row>
    <row r="205">
      <c r="A205" s="20" t="s">
        <v>1496</v>
      </c>
      <c r="B205" s="20" t="s">
        <v>1497</v>
      </c>
      <c r="C205" s="17" t="s">
        <v>1498</v>
      </c>
      <c r="D205" s="17" t="s">
        <v>435</v>
      </c>
      <c r="E205" s="34" t="s">
        <v>477</v>
      </c>
      <c r="F205" s="26" t="s">
        <v>478</v>
      </c>
      <c r="G205" s="35">
        <v>159.0</v>
      </c>
      <c r="H205" s="32"/>
      <c r="I205" s="17" t="s">
        <v>414</v>
      </c>
      <c r="J205" s="17" t="s">
        <v>415</v>
      </c>
      <c r="L205" s="26">
        <v>5.0</v>
      </c>
      <c r="M205" s="32"/>
      <c r="N205" s="32"/>
      <c r="O205" s="32"/>
      <c r="P205" s="26">
        <v>-1.0</v>
      </c>
      <c r="Q205" s="17" t="s">
        <v>419</v>
      </c>
      <c r="R205" s="17" t="s">
        <v>420</v>
      </c>
      <c r="S205" s="17" t="s">
        <v>421</v>
      </c>
      <c r="T205" s="17" t="s">
        <v>422</v>
      </c>
      <c r="U205" s="17" t="s">
        <v>423</v>
      </c>
      <c r="V205" s="17" t="s">
        <v>916</v>
      </c>
      <c r="W205" s="17" t="s">
        <v>403</v>
      </c>
      <c r="X205" s="17" t="s">
        <v>782</v>
      </c>
      <c r="Y205" s="17" t="s">
        <v>438</v>
      </c>
      <c r="Z205" s="17" t="s">
        <v>1335</v>
      </c>
      <c r="AA205" s="17" t="s">
        <v>440</v>
      </c>
      <c r="AB205" s="17" t="s">
        <v>1474</v>
      </c>
      <c r="AC205" s="17" t="s">
        <v>428</v>
      </c>
      <c r="AD205" s="17" t="s">
        <v>583</v>
      </c>
      <c r="AE205" s="26">
        <v>420.0</v>
      </c>
      <c r="AF205" s="36">
        <v>44.99</v>
      </c>
      <c r="AG205" s="36">
        <v>45.99</v>
      </c>
      <c r="AH205" s="17" t="s">
        <v>1499</v>
      </c>
      <c r="AI205" s="26">
        <v>44510.0</v>
      </c>
      <c r="AJ205" s="26">
        <v>44510.0</v>
      </c>
      <c r="AK205" s="26" t="s">
        <v>444</v>
      </c>
      <c r="AL205" s="26">
        <v>125.0</v>
      </c>
      <c r="AM205" s="26">
        <v>3056.0</v>
      </c>
      <c r="AN205" s="32"/>
      <c r="AO205" s="32"/>
      <c r="AP205" s="32"/>
      <c r="AQ205" s="32"/>
      <c r="AR205" s="17" t="s">
        <v>512</v>
      </c>
      <c r="AS205" s="32"/>
      <c r="AT205" s="26">
        <v>181.0</v>
      </c>
      <c r="AU205" s="26" t="s">
        <v>1476</v>
      </c>
      <c r="AV205" s="35">
        <v>159.0</v>
      </c>
      <c r="AW205" s="26">
        <v>200.0</v>
      </c>
      <c r="AX205" s="26" t="s">
        <v>478</v>
      </c>
      <c r="AY205" s="26">
        <v>280.0</v>
      </c>
      <c r="AZ205" s="37">
        <v>45328.0</v>
      </c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</row>
    <row r="206">
      <c r="A206" s="20" t="s">
        <v>1500</v>
      </c>
      <c r="B206" s="20" t="s">
        <v>1501</v>
      </c>
      <c r="C206" s="17" t="s">
        <v>1502</v>
      </c>
      <c r="D206" s="17" t="s">
        <v>435</v>
      </c>
      <c r="E206" s="34" t="s">
        <v>477</v>
      </c>
      <c r="F206" s="26" t="s">
        <v>478</v>
      </c>
      <c r="G206" s="35">
        <v>175.0</v>
      </c>
      <c r="H206" s="32"/>
      <c r="I206" s="17" t="s">
        <v>414</v>
      </c>
      <c r="J206" s="17" t="s">
        <v>415</v>
      </c>
      <c r="L206" s="26">
        <v>5.0</v>
      </c>
      <c r="M206" s="32"/>
      <c r="N206" s="32"/>
      <c r="O206" s="32"/>
      <c r="P206" s="26">
        <v>-1.0</v>
      </c>
      <c r="Q206" s="17" t="s">
        <v>419</v>
      </c>
      <c r="R206" s="17" t="s">
        <v>420</v>
      </c>
      <c r="S206" s="17" t="s">
        <v>421</v>
      </c>
      <c r="T206" s="17" t="s">
        <v>422</v>
      </c>
      <c r="U206" s="17" t="s">
        <v>423</v>
      </c>
      <c r="V206" s="17" t="s">
        <v>880</v>
      </c>
      <c r="W206" s="17" t="s">
        <v>403</v>
      </c>
      <c r="X206" s="17" t="s">
        <v>782</v>
      </c>
      <c r="Y206" s="17" t="s">
        <v>438</v>
      </c>
      <c r="Z206" s="17" t="s">
        <v>1335</v>
      </c>
      <c r="AA206" s="17" t="s">
        <v>440</v>
      </c>
      <c r="AB206" s="17" t="s">
        <v>1474</v>
      </c>
      <c r="AC206" s="17" t="s">
        <v>428</v>
      </c>
      <c r="AD206" s="17" t="s">
        <v>583</v>
      </c>
      <c r="AE206" s="26">
        <v>420.0</v>
      </c>
      <c r="AF206" s="36">
        <v>48.99</v>
      </c>
      <c r="AG206" s="36">
        <v>49.99</v>
      </c>
      <c r="AH206" s="17" t="s">
        <v>1503</v>
      </c>
      <c r="AI206" s="26">
        <v>49093.0</v>
      </c>
      <c r="AJ206" s="26">
        <v>49093.0</v>
      </c>
      <c r="AK206" s="26" t="s">
        <v>444</v>
      </c>
      <c r="AL206" s="26">
        <v>169.0</v>
      </c>
      <c r="AM206" s="26">
        <v>3057.0</v>
      </c>
      <c r="AN206" s="32"/>
      <c r="AO206" s="32"/>
      <c r="AP206" s="32"/>
      <c r="AQ206" s="32"/>
      <c r="AR206" s="17" t="s">
        <v>512</v>
      </c>
      <c r="AS206" s="32"/>
      <c r="AT206" s="26">
        <v>181.0</v>
      </c>
      <c r="AU206" s="26" t="s">
        <v>1476</v>
      </c>
      <c r="AV206" s="35">
        <v>175.0</v>
      </c>
      <c r="AW206" s="26">
        <v>200.0</v>
      </c>
      <c r="AX206" s="26" t="s">
        <v>478</v>
      </c>
      <c r="AY206" s="26">
        <v>280.0</v>
      </c>
      <c r="AZ206" s="37">
        <v>45540.0</v>
      </c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</row>
    <row r="207">
      <c r="A207" s="20" t="s">
        <v>1504</v>
      </c>
      <c r="B207" s="20" t="s">
        <v>1505</v>
      </c>
      <c r="C207" s="17" t="s">
        <v>1506</v>
      </c>
      <c r="D207" s="17" t="s">
        <v>638</v>
      </c>
      <c r="E207" s="34" t="s">
        <v>477</v>
      </c>
      <c r="F207" s="26">
        <v>97.0</v>
      </c>
      <c r="G207" s="35">
        <v>272.0</v>
      </c>
      <c r="H207" s="17" t="s">
        <v>413</v>
      </c>
      <c r="I207" s="17" t="s">
        <v>414</v>
      </c>
      <c r="J207" s="17" t="s">
        <v>415</v>
      </c>
      <c r="K207" s="17" t="s">
        <v>416</v>
      </c>
      <c r="L207" s="26">
        <v>5.0</v>
      </c>
      <c r="M207" s="17" t="s">
        <v>417</v>
      </c>
      <c r="N207" s="32"/>
      <c r="O207" s="32"/>
      <c r="P207" s="26">
        <v>-1.0</v>
      </c>
      <c r="Q207" s="17" t="s">
        <v>419</v>
      </c>
      <c r="R207" s="17" t="s">
        <v>420</v>
      </c>
      <c r="S207" s="17" t="s">
        <v>421</v>
      </c>
      <c r="T207" s="17" t="s">
        <v>422</v>
      </c>
      <c r="U207" s="17" t="s">
        <v>423</v>
      </c>
      <c r="V207" s="17" t="s">
        <v>1507</v>
      </c>
      <c r="W207" s="17" t="s">
        <v>403</v>
      </c>
      <c r="X207" s="17" t="s">
        <v>701</v>
      </c>
      <c r="Y207" s="17" t="s">
        <v>438</v>
      </c>
      <c r="Z207" s="17" t="s">
        <v>1376</v>
      </c>
      <c r="AA207" s="17" t="s">
        <v>440</v>
      </c>
      <c r="AB207" s="17" t="s">
        <v>1474</v>
      </c>
      <c r="AC207" s="17" t="s">
        <v>428</v>
      </c>
      <c r="AD207" s="17" t="s">
        <v>1484</v>
      </c>
      <c r="AE207" s="26">
        <v>1240.0</v>
      </c>
      <c r="AF207" s="36">
        <v>147.7</v>
      </c>
      <c r="AG207" s="36">
        <v>154.233</v>
      </c>
      <c r="AH207" s="26" t="s">
        <v>1508</v>
      </c>
      <c r="AI207" s="26">
        <v>100000.0</v>
      </c>
      <c r="AJ207" s="26">
        <v>145686.0</v>
      </c>
      <c r="AK207" s="26" t="s">
        <v>444</v>
      </c>
      <c r="AL207" s="26">
        <v>184.0</v>
      </c>
      <c r="AM207" s="26">
        <v>3062.0</v>
      </c>
      <c r="AN207" s="32"/>
      <c r="AO207" s="32"/>
      <c r="AP207" s="32"/>
      <c r="AQ207" s="32"/>
      <c r="AR207" s="32"/>
      <c r="AS207" s="32"/>
      <c r="AT207" s="26">
        <v>181.0</v>
      </c>
      <c r="AU207" s="26" t="s">
        <v>1476</v>
      </c>
      <c r="AV207" s="35">
        <v>272.0</v>
      </c>
      <c r="AW207" s="26">
        <v>250.0</v>
      </c>
      <c r="AX207" s="26">
        <v>97.0</v>
      </c>
      <c r="AY207" s="26">
        <v>535.0</v>
      </c>
      <c r="AZ207" s="37">
        <v>45354.0</v>
      </c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</row>
    <row r="208">
      <c r="A208" s="20" t="s">
        <v>1509</v>
      </c>
      <c r="B208" s="20" t="s">
        <v>919</v>
      </c>
      <c r="C208" s="17" t="s">
        <v>1510</v>
      </c>
      <c r="D208" s="17" t="s">
        <v>549</v>
      </c>
      <c r="E208" s="34" t="s">
        <v>477</v>
      </c>
      <c r="F208" s="26" t="s">
        <v>921</v>
      </c>
      <c r="G208" s="35">
        <v>155.0</v>
      </c>
      <c r="H208" s="32"/>
      <c r="I208" s="17" t="s">
        <v>414</v>
      </c>
      <c r="J208" s="17" t="s">
        <v>415</v>
      </c>
      <c r="K208" s="17" t="s">
        <v>416</v>
      </c>
      <c r="L208" s="26">
        <v>5.0</v>
      </c>
      <c r="M208" s="17" t="s">
        <v>417</v>
      </c>
      <c r="N208" s="32"/>
      <c r="O208" s="32"/>
      <c r="P208" s="26">
        <v>5.0</v>
      </c>
      <c r="Q208" s="26">
        <v>5.0</v>
      </c>
      <c r="R208" s="17" t="s">
        <v>419</v>
      </c>
      <c r="S208" s="17" t="s">
        <v>420</v>
      </c>
      <c r="T208" s="17" t="s">
        <v>421</v>
      </c>
      <c r="U208" s="17" t="s">
        <v>423</v>
      </c>
      <c r="V208" s="17" t="s">
        <v>1468</v>
      </c>
      <c r="W208" s="17" t="s">
        <v>403</v>
      </c>
      <c r="X208" s="17" t="s">
        <v>782</v>
      </c>
      <c r="Y208" s="17" t="s">
        <v>438</v>
      </c>
      <c r="Z208" s="17" t="s">
        <v>881</v>
      </c>
      <c r="AA208" s="17" t="s">
        <v>440</v>
      </c>
      <c r="AB208" s="17" t="s">
        <v>1511</v>
      </c>
      <c r="AC208" s="17" t="s">
        <v>428</v>
      </c>
      <c r="AD208" s="17" t="s">
        <v>429</v>
      </c>
      <c r="AE208" s="26">
        <v>730.0</v>
      </c>
      <c r="AF208" s="36">
        <v>69.6</v>
      </c>
      <c r="AG208" s="36">
        <v>71.188</v>
      </c>
      <c r="AH208" s="17" t="s">
        <v>463</v>
      </c>
      <c r="AI208" s="26">
        <v>70394.0</v>
      </c>
      <c r="AJ208" s="26">
        <v>70394.0</v>
      </c>
      <c r="AK208" s="26" t="s">
        <v>552</v>
      </c>
      <c r="AL208" s="26">
        <v>396.0</v>
      </c>
      <c r="AM208" s="26">
        <v>1823.0</v>
      </c>
      <c r="AN208" s="17" t="s">
        <v>465</v>
      </c>
      <c r="AO208" s="17" t="s">
        <v>422</v>
      </c>
      <c r="AP208" s="32"/>
      <c r="AQ208" s="32"/>
      <c r="AR208" s="32"/>
      <c r="AS208" s="32"/>
      <c r="AT208" s="26">
        <v>182.0</v>
      </c>
      <c r="AU208" s="26" t="s">
        <v>1512</v>
      </c>
      <c r="AV208" s="35">
        <v>155.0</v>
      </c>
      <c r="AW208" s="26">
        <v>200.0</v>
      </c>
      <c r="AX208" s="26" t="s">
        <v>921</v>
      </c>
      <c r="AY208" s="26">
        <v>455.0</v>
      </c>
      <c r="AZ208" s="37">
        <v>45295.0</v>
      </c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</row>
    <row r="209">
      <c r="A209" s="20" t="s">
        <v>1513</v>
      </c>
      <c r="B209" s="20" t="s">
        <v>1218</v>
      </c>
      <c r="C209" s="17" t="s">
        <v>1514</v>
      </c>
      <c r="D209" s="17" t="s">
        <v>804</v>
      </c>
      <c r="E209" s="34" t="s">
        <v>477</v>
      </c>
      <c r="F209" s="26">
        <v>52.0</v>
      </c>
      <c r="G209" s="35">
        <v>150.0</v>
      </c>
      <c r="H209" s="17" t="s">
        <v>413</v>
      </c>
      <c r="I209" s="17" t="s">
        <v>414</v>
      </c>
      <c r="J209" s="17" t="s">
        <v>415</v>
      </c>
      <c r="L209" s="26">
        <v>5.0</v>
      </c>
      <c r="M209" s="17" t="s">
        <v>417</v>
      </c>
      <c r="N209" s="17" t="s">
        <v>418</v>
      </c>
      <c r="O209" s="26">
        <v>1000.0</v>
      </c>
      <c r="P209" s="26">
        <v>5.0</v>
      </c>
      <c r="Q209" s="26">
        <v>5.0</v>
      </c>
      <c r="R209" s="17" t="s">
        <v>419</v>
      </c>
      <c r="S209" s="17" t="s">
        <v>420</v>
      </c>
      <c r="T209" s="17" t="s">
        <v>421</v>
      </c>
      <c r="U209" s="17" t="s">
        <v>423</v>
      </c>
      <c r="V209" s="17" t="s">
        <v>639</v>
      </c>
      <c r="W209" s="17" t="s">
        <v>403</v>
      </c>
      <c r="X209" s="17" t="s">
        <v>581</v>
      </c>
      <c r="Y209" s="17" t="s">
        <v>438</v>
      </c>
      <c r="Z209" s="17" t="s">
        <v>751</v>
      </c>
      <c r="AA209" s="17" t="s">
        <v>440</v>
      </c>
      <c r="AB209" s="17" t="s">
        <v>1511</v>
      </c>
      <c r="AC209" s="17" t="s">
        <v>428</v>
      </c>
      <c r="AD209" s="17" t="s">
        <v>606</v>
      </c>
      <c r="AE209" s="26">
        <v>360.0</v>
      </c>
      <c r="AF209" s="36">
        <v>40.335</v>
      </c>
      <c r="AG209" s="36">
        <v>44.99</v>
      </c>
      <c r="AH209" s="17" t="s">
        <v>463</v>
      </c>
      <c r="AI209" s="26">
        <v>42662.0</v>
      </c>
      <c r="AJ209" s="26">
        <v>42662.0</v>
      </c>
      <c r="AK209" s="26" t="s">
        <v>777</v>
      </c>
      <c r="AL209" s="26">
        <v>1197.0</v>
      </c>
      <c r="AM209" s="26">
        <v>2027.0</v>
      </c>
      <c r="AN209" s="32"/>
      <c r="AO209" s="17" t="s">
        <v>422</v>
      </c>
      <c r="AP209" s="17" t="s">
        <v>483</v>
      </c>
      <c r="AQ209" s="32"/>
      <c r="AR209" s="32"/>
      <c r="AS209" s="32"/>
      <c r="AT209" s="26">
        <v>182.0</v>
      </c>
      <c r="AU209" s="26" t="s">
        <v>1512</v>
      </c>
      <c r="AV209" s="35">
        <v>150.0</v>
      </c>
      <c r="AW209" s="26">
        <v>160.0</v>
      </c>
      <c r="AX209" s="26">
        <v>52.0</v>
      </c>
      <c r="AY209" s="26">
        <v>285.0</v>
      </c>
      <c r="AZ209" s="26">
        <v>9.0</v>
      </c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</row>
    <row r="210">
      <c r="A210" s="20" t="s">
        <v>1515</v>
      </c>
      <c r="B210" s="20" t="s">
        <v>1259</v>
      </c>
      <c r="C210" s="17" t="s">
        <v>1516</v>
      </c>
      <c r="D210" s="17" t="s">
        <v>835</v>
      </c>
      <c r="E210" s="34" t="s">
        <v>550</v>
      </c>
      <c r="F210" s="26" t="s">
        <v>1261</v>
      </c>
      <c r="G210" s="35">
        <v>115.0</v>
      </c>
      <c r="H210" s="32"/>
      <c r="I210" s="17" t="s">
        <v>414</v>
      </c>
      <c r="J210" s="17" t="s">
        <v>415</v>
      </c>
      <c r="L210" s="26">
        <v>5.0</v>
      </c>
      <c r="M210" s="17" t="s">
        <v>417</v>
      </c>
      <c r="N210" s="32"/>
      <c r="O210" s="32"/>
      <c r="P210" s="26">
        <v>5.0</v>
      </c>
      <c r="Q210" s="26">
        <v>5.0</v>
      </c>
      <c r="R210" s="17" t="s">
        <v>419</v>
      </c>
      <c r="S210" s="17" t="s">
        <v>420</v>
      </c>
      <c r="T210" s="17" t="s">
        <v>421</v>
      </c>
      <c r="U210" s="17" t="s">
        <v>423</v>
      </c>
      <c r="V210" s="17" t="s">
        <v>557</v>
      </c>
      <c r="W210" s="17" t="s">
        <v>403</v>
      </c>
      <c r="X210" s="17" t="s">
        <v>581</v>
      </c>
      <c r="Y210" s="17" t="s">
        <v>404</v>
      </c>
      <c r="Z210" s="17" t="s">
        <v>1079</v>
      </c>
      <c r="AA210" s="17" t="s">
        <v>401</v>
      </c>
      <c r="AB210" s="17" t="s">
        <v>1511</v>
      </c>
      <c r="AC210" s="17" t="s">
        <v>428</v>
      </c>
      <c r="AD210" s="17" t="s">
        <v>815</v>
      </c>
      <c r="AE210" s="26">
        <v>280.0</v>
      </c>
      <c r="AF210" s="36">
        <v>37.49</v>
      </c>
      <c r="AG210" s="17" t="s">
        <v>463</v>
      </c>
      <c r="AH210" s="17" t="s">
        <v>463</v>
      </c>
      <c r="AI210" s="26">
        <v>37490.0</v>
      </c>
      <c r="AJ210" s="26">
        <v>37490.0</v>
      </c>
      <c r="AK210" s="26" t="s">
        <v>777</v>
      </c>
      <c r="AL210" s="26">
        <v>99.0</v>
      </c>
      <c r="AM210" s="26">
        <v>2093.0</v>
      </c>
      <c r="AN210" s="32"/>
      <c r="AO210" s="17" t="s">
        <v>422</v>
      </c>
      <c r="AP210" s="17" t="s">
        <v>483</v>
      </c>
      <c r="AQ210" s="17" t="s">
        <v>496</v>
      </c>
      <c r="AS210" s="32"/>
      <c r="AT210" s="26">
        <v>182.0</v>
      </c>
      <c r="AU210" s="26" t="s">
        <v>1512</v>
      </c>
      <c r="AV210" s="35">
        <v>115.0</v>
      </c>
      <c r="AW210" s="26">
        <v>160.0</v>
      </c>
      <c r="AX210" s="26" t="s">
        <v>1261</v>
      </c>
      <c r="AY210" s="26">
        <v>325.0</v>
      </c>
      <c r="AZ210" s="37">
        <v>45330.0</v>
      </c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</row>
    <row r="211">
      <c r="A211" s="20" t="s">
        <v>1517</v>
      </c>
      <c r="B211" s="20" t="s">
        <v>1401</v>
      </c>
      <c r="C211" s="17" t="s">
        <v>1518</v>
      </c>
      <c r="D211" s="17" t="s">
        <v>793</v>
      </c>
      <c r="E211" s="34" t="s">
        <v>477</v>
      </c>
      <c r="F211" s="26" t="s">
        <v>1519</v>
      </c>
      <c r="G211" s="35">
        <v>101.0</v>
      </c>
      <c r="H211" s="32"/>
      <c r="I211" s="17" t="s">
        <v>414</v>
      </c>
      <c r="J211" s="17" t="s">
        <v>415</v>
      </c>
      <c r="L211" s="26">
        <v>5.0</v>
      </c>
      <c r="M211" s="17" t="s">
        <v>417</v>
      </c>
      <c r="N211" s="17" t="s">
        <v>418</v>
      </c>
      <c r="P211" s="26">
        <v>5.0</v>
      </c>
      <c r="Q211" s="26">
        <v>5.0</v>
      </c>
      <c r="R211" s="17" t="s">
        <v>419</v>
      </c>
      <c r="S211" s="17" t="s">
        <v>420</v>
      </c>
      <c r="T211" s="17" t="s">
        <v>421</v>
      </c>
      <c r="U211" s="17" t="s">
        <v>423</v>
      </c>
      <c r="V211" s="17" t="s">
        <v>732</v>
      </c>
      <c r="W211" s="17" t="s">
        <v>403</v>
      </c>
      <c r="X211" s="17" t="s">
        <v>782</v>
      </c>
      <c r="Y211" s="17" t="s">
        <v>438</v>
      </c>
      <c r="Z211" s="17" t="s">
        <v>733</v>
      </c>
      <c r="AA211" s="17" t="s">
        <v>440</v>
      </c>
      <c r="AB211" s="17" t="s">
        <v>1511</v>
      </c>
      <c r="AC211" s="17" t="s">
        <v>428</v>
      </c>
      <c r="AD211" s="17" t="s">
        <v>1520</v>
      </c>
      <c r="AE211" s="26">
        <v>960.0</v>
      </c>
      <c r="AF211" s="36">
        <v>47.6</v>
      </c>
      <c r="AG211" s="36">
        <v>49.188</v>
      </c>
      <c r="AH211" s="17" t="s">
        <v>463</v>
      </c>
      <c r="AI211" s="26">
        <v>48394.0</v>
      </c>
      <c r="AJ211" s="26">
        <v>48394.0</v>
      </c>
      <c r="AK211" s="26" t="s">
        <v>495</v>
      </c>
      <c r="AL211" s="26">
        <v>754.0</v>
      </c>
      <c r="AM211" s="26">
        <v>2182.0</v>
      </c>
      <c r="AN211" s="17" t="s">
        <v>465</v>
      </c>
      <c r="AO211" s="17" t="s">
        <v>422</v>
      </c>
      <c r="AP211" s="32"/>
      <c r="AQ211" s="32"/>
      <c r="AR211" s="32"/>
      <c r="AS211" s="32"/>
      <c r="AT211" s="26">
        <v>182.0</v>
      </c>
      <c r="AU211" s="26" t="s">
        <v>1512</v>
      </c>
      <c r="AV211" s="35">
        <v>101.0</v>
      </c>
      <c r="AW211" s="26">
        <v>200.0</v>
      </c>
      <c r="AX211" s="26" t="s">
        <v>1519</v>
      </c>
      <c r="AY211" s="26">
        <v>480.0</v>
      </c>
      <c r="AZ211" s="37">
        <v>45479.0</v>
      </c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</row>
    <row r="212">
      <c r="A212" s="20" t="s">
        <v>1521</v>
      </c>
      <c r="B212" s="20" t="s">
        <v>1268</v>
      </c>
      <c r="C212" s="17" t="s">
        <v>1522</v>
      </c>
      <c r="D212" s="17" t="s">
        <v>1012</v>
      </c>
      <c r="E212" s="34" t="s">
        <v>411</v>
      </c>
      <c r="F212" s="26">
        <v>80.0</v>
      </c>
      <c r="G212" s="35">
        <v>136.0</v>
      </c>
      <c r="H212" s="17" t="s">
        <v>413</v>
      </c>
      <c r="I212" s="17" t="s">
        <v>414</v>
      </c>
      <c r="J212" s="17" t="s">
        <v>415</v>
      </c>
      <c r="L212" s="26">
        <v>5.0</v>
      </c>
      <c r="M212" s="17" t="s">
        <v>417</v>
      </c>
      <c r="N212" s="17" t="s">
        <v>418</v>
      </c>
      <c r="O212" s="26">
        <v>1600.0</v>
      </c>
      <c r="P212" s="26">
        <v>5.0</v>
      </c>
      <c r="Q212" s="26">
        <v>5.0</v>
      </c>
      <c r="R212" s="17" t="s">
        <v>419</v>
      </c>
      <c r="S212" s="17" t="s">
        <v>420</v>
      </c>
      <c r="T212" s="17" t="s">
        <v>421</v>
      </c>
      <c r="U212" s="17" t="s">
        <v>423</v>
      </c>
      <c r="V212" s="17" t="s">
        <v>1391</v>
      </c>
      <c r="W212" s="17" t="s">
        <v>403</v>
      </c>
      <c r="X212" s="17" t="s">
        <v>459</v>
      </c>
      <c r="Y212" s="17" t="s">
        <v>404</v>
      </c>
      <c r="Z212" s="17" t="s">
        <v>959</v>
      </c>
      <c r="AA212" s="17" t="s">
        <v>401</v>
      </c>
      <c r="AB212" s="17" t="s">
        <v>1511</v>
      </c>
      <c r="AC212" s="17" t="s">
        <v>428</v>
      </c>
      <c r="AD212" s="17" t="s">
        <v>992</v>
      </c>
      <c r="AE212" s="26">
        <v>1080.0</v>
      </c>
      <c r="AF212" s="36">
        <v>59.4</v>
      </c>
      <c r="AG212" s="36">
        <v>61.395</v>
      </c>
      <c r="AH212" s="26" t="s">
        <v>1523</v>
      </c>
      <c r="AI212" s="26">
        <v>59776.0</v>
      </c>
      <c r="AJ212" s="26">
        <v>59776.0</v>
      </c>
      <c r="AK212" s="26" t="s">
        <v>567</v>
      </c>
      <c r="AL212" s="26">
        <v>532.0</v>
      </c>
      <c r="AM212" s="26">
        <v>2237.0</v>
      </c>
      <c r="AN212" s="17" t="s">
        <v>465</v>
      </c>
      <c r="AO212" s="17" t="s">
        <v>422</v>
      </c>
      <c r="AP212" s="17" t="s">
        <v>483</v>
      </c>
      <c r="AQ212" s="32"/>
      <c r="AR212" s="32"/>
      <c r="AS212" s="32"/>
      <c r="AT212" s="26">
        <v>182.0</v>
      </c>
      <c r="AU212" s="26" t="s">
        <v>1512</v>
      </c>
      <c r="AV212" s="35">
        <v>136.0</v>
      </c>
      <c r="AW212" s="26">
        <v>185.0</v>
      </c>
      <c r="AX212" s="26">
        <v>80.0</v>
      </c>
      <c r="AY212" s="26">
        <v>440.0</v>
      </c>
      <c r="AZ212" s="37">
        <v>45356.0</v>
      </c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</row>
    <row r="213">
      <c r="A213" s="20" t="s">
        <v>1524</v>
      </c>
      <c r="B213" s="20" t="s">
        <v>1525</v>
      </c>
      <c r="C213" s="17" t="s">
        <v>1526</v>
      </c>
      <c r="D213" s="17" t="s">
        <v>1012</v>
      </c>
      <c r="E213" s="34" t="s">
        <v>477</v>
      </c>
      <c r="F213" s="26">
        <v>52.0</v>
      </c>
      <c r="G213" s="35">
        <v>160.0</v>
      </c>
      <c r="H213" s="17" t="s">
        <v>413</v>
      </c>
      <c r="I213" s="17" t="s">
        <v>414</v>
      </c>
      <c r="J213" s="17" t="s">
        <v>415</v>
      </c>
      <c r="L213" s="26">
        <v>5.0</v>
      </c>
      <c r="M213" s="17" t="s">
        <v>417</v>
      </c>
      <c r="N213" s="17" t="s">
        <v>418</v>
      </c>
      <c r="O213" s="26">
        <v>1000.0</v>
      </c>
      <c r="P213" s="26">
        <v>5.0</v>
      </c>
      <c r="Q213" s="26">
        <v>5.0</v>
      </c>
      <c r="R213" s="17" t="s">
        <v>419</v>
      </c>
      <c r="S213" s="17" t="s">
        <v>420</v>
      </c>
      <c r="T213" s="17" t="s">
        <v>421</v>
      </c>
      <c r="U213" s="17" t="s">
        <v>423</v>
      </c>
      <c r="V213" s="17" t="s">
        <v>639</v>
      </c>
      <c r="W213" s="17" t="s">
        <v>403</v>
      </c>
      <c r="X213" s="17" t="s">
        <v>581</v>
      </c>
      <c r="Y213" s="17" t="s">
        <v>438</v>
      </c>
      <c r="Z213" s="17" t="s">
        <v>751</v>
      </c>
      <c r="AA213" s="17" t="s">
        <v>440</v>
      </c>
      <c r="AB213" s="17" t="s">
        <v>1511</v>
      </c>
      <c r="AC213" s="17" t="s">
        <v>428</v>
      </c>
      <c r="AD213" s="17" t="s">
        <v>722</v>
      </c>
      <c r="AE213" s="26">
        <v>460.0</v>
      </c>
      <c r="AF213" s="36">
        <v>45.6</v>
      </c>
      <c r="AG213" s="17" t="s">
        <v>463</v>
      </c>
      <c r="AH213" s="17" t="s">
        <v>463</v>
      </c>
      <c r="AI213" s="26">
        <v>45600.0</v>
      </c>
      <c r="AJ213" s="26">
        <v>45600.0</v>
      </c>
      <c r="AK213" s="26" t="s">
        <v>567</v>
      </c>
      <c r="AL213" s="26">
        <v>303.0</v>
      </c>
      <c r="AM213" s="26">
        <v>2248.0</v>
      </c>
      <c r="AN213" s="32"/>
      <c r="AO213" s="17" t="s">
        <v>422</v>
      </c>
      <c r="AP213" s="17" t="s">
        <v>483</v>
      </c>
      <c r="AQ213" s="32"/>
      <c r="AR213" s="32"/>
      <c r="AS213" s="32"/>
      <c r="AT213" s="26">
        <v>182.0</v>
      </c>
      <c r="AU213" s="26" t="s">
        <v>1512</v>
      </c>
      <c r="AV213" s="35">
        <v>160.0</v>
      </c>
      <c r="AW213" s="26">
        <v>160.0</v>
      </c>
      <c r="AX213" s="26">
        <v>52.0</v>
      </c>
      <c r="AY213" s="26">
        <v>285.0</v>
      </c>
      <c r="AZ213" s="26">
        <v>9.0</v>
      </c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</row>
    <row r="214">
      <c r="A214" s="20" t="s">
        <v>1527</v>
      </c>
      <c r="B214" s="20" t="s">
        <v>1453</v>
      </c>
      <c r="C214" s="17" t="s">
        <v>1455</v>
      </c>
      <c r="D214" s="17" t="s">
        <v>684</v>
      </c>
      <c r="E214" s="34" t="s">
        <v>436</v>
      </c>
      <c r="F214" s="26">
        <v>80.0</v>
      </c>
      <c r="G214" s="35">
        <v>115.0</v>
      </c>
      <c r="H214" s="17" t="s">
        <v>413</v>
      </c>
      <c r="I214" s="17" t="s">
        <v>414</v>
      </c>
      <c r="J214" s="17" t="s">
        <v>415</v>
      </c>
      <c r="L214" s="26">
        <v>5.0</v>
      </c>
      <c r="M214" s="17" t="s">
        <v>417</v>
      </c>
      <c r="N214" s="17" t="s">
        <v>418</v>
      </c>
      <c r="O214" s="26">
        <v>1800.0</v>
      </c>
      <c r="P214" s="26">
        <v>5.0</v>
      </c>
      <c r="Q214" s="26">
        <v>5.0</v>
      </c>
      <c r="R214" s="17" t="s">
        <v>419</v>
      </c>
      <c r="S214" s="17" t="s">
        <v>420</v>
      </c>
      <c r="T214" s="17" t="s">
        <v>421</v>
      </c>
      <c r="U214" s="17" t="s">
        <v>423</v>
      </c>
      <c r="V214" s="17" t="s">
        <v>772</v>
      </c>
      <c r="W214" s="17" t="s">
        <v>403</v>
      </c>
      <c r="X214" s="17" t="s">
        <v>459</v>
      </c>
      <c r="Y214" s="17" t="s">
        <v>438</v>
      </c>
      <c r="Z214" s="17" t="s">
        <v>959</v>
      </c>
      <c r="AA214" s="17" t="s">
        <v>440</v>
      </c>
      <c r="AB214" s="17" t="s">
        <v>1511</v>
      </c>
      <c r="AC214" s="17" t="s">
        <v>428</v>
      </c>
      <c r="AD214" s="17" t="s">
        <v>992</v>
      </c>
      <c r="AE214" s="26">
        <v>1080.0</v>
      </c>
      <c r="AF214" s="36">
        <v>49.99</v>
      </c>
      <c r="AG214" s="36">
        <v>49.495</v>
      </c>
      <c r="AH214" s="26" t="s">
        <v>1528</v>
      </c>
      <c r="AI214" s="26">
        <v>50632.0</v>
      </c>
      <c r="AJ214" s="26">
        <v>50632.0</v>
      </c>
      <c r="AK214" s="26" t="s">
        <v>444</v>
      </c>
      <c r="AL214" s="26">
        <v>563.0</v>
      </c>
      <c r="AM214" s="26">
        <v>3028.0</v>
      </c>
      <c r="AN214" s="17" t="s">
        <v>465</v>
      </c>
      <c r="AO214" s="17" t="s">
        <v>422</v>
      </c>
      <c r="AP214" s="17" t="s">
        <v>483</v>
      </c>
      <c r="AQ214" s="32"/>
      <c r="AR214" s="32"/>
      <c r="AS214" s="32"/>
      <c r="AT214" s="26">
        <v>182.0</v>
      </c>
      <c r="AU214" s="26" t="s">
        <v>1512</v>
      </c>
      <c r="AV214" s="35">
        <v>115.0</v>
      </c>
      <c r="AW214" s="26">
        <v>185.0</v>
      </c>
      <c r="AX214" s="26">
        <v>80.0</v>
      </c>
      <c r="AY214" s="26">
        <v>440.0</v>
      </c>
      <c r="AZ214" s="37">
        <v>45358.0</v>
      </c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</row>
    <row r="215">
      <c r="A215" s="20" t="s">
        <v>1529</v>
      </c>
      <c r="B215" s="20" t="s">
        <v>1530</v>
      </c>
      <c r="C215" s="17" t="s">
        <v>1531</v>
      </c>
      <c r="D215" s="17" t="s">
        <v>951</v>
      </c>
      <c r="E215" s="34" t="s">
        <v>477</v>
      </c>
      <c r="F215" s="26">
        <v>64.0</v>
      </c>
      <c r="G215" s="35">
        <v>136.0</v>
      </c>
      <c r="H215" s="17" t="s">
        <v>413</v>
      </c>
      <c r="I215" s="17" t="s">
        <v>414</v>
      </c>
      <c r="J215" s="17" t="s">
        <v>415</v>
      </c>
      <c r="L215" s="26">
        <v>5.0</v>
      </c>
      <c r="M215" s="17" t="s">
        <v>417</v>
      </c>
      <c r="N215" s="17" t="s">
        <v>418</v>
      </c>
      <c r="O215" s="26">
        <v>750.0</v>
      </c>
      <c r="P215" s="26">
        <v>5.0</v>
      </c>
      <c r="Q215" s="26">
        <v>5.0</v>
      </c>
      <c r="R215" s="17" t="s">
        <v>419</v>
      </c>
      <c r="S215" s="17" t="s">
        <v>420</v>
      </c>
      <c r="T215" s="17" t="s">
        <v>421</v>
      </c>
      <c r="U215" s="17" t="s">
        <v>423</v>
      </c>
      <c r="V215" s="17" t="s">
        <v>1078</v>
      </c>
      <c r="W215" s="17" t="s">
        <v>403</v>
      </c>
      <c r="X215" s="17" t="s">
        <v>581</v>
      </c>
      <c r="Y215" s="17" t="s">
        <v>438</v>
      </c>
      <c r="Z215" s="17" t="s">
        <v>799</v>
      </c>
      <c r="AA215" s="17" t="s">
        <v>440</v>
      </c>
      <c r="AB215" s="17" t="s">
        <v>1532</v>
      </c>
      <c r="AC215" s="17" t="s">
        <v>428</v>
      </c>
      <c r="AD215" s="17" t="s">
        <v>901</v>
      </c>
      <c r="AE215" s="26">
        <v>520.0</v>
      </c>
      <c r="AF215" s="36">
        <v>47.49</v>
      </c>
      <c r="AG215" s="36">
        <v>45.995</v>
      </c>
      <c r="AH215" s="26" t="s">
        <v>1533</v>
      </c>
      <c r="AI215" s="26">
        <v>47591.0</v>
      </c>
      <c r="AJ215" s="26">
        <v>47591.0</v>
      </c>
      <c r="AK215" s="26" t="s">
        <v>537</v>
      </c>
      <c r="AL215" s="26">
        <v>939.0</v>
      </c>
      <c r="AM215" s="26">
        <v>1564.0</v>
      </c>
      <c r="AN215" s="32"/>
      <c r="AO215" s="17" t="s">
        <v>422</v>
      </c>
      <c r="AP215" s="17" t="s">
        <v>483</v>
      </c>
      <c r="AQ215" s="32"/>
      <c r="AR215" s="32"/>
      <c r="AS215" s="32"/>
      <c r="AT215" s="26">
        <v>183.0</v>
      </c>
      <c r="AU215" s="26" t="s">
        <v>1534</v>
      </c>
      <c r="AV215" s="35">
        <v>136.0</v>
      </c>
      <c r="AW215" s="26">
        <v>160.0</v>
      </c>
      <c r="AX215" s="26">
        <v>64.0</v>
      </c>
      <c r="AY215" s="26">
        <v>350.0</v>
      </c>
      <c r="AZ215" s="37">
        <v>45419.0</v>
      </c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</row>
    <row r="216">
      <c r="A216" s="20" t="s">
        <v>1535</v>
      </c>
      <c r="B216" s="20" t="s">
        <v>1296</v>
      </c>
      <c r="C216" s="17" t="s">
        <v>1536</v>
      </c>
      <c r="D216" s="17" t="s">
        <v>549</v>
      </c>
      <c r="E216" s="34" t="s">
        <v>550</v>
      </c>
      <c r="F216" s="26">
        <v>64.0</v>
      </c>
      <c r="G216" s="35">
        <v>186.0</v>
      </c>
      <c r="H216" s="17" t="s">
        <v>413</v>
      </c>
      <c r="I216" s="17" t="s">
        <v>414</v>
      </c>
      <c r="J216" s="17" t="s">
        <v>415</v>
      </c>
      <c r="L216" s="26">
        <v>5.0</v>
      </c>
      <c r="M216" s="32"/>
      <c r="N216" s="17" t="s">
        <v>418</v>
      </c>
      <c r="O216" s="26">
        <v>750.0</v>
      </c>
      <c r="P216" s="26">
        <v>5.0</v>
      </c>
      <c r="Q216" s="26">
        <v>5.0</v>
      </c>
      <c r="R216" s="17" t="s">
        <v>419</v>
      </c>
      <c r="S216" s="17" t="s">
        <v>420</v>
      </c>
      <c r="T216" s="17" t="s">
        <v>421</v>
      </c>
      <c r="U216" s="17" t="s">
        <v>423</v>
      </c>
      <c r="V216" s="17" t="s">
        <v>678</v>
      </c>
      <c r="W216" s="17" t="s">
        <v>403</v>
      </c>
      <c r="X216" s="17" t="s">
        <v>581</v>
      </c>
      <c r="Y216" s="17" t="s">
        <v>404</v>
      </c>
      <c r="Z216" s="17" t="s">
        <v>799</v>
      </c>
      <c r="AA216" s="17" t="s">
        <v>401</v>
      </c>
      <c r="AB216" s="17" t="s">
        <v>1532</v>
      </c>
      <c r="AC216" s="17" t="s">
        <v>428</v>
      </c>
      <c r="AD216" s="17" t="s">
        <v>901</v>
      </c>
      <c r="AE216" s="26">
        <v>520.0</v>
      </c>
      <c r="AF216" s="36">
        <v>68.0</v>
      </c>
      <c r="AG216" s="36">
        <v>59.995</v>
      </c>
      <c r="AH216" s="26" t="s">
        <v>1537</v>
      </c>
      <c r="AI216" s="26">
        <v>64953.0</v>
      </c>
      <c r="AJ216" s="26">
        <v>64953.0</v>
      </c>
      <c r="AK216" s="26" t="s">
        <v>552</v>
      </c>
      <c r="AL216" s="26">
        <v>592.0</v>
      </c>
      <c r="AM216" s="26">
        <v>1677.0</v>
      </c>
      <c r="AN216" s="32"/>
      <c r="AO216" s="17" t="s">
        <v>422</v>
      </c>
      <c r="AP216" s="32"/>
      <c r="AQ216" s="32"/>
      <c r="AR216" s="32"/>
      <c r="AS216" s="32"/>
      <c r="AT216" s="26">
        <v>183.0</v>
      </c>
      <c r="AU216" s="26" t="s">
        <v>1534</v>
      </c>
      <c r="AV216" s="35">
        <v>186.0</v>
      </c>
      <c r="AW216" s="26">
        <v>160.0</v>
      </c>
      <c r="AX216" s="26">
        <v>64.0</v>
      </c>
      <c r="AY216" s="26">
        <v>350.0</v>
      </c>
      <c r="AZ216" s="37">
        <v>45448.0</v>
      </c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</row>
    <row r="217">
      <c r="A217" s="20" t="s">
        <v>1538</v>
      </c>
      <c r="B217" s="20" t="s">
        <v>1539</v>
      </c>
      <c r="C217" s="17" t="s">
        <v>1540</v>
      </c>
      <c r="D217" s="17" t="s">
        <v>1541</v>
      </c>
      <c r="E217" s="34" t="s">
        <v>550</v>
      </c>
      <c r="F217" s="26" t="s">
        <v>1210</v>
      </c>
      <c r="G217" s="35">
        <v>121.0</v>
      </c>
      <c r="H217" s="17" t="s">
        <v>413</v>
      </c>
      <c r="I217" s="17" t="s">
        <v>414</v>
      </c>
      <c r="J217" s="17" t="s">
        <v>415</v>
      </c>
      <c r="L217" s="26">
        <v>5.0</v>
      </c>
      <c r="M217" s="17" t="s">
        <v>417</v>
      </c>
      <c r="N217" s="32"/>
      <c r="O217" s="32"/>
      <c r="P217" s="26">
        <v>5.0</v>
      </c>
      <c r="Q217" s="26">
        <v>5.0</v>
      </c>
      <c r="R217" s="17" t="s">
        <v>419</v>
      </c>
      <c r="S217" s="17" t="s">
        <v>420</v>
      </c>
      <c r="T217" s="17" t="s">
        <v>421</v>
      </c>
      <c r="U217" s="17" t="s">
        <v>423</v>
      </c>
      <c r="V217" s="17" t="s">
        <v>772</v>
      </c>
      <c r="W217" s="17" t="s">
        <v>403</v>
      </c>
      <c r="X217" s="17" t="s">
        <v>581</v>
      </c>
      <c r="Y217" s="17" t="s">
        <v>404</v>
      </c>
      <c r="Z217" s="17" t="s">
        <v>544</v>
      </c>
      <c r="AA217" s="17" t="s">
        <v>401</v>
      </c>
      <c r="AB217" s="17" t="s">
        <v>1532</v>
      </c>
      <c r="AC217" s="17" t="s">
        <v>428</v>
      </c>
      <c r="AD217" s="17" t="s">
        <v>971</v>
      </c>
      <c r="AE217" s="26">
        <v>370.0</v>
      </c>
      <c r="AF217" s="36">
        <v>37.99</v>
      </c>
      <c r="AG217" s="36">
        <v>38.99</v>
      </c>
      <c r="AH217" s="26" t="s">
        <v>976</v>
      </c>
      <c r="AI217" s="26">
        <v>39918.0</v>
      </c>
      <c r="AJ217" s="26">
        <v>39918.0</v>
      </c>
      <c r="AK217" s="26" t="s">
        <v>671</v>
      </c>
      <c r="AL217" s="26">
        <v>5149.0</v>
      </c>
      <c r="AM217" s="26">
        <v>1782.0</v>
      </c>
      <c r="AN217" s="17" t="s">
        <v>465</v>
      </c>
      <c r="AO217" s="17" t="s">
        <v>422</v>
      </c>
      <c r="AP217" s="17" t="s">
        <v>483</v>
      </c>
      <c r="AQ217" s="32"/>
      <c r="AR217" s="32"/>
      <c r="AS217" s="32"/>
      <c r="AT217" s="26">
        <v>183.0</v>
      </c>
      <c r="AU217" s="26" t="s">
        <v>1534</v>
      </c>
      <c r="AV217" s="35">
        <v>121.0</v>
      </c>
      <c r="AW217" s="26">
        <v>160.0</v>
      </c>
      <c r="AX217" s="26" t="s">
        <v>1210</v>
      </c>
      <c r="AY217" s="26">
        <v>330.0</v>
      </c>
      <c r="AZ217" s="37">
        <v>45358.0</v>
      </c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</row>
    <row r="218">
      <c r="A218" s="20" t="s">
        <v>1542</v>
      </c>
      <c r="B218" s="20" t="s">
        <v>1525</v>
      </c>
      <c r="C218" s="17" t="s">
        <v>1543</v>
      </c>
      <c r="D218" s="17" t="s">
        <v>410</v>
      </c>
      <c r="E218" s="34" t="s">
        <v>477</v>
      </c>
      <c r="F218" s="26">
        <v>77.0</v>
      </c>
      <c r="G218" s="35">
        <v>132.0</v>
      </c>
      <c r="H218" s="17" t="s">
        <v>413</v>
      </c>
      <c r="I218" s="17" t="s">
        <v>414</v>
      </c>
      <c r="J218" s="17" t="s">
        <v>415</v>
      </c>
      <c r="L218" s="26">
        <v>5.0</v>
      </c>
      <c r="M218" s="17" t="s">
        <v>417</v>
      </c>
      <c r="N218" s="17" t="s">
        <v>418</v>
      </c>
      <c r="O218" s="26">
        <v>1000.0</v>
      </c>
      <c r="P218" s="26">
        <v>5.0</v>
      </c>
      <c r="Q218" s="26">
        <v>5.0</v>
      </c>
      <c r="R218" s="17" t="s">
        <v>419</v>
      </c>
      <c r="S218" s="17" t="s">
        <v>420</v>
      </c>
      <c r="T218" s="17" t="s">
        <v>421</v>
      </c>
      <c r="U218" s="17" t="s">
        <v>423</v>
      </c>
      <c r="V218" s="17" t="s">
        <v>732</v>
      </c>
      <c r="W218" s="17" t="s">
        <v>403</v>
      </c>
      <c r="X218" s="17" t="s">
        <v>493</v>
      </c>
      <c r="Y218" s="17" t="s">
        <v>438</v>
      </c>
      <c r="Z218" s="17" t="s">
        <v>426</v>
      </c>
      <c r="AA218" s="17" t="s">
        <v>440</v>
      </c>
      <c r="AB218" s="17" t="s">
        <v>1532</v>
      </c>
      <c r="AC218" s="17" t="s">
        <v>428</v>
      </c>
      <c r="AD218" s="17" t="s">
        <v>866</v>
      </c>
      <c r="AE218" s="26">
        <v>630.0</v>
      </c>
      <c r="AF218" s="36">
        <v>52.95</v>
      </c>
      <c r="AG218" s="36">
        <v>54.865</v>
      </c>
      <c r="AH218" s="26" t="s">
        <v>1544</v>
      </c>
      <c r="AI218" s="26">
        <v>55390.0</v>
      </c>
      <c r="AJ218" s="26">
        <v>55390.0</v>
      </c>
      <c r="AK218" s="26" t="s">
        <v>431</v>
      </c>
      <c r="AL218" s="26">
        <v>967.0</v>
      </c>
      <c r="AM218" s="26">
        <v>2013.0</v>
      </c>
      <c r="AN218" s="32"/>
      <c r="AO218" s="17" t="s">
        <v>422</v>
      </c>
      <c r="AP218" s="17" t="s">
        <v>483</v>
      </c>
      <c r="AQ218" s="32"/>
      <c r="AR218" s="32"/>
      <c r="AS218" s="32"/>
      <c r="AT218" s="26">
        <v>183.0</v>
      </c>
      <c r="AU218" s="26" t="s">
        <v>1534</v>
      </c>
      <c r="AV218" s="35">
        <v>132.0</v>
      </c>
      <c r="AW218" s="26">
        <v>180.0</v>
      </c>
      <c r="AX218" s="26">
        <v>77.0</v>
      </c>
      <c r="AY218" s="26">
        <v>420.0</v>
      </c>
      <c r="AZ218" s="37">
        <v>45479.0</v>
      </c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</row>
    <row r="219">
      <c r="A219" s="20" t="s">
        <v>1545</v>
      </c>
      <c r="B219" s="20" t="s">
        <v>1546</v>
      </c>
      <c r="C219" s="17" t="s">
        <v>1547</v>
      </c>
      <c r="D219" s="17" t="s">
        <v>804</v>
      </c>
      <c r="E219" s="34" t="s">
        <v>477</v>
      </c>
      <c r="F219" s="26">
        <v>77.0</v>
      </c>
      <c r="G219" s="35">
        <v>140.0</v>
      </c>
      <c r="H219" s="17" t="s">
        <v>413</v>
      </c>
      <c r="I219" s="17" t="s">
        <v>414</v>
      </c>
      <c r="J219" s="17" t="s">
        <v>415</v>
      </c>
      <c r="L219" s="26">
        <v>5.0</v>
      </c>
      <c r="M219" s="17" t="s">
        <v>417</v>
      </c>
      <c r="N219" s="17" t="s">
        <v>418</v>
      </c>
      <c r="O219" s="26">
        <v>1200.0</v>
      </c>
      <c r="P219" s="26">
        <v>5.0</v>
      </c>
      <c r="Q219" s="26">
        <v>5.0</v>
      </c>
      <c r="R219" s="17" t="s">
        <v>419</v>
      </c>
      <c r="S219" s="17" t="s">
        <v>420</v>
      </c>
      <c r="T219" s="17" t="s">
        <v>421</v>
      </c>
      <c r="U219" s="17" t="s">
        <v>423</v>
      </c>
      <c r="V219" s="17" t="s">
        <v>686</v>
      </c>
      <c r="W219" s="17" t="s">
        <v>403</v>
      </c>
      <c r="X219" s="17" t="s">
        <v>493</v>
      </c>
      <c r="Y219" s="17" t="s">
        <v>438</v>
      </c>
      <c r="Z219" s="17" t="s">
        <v>426</v>
      </c>
      <c r="AA219" s="17" t="s">
        <v>440</v>
      </c>
      <c r="AB219" s="17" t="s">
        <v>1532</v>
      </c>
      <c r="AC219" s="17" t="s">
        <v>428</v>
      </c>
      <c r="AD219" s="17" t="s">
        <v>866</v>
      </c>
      <c r="AE219" s="26">
        <v>630.0</v>
      </c>
      <c r="AF219" s="36">
        <v>53.255</v>
      </c>
      <c r="AG219" s="36">
        <v>60.99</v>
      </c>
      <c r="AH219" s="26" t="s">
        <v>1548</v>
      </c>
      <c r="AI219" s="26">
        <v>58729.0</v>
      </c>
      <c r="AJ219" s="26">
        <v>58729.0</v>
      </c>
      <c r="AK219" s="26" t="s">
        <v>777</v>
      </c>
      <c r="AL219" s="26">
        <v>379.0</v>
      </c>
      <c r="AM219" s="26">
        <v>2030.0</v>
      </c>
      <c r="AN219" s="32"/>
      <c r="AO219" s="17" t="s">
        <v>422</v>
      </c>
      <c r="AP219" s="17" t="s">
        <v>483</v>
      </c>
      <c r="AQ219" s="32"/>
      <c r="AR219" s="32"/>
      <c r="AS219" s="32"/>
      <c r="AT219" s="26">
        <v>183.0</v>
      </c>
      <c r="AU219" s="26" t="s">
        <v>1534</v>
      </c>
      <c r="AV219" s="35">
        <v>140.0</v>
      </c>
      <c r="AW219" s="26">
        <v>180.0</v>
      </c>
      <c r="AX219" s="26">
        <v>77.0</v>
      </c>
      <c r="AY219" s="26">
        <v>420.0</v>
      </c>
      <c r="AZ219" s="37">
        <v>45387.0</v>
      </c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</row>
    <row r="220">
      <c r="A220" s="20" t="s">
        <v>1549</v>
      </c>
      <c r="B220" s="20" t="s">
        <v>1436</v>
      </c>
      <c r="C220" s="17" t="s">
        <v>1550</v>
      </c>
      <c r="D220" s="17" t="s">
        <v>781</v>
      </c>
      <c r="E220" s="34" t="s">
        <v>477</v>
      </c>
      <c r="F220" s="26">
        <v>97.0</v>
      </c>
      <c r="G220" s="35">
        <v>206.0</v>
      </c>
      <c r="H220" s="17" t="s">
        <v>413</v>
      </c>
      <c r="I220" s="17" t="s">
        <v>414</v>
      </c>
      <c r="J220" s="17" t="s">
        <v>415</v>
      </c>
      <c r="L220" s="26">
        <v>5.0</v>
      </c>
      <c r="M220" s="17" t="s">
        <v>417</v>
      </c>
      <c r="N220" s="32"/>
      <c r="O220" s="32"/>
      <c r="P220" s="26">
        <v>-1.0</v>
      </c>
      <c r="Q220" s="17" t="s">
        <v>419</v>
      </c>
      <c r="R220" s="17" t="s">
        <v>420</v>
      </c>
      <c r="S220" s="17" t="s">
        <v>421</v>
      </c>
      <c r="T220" s="17" t="s">
        <v>422</v>
      </c>
      <c r="U220" s="17" t="s">
        <v>423</v>
      </c>
      <c r="V220" s="17" t="s">
        <v>907</v>
      </c>
      <c r="W220" s="17" t="s">
        <v>403</v>
      </c>
      <c r="X220" s="17" t="s">
        <v>655</v>
      </c>
      <c r="Y220" s="17" t="s">
        <v>438</v>
      </c>
      <c r="Z220" s="17" t="s">
        <v>1551</v>
      </c>
      <c r="AA220" s="17" t="s">
        <v>440</v>
      </c>
      <c r="AB220" s="17" t="s">
        <v>1532</v>
      </c>
      <c r="AC220" s="17" t="s">
        <v>428</v>
      </c>
      <c r="AD220" s="17" t="s">
        <v>1552</v>
      </c>
      <c r="AE220" s="26">
        <v>1230.0</v>
      </c>
      <c r="AF220" s="36">
        <v>108.124</v>
      </c>
      <c r="AG220" s="36">
        <v>114.144</v>
      </c>
      <c r="AH220" s="26" t="s">
        <v>1553</v>
      </c>
      <c r="AI220" s="26">
        <v>100000.0</v>
      </c>
      <c r="AJ220" s="26">
        <v>109261.0</v>
      </c>
      <c r="AK220" s="26" t="s">
        <v>495</v>
      </c>
      <c r="AL220" s="26">
        <v>107.0</v>
      </c>
      <c r="AM220" s="26">
        <v>2105.0</v>
      </c>
      <c r="AN220" s="32"/>
      <c r="AO220" s="32"/>
      <c r="AP220" s="32"/>
      <c r="AQ220" s="32"/>
      <c r="AR220" s="32"/>
      <c r="AS220" s="32"/>
      <c r="AT220" s="26">
        <v>183.0</v>
      </c>
      <c r="AU220" s="26" t="s">
        <v>1534</v>
      </c>
      <c r="AV220" s="35">
        <v>206.0</v>
      </c>
      <c r="AW220" s="26">
        <v>230.0</v>
      </c>
      <c r="AX220" s="26">
        <v>97.0</v>
      </c>
      <c r="AY220" s="26">
        <v>530.0</v>
      </c>
      <c r="AZ220" s="37">
        <v>45508.0</v>
      </c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</row>
    <row r="221">
      <c r="A221" s="20" t="s">
        <v>1554</v>
      </c>
      <c r="B221" s="20" t="s">
        <v>1147</v>
      </c>
      <c r="C221" s="17" t="s">
        <v>1555</v>
      </c>
      <c r="D221" s="17" t="s">
        <v>487</v>
      </c>
      <c r="E221" s="34" t="s">
        <v>477</v>
      </c>
      <c r="F221" s="26">
        <v>118.0</v>
      </c>
      <c r="G221" s="35">
        <v>210.0</v>
      </c>
      <c r="H221" s="17" t="s">
        <v>413</v>
      </c>
      <c r="I221" s="17" t="s">
        <v>414</v>
      </c>
      <c r="J221" s="17" t="s">
        <v>415</v>
      </c>
      <c r="K221" s="17" t="s">
        <v>416</v>
      </c>
      <c r="L221" s="26">
        <v>5.0</v>
      </c>
      <c r="M221" s="17" t="s">
        <v>417</v>
      </c>
      <c r="N221" s="17" t="s">
        <v>418</v>
      </c>
      <c r="O221" s="26">
        <v>1700.0</v>
      </c>
      <c r="P221" s="26">
        <v>-1.0</v>
      </c>
      <c r="Q221" s="17" t="s">
        <v>419</v>
      </c>
      <c r="R221" s="17" t="s">
        <v>420</v>
      </c>
      <c r="S221" s="17" t="s">
        <v>421</v>
      </c>
      <c r="T221" s="17" t="s">
        <v>422</v>
      </c>
      <c r="U221" s="17" t="s">
        <v>423</v>
      </c>
      <c r="V221" s="17" t="s">
        <v>1556</v>
      </c>
      <c r="W221" s="17" t="s">
        <v>403</v>
      </c>
      <c r="X221" s="17" t="s">
        <v>619</v>
      </c>
      <c r="Y221" s="17" t="s">
        <v>438</v>
      </c>
      <c r="Z221" s="17" t="s">
        <v>1557</v>
      </c>
      <c r="AA221" s="17" t="s">
        <v>440</v>
      </c>
      <c r="AB221" s="17" t="s">
        <v>1532</v>
      </c>
      <c r="AC221" s="17" t="s">
        <v>428</v>
      </c>
      <c r="AD221" s="17" t="s">
        <v>1558</v>
      </c>
      <c r="AE221" s="26">
        <v>820.0</v>
      </c>
      <c r="AF221" s="36">
        <v>125.378</v>
      </c>
      <c r="AG221" s="36">
        <v>145.39</v>
      </c>
      <c r="AH221" s="17" t="s">
        <v>463</v>
      </c>
      <c r="AI221" s="26">
        <v>100000.0</v>
      </c>
      <c r="AJ221" s="26">
        <v>135384.0</v>
      </c>
      <c r="AK221" s="26" t="s">
        <v>495</v>
      </c>
      <c r="AL221" s="26">
        <v>210.0</v>
      </c>
      <c r="AM221" s="26">
        <v>2195.0</v>
      </c>
      <c r="AN221" s="32"/>
      <c r="AO221" s="32"/>
      <c r="AP221" s="32"/>
      <c r="AQ221" s="32"/>
      <c r="AR221" s="32"/>
      <c r="AS221" s="32"/>
      <c r="AT221" s="26">
        <v>183.0</v>
      </c>
      <c r="AU221" s="26" t="s">
        <v>1534</v>
      </c>
      <c r="AV221" s="35">
        <v>210.0</v>
      </c>
      <c r="AW221" s="26">
        <v>210.0</v>
      </c>
      <c r="AX221" s="26">
        <v>118.0</v>
      </c>
      <c r="AY221" s="26">
        <v>645.0</v>
      </c>
      <c r="AZ221" s="37">
        <v>45539.0</v>
      </c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</row>
    <row r="222">
      <c r="A222" s="20" t="s">
        <v>1559</v>
      </c>
      <c r="B222" s="20" t="s">
        <v>1560</v>
      </c>
      <c r="C222" s="17" t="s">
        <v>1561</v>
      </c>
      <c r="D222" s="17" t="s">
        <v>506</v>
      </c>
      <c r="E222" s="34" t="s">
        <v>477</v>
      </c>
      <c r="F222" s="26" t="s">
        <v>1347</v>
      </c>
      <c r="G222" s="35">
        <v>154.0</v>
      </c>
      <c r="H222" s="17" t="s">
        <v>413</v>
      </c>
      <c r="I222" s="17" t="s">
        <v>414</v>
      </c>
      <c r="J222" s="17" t="s">
        <v>415</v>
      </c>
      <c r="L222" s="26">
        <v>5.0</v>
      </c>
      <c r="M222" s="17" t="s">
        <v>417</v>
      </c>
      <c r="N222" s="17" t="s">
        <v>418</v>
      </c>
      <c r="O222" s="26">
        <v>1400.0</v>
      </c>
      <c r="P222" s="26">
        <v>5.0</v>
      </c>
      <c r="Q222" s="26">
        <v>5.0</v>
      </c>
      <c r="R222" s="17" t="s">
        <v>419</v>
      </c>
      <c r="S222" s="17" t="s">
        <v>420</v>
      </c>
      <c r="T222" s="17" t="s">
        <v>421</v>
      </c>
      <c r="U222" s="17" t="s">
        <v>423</v>
      </c>
      <c r="V222" s="17" t="s">
        <v>1424</v>
      </c>
      <c r="W222" s="17" t="s">
        <v>403</v>
      </c>
      <c r="X222" s="17" t="s">
        <v>782</v>
      </c>
      <c r="Y222" s="17" t="s">
        <v>438</v>
      </c>
      <c r="Z222" s="17" t="s">
        <v>1562</v>
      </c>
      <c r="AA222" s="17" t="s">
        <v>440</v>
      </c>
      <c r="AB222" s="17" t="s">
        <v>1563</v>
      </c>
      <c r="AC222" s="17" t="s">
        <v>428</v>
      </c>
      <c r="AD222" s="17" t="s">
        <v>1564</v>
      </c>
      <c r="AE222" s="26">
        <v>560.0</v>
      </c>
      <c r="AF222" s="36">
        <v>59.5</v>
      </c>
      <c r="AG222" s="36">
        <v>63.9</v>
      </c>
      <c r="AH222" s="17" t="s">
        <v>463</v>
      </c>
      <c r="AI222" s="26">
        <v>61700.0</v>
      </c>
      <c r="AJ222" s="26">
        <v>61700.0</v>
      </c>
      <c r="AK222" s="26" t="s">
        <v>431</v>
      </c>
      <c r="AL222" s="26">
        <v>94.0</v>
      </c>
      <c r="AM222" s="26">
        <v>1915.0</v>
      </c>
      <c r="AN222" s="32"/>
      <c r="AO222" s="17" t="s">
        <v>422</v>
      </c>
      <c r="AP222" s="32"/>
      <c r="AQ222" s="32"/>
      <c r="AR222" s="32"/>
      <c r="AS222" s="32"/>
      <c r="AT222" s="26">
        <v>184.0</v>
      </c>
      <c r="AU222" s="26" t="s">
        <v>1565</v>
      </c>
      <c r="AV222" s="35">
        <v>154.0</v>
      </c>
      <c r="AW222" s="26">
        <v>200.0</v>
      </c>
      <c r="AX222" s="26" t="s">
        <v>1347</v>
      </c>
      <c r="AY222" s="26">
        <v>400.0</v>
      </c>
      <c r="AZ222" s="26">
        <v>4.0</v>
      </c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</row>
    <row r="223">
      <c r="A223" s="20" t="s">
        <v>1566</v>
      </c>
      <c r="B223" s="20" t="s">
        <v>1222</v>
      </c>
      <c r="C223" s="17" t="s">
        <v>1567</v>
      </c>
      <c r="D223" s="17" t="s">
        <v>843</v>
      </c>
      <c r="E223" s="34" t="s">
        <v>477</v>
      </c>
      <c r="F223" s="26">
        <v>79.0</v>
      </c>
      <c r="G223" s="35">
        <v>131.0</v>
      </c>
      <c r="H223" s="17" t="s">
        <v>413</v>
      </c>
      <c r="I223" s="17" t="s">
        <v>414</v>
      </c>
      <c r="J223" s="17" t="s">
        <v>415</v>
      </c>
      <c r="L223" s="26">
        <v>5.0</v>
      </c>
      <c r="M223" s="17" t="s">
        <v>417</v>
      </c>
      <c r="N223" s="17" t="s">
        <v>418</v>
      </c>
      <c r="O223" s="26">
        <v>1200.0</v>
      </c>
      <c r="P223" s="26">
        <v>5.0</v>
      </c>
      <c r="Q223" s="26">
        <v>5.0</v>
      </c>
      <c r="R223" s="17" t="s">
        <v>419</v>
      </c>
      <c r="S223" s="17" t="s">
        <v>420</v>
      </c>
      <c r="T223" s="17" t="s">
        <v>421</v>
      </c>
      <c r="U223" s="17" t="s">
        <v>423</v>
      </c>
      <c r="V223" s="17" t="s">
        <v>1391</v>
      </c>
      <c r="W223" s="17" t="s">
        <v>403</v>
      </c>
      <c r="X223" s="17" t="s">
        <v>493</v>
      </c>
      <c r="Y223" s="17" t="s">
        <v>438</v>
      </c>
      <c r="Z223" s="17" t="s">
        <v>598</v>
      </c>
      <c r="AA223" s="17" t="s">
        <v>440</v>
      </c>
      <c r="AB223" s="17" t="s">
        <v>1563</v>
      </c>
      <c r="AC223" s="17" t="s">
        <v>428</v>
      </c>
      <c r="AD223" s="17" t="s">
        <v>929</v>
      </c>
      <c r="AE223" s="26">
        <v>690.0</v>
      </c>
      <c r="AF223" s="36">
        <v>52.43</v>
      </c>
      <c r="AG223" s="36">
        <v>53.95</v>
      </c>
      <c r="AH223" s="26" t="s">
        <v>1568</v>
      </c>
      <c r="AI223" s="26">
        <v>56150.0</v>
      </c>
      <c r="AJ223" s="26">
        <v>56150.0</v>
      </c>
      <c r="AK223" s="26" t="s">
        <v>495</v>
      </c>
      <c r="AL223" s="26">
        <v>399.0</v>
      </c>
      <c r="AM223" s="26">
        <v>2169.0</v>
      </c>
      <c r="AN223" s="32"/>
      <c r="AO223" s="17" t="s">
        <v>422</v>
      </c>
      <c r="AP223" s="17" t="s">
        <v>483</v>
      </c>
      <c r="AQ223" s="32"/>
      <c r="AR223" s="32"/>
      <c r="AS223" s="32"/>
      <c r="AT223" s="26">
        <v>184.0</v>
      </c>
      <c r="AU223" s="26" t="s">
        <v>1565</v>
      </c>
      <c r="AV223" s="35">
        <v>131.0</v>
      </c>
      <c r="AW223" s="26">
        <v>180.0</v>
      </c>
      <c r="AX223" s="26">
        <v>79.0</v>
      </c>
      <c r="AY223" s="26">
        <v>430.0</v>
      </c>
      <c r="AZ223" s="37">
        <v>45356.0</v>
      </c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</row>
    <row r="224">
      <c r="A224" s="20" t="s">
        <v>1569</v>
      </c>
      <c r="B224" s="20" t="s">
        <v>1401</v>
      </c>
      <c r="C224" s="17" t="s">
        <v>1570</v>
      </c>
      <c r="D224" s="17" t="s">
        <v>793</v>
      </c>
      <c r="E224" s="34" t="s">
        <v>550</v>
      </c>
      <c r="F224" s="26" t="s">
        <v>1519</v>
      </c>
      <c r="G224" s="35">
        <v>110.0</v>
      </c>
      <c r="H224" s="32"/>
      <c r="I224" s="17" t="s">
        <v>414</v>
      </c>
      <c r="J224" s="17" t="s">
        <v>415</v>
      </c>
      <c r="L224" s="26">
        <v>5.0</v>
      </c>
      <c r="M224" s="17" t="s">
        <v>417</v>
      </c>
      <c r="N224" s="17" t="s">
        <v>418</v>
      </c>
      <c r="P224" s="26">
        <v>5.0</v>
      </c>
      <c r="Q224" s="26">
        <v>5.0</v>
      </c>
      <c r="R224" s="17" t="s">
        <v>419</v>
      </c>
      <c r="S224" s="17" t="s">
        <v>420</v>
      </c>
      <c r="T224" s="17" t="s">
        <v>421</v>
      </c>
      <c r="U224" s="17" t="s">
        <v>423</v>
      </c>
      <c r="V224" s="17" t="s">
        <v>1468</v>
      </c>
      <c r="W224" s="17" t="s">
        <v>403</v>
      </c>
      <c r="X224" s="17" t="s">
        <v>782</v>
      </c>
      <c r="Y224" s="17" t="s">
        <v>404</v>
      </c>
      <c r="Z224" s="17" t="s">
        <v>740</v>
      </c>
      <c r="AA224" s="17" t="s">
        <v>401</v>
      </c>
      <c r="AB224" s="17" t="s">
        <v>1563</v>
      </c>
      <c r="AC224" s="17" t="s">
        <v>428</v>
      </c>
      <c r="AD224" s="17" t="s">
        <v>1571</v>
      </c>
      <c r="AE224" s="26">
        <v>950.0</v>
      </c>
      <c r="AF224" s="36">
        <v>51.6</v>
      </c>
      <c r="AG224" s="36">
        <v>53.188</v>
      </c>
      <c r="AH224" s="17" t="s">
        <v>463</v>
      </c>
      <c r="AI224" s="26">
        <v>52394.0</v>
      </c>
      <c r="AJ224" s="26">
        <v>52394.0</v>
      </c>
      <c r="AK224" s="26" t="s">
        <v>495</v>
      </c>
      <c r="AL224" s="26">
        <v>471.0</v>
      </c>
      <c r="AM224" s="26">
        <v>2183.0</v>
      </c>
      <c r="AN224" s="17" t="s">
        <v>465</v>
      </c>
      <c r="AO224" s="17" t="s">
        <v>422</v>
      </c>
      <c r="AP224" s="32"/>
      <c r="AQ224" s="32"/>
      <c r="AR224" s="32"/>
      <c r="AS224" s="32"/>
      <c r="AT224" s="26">
        <v>184.0</v>
      </c>
      <c r="AU224" s="26" t="s">
        <v>1565</v>
      </c>
      <c r="AV224" s="35">
        <v>110.0</v>
      </c>
      <c r="AW224" s="26">
        <v>200.0</v>
      </c>
      <c r="AX224" s="26" t="s">
        <v>1519</v>
      </c>
      <c r="AY224" s="26">
        <v>475.0</v>
      </c>
      <c r="AZ224" s="37">
        <v>45295.0</v>
      </c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</row>
    <row r="225">
      <c r="A225" s="20" t="s">
        <v>1572</v>
      </c>
      <c r="B225" s="20" t="s">
        <v>1147</v>
      </c>
      <c r="C225" s="17" t="s">
        <v>1573</v>
      </c>
      <c r="D225" s="17" t="s">
        <v>487</v>
      </c>
      <c r="E225" s="34" t="s">
        <v>477</v>
      </c>
      <c r="F225" s="26">
        <v>118.0</v>
      </c>
      <c r="G225" s="35">
        <v>245.0</v>
      </c>
      <c r="H225" s="17" t="s">
        <v>413</v>
      </c>
      <c r="I225" s="17" t="s">
        <v>414</v>
      </c>
      <c r="J225" s="17" t="s">
        <v>415</v>
      </c>
      <c r="K225" s="17" t="s">
        <v>416</v>
      </c>
      <c r="L225" s="26">
        <v>5.0</v>
      </c>
      <c r="M225" s="17" t="s">
        <v>417</v>
      </c>
      <c r="N225" s="17" t="s">
        <v>418</v>
      </c>
      <c r="O225" s="26">
        <v>1700.0</v>
      </c>
      <c r="P225" s="26">
        <v>-1.0</v>
      </c>
      <c r="Q225" s="17" t="s">
        <v>419</v>
      </c>
      <c r="R225" s="17" t="s">
        <v>420</v>
      </c>
      <c r="S225" s="17" t="s">
        <v>421</v>
      </c>
      <c r="T225" s="17" t="s">
        <v>422</v>
      </c>
      <c r="U225" s="17" t="s">
        <v>423</v>
      </c>
      <c r="V225" s="17" t="s">
        <v>448</v>
      </c>
      <c r="W225" s="17" t="s">
        <v>403</v>
      </c>
      <c r="X225" s="17" t="s">
        <v>619</v>
      </c>
      <c r="Y225" s="17" t="s">
        <v>438</v>
      </c>
      <c r="Z225" s="17" t="s">
        <v>1574</v>
      </c>
      <c r="AA225" s="17" t="s">
        <v>440</v>
      </c>
      <c r="AB225" s="17" t="s">
        <v>1563</v>
      </c>
      <c r="AC225" s="17" t="s">
        <v>428</v>
      </c>
      <c r="AD225" s="17" t="s">
        <v>451</v>
      </c>
      <c r="AE225" s="26">
        <v>810.0</v>
      </c>
      <c r="AF225" s="36">
        <v>141.705</v>
      </c>
      <c r="AG225" s="36">
        <v>171.405</v>
      </c>
      <c r="AH225" s="17" t="s">
        <v>463</v>
      </c>
      <c r="AI225" s="26">
        <v>100000.0</v>
      </c>
      <c r="AJ225" s="26">
        <v>156555.0</v>
      </c>
      <c r="AK225" s="26" t="s">
        <v>495</v>
      </c>
      <c r="AL225" s="26">
        <v>284.0</v>
      </c>
      <c r="AM225" s="26">
        <v>2196.0</v>
      </c>
      <c r="AN225" s="32"/>
      <c r="AO225" s="32"/>
      <c r="AP225" s="32"/>
      <c r="AQ225" s="32"/>
      <c r="AR225" s="32"/>
      <c r="AS225" s="32"/>
      <c r="AT225" s="26">
        <v>184.0</v>
      </c>
      <c r="AU225" s="26" t="s">
        <v>1565</v>
      </c>
      <c r="AV225" s="35">
        <v>245.0</v>
      </c>
      <c r="AW225" s="26">
        <v>210.0</v>
      </c>
      <c r="AX225" s="26">
        <v>118.0</v>
      </c>
      <c r="AY225" s="26">
        <v>640.0</v>
      </c>
      <c r="AZ225" s="37">
        <v>45386.0</v>
      </c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</row>
    <row r="226">
      <c r="A226" s="20" t="s">
        <v>1575</v>
      </c>
      <c r="B226" s="20" t="s">
        <v>1576</v>
      </c>
      <c r="C226" s="17" t="s">
        <v>1577</v>
      </c>
      <c r="D226" s="17" t="s">
        <v>1012</v>
      </c>
      <c r="E226" s="34" t="s">
        <v>477</v>
      </c>
      <c r="F226" s="26" t="s">
        <v>1578</v>
      </c>
      <c r="G226" s="35">
        <v>120.0</v>
      </c>
      <c r="H226" s="32"/>
      <c r="I226" s="17" t="s">
        <v>414</v>
      </c>
      <c r="J226" s="17" t="s">
        <v>415</v>
      </c>
      <c r="K226" s="17" t="s">
        <v>416</v>
      </c>
      <c r="L226" s="26">
        <v>5.0</v>
      </c>
      <c r="M226" s="17" t="s">
        <v>417</v>
      </c>
      <c r="N226" s="32"/>
      <c r="O226" s="32"/>
      <c r="P226" s="26">
        <v>-1.0</v>
      </c>
      <c r="Q226" s="17" t="s">
        <v>419</v>
      </c>
      <c r="R226" s="17" t="s">
        <v>420</v>
      </c>
      <c r="S226" s="17" t="s">
        <v>421</v>
      </c>
      <c r="T226" s="17" t="s">
        <v>422</v>
      </c>
      <c r="U226" s="17" t="s">
        <v>423</v>
      </c>
      <c r="V226" s="17" t="s">
        <v>557</v>
      </c>
      <c r="W226" s="17" t="s">
        <v>403</v>
      </c>
      <c r="X226" s="17" t="s">
        <v>589</v>
      </c>
      <c r="Y226" s="17" t="s">
        <v>438</v>
      </c>
      <c r="Z226" s="17" t="s">
        <v>799</v>
      </c>
      <c r="AA226" s="17" t="s">
        <v>440</v>
      </c>
      <c r="AB226" s="17" t="s">
        <v>1563</v>
      </c>
      <c r="AC226" s="17" t="s">
        <v>428</v>
      </c>
      <c r="AD226" s="17" t="s">
        <v>746</v>
      </c>
      <c r="AE226" s="26">
        <v>380.0</v>
      </c>
      <c r="AF226" s="36">
        <v>41.99</v>
      </c>
      <c r="AG226" s="17" t="s">
        <v>463</v>
      </c>
      <c r="AH226" s="17" t="s">
        <v>463</v>
      </c>
      <c r="AI226" s="26">
        <v>41990.0</v>
      </c>
      <c r="AJ226" s="26">
        <v>41990.0</v>
      </c>
      <c r="AK226" s="26" t="s">
        <v>567</v>
      </c>
      <c r="AL226" s="26">
        <v>160.0</v>
      </c>
      <c r="AM226" s="26">
        <v>2245.0</v>
      </c>
      <c r="AN226" s="32"/>
      <c r="AO226" s="32"/>
      <c r="AP226" s="32"/>
      <c r="AQ226" s="32"/>
      <c r="AR226" s="32"/>
      <c r="AS226" s="32"/>
      <c r="AT226" s="26">
        <v>184.0</v>
      </c>
      <c r="AU226" s="26" t="s">
        <v>1565</v>
      </c>
      <c r="AV226" s="35">
        <v>120.0</v>
      </c>
      <c r="AW226" s="26">
        <v>170.0</v>
      </c>
      <c r="AX226" s="26" t="s">
        <v>1578</v>
      </c>
      <c r="AY226" s="26">
        <v>350.0</v>
      </c>
      <c r="AZ226" s="37">
        <v>45330.0</v>
      </c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</row>
    <row r="227">
      <c r="A227" s="20" t="s">
        <v>1579</v>
      </c>
      <c r="B227" s="20" t="s">
        <v>1576</v>
      </c>
      <c r="C227" s="17" t="s">
        <v>1580</v>
      </c>
      <c r="D227" s="17" t="s">
        <v>1012</v>
      </c>
      <c r="E227" s="34" t="s">
        <v>477</v>
      </c>
      <c r="F227" s="26" t="s">
        <v>1578</v>
      </c>
      <c r="G227" s="35">
        <v>127.0</v>
      </c>
      <c r="H227" s="32"/>
      <c r="I227" s="17" t="s">
        <v>414</v>
      </c>
      <c r="J227" s="17" t="s">
        <v>415</v>
      </c>
      <c r="K227" s="17" t="s">
        <v>416</v>
      </c>
      <c r="L227" s="26">
        <v>5.0</v>
      </c>
      <c r="M227" s="17" t="s">
        <v>417</v>
      </c>
      <c r="N227" s="32"/>
      <c r="O227" s="32"/>
      <c r="P227" s="26">
        <v>-1.0</v>
      </c>
      <c r="Q227" s="17" t="s">
        <v>419</v>
      </c>
      <c r="R227" s="17" t="s">
        <v>420</v>
      </c>
      <c r="S227" s="17" t="s">
        <v>421</v>
      </c>
      <c r="T227" s="17" t="s">
        <v>422</v>
      </c>
      <c r="U227" s="17" t="s">
        <v>423</v>
      </c>
      <c r="V227" s="17" t="s">
        <v>557</v>
      </c>
      <c r="W227" s="17" t="s">
        <v>403</v>
      </c>
      <c r="X227" s="17" t="s">
        <v>589</v>
      </c>
      <c r="Y227" s="17" t="s">
        <v>438</v>
      </c>
      <c r="Z227" s="17" t="s">
        <v>799</v>
      </c>
      <c r="AA227" s="17" t="s">
        <v>440</v>
      </c>
      <c r="AB227" s="17" t="s">
        <v>1563</v>
      </c>
      <c r="AC227" s="17" t="s">
        <v>428</v>
      </c>
      <c r="AD227" s="17" t="s">
        <v>746</v>
      </c>
      <c r="AE227" s="26">
        <v>380.0</v>
      </c>
      <c r="AF227" s="36">
        <v>44.49</v>
      </c>
      <c r="AG227" s="17" t="s">
        <v>463</v>
      </c>
      <c r="AH227" s="17" t="s">
        <v>463</v>
      </c>
      <c r="AI227" s="26">
        <v>44490.0</v>
      </c>
      <c r="AJ227" s="26">
        <v>44490.0</v>
      </c>
      <c r="AK227" s="26" t="s">
        <v>567</v>
      </c>
      <c r="AL227" s="26">
        <v>92.0</v>
      </c>
      <c r="AM227" s="26">
        <v>2246.0</v>
      </c>
      <c r="AN227" s="32"/>
      <c r="AO227" s="32"/>
      <c r="AP227" s="32"/>
      <c r="AQ227" s="32"/>
      <c r="AR227" s="32"/>
      <c r="AS227" s="32"/>
      <c r="AT227" s="26">
        <v>184.0</v>
      </c>
      <c r="AU227" s="26" t="s">
        <v>1565</v>
      </c>
      <c r="AV227" s="35">
        <v>127.0</v>
      </c>
      <c r="AW227" s="26">
        <v>170.0</v>
      </c>
      <c r="AX227" s="26" t="s">
        <v>1578</v>
      </c>
      <c r="AY227" s="26">
        <v>350.0</v>
      </c>
      <c r="AZ227" s="37">
        <v>45330.0</v>
      </c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</row>
    <row r="228">
      <c r="A228" s="20" t="s">
        <v>1581</v>
      </c>
      <c r="B228" s="20" t="s">
        <v>1338</v>
      </c>
      <c r="C228" s="17" t="s">
        <v>1582</v>
      </c>
      <c r="D228" s="17" t="s">
        <v>1340</v>
      </c>
      <c r="E228" s="34" t="s">
        <v>436</v>
      </c>
      <c r="F228" s="26">
        <v>74.0</v>
      </c>
      <c r="G228" s="35">
        <v>140.0</v>
      </c>
      <c r="H228" s="17" t="s">
        <v>413</v>
      </c>
      <c r="I228" s="17" t="s">
        <v>414</v>
      </c>
      <c r="J228" s="17" t="s">
        <v>415</v>
      </c>
      <c r="L228" s="26">
        <v>5.0</v>
      </c>
      <c r="M228" s="17" t="s">
        <v>417</v>
      </c>
      <c r="N228" s="17" t="s">
        <v>418</v>
      </c>
      <c r="O228" s="26">
        <v>1600.0</v>
      </c>
      <c r="P228" s="26">
        <v>5.0</v>
      </c>
      <c r="Q228" s="26">
        <v>5.0</v>
      </c>
      <c r="R228" s="17" t="s">
        <v>419</v>
      </c>
      <c r="S228" s="17" t="s">
        <v>420</v>
      </c>
      <c r="T228" s="17" t="s">
        <v>421</v>
      </c>
      <c r="U228" s="17" t="s">
        <v>423</v>
      </c>
      <c r="V228" s="17" t="s">
        <v>437</v>
      </c>
      <c r="W228" s="17" t="s">
        <v>403</v>
      </c>
      <c r="X228" s="17" t="s">
        <v>459</v>
      </c>
      <c r="Y228" s="17" t="s">
        <v>438</v>
      </c>
      <c r="Z228" s="17" t="s">
        <v>1562</v>
      </c>
      <c r="AA228" s="17" t="s">
        <v>440</v>
      </c>
      <c r="AB228" s="17" t="s">
        <v>1583</v>
      </c>
      <c r="AC228" s="17" t="s">
        <v>428</v>
      </c>
      <c r="AD228" s="17" t="s">
        <v>1494</v>
      </c>
      <c r="AE228" s="26">
        <v>1050.0</v>
      </c>
      <c r="AF228" s="36">
        <v>55.98</v>
      </c>
      <c r="AG228" s="17" t="s">
        <v>463</v>
      </c>
      <c r="AH228" s="17" t="s">
        <v>463</v>
      </c>
      <c r="AI228" s="26">
        <v>55980.0</v>
      </c>
      <c r="AJ228" s="26">
        <v>55980.0</v>
      </c>
      <c r="AK228" s="26" t="s">
        <v>1342</v>
      </c>
      <c r="AL228" s="26">
        <v>498.0</v>
      </c>
      <c r="AM228" s="26">
        <v>1482.0</v>
      </c>
      <c r="AN228" s="17" t="s">
        <v>465</v>
      </c>
      <c r="AO228" s="17" t="s">
        <v>422</v>
      </c>
      <c r="AP228" s="17" t="s">
        <v>483</v>
      </c>
      <c r="AQ228" s="32"/>
      <c r="AR228" s="32"/>
      <c r="AS228" s="32"/>
      <c r="AT228" s="26">
        <v>185.0</v>
      </c>
      <c r="AU228" s="26" t="s">
        <v>1584</v>
      </c>
      <c r="AV228" s="35">
        <v>140.0</v>
      </c>
      <c r="AW228" s="26">
        <v>185.0</v>
      </c>
      <c r="AX228" s="26">
        <v>74.0</v>
      </c>
      <c r="AY228" s="26">
        <v>400.0</v>
      </c>
      <c r="AZ228" s="37">
        <v>45327.0</v>
      </c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</row>
    <row r="229">
      <c r="A229" s="20" t="s">
        <v>1585</v>
      </c>
      <c r="B229" s="20" t="s">
        <v>1586</v>
      </c>
      <c r="C229" s="17" t="s">
        <v>1587</v>
      </c>
      <c r="D229" s="17" t="s">
        <v>718</v>
      </c>
      <c r="E229" s="34" t="s">
        <v>477</v>
      </c>
      <c r="F229" s="26">
        <v>49.0</v>
      </c>
      <c r="G229" s="35">
        <v>132.0</v>
      </c>
      <c r="H229" s="32"/>
      <c r="I229" s="32"/>
      <c r="J229" s="17" t="s">
        <v>415</v>
      </c>
      <c r="L229" s="26">
        <v>5.0</v>
      </c>
      <c r="M229" s="32"/>
      <c r="N229" s="17" t="s">
        <v>418</v>
      </c>
      <c r="O229" s="26">
        <v>500.0</v>
      </c>
      <c r="P229" s="26">
        <v>-1.0</v>
      </c>
      <c r="Q229" s="17" t="s">
        <v>419</v>
      </c>
      <c r="R229" s="17" t="s">
        <v>420</v>
      </c>
      <c r="S229" s="17" t="s">
        <v>421</v>
      </c>
      <c r="T229" s="17" t="s">
        <v>422</v>
      </c>
      <c r="U229" s="17" t="s">
        <v>423</v>
      </c>
      <c r="V229" s="17" t="s">
        <v>837</v>
      </c>
      <c r="W229" s="17" t="s">
        <v>403</v>
      </c>
      <c r="X229" s="17" t="s">
        <v>1588</v>
      </c>
      <c r="Y229" s="17" t="s">
        <v>438</v>
      </c>
      <c r="Z229" s="17" t="s">
        <v>1054</v>
      </c>
      <c r="AA229" s="17" t="s">
        <v>440</v>
      </c>
      <c r="AB229" s="17" t="s">
        <v>1583</v>
      </c>
      <c r="AC229" s="17" t="s">
        <v>428</v>
      </c>
      <c r="AD229" s="17" t="s">
        <v>701</v>
      </c>
      <c r="AE229" s="26">
        <v>250.0</v>
      </c>
      <c r="AF229" s="36">
        <v>33.99</v>
      </c>
      <c r="AG229" s="36">
        <v>35.885</v>
      </c>
      <c r="AH229" s="26" t="s">
        <v>1589</v>
      </c>
      <c r="AI229" s="26">
        <v>34981.0</v>
      </c>
      <c r="AJ229" s="26">
        <v>34981.0</v>
      </c>
      <c r="AK229" s="26" t="s">
        <v>724</v>
      </c>
      <c r="AL229" s="26">
        <v>467.0</v>
      </c>
      <c r="AM229" s="26">
        <v>1540.0</v>
      </c>
      <c r="AN229" s="17" t="s">
        <v>465</v>
      </c>
      <c r="AO229" s="32"/>
      <c r="AP229" s="32"/>
      <c r="AQ229" s="32"/>
      <c r="AR229" s="17" t="s">
        <v>512</v>
      </c>
      <c r="AS229" s="32"/>
      <c r="AT229" s="26">
        <v>185.0</v>
      </c>
      <c r="AU229" s="26" t="s">
        <v>1584</v>
      </c>
      <c r="AV229" s="35">
        <v>132.0</v>
      </c>
      <c r="AW229" s="26">
        <v>175.0</v>
      </c>
      <c r="AX229" s="26">
        <v>49.0</v>
      </c>
      <c r="AY229" s="26">
        <v>265.0</v>
      </c>
      <c r="AZ229" s="37">
        <v>45451.0</v>
      </c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</row>
    <row r="230">
      <c r="A230" s="20" t="s">
        <v>1590</v>
      </c>
      <c r="B230" s="20" t="s">
        <v>1586</v>
      </c>
      <c r="C230" s="17" t="s">
        <v>1591</v>
      </c>
      <c r="D230" s="17" t="s">
        <v>718</v>
      </c>
      <c r="E230" s="34" t="s">
        <v>550</v>
      </c>
      <c r="F230" s="26" t="s">
        <v>1592</v>
      </c>
      <c r="G230" s="35">
        <v>105.0</v>
      </c>
      <c r="H230" s="17" t="s">
        <v>413</v>
      </c>
      <c r="I230" s="17" t="s">
        <v>414</v>
      </c>
      <c r="J230" s="17" t="s">
        <v>415</v>
      </c>
      <c r="L230" s="26">
        <v>5.0</v>
      </c>
      <c r="M230" s="32"/>
      <c r="N230" s="17" t="s">
        <v>418</v>
      </c>
      <c r="O230" s="26">
        <v>500.0</v>
      </c>
      <c r="P230" s="26">
        <v>-1.0</v>
      </c>
      <c r="Q230" s="17" t="s">
        <v>419</v>
      </c>
      <c r="R230" s="17" t="s">
        <v>420</v>
      </c>
      <c r="S230" s="17" t="s">
        <v>421</v>
      </c>
      <c r="T230" s="17" t="s">
        <v>422</v>
      </c>
      <c r="U230" s="17" t="s">
        <v>423</v>
      </c>
      <c r="V230" s="17" t="s">
        <v>1593</v>
      </c>
      <c r="W230" s="17" t="s">
        <v>403</v>
      </c>
      <c r="X230" s="17" t="s">
        <v>1588</v>
      </c>
      <c r="Y230" s="17" t="s">
        <v>404</v>
      </c>
      <c r="Z230" s="17" t="s">
        <v>1195</v>
      </c>
      <c r="AA230" s="17" t="s">
        <v>401</v>
      </c>
      <c r="AB230" s="17" t="s">
        <v>1583</v>
      </c>
      <c r="AC230" s="17" t="s">
        <v>428</v>
      </c>
      <c r="AD230" s="17" t="s">
        <v>583</v>
      </c>
      <c r="AE230" s="26">
        <v>420.0</v>
      </c>
      <c r="AF230" s="36">
        <v>37.99</v>
      </c>
      <c r="AG230" s="36">
        <v>40.185</v>
      </c>
      <c r="AH230" s="26" t="s">
        <v>823</v>
      </c>
      <c r="AI230" s="26">
        <v>38706.0</v>
      </c>
      <c r="AJ230" s="26">
        <v>38706.0</v>
      </c>
      <c r="AK230" s="26" t="s">
        <v>724</v>
      </c>
      <c r="AL230" s="26">
        <v>882.0</v>
      </c>
      <c r="AM230" s="26">
        <v>1541.0</v>
      </c>
      <c r="AN230" s="17" t="s">
        <v>465</v>
      </c>
      <c r="AO230" s="32"/>
      <c r="AP230" s="32"/>
      <c r="AQ230" s="32"/>
      <c r="AR230" s="17" t="s">
        <v>512</v>
      </c>
      <c r="AS230" s="32"/>
      <c r="AT230" s="26">
        <v>185.0</v>
      </c>
      <c r="AU230" s="26" t="s">
        <v>1584</v>
      </c>
      <c r="AV230" s="35">
        <v>105.0</v>
      </c>
      <c r="AW230" s="26">
        <v>175.0</v>
      </c>
      <c r="AX230" s="26" t="s">
        <v>1592</v>
      </c>
      <c r="AY230" s="26">
        <v>370.0</v>
      </c>
      <c r="AZ230" s="37">
        <v>45390.0</v>
      </c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</row>
    <row r="231">
      <c r="A231" s="20" t="s">
        <v>1594</v>
      </c>
      <c r="B231" s="20" t="s">
        <v>1595</v>
      </c>
      <c r="C231" s="17" t="s">
        <v>1596</v>
      </c>
      <c r="D231" s="17" t="s">
        <v>1461</v>
      </c>
      <c r="E231" s="34" t="s">
        <v>477</v>
      </c>
      <c r="F231" s="26">
        <v>62.0</v>
      </c>
      <c r="G231" s="35">
        <v>126.0</v>
      </c>
      <c r="H231" s="32"/>
      <c r="I231" s="17" t="s">
        <v>414</v>
      </c>
      <c r="J231" s="17" t="s">
        <v>415</v>
      </c>
      <c r="L231" s="26">
        <v>5.0</v>
      </c>
      <c r="M231" s="17" t="s">
        <v>417</v>
      </c>
      <c r="N231" s="17" t="s">
        <v>418</v>
      </c>
      <c r="O231" s="26">
        <v>1600.0</v>
      </c>
      <c r="P231" s="26">
        <v>5.0</v>
      </c>
      <c r="Q231" s="26">
        <v>5.0</v>
      </c>
      <c r="R231" s="17" t="s">
        <v>419</v>
      </c>
      <c r="S231" s="17" t="s">
        <v>420</v>
      </c>
      <c r="T231" s="17" t="s">
        <v>421</v>
      </c>
      <c r="U231" s="17" t="s">
        <v>423</v>
      </c>
      <c r="V231" s="17" t="s">
        <v>732</v>
      </c>
      <c r="W231" s="17" t="s">
        <v>403</v>
      </c>
      <c r="X231" s="17" t="s">
        <v>493</v>
      </c>
      <c r="Y231" s="17" t="s">
        <v>438</v>
      </c>
      <c r="Z231" s="17" t="s">
        <v>460</v>
      </c>
      <c r="AA231" s="17" t="s">
        <v>440</v>
      </c>
      <c r="AB231" s="17" t="s">
        <v>1583</v>
      </c>
      <c r="AC231" s="17" t="s">
        <v>428</v>
      </c>
      <c r="AD231" s="17" t="s">
        <v>901</v>
      </c>
      <c r="AE231" s="26">
        <v>520.0</v>
      </c>
      <c r="AF231" s="36">
        <v>42.49</v>
      </c>
      <c r="AG231" s="36">
        <v>42.4</v>
      </c>
      <c r="AH231" s="26" t="s">
        <v>1597</v>
      </c>
      <c r="AI231" s="26">
        <v>42077.0</v>
      </c>
      <c r="AJ231" s="26">
        <v>42077.0</v>
      </c>
      <c r="AK231" s="26" t="s">
        <v>552</v>
      </c>
      <c r="AL231" s="26">
        <v>579.0</v>
      </c>
      <c r="AM231" s="26">
        <v>1667.0</v>
      </c>
      <c r="AN231" s="17" t="s">
        <v>465</v>
      </c>
      <c r="AO231" s="17" t="s">
        <v>422</v>
      </c>
      <c r="AP231" s="32"/>
      <c r="AQ231" s="32"/>
      <c r="AR231" s="17" t="s">
        <v>512</v>
      </c>
      <c r="AS231" s="32"/>
      <c r="AT231" s="26">
        <v>185.0</v>
      </c>
      <c r="AU231" s="26" t="s">
        <v>1584</v>
      </c>
      <c r="AV231" s="35">
        <v>126.0</v>
      </c>
      <c r="AW231" s="26">
        <v>180.0</v>
      </c>
      <c r="AX231" s="26">
        <v>62.0</v>
      </c>
      <c r="AY231" s="26">
        <v>335.0</v>
      </c>
      <c r="AZ231" s="37">
        <v>45479.0</v>
      </c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</row>
    <row r="232">
      <c r="A232" s="20" t="s">
        <v>1598</v>
      </c>
      <c r="B232" s="20" t="s">
        <v>1599</v>
      </c>
      <c r="C232" s="17" t="s">
        <v>1600</v>
      </c>
      <c r="D232" s="17" t="s">
        <v>541</v>
      </c>
      <c r="E232" s="34" t="s">
        <v>550</v>
      </c>
      <c r="F232" s="26" t="s">
        <v>1601</v>
      </c>
      <c r="G232" s="35">
        <v>130.0</v>
      </c>
      <c r="H232" s="32"/>
      <c r="I232" s="17" t="s">
        <v>414</v>
      </c>
      <c r="J232" s="17" t="s">
        <v>415</v>
      </c>
      <c r="L232" s="26">
        <v>5.0</v>
      </c>
      <c r="M232" s="32"/>
      <c r="N232" s="32"/>
      <c r="O232" s="32"/>
      <c r="P232" s="26">
        <v>-1.0</v>
      </c>
      <c r="Q232" s="17" t="s">
        <v>419</v>
      </c>
      <c r="R232" s="17" t="s">
        <v>420</v>
      </c>
      <c r="S232" s="17" t="s">
        <v>421</v>
      </c>
      <c r="T232" s="17" t="s">
        <v>422</v>
      </c>
      <c r="U232" s="17" t="s">
        <v>423</v>
      </c>
      <c r="V232" s="17" t="s">
        <v>851</v>
      </c>
      <c r="W232" s="17" t="s">
        <v>403</v>
      </c>
      <c r="X232" s="17" t="s">
        <v>581</v>
      </c>
      <c r="Y232" s="17" t="s">
        <v>404</v>
      </c>
      <c r="Z232" s="17" t="s">
        <v>460</v>
      </c>
      <c r="AA232" s="17" t="s">
        <v>401</v>
      </c>
      <c r="AB232" s="17" t="s">
        <v>1583</v>
      </c>
      <c r="AC232" s="17" t="s">
        <v>428</v>
      </c>
      <c r="AD232" s="17" t="s">
        <v>1602</v>
      </c>
      <c r="AE232" s="26">
        <v>300.0</v>
      </c>
      <c r="AF232" s="36">
        <v>38.99</v>
      </c>
      <c r="AG232" s="36">
        <v>46.149</v>
      </c>
      <c r="AH232" s="26" t="s">
        <v>806</v>
      </c>
      <c r="AI232" s="26">
        <v>43711.0</v>
      </c>
      <c r="AJ232" s="26">
        <v>43711.0</v>
      </c>
      <c r="AK232" s="26" t="s">
        <v>431</v>
      </c>
      <c r="AL232" s="26">
        <v>902.0</v>
      </c>
      <c r="AM232" s="26">
        <v>1940.0</v>
      </c>
      <c r="AN232" s="32"/>
      <c r="AO232" s="32"/>
      <c r="AP232" s="32"/>
      <c r="AQ232" s="32"/>
      <c r="AR232" s="17" t="s">
        <v>512</v>
      </c>
      <c r="AS232" s="32"/>
      <c r="AT232" s="26">
        <v>185.0</v>
      </c>
      <c r="AU232" s="26" t="s">
        <v>1584</v>
      </c>
      <c r="AV232" s="35">
        <v>130.0</v>
      </c>
      <c r="AW232" s="26">
        <v>160.0</v>
      </c>
      <c r="AX232" s="26" t="s">
        <v>1601</v>
      </c>
      <c r="AY232" s="26">
        <v>335.0</v>
      </c>
      <c r="AZ232" s="37">
        <v>45450.0</v>
      </c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</row>
    <row r="233">
      <c r="A233" s="20" t="s">
        <v>1603</v>
      </c>
      <c r="B233" s="20" t="s">
        <v>1604</v>
      </c>
      <c r="C233" s="17" t="s">
        <v>1605</v>
      </c>
      <c r="D233" s="17" t="s">
        <v>835</v>
      </c>
      <c r="E233" s="34" t="s">
        <v>550</v>
      </c>
      <c r="F233" s="26">
        <v>62.0</v>
      </c>
      <c r="G233" s="35">
        <v>153.0</v>
      </c>
      <c r="H233" s="32"/>
      <c r="I233" s="17" t="s">
        <v>414</v>
      </c>
      <c r="J233" s="17" t="s">
        <v>415</v>
      </c>
      <c r="L233" s="26">
        <v>5.0</v>
      </c>
      <c r="M233" s="17" t="s">
        <v>417</v>
      </c>
      <c r="N233" s="17" t="s">
        <v>418</v>
      </c>
      <c r="O233" s="26">
        <v>1600.0</v>
      </c>
      <c r="P233" s="26">
        <v>5.0</v>
      </c>
      <c r="Q233" s="26">
        <v>5.0</v>
      </c>
      <c r="R233" s="17" t="s">
        <v>419</v>
      </c>
      <c r="S233" s="17" t="s">
        <v>420</v>
      </c>
      <c r="T233" s="17" t="s">
        <v>421</v>
      </c>
      <c r="U233" s="17" t="s">
        <v>423</v>
      </c>
      <c r="V233" s="17" t="s">
        <v>991</v>
      </c>
      <c r="W233" s="17" t="s">
        <v>403</v>
      </c>
      <c r="X233" s="17" t="s">
        <v>493</v>
      </c>
      <c r="Y233" s="17" t="s">
        <v>404</v>
      </c>
      <c r="Z233" s="17" t="s">
        <v>460</v>
      </c>
      <c r="AA233" s="17" t="s">
        <v>401</v>
      </c>
      <c r="AB233" s="17" t="s">
        <v>1583</v>
      </c>
      <c r="AC233" s="17" t="s">
        <v>428</v>
      </c>
      <c r="AD233" s="17" t="s">
        <v>901</v>
      </c>
      <c r="AE233" s="26">
        <v>520.0</v>
      </c>
      <c r="AF233" s="36">
        <v>50.99</v>
      </c>
      <c r="AG233" s="36">
        <v>50.895</v>
      </c>
      <c r="AH233" s="26" t="s">
        <v>1606</v>
      </c>
      <c r="AI233" s="26">
        <v>51384.0</v>
      </c>
      <c r="AJ233" s="26">
        <v>51384.0</v>
      </c>
      <c r="AK233" s="26" t="s">
        <v>777</v>
      </c>
      <c r="AL233" s="26">
        <v>460.0</v>
      </c>
      <c r="AM233" s="26">
        <v>2000.0</v>
      </c>
      <c r="AN233" s="17" t="s">
        <v>465</v>
      </c>
      <c r="AO233" s="17" t="s">
        <v>422</v>
      </c>
      <c r="AP233" s="32"/>
      <c r="AQ233" s="32"/>
      <c r="AR233" s="17" t="s">
        <v>512</v>
      </c>
      <c r="AS233" s="32"/>
      <c r="AT233" s="26">
        <v>185.0</v>
      </c>
      <c r="AU233" s="26" t="s">
        <v>1584</v>
      </c>
      <c r="AV233" s="35">
        <v>153.0</v>
      </c>
      <c r="AW233" s="26">
        <v>180.0</v>
      </c>
      <c r="AX233" s="26">
        <v>62.0</v>
      </c>
      <c r="AY233" s="26">
        <v>335.0</v>
      </c>
      <c r="AZ233" s="37">
        <v>45476.0</v>
      </c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</row>
    <row r="234">
      <c r="A234" s="20" t="s">
        <v>1607</v>
      </c>
      <c r="B234" s="20" t="s">
        <v>1169</v>
      </c>
      <c r="C234" s="17" t="s">
        <v>1608</v>
      </c>
      <c r="D234" s="17" t="s">
        <v>410</v>
      </c>
      <c r="E234" s="34" t="s">
        <v>477</v>
      </c>
      <c r="F234" s="26" t="s">
        <v>1171</v>
      </c>
      <c r="G234" s="35">
        <v>118.0</v>
      </c>
      <c r="H234" s="32"/>
      <c r="I234" s="17" t="s">
        <v>414</v>
      </c>
      <c r="J234" s="17" t="s">
        <v>415</v>
      </c>
      <c r="K234" s="17" t="s">
        <v>416</v>
      </c>
      <c r="L234" s="26">
        <v>5.0</v>
      </c>
      <c r="M234" s="17" t="s">
        <v>417</v>
      </c>
      <c r="N234" s="32"/>
      <c r="O234" s="32"/>
      <c r="P234" s="26">
        <v>5.0</v>
      </c>
      <c r="Q234" s="26">
        <v>5.0</v>
      </c>
      <c r="R234" s="17" t="s">
        <v>419</v>
      </c>
      <c r="S234" s="17" t="s">
        <v>420</v>
      </c>
      <c r="T234" s="17" t="s">
        <v>421</v>
      </c>
      <c r="U234" s="17" t="s">
        <v>423</v>
      </c>
      <c r="V234" s="17" t="s">
        <v>1249</v>
      </c>
      <c r="W234" s="17" t="s">
        <v>403</v>
      </c>
      <c r="X234" s="17" t="s">
        <v>493</v>
      </c>
      <c r="Y234" s="17" t="s">
        <v>438</v>
      </c>
      <c r="Z234" s="17" t="s">
        <v>1025</v>
      </c>
      <c r="AA234" s="17" t="s">
        <v>440</v>
      </c>
      <c r="AB234" s="17" t="s">
        <v>1583</v>
      </c>
      <c r="AC234" s="17" t="s">
        <v>428</v>
      </c>
      <c r="AD234" s="17" t="s">
        <v>482</v>
      </c>
      <c r="AE234" s="26">
        <v>490.0</v>
      </c>
      <c r="AF234" s="36">
        <v>50.99</v>
      </c>
      <c r="AG234" s="36">
        <v>50.99</v>
      </c>
      <c r="AH234" s="26" t="s">
        <v>1609</v>
      </c>
      <c r="AI234" s="26">
        <v>52659.0</v>
      </c>
      <c r="AJ234" s="26">
        <v>52659.0</v>
      </c>
      <c r="AK234" s="26" t="s">
        <v>431</v>
      </c>
      <c r="AL234" s="26">
        <v>2523.0</v>
      </c>
      <c r="AM234" s="26">
        <v>2002.0</v>
      </c>
      <c r="AN234" s="17" t="s">
        <v>465</v>
      </c>
      <c r="AO234" s="17" t="s">
        <v>422</v>
      </c>
      <c r="AP234" s="32"/>
      <c r="AQ234" s="32"/>
      <c r="AR234" s="32"/>
      <c r="AS234" s="32"/>
      <c r="AT234" s="26">
        <v>185.0</v>
      </c>
      <c r="AU234" s="26" t="s">
        <v>1584</v>
      </c>
      <c r="AV234" s="35">
        <v>118.0</v>
      </c>
      <c r="AW234" s="26">
        <v>180.0</v>
      </c>
      <c r="AX234" s="26" t="s">
        <v>1171</v>
      </c>
      <c r="AY234" s="26">
        <v>445.0</v>
      </c>
      <c r="AZ234" s="37">
        <v>45507.0</v>
      </c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</row>
    <row r="235">
      <c r="A235" s="20" t="s">
        <v>1610</v>
      </c>
      <c r="B235" s="20" t="s">
        <v>1595</v>
      </c>
      <c r="C235" s="17" t="s">
        <v>1611</v>
      </c>
      <c r="D235" s="17" t="s">
        <v>541</v>
      </c>
      <c r="E235" s="34" t="s">
        <v>477</v>
      </c>
      <c r="F235" s="26">
        <v>62.0</v>
      </c>
      <c r="G235" s="35">
        <v>135.0</v>
      </c>
      <c r="H235" s="32"/>
      <c r="I235" s="17" t="s">
        <v>414</v>
      </c>
      <c r="J235" s="17" t="s">
        <v>415</v>
      </c>
      <c r="L235" s="26">
        <v>5.0</v>
      </c>
      <c r="M235" s="17" t="s">
        <v>417</v>
      </c>
      <c r="N235" s="17" t="s">
        <v>418</v>
      </c>
      <c r="O235" s="26">
        <v>1600.0</v>
      </c>
      <c r="P235" s="26">
        <v>5.0</v>
      </c>
      <c r="Q235" s="26">
        <v>5.0</v>
      </c>
      <c r="R235" s="17" t="s">
        <v>419</v>
      </c>
      <c r="S235" s="17" t="s">
        <v>420</v>
      </c>
      <c r="T235" s="17" t="s">
        <v>421</v>
      </c>
      <c r="U235" s="17" t="s">
        <v>423</v>
      </c>
      <c r="V235" s="17" t="s">
        <v>732</v>
      </c>
      <c r="W235" s="17" t="s">
        <v>403</v>
      </c>
      <c r="X235" s="17" t="s">
        <v>493</v>
      </c>
      <c r="Y235" s="17" t="s">
        <v>438</v>
      </c>
      <c r="Z235" s="17" t="s">
        <v>460</v>
      </c>
      <c r="AA235" s="17" t="s">
        <v>440</v>
      </c>
      <c r="AB235" s="17" t="s">
        <v>1583</v>
      </c>
      <c r="AC235" s="17" t="s">
        <v>428</v>
      </c>
      <c r="AD235" s="17" t="s">
        <v>901</v>
      </c>
      <c r="AE235" s="26">
        <v>520.0</v>
      </c>
      <c r="AF235" s="36">
        <v>44.99</v>
      </c>
      <c r="AG235" s="36">
        <v>45.4</v>
      </c>
      <c r="AH235" s="26" t="s">
        <v>1612</v>
      </c>
      <c r="AI235" s="26">
        <v>45060.0</v>
      </c>
      <c r="AJ235" s="26">
        <v>45060.0</v>
      </c>
      <c r="AK235" s="26" t="s">
        <v>431</v>
      </c>
      <c r="AL235" s="26">
        <v>171.0</v>
      </c>
      <c r="AM235" s="26">
        <v>2053.0</v>
      </c>
      <c r="AN235" s="17" t="s">
        <v>465</v>
      </c>
      <c r="AO235" s="17" t="s">
        <v>422</v>
      </c>
      <c r="AP235" s="32"/>
      <c r="AQ235" s="32"/>
      <c r="AR235" s="17" t="s">
        <v>512</v>
      </c>
      <c r="AS235" s="32"/>
      <c r="AT235" s="26">
        <v>185.0</v>
      </c>
      <c r="AU235" s="26" t="s">
        <v>1584</v>
      </c>
      <c r="AV235" s="35">
        <v>135.0</v>
      </c>
      <c r="AW235" s="26">
        <v>180.0</v>
      </c>
      <c r="AX235" s="26">
        <v>62.0</v>
      </c>
      <c r="AY235" s="26">
        <v>335.0</v>
      </c>
      <c r="AZ235" s="37">
        <v>45479.0</v>
      </c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</row>
    <row r="236">
      <c r="A236" s="20" t="s">
        <v>1613</v>
      </c>
      <c r="B236" s="20" t="s">
        <v>904</v>
      </c>
      <c r="C236" s="17" t="s">
        <v>1614</v>
      </c>
      <c r="D236" s="17" t="s">
        <v>781</v>
      </c>
      <c r="E236" s="34" t="s">
        <v>477</v>
      </c>
      <c r="F236" s="26">
        <v>97.0</v>
      </c>
      <c r="G236" s="35">
        <v>390.0</v>
      </c>
      <c r="H236" s="17" t="s">
        <v>413</v>
      </c>
      <c r="I236" s="17" t="s">
        <v>414</v>
      </c>
      <c r="J236" s="17" t="s">
        <v>415</v>
      </c>
      <c r="K236" s="17" t="s">
        <v>416</v>
      </c>
      <c r="L236" s="26">
        <v>5.0</v>
      </c>
      <c r="M236" s="17" t="s">
        <v>417</v>
      </c>
      <c r="N236" s="32"/>
      <c r="O236" s="32"/>
      <c r="P236" s="26">
        <v>-1.0</v>
      </c>
      <c r="Q236" s="17" t="s">
        <v>419</v>
      </c>
      <c r="R236" s="17" t="s">
        <v>420</v>
      </c>
      <c r="S236" s="17" t="s">
        <v>421</v>
      </c>
      <c r="T236" s="17" t="s">
        <v>422</v>
      </c>
      <c r="U236" s="17" t="s">
        <v>423</v>
      </c>
      <c r="V236" s="17" t="s">
        <v>1615</v>
      </c>
      <c r="W236" s="17" t="s">
        <v>403</v>
      </c>
      <c r="X236" s="17" t="s">
        <v>1483</v>
      </c>
      <c r="Y236" s="17" t="s">
        <v>438</v>
      </c>
      <c r="Z236" s="17" t="s">
        <v>449</v>
      </c>
      <c r="AA236" s="17" t="s">
        <v>440</v>
      </c>
      <c r="AB236" s="17" t="s">
        <v>1583</v>
      </c>
      <c r="AC236" s="17" t="s">
        <v>428</v>
      </c>
      <c r="AD236" s="17" t="s">
        <v>1616</v>
      </c>
      <c r="AE236" s="26">
        <v>1220.0</v>
      </c>
      <c r="AF236" s="36">
        <v>209.9</v>
      </c>
      <c r="AG236" s="36">
        <v>218.9</v>
      </c>
      <c r="AH236" s="26" t="s">
        <v>1617</v>
      </c>
      <c r="AI236" s="26">
        <v>100000.0</v>
      </c>
      <c r="AJ236" s="26">
        <v>204803.0</v>
      </c>
      <c r="AK236" s="26" t="s">
        <v>495</v>
      </c>
      <c r="AL236" s="26">
        <v>164.0</v>
      </c>
      <c r="AM236" s="26">
        <v>2103.0</v>
      </c>
      <c r="AN236" s="32"/>
      <c r="AO236" s="32"/>
      <c r="AP236" s="32"/>
      <c r="AQ236" s="32"/>
      <c r="AR236" s="32"/>
      <c r="AS236" s="32"/>
      <c r="AT236" s="26">
        <v>185.0</v>
      </c>
      <c r="AU236" s="26" t="s">
        <v>1584</v>
      </c>
      <c r="AV236" s="35">
        <v>390.0</v>
      </c>
      <c r="AW236" s="26">
        <v>260.0</v>
      </c>
      <c r="AX236" s="26">
        <v>97.0</v>
      </c>
      <c r="AY236" s="26">
        <v>525.0</v>
      </c>
      <c r="AZ236" s="37">
        <v>45384.0</v>
      </c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</row>
    <row r="237">
      <c r="A237" s="20" t="s">
        <v>1618</v>
      </c>
      <c r="B237" s="20" t="s">
        <v>1595</v>
      </c>
      <c r="C237" s="17" t="s">
        <v>1619</v>
      </c>
      <c r="D237" s="17" t="s">
        <v>565</v>
      </c>
      <c r="E237" s="34" t="s">
        <v>477</v>
      </c>
      <c r="F237" s="26">
        <v>62.0</v>
      </c>
      <c r="G237" s="35">
        <v>119.0</v>
      </c>
      <c r="H237" s="32"/>
      <c r="I237" s="17" t="s">
        <v>414</v>
      </c>
      <c r="J237" s="17" t="s">
        <v>415</v>
      </c>
      <c r="L237" s="26">
        <v>5.0</v>
      </c>
      <c r="M237" s="17" t="s">
        <v>417</v>
      </c>
      <c r="N237" s="17" t="s">
        <v>418</v>
      </c>
      <c r="O237" s="26">
        <v>1600.0</v>
      </c>
      <c r="P237" s="26">
        <v>5.0</v>
      </c>
      <c r="Q237" s="26">
        <v>5.0</v>
      </c>
      <c r="R237" s="17" t="s">
        <v>419</v>
      </c>
      <c r="S237" s="17" t="s">
        <v>420</v>
      </c>
      <c r="T237" s="17" t="s">
        <v>421</v>
      </c>
      <c r="U237" s="17" t="s">
        <v>423</v>
      </c>
      <c r="V237" s="17" t="s">
        <v>732</v>
      </c>
      <c r="W237" s="17" t="s">
        <v>403</v>
      </c>
      <c r="X237" s="17" t="s">
        <v>493</v>
      </c>
      <c r="Y237" s="17" t="s">
        <v>438</v>
      </c>
      <c r="Z237" s="17" t="s">
        <v>460</v>
      </c>
      <c r="AA237" s="17" t="s">
        <v>440</v>
      </c>
      <c r="AB237" s="17" t="s">
        <v>1583</v>
      </c>
      <c r="AC237" s="17" t="s">
        <v>428</v>
      </c>
      <c r="AD237" s="17" t="s">
        <v>901</v>
      </c>
      <c r="AE237" s="26">
        <v>520.0</v>
      </c>
      <c r="AF237" s="36">
        <v>39.99</v>
      </c>
      <c r="AG237" s="36">
        <v>39.9</v>
      </c>
      <c r="AH237" s="17" t="s">
        <v>463</v>
      </c>
      <c r="AI237" s="26">
        <v>39945.0</v>
      </c>
      <c r="AJ237" s="26">
        <v>39945.0</v>
      </c>
      <c r="AK237" s="26" t="s">
        <v>567</v>
      </c>
      <c r="AL237" s="26">
        <v>109.0</v>
      </c>
      <c r="AM237" s="26">
        <v>2218.0</v>
      </c>
      <c r="AN237" s="17" t="s">
        <v>465</v>
      </c>
      <c r="AO237" s="17" t="s">
        <v>422</v>
      </c>
      <c r="AP237" s="32"/>
      <c r="AQ237" s="32"/>
      <c r="AR237" s="17" t="s">
        <v>512</v>
      </c>
      <c r="AS237" s="32"/>
      <c r="AT237" s="26">
        <v>185.0</v>
      </c>
      <c r="AU237" s="26" t="s">
        <v>1584</v>
      </c>
      <c r="AV237" s="35">
        <v>119.0</v>
      </c>
      <c r="AW237" s="26">
        <v>180.0</v>
      </c>
      <c r="AX237" s="26">
        <v>62.0</v>
      </c>
      <c r="AY237" s="26">
        <v>335.0</v>
      </c>
      <c r="AZ237" s="37">
        <v>45479.0</v>
      </c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</row>
    <row r="238">
      <c r="A238" s="20" t="s">
        <v>1620</v>
      </c>
      <c r="B238" s="20" t="s">
        <v>1621</v>
      </c>
      <c r="C238" s="17" t="s">
        <v>1622</v>
      </c>
      <c r="D238" s="17" t="s">
        <v>565</v>
      </c>
      <c r="E238" s="34" t="s">
        <v>550</v>
      </c>
      <c r="F238" s="26">
        <v>97.0</v>
      </c>
      <c r="G238" s="35">
        <v>282.0</v>
      </c>
      <c r="H238" s="32"/>
      <c r="I238" s="17" t="s">
        <v>414</v>
      </c>
      <c r="J238" s="17" t="s">
        <v>415</v>
      </c>
      <c r="K238" s="17" t="s">
        <v>416</v>
      </c>
      <c r="L238" s="26">
        <v>4.0</v>
      </c>
      <c r="M238" s="17" t="s">
        <v>417</v>
      </c>
      <c r="N238" s="32"/>
      <c r="O238" s="32"/>
      <c r="P238" s="26">
        <v>-1.0</v>
      </c>
      <c r="Q238" s="17" t="s">
        <v>419</v>
      </c>
      <c r="R238" s="17" t="s">
        <v>420</v>
      </c>
      <c r="S238" s="17" t="s">
        <v>421</v>
      </c>
      <c r="T238" s="17" t="s">
        <v>422</v>
      </c>
      <c r="U238" s="17" t="s">
        <v>423</v>
      </c>
      <c r="V238" s="17" t="s">
        <v>1623</v>
      </c>
      <c r="W238" s="17" t="s">
        <v>403</v>
      </c>
      <c r="X238" s="17" t="s">
        <v>701</v>
      </c>
      <c r="Y238" s="17" t="s">
        <v>404</v>
      </c>
      <c r="Z238" s="17" t="s">
        <v>449</v>
      </c>
      <c r="AA238" s="17" t="s">
        <v>401</v>
      </c>
      <c r="AB238" s="17" t="s">
        <v>1583</v>
      </c>
      <c r="AC238" s="17" t="s">
        <v>428</v>
      </c>
      <c r="AD238" s="17" t="s">
        <v>1616</v>
      </c>
      <c r="AE238" s="26">
        <v>1220.0</v>
      </c>
      <c r="AF238" s="36">
        <v>147.5</v>
      </c>
      <c r="AG238" s="36">
        <v>151.99</v>
      </c>
      <c r="AH238" s="26" t="s">
        <v>1624</v>
      </c>
      <c r="AI238" s="26">
        <v>100000.0</v>
      </c>
      <c r="AJ238" s="26">
        <v>148256.0</v>
      </c>
      <c r="AK238" s="26" t="s">
        <v>567</v>
      </c>
      <c r="AL238" s="26">
        <v>162.0</v>
      </c>
      <c r="AM238" s="26">
        <v>2220.0</v>
      </c>
      <c r="AN238" s="32"/>
      <c r="AO238" s="32"/>
      <c r="AP238" s="32"/>
      <c r="AQ238" s="32"/>
      <c r="AR238" s="32"/>
      <c r="AS238" s="32"/>
      <c r="AT238" s="26">
        <v>185.0</v>
      </c>
      <c r="AU238" s="26" t="s">
        <v>1584</v>
      </c>
      <c r="AV238" s="35">
        <v>282.0</v>
      </c>
      <c r="AW238" s="26">
        <v>250.0</v>
      </c>
      <c r="AX238" s="26">
        <v>97.0</v>
      </c>
      <c r="AY238" s="26">
        <v>525.0</v>
      </c>
      <c r="AZ238" s="37">
        <v>45506.0</v>
      </c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</row>
    <row r="239">
      <c r="A239" s="20" t="s">
        <v>1625</v>
      </c>
      <c r="B239" s="20" t="s">
        <v>1626</v>
      </c>
      <c r="C239" s="17" t="s">
        <v>1627</v>
      </c>
      <c r="D239" s="17" t="s">
        <v>565</v>
      </c>
      <c r="E239" s="34" t="s">
        <v>477</v>
      </c>
      <c r="F239" s="26">
        <v>97.0</v>
      </c>
      <c r="G239" s="35">
        <v>311.0</v>
      </c>
      <c r="H239" s="32"/>
      <c r="I239" s="17" t="s">
        <v>414</v>
      </c>
      <c r="J239" s="17" t="s">
        <v>415</v>
      </c>
      <c r="K239" s="17" t="s">
        <v>416</v>
      </c>
      <c r="L239" s="26">
        <v>4.0</v>
      </c>
      <c r="M239" s="17" t="s">
        <v>417</v>
      </c>
      <c r="N239" s="32"/>
      <c r="O239" s="32"/>
      <c r="P239" s="26">
        <v>-1.0</v>
      </c>
      <c r="Q239" s="17" t="s">
        <v>419</v>
      </c>
      <c r="R239" s="17" t="s">
        <v>420</v>
      </c>
      <c r="S239" s="17" t="s">
        <v>421</v>
      </c>
      <c r="T239" s="17" t="s">
        <v>422</v>
      </c>
      <c r="U239" s="17" t="s">
        <v>423</v>
      </c>
      <c r="V239" s="17" t="s">
        <v>1628</v>
      </c>
      <c r="W239" s="17" t="s">
        <v>403</v>
      </c>
      <c r="X239" s="17" t="s">
        <v>701</v>
      </c>
      <c r="Y239" s="17" t="s">
        <v>438</v>
      </c>
      <c r="Z239" s="17" t="s">
        <v>449</v>
      </c>
      <c r="AA239" s="17" t="s">
        <v>440</v>
      </c>
      <c r="AB239" s="17" t="s">
        <v>1583</v>
      </c>
      <c r="AC239" s="17" t="s">
        <v>428</v>
      </c>
      <c r="AD239" s="17" t="s">
        <v>1616</v>
      </c>
      <c r="AE239" s="26">
        <v>1220.0</v>
      </c>
      <c r="AF239" s="36">
        <v>160.5</v>
      </c>
      <c r="AG239" s="36">
        <v>164.99</v>
      </c>
      <c r="AH239" s="26" t="s">
        <v>1629</v>
      </c>
      <c r="AI239" s="26">
        <v>100000.0</v>
      </c>
      <c r="AJ239" s="26">
        <v>163248.0</v>
      </c>
      <c r="AK239" s="26" t="s">
        <v>567</v>
      </c>
      <c r="AL239" s="26">
        <v>222.0</v>
      </c>
      <c r="AM239" s="26">
        <v>2221.0</v>
      </c>
      <c r="AN239" s="32"/>
      <c r="AO239" s="32"/>
      <c r="AP239" s="32"/>
      <c r="AQ239" s="32"/>
      <c r="AR239" s="32"/>
      <c r="AS239" s="32"/>
      <c r="AT239" s="26">
        <v>185.0</v>
      </c>
      <c r="AU239" s="26" t="s">
        <v>1584</v>
      </c>
      <c r="AV239" s="35">
        <v>311.0</v>
      </c>
      <c r="AW239" s="26">
        <v>250.0</v>
      </c>
      <c r="AX239" s="26">
        <v>97.0</v>
      </c>
      <c r="AY239" s="26">
        <v>525.0</v>
      </c>
      <c r="AZ239" s="37">
        <v>45414.0</v>
      </c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</row>
    <row r="240">
      <c r="A240" s="20" t="s">
        <v>1630</v>
      </c>
      <c r="B240" s="20" t="s">
        <v>1631</v>
      </c>
      <c r="C240" s="17" t="s">
        <v>1632</v>
      </c>
      <c r="E240" s="34" t="s">
        <v>477</v>
      </c>
      <c r="F240" s="26" t="s">
        <v>618</v>
      </c>
      <c r="G240" s="35">
        <v>167.0</v>
      </c>
      <c r="H240" s="17" t="s">
        <v>413</v>
      </c>
      <c r="I240" s="17" t="s">
        <v>414</v>
      </c>
      <c r="J240" s="17" t="s">
        <v>415</v>
      </c>
      <c r="L240" s="26">
        <v>5.0</v>
      </c>
      <c r="M240" s="17" t="s">
        <v>417</v>
      </c>
      <c r="N240" s="17" t="s">
        <v>418</v>
      </c>
      <c r="O240" s="26">
        <v>2000.0</v>
      </c>
      <c r="P240" s="26">
        <v>5.0</v>
      </c>
      <c r="Q240" s="26">
        <v>5.0</v>
      </c>
      <c r="R240" s="17" t="s">
        <v>419</v>
      </c>
      <c r="S240" s="17" t="s">
        <v>420</v>
      </c>
      <c r="T240" s="17" t="s">
        <v>421</v>
      </c>
      <c r="U240" s="17" t="s">
        <v>423</v>
      </c>
      <c r="V240" s="17" t="s">
        <v>938</v>
      </c>
      <c r="W240" s="17" t="s">
        <v>403</v>
      </c>
      <c r="X240" s="17" t="s">
        <v>619</v>
      </c>
      <c r="Y240" s="17" t="s">
        <v>438</v>
      </c>
      <c r="Z240" s="17" t="s">
        <v>1425</v>
      </c>
      <c r="AA240" s="17" t="s">
        <v>440</v>
      </c>
      <c r="AB240" s="17" t="s">
        <v>1583</v>
      </c>
      <c r="AC240" s="17" t="s">
        <v>428</v>
      </c>
      <c r="AD240" s="17" t="s">
        <v>462</v>
      </c>
      <c r="AE240" s="26">
        <v>780.0</v>
      </c>
      <c r="AF240" s="36">
        <v>65.9</v>
      </c>
      <c r="AG240" s="17" t="s">
        <v>1633</v>
      </c>
      <c r="AH240" s="17" t="s">
        <v>1634</v>
      </c>
      <c r="AI240" s="26">
        <v>68373.0</v>
      </c>
      <c r="AJ240" s="26">
        <v>68373.0</v>
      </c>
      <c r="AK240" s="26" t="s">
        <v>1635</v>
      </c>
      <c r="AL240" s="26">
        <v>168.0</v>
      </c>
      <c r="AM240" s="26">
        <v>3041.0</v>
      </c>
      <c r="AN240" s="32"/>
      <c r="AO240" s="17" t="s">
        <v>422</v>
      </c>
      <c r="AP240" s="32"/>
      <c r="AQ240" s="32"/>
      <c r="AR240" s="32"/>
      <c r="AS240" s="32"/>
      <c r="AT240" s="26">
        <v>185.0</v>
      </c>
      <c r="AU240" s="26" t="s">
        <v>1584</v>
      </c>
      <c r="AV240" s="35">
        <v>167.0</v>
      </c>
      <c r="AW240" s="26">
        <v>210.0</v>
      </c>
      <c r="AX240" s="26" t="s">
        <v>618</v>
      </c>
      <c r="AY240" s="26">
        <v>410.0</v>
      </c>
      <c r="AZ240" s="26">
        <v>7.0</v>
      </c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</row>
    <row r="241">
      <c r="A241" s="20" t="s">
        <v>1636</v>
      </c>
      <c r="B241" s="20" t="s">
        <v>1530</v>
      </c>
      <c r="C241" s="17" t="s">
        <v>1637</v>
      </c>
      <c r="D241" s="17" t="s">
        <v>951</v>
      </c>
      <c r="E241" s="34" t="s">
        <v>550</v>
      </c>
      <c r="F241" s="26">
        <v>64.0</v>
      </c>
      <c r="G241" s="35">
        <v>160.0</v>
      </c>
      <c r="H241" s="17" t="s">
        <v>413</v>
      </c>
      <c r="I241" s="17" t="s">
        <v>414</v>
      </c>
      <c r="J241" s="17" t="s">
        <v>415</v>
      </c>
      <c r="L241" s="26">
        <v>5.0</v>
      </c>
      <c r="M241" s="17" t="s">
        <v>417</v>
      </c>
      <c r="N241" s="17" t="s">
        <v>418</v>
      </c>
      <c r="O241" s="26">
        <v>750.0</v>
      </c>
      <c r="P241" s="26">
        <v>5.0</v>
      </c>
      <c r="Q241" s="26">
        <v>5.0</v>
      </c>
      <c r="R241" s="17" t="s">
        <v>419</v>
      </c>
      <c r="S241" s="17" t="s">
        <v>420</v>
      </c>
      <c r="T241" s="17" t="s">
        <v>421</v>
      </c>
      <c r="U241" s="17" t="s">
        <v>423</v>
      </c>
      <c r="V241" s="17" t="s">
        <v>797</v>
      </c>
      <c r="W241" s="17" t="s">
        <v>403</v>
      </c>
      <c r="X241" s="17" t="s">
        <v>581</v>
      </c>
      <c r="Y241" s="17" t="s">
        <v>404</v>
      </c>
      <c r="Z241" s="17" t="s">
        <v>1164</v>
      </c>
      <c r="AA241" s="17" t="s">
        <v>401</v>
      </c>
      <c r="AB241" s="17" t="s">
        <v>1638</v>
      </c>
      <c r="AC241" s="17" t="s">
        <v>428</v>
      </c>
      <c r="AD241" s="17" t="s">
        <v>710</v>
      </c>
      <c r="AE241" s="26">
        <v>510.0</v>
      </c>
      <c r="AF241" s="36">
        <v>57.39</v>
      </c>
      <c r="AG241" s="36">
        <v>52.995</v>
      </c>
      <c r="AH241" s="26" t="s">
        <v>1639</v>
      </c>
      <c r="AI241" s="26">
        <v>55122.0</v>
      </c>
      <c r="AJ241" s="26">
        <v>55122.0</v>
      </c>
      <c r="AK241" s="26" t="s">
        <v>537</v>
      </c>
      <c r="AL241" s="26">
        <v>555.0</v>
      </c>
      <c r="AM241" s="26">
        <v>1565.0</v>
      </c>
      <c r="AN241" s="32"/>
      <c r="AO241" s="17" t="s">
        <v>422</v>
      </c>
      <c r="AP241" s="17" t="s">
        <v>483</v>
      </c>
      <c r="AQ241" s="32"/>
      <c r="AR241" s="32"/>
      <c r="AS241" s="32"/>
      <c r="AT241" s="26">
        <v>186.0</v>
      </c>
      <c r="AU241" s="26" t="s">
        <v>1640</v>
      </c>
      <c r="AV241" s="35">
        <v>160.0</v>
      </c>
      <c r="AW241" s="26">
        <v>160.0</v>
      </c>
      <c r="AX241" s="26">
        <v>64.0</v>
      </c>
      <c r="AY241" s="26">
        <v>345.0</v>
      </c>
      <c r="AZ241" s="37">
        <v>45541.0</v>
      </c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</row>
    <row r="242">
      <c r="A242" s="20" t="s">
        <v>1641</v>
      </c>
      <c r="B242" s="20" t="s">
        <v>1560</v>
      </c>
      <c r="C242" s="17" t="s">
        <v>1642</v>
      </c>
      <c r="D242" s="17" t="s">
        <v>506</v>
      </c>
      <c r="E242" s="34" t="s">
        <v>550</v>
      </c>
      <c r="F242" s="26">
        <v>90.0</v>
      </c>
      <c r="G242" s="35">
        <v>146.0</v>
      </c>
      <c r="H242" s="17" t="s">
        <v>413</v>
      </c>
      <c r="I242" s="17" t="s">
        <v>414</v>
      </c>
      <c r="J242" s="17" t="s">
        <v>415</v>
      </c>
      <c r="L242" s="26">
        <v>5.0</v>
      </c>
      <c r="M242" s="17" t="s">
        <v>417</v>
      </c>
      <c r="N242" s="17" t="s">
        <v>418</v>
      </c>
      <c r="O242" s="26">
        <v>1400.0</v>
      </c>
      <c r="P242" s="26">
        <v>5.0</v>
      </c>
      <c r="Q242" s="26">
        <v>5.0</v>
      </c>
      <c r="R242" s="17" t="s">
        <v>419</v>
      </c>
      <c r="S242" s="17" t="s">
        <v>420</v>
      </c>
      <c r="T242" s="17" t="s">
        <v>421</v>
      </c>
      <c r="U242" s="17" t="s">
        <v>423</v>
      </c>
      <c r="V242" s="17" t="s">
        <v>1424</v>
      </c>
      <c r="W242" s="17" t="s">
        <v>403</v>
      </c>
      <c r="X242" s="17" t="s">
        <v>782</v>
      </c>
      <c r="Y242" s="17" t="s">
        <v>404</v>
      </c>
      <c r="Z242" s="17" t="s">
        <v>620</v>
      </c>
      <c r="AA242" s="17" t="s">
        <v>401</v>
      </c>
      <c r="AB242" s="17" t="s">
        <v>1638</v>
      </c>
      <c r="AC242" s="17" t="s">
        <v>428</v>
      </c>
      <c r="AD242" s="17" t="s">
        <v>882</v>
      </c>
      <c r="AE242" s="26">
        <v>700.0</v>
      </c>
      <c r="AF242" s="36">
        <v>68.5</v>
      </c>
      <c r="AG242" s="36">
        <v>72.9</v>
      </c>
      <c r="AH242" s="17" t="s">
        <v>463</v>
      </c>
      <c r="AI242" s="26">
        <v>70700.0</v>
      </c>
      <c r="AJ242" s="26">
        <v>70700.0</v>
      </c>
      <c r="AK242" s="26" t="s">
        <v>431</v>
      </c>
      <c r="AL242" s="26">
        <v>185.0</v>
      </c>
      <c r="AM242" s="26">
        <v>1916.0</v>
      </c>
      <c r="AN242" s="32"/>
      <c r="AO242" s="17" t="s">
        <v>422</v>
      </c>
      <c r="AP242" s="32"/>
      <c r="AQ242" s="32"/>
      <c r="AR242" s="32"/>
      <c r="AS242" s="32"/>
      <c r="AT242" s="26">
        <v>186.0</v>
      </c>
      <c r="AU242" s="26" t="s">
        <v>1640</v>
      </c>
      <c r="AV242" s="35">
        <v>146.0</v>
      </c>
      <c r="AW242" s="26">
        <v>200.0</v>
      </c>
      <c r="AX242" s="26">
        <v>90.0</v>
      </c>
      <c r="AY242" s="26">
        <v>485.0</v>
      </c>
      <c r="AZ242" s="26">
        <v>4.0</v>
      </c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</row>
    <row r="243">
      <c r="A243" s="20" t="s">
        <v>1643</v>
      </c>
      <c r="B243" s="20" t="s">
        <v>1470</v>
      </c>
      <c r="C243" s="17" t="s">
        <v>1644</v>
      </c>
      <c r="D243" s="17" t="s">
        <v>804</v>
      </c>
      <c r="E243" s="34" t="s">
        <v>477</v>
      </c>
      <c r="F243" s="26">
        <v>64.0</v>
      </c>
      <c r="G243" s="35">
        <v>143.0</v>
      </c>
      <c r="H243" s="17" t="s">
        <v>413</v>
      </c>
      <c r="I243" s="17" t="s">
        <v>414</v>
      </c>
      <c r="J243" s="17" t="s">
        <v>415</v>
      </c>
      <c r="L243" s="26">
        <v>5.0</v>
      </c>
      <c r="M243" s="17" t="s">
        <v>417</v>
      </c>
      <c r="N243" s="17" t="s">
        <v>418</v>
      </c>
      <c r="O243" s="26">
        <v>1600.0</v>
      </c>
      <c r="P243" s="26">
        <v>5.0</v>
      </c>
      <c r="Q243" s="26">
        <v>5.0</v>
      </c>
      <c r="R243" s="17" t="s">
        <v>419</v>
      </c>
      <c r="S243" s="17" t="s">
        <v>420</v>
      </c>
      <c r="T243" s="17" t="s">
        <v>421</v>
      </c>
      <c r="U243" s="17" t="s">
        <v>423</v>
      </c>
      <c r="V243" s="17" t="s">
        <v>1249</v>
      </c>
      <c r="W243" s="17" t="s">
        <v>403</v>
      </c>
      <c r="X243" s="17" t="s">
        <v>493</v>
      </c>
      <c r="Y243" s="17" t="s">
        <v>438</v>
      </c>
      <c r="Z243" s="17" t="s">
        <v>1164</v>
      </c>
      <c r="AA243" s="17" t="s">
        <v>440</v>
      </c>
      <c r="AB243" s="17" t="s">
        <v>1638</v>
      </c>
      <c r="AC243" s="17" t="s">
        <v>428</v>
      </c>
      <c r="AD243" s="17" t="s">
        <v>599</v>
      </c>
      <c r="AE243" s="26">
        <v>580.0</v>
      </c>
      <c r="AF243" s="36">
        <v>50.47</v>
      </c>
      <c r="AG243" s="36">
        <v>48.49</v>
      </c>
      <c r="AH243" s="17" t="s">
        <v>463</v>
      </c>
      <c r="AI243" s="26">
        <v>49480.0</v>
      </c>
      <c r="AJ243" s="26">
        <v>49480.0</v>
      </c>
      <c r="AK243" s="26" t="s">
        <v>777</v>
      </c>
      <c r="AL243" s="26">
        <v>507.0</v>
      </c>
      <c r="AM243" s="26">
        <v>1937.0</v>
      </c>
      <c r="AN243" s="17" t="s">
        <v>465</v>
      </c>
      <c r="AO243" s="17" t="s">
        <v>422</v>
      </c>
      <c r="AP243" s="32"/>
      <c r="AQ243" s="32"/>
      <c r="AR243" s="17" t="s">
        <v>512</v>
      </c>
      <c r="AS243" s="32"/>
      <c r="AT243" s="26">
        <v>186.0</v>
      </c>
      <c r="AU243" s="26" t="s">
        <v>1640</v>
      </c>
      <c r="AV243" s="35">
        <v>143.0</v>
      </c>
      <c r="AW243" s="26">
        <v>180.0</v>
      </c>
      <c r="AX243" s="26">
        <v>64.0</v>
      </c>
      <c r="AY243" s="26">
        <v>345.0</v>
      </c>
      <c r="AZ243" s="37">
        <v>45507.0</v>
      </c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</row>
    <row r="244">
      <c r="A244" s="20" t="s">
        <v>1645</v>
      </c>
      <c r="B244" s="20" t="s">
        <v>1238</v>
      </c>
      <c r="C244" s="17" t="s">
        <v>1646</v>
      </c>
      <c r="D244" s="17" t="s">
        <v>410</v>
      </c>
      <c r="E244" s="34" t="s">
        <v>477</v>
      </c>
      <c r="F244" s="26">
        <v>77.0</v>
      </c>
      <c r="G244" s="35">
        <v>157.0</v>
      </c>
      <c r="H244" s="17" t="s">
        <v>413</v>
      </c>
      <c r="I244" s="17" t="s">
        <v>414</v>
      </c>
      <c r="J244" s="17" t="s">
        <v>415</v>
      </c>
      <c r="L244" s="26">
        <v>5.0</v>
      </c>
      <c r="M244" s="17" t="s">
        <v>417</v>
      </c>
      <c r="N244" s="17" t="s">
        <v>418</v>
      </c>
      <c r="O244" s="26">
        <v>1200.0</v>
      </c>
      <c r="P244" s="26">
        <v>5.0</v>
      </c>
      <c r="Q244" s="26">
        <v>5.0</v>
      </c>
      <c r="R244" s="17" t="s">
        <v>419</v>
      </c>
      <c r="S244" s="17" t="s">
        <v>420</v>
      </c>
      <c r="T244" s="17" t="s">
        <v>421</v>
      </c>
      <c r="U244" s="17" t="s">
        <v>423</v>
      </c>
      <c r="V244" s="17" t="s">
        <v>686</v>
      </c>
      <c r="W244" s="17" t="s">
        <v>403</v>
      </c>
      <c r="X244" s="17" t="s">
        <v>493</v>
      </c>
      <c r="Y244" s="17" t="s">
        <v>438</v>
      </c>
      <c r="Z244" s="17" t="s">
        <v>860</v>
      </c>
      <c r="AA244" s="17" t="s">
        <v>440</v>
      </c>
      <c r="AB244" s="17" t="s">
        <v>1638</v>
      </c>
      <c r="AC244" s="17" t="s">
        <v>428</v>
      </c>
      <c r="AD244" s="17" t="s">
        <v>1647</v>
      </c>
      <c r="AE244" s="26">
        <v>620.0</v>
      </c>
      <c r="AF244" s="36">
        <v>61.0</v>
      </c>
      <c r="AG244" s="36">
        <v>66.665</v>
      </c>
      <c r="AH244" s="26" t="s">
        <v>1648</v>
      </c>
      <c r="AI244" s="26">
        <v>65027.0</v>
      </c>
      <c r="AJ244" s="26">
        <v>65027.0</v>
      </c>
      <c r="AK244" s="26" t="s">
        <v>431</v>
      </c>
      <c r="AL244" s="26">
        <v>158.0</v>
      </c>
      <c r="AM244" s="26">
        <v>2018.0</v>
      </c>
      <c r="AN244" s="32"/>
      <c r="AO244" s="17" t="s">
        <v>422</v>
      </c>
      <c r="AP244" s="17" t="s">
        <v>483</v>
      </c>
      <c r="AQ244" s="32"/>
      <c r="AR244" s="32"/>
      <c r="AS244" s="32"/>
      <c r="AT244" s="26">
        <v>186.0</v>
      </c>
      <c r="AU244" s="26" t="s">
        <v>1640</v>
      </c>
      <c r="AV244" s="35">
        <v>157.0</v>
      </c>
      <c r="AW244" s="26">
        <v>180.0</v>
      </c>
      <c r="AX244" s="26">
        <v>77.0</v>
      </c>
      <c r="AY244" s="26">
        <v>415.0</v>
      </c>
      <c r="AZ244" s="37">
        <v>45387.0</v>
      </c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</row>
    <row r="245">
      <c r="A245" s="20" t="s">
        <v>1649</v>
      </c>
      <c r="B245" s="20" t="s">
        <v>1650</v>
      </c>
      <c r="C245" s="17" t="s">
        <v>1651</v>
      </c>
      <c r="D245" s="17" t="s">
        <v>1012</v>
      </c>
      <c r="E245" s="34" t="s">
        <v>477</v>
      </c>
      <c r="F245" s="26">
        <v>95.0</v>
      </c>
      <c r="G245" s="35">
        <v>159.0</v>
      </c>
      <c r="H245" s="17" t="s">
        <v>413</v>
      </c>
      <c r="I245" s="17" t="s">
        <v>414</v>
      </c>
      <c r="J245" s="17" t="s">
        <v>415</v>
      </c>
      <c r="L245" s="26">
        <v>5.0</v>
      </c>
      <c r="M245" s="17" t="s">
        <v>417</v>
      </c>
      <c r="N245" s="17" t="s">
        <v>418</v>
      </c>
      <c r="O245" s="26">
        <v>2000.0</v>
      </c>
      <c r="P245" s="26">
        <v>-1.0</v>
      </c>
      <c r="Q245" s="17" t="s">
        <v>419</v>
      </c>
      <c r="R245" s="17" t="s">
        <v>420</v>
      </c>
      <c r="S245" s="17" t="s">
        <v>421</v>
      </c>
      <c r="T245" s="17" t="s">
        <v>422</v>
      </c>
      <c r="U245" s="17" t="s">
        <v>423</v>
      </c>
      <c r="V245" s="17" t="s">
        <v>1386</v>
      </c>
      <c r="W245" s="17" t="s">
        <v>403</v>
      </c>
      <c r="X245" s="17" t="s">
        <v>1652</v>
      </c>
      <c r="Y245" s="17" t="s">
        <v>438</v>
      </c>
      <c r="Z245" s="17" t="s">
        <v>1653</v>
      </c>
      <c r="AA245" s="17" t="s">
        <v>440</v>
      </c>
      <c r="AB245" s="17" t="s">
        <v>1638</v>
      </c>
      <c r="AC245" s="17" t="s">
        <v>428</v>
      </c>
      <c r="AD245" s="17" t="s">
        <v>1654</v>
      </c>
      <c r="AE245" s="26">
        <v>1020.0</v>
      </c>
      <c r="AF245" s="36">
        <v>80.7</v>
      </c>
      <c r="AG245" s="36">
        <v>85.3</v>
      </c>
      <c r="AH245" s="26" t="s">
        <v>1655</v>
      </c>
      <c r="AI245" s="26">
        <v>81093.0</v>
      </c>
      <c r="AJ245" s="26">
        <v>81093.0</v>
      </c>
      <c r="AK245" s="26" t="s">
        <v>567</v>
      </c>
      <c r="AL245" s="26">
        <v>404.0</v>
      </c>
      <c r="AM245" s="26">
        <v>2083.0</v>
      </c>
      <c r="AN245" s="32"/>
      <c r="AO245" s="32"/>
      <c r="AP245" s="32"/>
      <c r="AQ245" s="32"/>
      <c r="AR245" s="32"/>
      <c r="AS245" s="32"/>
      <c r="AT245" s="26">
        <v>186.0</v>
      </c>
      <c r="AU245" s="26" t="s">
        <v>1640</v>
      </c>
      <c r="AV245" s="35">
        <v>159.0</v>
      </c>
      <c r="AW245" s="26">
        <v>220.0</v>
      </c>
      <c r="AX245" s="26">
        <v>95.0</v>
      </c>
      <c r="AY245" s="26">
        <v>510.0</v>
      </c>
      <c r="AZ245" s="37">
        <v>45478.0</v>
      </c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</row>
    <row r="246">
      <c r="A246" s="20" t="s">
        <v>1656</v>
      </c>
      <c r="B246" s="20" t="s">
        <v>1657</v>
      </c>
      <c r="C246" s="17" t="s">
        <v>1658</v>
      </c>
      <c r="D246" s="17" t="s">
        <v>781</v>
      </c>
      <c r="E246" s="34" t="s">
        <v>477</v>
      </c>
      <c r="F246" s="26">
        <v>67.0</v>
      </c>
      <c r="G246" s="35">
        <v>152.0</v>
      </c>
      <c r="H246" s="17" t="s">
        <v>413</v>
      </c>
      <c r="I246" s="17" t="s">
        <v>414</v>
      </c>
      <c r="J246" s="17" t="s">
        <v>415</v>
      </c>
      <c r="L246" s="26">
        <v>5.0</v>
      </c>
      <c r="M246" s="17" t="s">
        <v>417</v>
      </c>
      <c r="N246" s="17" t="s">
        <v>418</v>
      </c>
      <c r="O246" s="26">
        <v>1500.0</v>
      </c>
      <c r="P246" s="26">
        <v>-1.0</v>
      </c>
      <c r="Q246" s="17" t="s">
        <v>419</v>
      </c>
      <c r="R246" s="17" t="s">
        <v>420</v>
      </c>
      <c r="S246" s="17" t="s">
        <v>421</v>
      </c>
      <c r="T246" s="17" t="s">
        <v>422</v>
      </c>
      <c r="U246" s="17" t="s">
        <v>423</v>
      </c>
      <c r="V246" s="17" t="s">
        <v>772</v>
      </c>
      <c r="W246" s="17" t="s">
        <v>403</v>
      </c>
      <c r="X246" s="17" t="s">
        <v>493</v>
      </c>
      <c r="Y246" s="17" t="s">
        <v>438</v>
      </c>
      <c r="Z246" s="17" t="s">
        <v>852</v>
      </c>
      <c r="AA246" s="17" t="s">
        <v>440</v>
      </c>
      <c r="AB246" s="17" t="s">
        <v>1638</v>
      </c>
      <c r="AC246" s="17" t="s">
        <v>428</v>
      </c>
      <c r="AD246" s="17" t="s">
        <v>1564</v>
      </c>
      <c r="AE246" s="26">
        <v>560.0</v>
      </c>
      <c r="AF246" s="36">
        <v>52.69</v>
      </c>
      <c r="AG246" s="36">
        <v>50.495</v>
      </c>
      <c r="AH246" s="26" t="s">
        <v>1659</v>
      </c>
      <c r="AI246" s="26">
        <v>54541.0</v>
      </c>
      <c r="AJ246" s="26">
        <v>54541.0</v>
      </c>
      <c r="AK246" s="26" t="s">
        <v>495</v>
      </c>
      <c r="AL246" s="26">
        <v>193.0</v>
      </c>
      <c r="AM246" s="26">
        <v>2123.0</v>
      </c>
      <c r="AN246" s="32"/>
      <c r="AO246" s="32"/>
      <c r="AP246" s="17" t="s">
        <v>483</v>
      </c>
      <c r="AQ246" s="32"/>
      <c r="AR246" s="32"/>
      <c r="AS246" s="32"/>
      <c r="AT246" s="26">
        <v>186.0</v>
      </c>
      <c r="AU246" s="26" t="s">
        <v>1640</v>
      </c>
      <c r="AV246" s="35">
        <v>152.0</v>
      </c>
      <c r="AW246" s="26">
        <v>180.0</v>
      </c>
      <c r="AX246" s="26">
        <v>67.0</v>
      </c>
      <c r="AY246" s="26">
        <v>360.0</v>
      </c>
      <c r="AZ246" s="37">
        <v>45358.0</v>
      </c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</row>
    <row r="247">
      <c r="A247" s="20" t="s">
        <v>1660</v>
      </c>
      <c r="B247" s="20" t="s">
        <v>1226</v>
      </c>
      <c r="C247" s="17" t="s">
        <v>1661</v>
      </c>
      <c r="D247" s="17" t="s">
        <v>487</v>
      </c>
      <c r="E247" s="34" t="s">
        <v>477</v>
      </c>
      <c r="F247" s="26" t="s">
        <v>1228</v>
      </c>
      <c r="G247" s="35">
        <v>174.0</v>
      </c>
      <c r="H247" s="32"/>
      <c r="I247" s="17" t="s">
        <v>414</v>
      </c>
      <c r="J247" s="17" t="s">
        <v>415</v>
      </c>
      <c r="L247" s="26">
        <v>2.0</v>
      </c>
      <c r="M247" s="32"/>
      <c r="N247" s="32"/>
      <c r="O247" s="32"/>
      <c r="P247" s="26">
        <v>-1.0</v>
      </c>
      <c r="Q247" s="17" t="s">
        <v>419</v>
      </c>
      <c r="R247" s="17" t="s">
        <v>420</v>
      </c>
      <c r="S247" s="17" t="s">
        <v>421</v>
      </c>
      <c r="T247" s="17" t="s">
        <v>422</v>
      </c>
      <c r="U247" s="17" t="s">
        <v>423</v>
      </c>
      <c r="V247" s="17" t="s">
        <v>517</v>
      </c>
      <c r="W247" s="17" t="s">
        <v>403</v>
      </c>
      <c r="X247" s="17" t="s">
        <v>782</v>
      </c>
      <c r="Y247" s="17" t="s">
        <v>438</v>
      </c>
      <c r="Z247" s="17" t="s">
        <v>1562</v>
      </c>
      <c r="AA247" s="17" t="s">
        <v>440</v>
      </c>
      <c r="AB247" s="17" t="s">
        <v>1638</v>
      </c>
      <c r="AC247" s="17" t="s">
        <v>428</v>
      </c>
      <c r="AD247" s="17" t="s">
        <v>830</v>
      </c>
      <c r="AE247" s="26">
        <v>430.0</v>
      </c>
      <c r="AF247" s="17" t="s">
        <v>1662</v>
      </c>
      <c r="AG247" s="36">
        <v>69.99</v>
      </c>
      <c r="AH247" s="26" t="s">
        <v>1663</v>
      </c>
      <c r="AI247" s="26">
        <v>69661.0</v>
      </c>
      <c r="AJ247" s="26">
        <v>69661.0</v>
      </c>
      <c r="AK247" s="26" t="s">
        <v>495</v>
      </c>
      <c r="AL247" s="26">
        <v>1245.0</v>
      </c>
      <c r="AM247" s="26">
        <v>2203.0</v>
      </c>
      <c r="AN247" s="17" t="s">
        <v>465</v>
      </c>
      <c r="AO247" s="32"/>
      <c r="AP247" s="32"/>
      <c r="AQ247" s="32"/>
      <c r="AR247" s="32"/>
      <c r="AS247" s="32"/>
      <c r="AT247" s="26">
        <v>186.0</v>
      </c>
      <c r="AU247" s="26" t="s">
        <v>1640</v>
      </c>
      <c r="AV247" s="35">
        <v>174.0</v>
      </c>
      <c r="AW247" s="26">
        <v>200.0</v>
      </c>
      <c r="AX247" s="26" t="s">
        <v>1228</v>
      </c>
      <c r="AY247" s="26">
        <v>400.0</v>
      </c>
      <c r="AZ247" s="37">
        <v>45325.0</v>
      </c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</row>
    <row r="248">
      <c r="A248" s="20" t="s">
        <v>1664</v>
      </c>
      <c r="B248" s="20" t="s">
        <v>1453</v>
      </c>
      <c r="C248" s="17" t="s">
        <v>1582</v>
      </c>
      <c r="D248" s="17" t="s">
        <v>684</v>
      </c>
      <c r="E248" s="34" t="s">
        <v>436</v>
      </c>
      <c r="F248" s="26">
        <v>80.0</v>
      </c>
      <c r="G248" s="35">
        <v>131.0</v>
      </c>
      <c r="H248" s="17" t="s">
        <v>413</v>
      </c>
      <c r="I248" s="17" t="s">
        <v>414</v>
      </c>
      <c r="J248" s="17" t="s">
        <v>415</v>
      </c>
      <c r="L248" s="26">
        <v>5.0</v>
      </c>
      <c r="M248" s="17" t="s">
        <v>417</v>
      </c>
      <c r="N248" s="17" t="s">
        <v>418</v>
      </c>
      <c r="O248" s="26">
        <v>1800.0</v>
      </c>
      <c r="P248" s="26">
        <v>5.0</v>
      </c>
      <c r="Q248" s="26">
        <v>5.0</v>
      </c>
      <c r="R248" s="17" t="s">
        <v>419</v>
      </c>
      <c r="S248" s="17" t="s">
        <v>420</v>
      </c>
      <c r="T248" s="17" t="s">
        <v>421</v>
      </c>
      <c r="U248" s="17" t="s">
        <v>423</v>
      </c>
      <c r="V248" s="17" t="s">
        <v>437</v>
      </c>
      <c r="W248" s="17" t="s">
        <v>403</v>
      </c>
      <c r="X248" s="17" t="s">
        <v>459</v>
      </c>
      <c r="Y248" s="17" t="s">
        <v>438</v>
      </c>
      <c r="Z248" s="17" t="s">
        <v>598</v>
      </c>
      <c r="AA248" s="17" t="s">
        <v>440</v>
      </c>
      <c r="AB248" s="17" t="s">
        <v>1638</v>
      </c>
      <c r="AC248" s="17" t="s">
        <v>428</v>
      </c>
      <c r="AD248" s="17" t="s">
        <v>1665</v>
      </c>
      <c r="AE248" s="26">
        <v>1060.0</v>
      </c>
      <c r="AF248" s="36">
        <v>53.99</v>
      </c>
      <c r="AG248" s="36">
        <v>55.495</v>
      </c>
      <c r="AH248" s="26" t="s">
        <v>1666</v>
      </c>
      <c r="AI248" s="26">
        <v>56457.0</v>
      </c>
      <c r="AJ248" s="26">
        <v>56457.0</v>
      </c>
      <c r="AK248" s="26" t="s">
        <v>444</v>
      </c>
      <c r="AL248" s="26">
        <v>338.0</v>
      </c>
      <c r="AM248" s="26">
        <v>3029.0</v>
      </c>
      <c r="AN248" s="17" t="s">
        <v>465</v>
      </c>
      <c r="AO248" s="17" t="s">
        <v>422</v>
      </c>
      <c r="AP248" s="17" t="s">
        <v>483</v>
      </c>
      <c r="AQ248" s="32"/>
      <c r="AR248" s="32"/>
      <c r="AS248" s="32"/>
      <c r="AT248" s="26">
        <v>186.0</v>
      </c>
      <c r="AU248" s="26" t="s">
        <v>1640</v>
      </c>
      <c r="AV248" s="35">
        <v>131.0</v>
      </c>
      <c r="AW248" s="26">
        <v>185.0</v>
      </c>
      <c r="AX248" s="26">
        <v>80.0</v>
      </c>
      <c r="AY248" s="26">
        <v>430.0</v>
      </c>
      <c r="AZ248" s="37">
        <v>45327.0</v>
      </c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</row>
    <row r="249">
      <c r="A249" s="20" t="s">
        <v>1667</v>
      </c>
      <c r="B249" s="20" t="s">
        <v>1631</v>
      </c>
      <c r="C249" s="17" t="s">
        <v>1668</v>
      </c>
      <c r="E249" s="34" t="s">
        <v>477</v>
      </c>
      <c r="F249" s="26" t="s">
        <v>685</v>
      </c>
      <c r="G249" s="35">
        <v>144.0</v>
      </c>
      <c r="H249" s="17" t="s">
        <v>413</v>
      </c>
      <c r="I249" s="17" t="s">
        <v>414</v>
      </c>
      <c r="J249" s="17" t="s">
        <v>415</v>
      </c>
      <c r="L249" s="26">
        <v>5.0</v>
      </c>
      <c r="M249" s="17" t="s">
        <v>417</v>
      </c>
      <c r="N249" s="17" t="s">
        <v>418</v>
      </c>
      <c r="O249" s="26">
        <v>2000.0</v>
      </c>
      <c r="P249" s="26">
        <v>5.0</v>
      </c>
      <c r="Q249" s="26">
        <v>5.0</v>
      </c>
      <c r="R249" s="17" t="s">
        <v>419</v>
      </c>
      <c r="S249" s="17" t="s">
        <v>420</v>
      </c>
      <c r="T249" s="17" t="s">
        <v>421</v>
      </c>
      <c r="U249" s="17" t="s">
        <v>423</v>
      </c>
      <c r="V249" s="17" t="s">
        <v>759</v>
      </c>
      <c r="W249" s="17" t="s">
        <v>403</v>
      </c>
      <c r="X249" s="17" t="s">
        <v>619</v>
      </c>
      <c r="Y249" s="17" t="s">
        <v>438</v>
      </c>
      <c r="Z249" s="17" t="s">
        <v>1653</v>
      </c>
      <c r="AA249" s="17" t="s">
        <v>440</v>
      </c>
      <c r="AB249" s="17" t="s">
        <v>1638</v>
      </c>
      <c r="AC249" s="17" t="s">
        <v>428</v>
      </c>
      <c r="AD249" s="17" t="s">
        <v>703</v>
      </c>
      <c r="AE249" s="26">
        <v>970.0</v>
      </c>
      <c r="AF249" s="36">
        <v>71.2</v>
      </c>
      <c r="AG249" s="17" t="s">
        <v>1669</v>
      </c>
      <c r="AH249" s="17" t="s">
        <v>1670</v>
      </c>
      <c r="AI249" s="26">
        <v>73482.0</v>
      </c>
      <c r="AJ249" s="26">
        <v>73482.0</v>
      </c>
      <c r="AK249" s="26" t="s">
        <v>1635</v>
      </c>
      <c r="AL249" s="26">
        <v>285.0</v>
      </c>
      <c r="AM249" s="26">
        <v>3042.0</v>
      </c>
      <c r="AN249" s="32"/>
      <c r="AO249" s="17" t="s">
        <v>422</v>
      </c>
      <c r="AP249" s="32"/>
      <c r="AQ249" s="32"/>
      <c r="AR249" s="32"/>
      <c r="AS249" s="32"/>
      <c r="AT249" s="26">
        <v>186.0</v>
      </c>
      <c r="AU249" s="26" t="s">
        <v>1640</v>
      </c>
      <c r="AV249" s="35">
        <v>144.0</v>
      </c>
      <c r="AW249" s="26">
        <v>210.0</v>
      </c>
      <c r="AX249" s="26" t="s">
        <v>685</v>
      </c>
      <c r="AY249" s="26">
        <v>510.0</v>
      </c>
      <c r="AZ249" s="37">
        <v>45449.0</v>
      </c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</row>
    <row r="250">
      <c r="A250" s="20" t="s">
        <v>1671</v>
      </c>
      <c r="B250" s="20" t="s">
        <v>1436</v>
      </c>
      <c r="C250" s="17" t="s">
        <v>1672</v>
      </c>
      <c r="D250" s="17" t="s">
        <v>781</v>
      </c>
      <c r="E250" s="34" t="s">
        <v>477</v>
      </c>
      <c r="F250" s="26" t="s">
        <v>906</v>
      </c>
      <c r="G250" s="35">
        <v>273.0</v>
      </c>
      <c r="H250" s="17" t="s">
        <v>413</v>
      </c>
      <c r="I250" s="17" t="s">
        <v>414</v>
      </c>
      <c r="J250" s="17" t="s">
        <v>415</v>
      </c>
      <c r="L250" s="26">
        <v>5.0</v>
      </c>
      <c r="M250" s="17" t="s">
        <v>417</v>
      </c>
      <c r="N250" s="32"/>
      <c r="O250" s="32"/>
      <c r="P250" s="26">
        <v>-1.0</v>
      </c>
      <c r="Q250" s="17" t="s">
        <v>419</v>
      </c>
      <c r="R250" s="17" t="s">
        <v>420</v>
      </c>
      <c r="S250" s="17" t="s">
        <v>421</v>
      </c>
      <c r="T250" s="17" t="s">
        <v>422</v>
      </c>
      <c r="U250" s="17" t="s">
        <v>423</v>
      </c>
      <c r="V250" s="17" t="s">
        <v>991</v>
      </c>
      <c r="W250" s="17" t="s">
        <v>403</v>
      </c>
      <c r="X250" s="17" t="s">
        <v>701</v>
      </c>
      <c r="Y250" s="17" t="s">
        <v>438</v>
      </c>
      <c r="Z250" s="17" t="s">
        <v>959</v>
      </c>
      <c r="AA250" s="17" t="s">
        <v>440</v>
      </c>
      <c r="AB250" s="17" t="s">
        <v>1673</v>
      </c>
      <c r="AC250" s="17" t="s">
        <v>428</v>
      </c>
      <c r="AD250" s="17" t="s">
        <v>703</v>
      </c>
      <c r="AE250" s="26">
        <v>970.0</v>
      </c>
      <c r="AF250" s="36">
        <v>121.8</v>
      </c>
      <c r="AG250" s="36">
        <v>127.8</v>
      </c>
      <c r="AH250" s="26" t="s">
        <v>1674</v>
      </c>
      <c r="AI250" s="26">
        <v>100000.0</v>
      </c>
      <c r="AJ250" s="26">
        <v>120268.0</v>
      </c>
      <c r="AK250" s="26" t="s">
        <v>495</v>
      </c>
      <c r="AL250" s="26">
        <v>74.0</v>
      </c>
      <c r="AM250" s="26">
        <v>2106.0</v>
      </c>
      <c r="AN250" s="32"/>
      <c r="AO250" s="32"/>
      <c r="AP250" s="32"/>
      <c r="AQ250" s="32"/>
      <c r="AR250" s="32"/>
      <c r="AS250" s="32"/>
      <c r="AT250" s="26">
        <v>187.0</v>
      </c>
      <c r="AU250" s="26" t="s">
        <v>1675</v>
      </c>
      <c r="AV250" s="35">
        <v>273.0</v>
      </c>
      <c r="AW250" s="26">
        <v>250.0</v>
      </c>
      <c r="AX250" s="26" t="s">
        <v>906</v>
      </c>
      <c r="AY250" s="26">
        <v>440.0</v>
      </c>
      <c r="AZ250" s="37">
        <v>45476.0</v>
      </c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</row>
    <row r="251">
      <c r="A251" s="20" t="s">
        <v>1676</v>
      </c>
      <c r="B251" s="20" t="s">
        <v>1677</v>
      </c>
      <c r="C251" s="17" t="s">
        <v>1678</v>
      </c>
      <c r="D251" s="17" t="s">
        <v>670</v>
      </c>
      <c r="E251" s="34" t="s">
        <v>550</v>
      </c>
      <c r="F251" s="26">
        <v>63.0</v>
      </c>
      <c r="G251" s="35">
        <v>137.0</v>
      </c>
      <c r="H251" s="32"/>
      <c r="I251" s="17" t="s">
        <v>414</v>
      </c>
      <c r="J251" s="17" t="s">
        <v>415</v>
      </c>
      <c r="L251" s="26">
        <v>5.0</v>
      </c>
      <c r="M251" s="17" t="s">
        <v>417</v>
      </c>
      <c r="N251" s="17" t="s">
        <v>418</v>
      </c>
      <c r="O251" s="26">
        <v>750.0</v>
      </c>
      <c r="P251" s="26">
        <v>5.0</v>
      </c>
      <c r="Q251" s="26">
        <v>5.0</v>
      </c>
      <c r="R251" s="17" t="s">
        <v>419</v>
      </c>
      <c r="S251" s="17" t="s">
        <v>420</v>
      </c>
      <c r="T251" s="17" t="s">
        <v>421</v>
      </c>
      <c r="U251" s="17" t="s">
        <v>423</v>
      </c>
      <c r="V251" s="17" t="s">
        <v>1078</v>
      </c>
      <c r="W251" s="17" t="s">
        <v>403</v>
      </c>
      <c r="X251" s="17" t="s">
        <v>581</v>
      </c>
      <c r="Y251" s="17" t="s">
        <v>404</v>
      </c>
      <c r="Z251" s="17" t="s">
        <v>460</v>
      </c>
      <c r="AA251" s="17" t="s">
        <v>401</v>
      </c>
      <c r="AB251" s="17" t="s">
        <v>1679</v>
      </c>
      <c r="AC251" s="17" t="s">
        <v>428</v>
      </c>
      <c r="AD251" s="17" t="s">
        <v>1039</v>
      </c>
      <c r="AE251" s="26">
        <v>450.0</v>
      </c>
      <c r="AF251" s="36">
        <v>47.49</v>
      </c>
      <c r="AG251" s="36">
        <v>44.99</v>
      </c>
      <c r="AH251" s="26" t="s">
        <v>1680</v>
      </c>
      <c r="AI251" s="26">
        <v>46023.0</v>
      </c>
      <c r="AJ251" s="26">
        <v>46023.0</v>
      </c>
      <c r="AK251" s="26" t="s">
        <v>671</v>
      </c>
      <c r="AL251" s="26">
        <v>328.0</v>
      </c>
      <c r="AM251" s="26">
        <v>1301.0</v>
      </c>
      <c r="AN251" s="32"/>
      <c r="AO251" s="17" t="s">
        <v>422</v>
      </c>
      <c r="AP251" s="17" t="s">
        <v>483</v>
      </c>
      <c r="AQ251" s="32"/>
      <c r="AR251" s="32"/>
      <c r="AS251" s="32"/>
      <c r="AT251" s="26">
        <v>188.0</v>
      </c>
      <c r="AU251" s="26" t="s">
        <v>1681</v>
      </c>
      <c r="AV251" s="35">
        <v>137.0</v>
      </c>
      <c r="AW251" s="26">
        <v>160.0</v>
      </c>
      <c r="AX251" s="26">
        <v>63.0</v>
      </c>
      <c r="AY251" s="26">
        <v>335.0</v>
      </c>
      <c r="AZ251" s="37">
        <v>45419.0</v>
      </c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</row>
    <row r="252">
      <c r="A252" s="20" t="s">
        <v>1682</v>
      </c>
      <c r="B252" s="20" t="s">
        <v>1683</v>
      </c>
      <c r="C252" s="17" t="s">
        <v>1684</v>
      </c>
      <c r="D252" s="17" t="s">
        <v>951</v>
      </c>
      <c r="E252" s="34" t="s">
        <v>436</v>
      </c>
      <c r="F252" s="26" t="s">
        <v>1171</v>
      </c>
      <c r="G252" s="35">
        <v>170.0</v>
      </c>
      <c r="H252" s="32"/>
      <c r="I252" s="17" t="s">
        <v>414</v>
      </c>
      <c r="J252" s="17" t="s">
        <v>415</v>
      </c>
      <c r="K252" s="17" t="s">
        <v>416</v>
      </c>
      <c r="L252" s="26">
        <v>5.0</v>
      </c>
      <c r="M252" s="17" t="s">
        <v>417</v>
      </c>
      <c r="N252" s="32"/>
      <c r="O252" s="32"/>
      <c r="P252" s="26">
        <v>-1.0</v>
      </c>
      <c r="Q252" s="17" t="s">
        <v>419</v>
      </c>
      <c r="R252" s="17" t="s">
        <v>420</v>
      </c>
      <c r="S252" s="17" t="s">
        <v>421</v>
      </c>
      <c r="T252" s="17" t="s">
        <v>422</v>
      </c>
      <c r="U252" s="17" t="s">
        <v>423</v>
      </c>
      <c r="V252" s="17" t="s">
        <v>1556</v>
      </c>
      <c r="W252" s="17" t="s">
        <v>403</v>
      </c>
      <c r="X252" s="17" t="s">
        <v>1489</v>
      </c>
      <c r="Y252" s="17" t="s">
        <v>438</v>
      </c>
      <c r="Z252" s="17" t="s">
        <v>959</v>
      </c>
      <c r="AA252" s="17" t="s">
        <v>440</v>
      </c>
      <c r="AB252" s="17" t="s">
        <v>1679</v>
      </c>
      <c r="AC252" s="17" t="s">
        <v>520</v>
      </c>
      <c r="AD252" s="17" t="s">
        <v>1685</v>
      </c>
      <c r="AE252" s="26">
        <v>880.0</v>
      </c>
      <c r="AF252" s="36">
        <v>69.2</v>
      </c>
      <c r="AG252" s="17" t="s">
        <v>463</v>
      </c>
      <c r="AH252" s="26" t="s">
        <v>1686</v>
      </c>
      <c r="AI252" s="26">
        <v>74737.0</v>
      </c>
      <c r="AJ252" s="26">
        <v>74737.0</v>
      </c>
      <c r="AK252" s="26" t="s">
        <v>537</v>
      </c>
      <c r="AL252" s="26">
        <v>168.0</v>
      </c>
      <c r="AM252" s="26">
        <v>1703.0</v>
      </c>
      <c r="AN252" s="32"/>
      <c r="AO252" s="32"/>
      <c r="AP252" s="32"/>
      <c r="AQ252" s="32"/>
      <c r="AR252" s="32"/>
      <c r="AS252" s="32"/>
      <c r="AT252" s="26">
        <v>188.0</v>
      </c>
      <c r="AU252" s="26" t="s">
        <v>1681</v>
      </c>
      <c r="AV252" s="35">
        <v>170.0</v>
      </c>
      <c r="AW252" s="26">
        <v>225.0</v>
      </c>
      <c r="AX252" s="26" t="s">
        <v>1171</v>
      </c>
      <c r="AY252" s="26">
        <v>440.0</v>
      </c>
      <c r="AZ252" s="37">
        <v>45539.0</v>
      </c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</row>
    <row r="253">
      <c r="A253" s="20" t="s">
        <v>1687</v>
      </c>
      <c r="B253" s="20" t="s">
        <v>1429</v>
      </c>
      <c r="C253" s="17" t="s">
        <v>1688</v>
      </c>
      <c r="D253" s="17" t="s">
        <v>410</v>
      </c>
      <c r="E253" s="34" t="s">
        <v>436</v>
      </c>
      <c r="F253" s="26">
        <v>94.0</v>
      </c>
      <c r="G253" s="35">
        <v>127.0</v>
      </c>
      <c r="H253" s="32"/>
      <c r="I253" s="17" t="s">
        <v>414</v>
      </c>
      <c r="J253" s="17" t="s">
        <v>415</v>
      </c>
      <c r="K253" s="17" t="s">
        <v>595</v>
      </c>
      <c r="L253" s="26">
        <v>5.0</v>
      </c>
      <c r="M253" s="17" t="s">
        <v>417</v>
      </c>
      <c r="N253" s="17" t="s">
        <v>418</v>
      </c>
      <c r="O253" s="26">
        <v>2000.0</v>
      </c>
      <c r="P253" s="26">
        <v>5.0</v>
      </c>
      <c r="Q253" s="26">
        <v>5.0</v>
      </c>
      <c r="R253" s="17" t="s">
        <v>419</v>
      </c>
      <c r="S253" s="17" t="s">
        <v>420</v>
      </c>
      <c r="T253" s="17" t="s">
        <v>421</v>
      </c>
      <c r="U253" s="17" t="s">
        <v>423</v>
      </c>
      <c r="V253" s="17" t="s">
        <v>1249</v>
      </c>
      <c r="W253" s="17" t="s">
        <v>403</v>
      </c>
      <c r="X253" s="17" t="s">
        <v>782</v>
      </c>
      <c r="Y253" s="17" t="s">
        <v>438</v>
      </c>
      <c r="Z253" s="17" t="s">
        <v>1465</v>
      </c>
      <c r="AA253" s="17" t="s">
        <v>440</v>
      </c>
      <c r="AB253" s="17" t="s">
        <v>1679</v>
      </c>
      <c r="AC253" s="17" t="s">
        <v>428</v>
      </c>
      <c r="AD253" s="17" t="s">
        <v>1144</v>
      </c>
      <c r="AE253" s="26">
        <v>670.0</v>
      </c>
      <c r="AF253" s="36">
        <v>63.97</v>
      </c>
      <c r="AG253" s="36">
        <v>63.49</v>
      </c>
      <c r="AH253" s="17" t="s">
        <v>463</v>
      </c>
      <c r="AI253" s="26">
        <v>63730.0</v>
      </c>
      <c r="AJ253" s="26">
        <v>63730.0</v>
      </c>
      <c r="AK253" s="26" t="s">
        <v>431</v>
      </c>
      <c r="AL253" s="26">
        <v>892.0</v>
      </c>
      <c r="AM253" s="26">
        <v>1934.0</v>
      </c>
      <c r="AN253" s="17" t="s">
        <v>465</v>
      </c>
      <c r="AO253" s="17" t="s">
        <v>422</v>
      </c>
      <c r="AP253" s="32"/>
      <c r="AQ253" s="32"/>
      <c r="AR253" s="32"/>
      <c r="AS253" s="32"/>
      <c r="AT253" s="26">
        <v>188.0</v>
      </c>
      <c r="AU253" s="26" t="s">
        <v>1681</v>
      </c>
      <c r="AV253" s="35">
        <v>127.0</v>
      </c>
      <c r="AW253" s="26">
        <v>200.0</v>
      </c>
      <c r="AX253" s="26">
        <v>94.0</v>
      </c>
      <c r="AY253" s="26">
        <v>500.0</v>
      </c>
      <c r="AZ253" s="37">
        <v>45507.0</v>
      </c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</row>
    <row r="254">
      <c r="A254" s="20" t="s">
        <v>1689</v>
      </c>
      <c r="B254" s="20" t="s">
        <v>1690</v>
      </c>
      <c r="C254" s="17" t="s">
        <v>1691</v>
      </c>
      <c r="D254" s="17" t="s">
        <v>1037</v>
      </c>
      <c r="E254" s="34" t="s">
        <v>436</v>
      </c>
      <c r="F254" s="26">
        <v>64.0</v>
      </c>
      <c r="G254" s="35">
        <v>138.0</v>
      </c>
      <c r="H254" s="32"/>
      <c r="I254" s="32"/>
      <c r="J254" s="32"/>
      <c r="K254" s="32"/>
      <c r="L254" s="26">
        <v>5.0</v>
      </c>
      <c r="M254" s="32"/>
      <c r="N254" s="32"/>
      <c r="O254" s="32"/>
      <c r="P254" s="26">
        <v>5.0</v>
      </c>
      <c r="Q254" s="26">
        <v>5.0</v>
      </c>
      <c r="R254" s="17" t="s">
        <v>419</v>
      </c>
      <c r="S254" s="17" t="s">
        <v>420</v>
      </c>
      <c r="T254" s="17" t="s">
        <v>421</v>
      </c>
      <c r="U254" s="17" t="s">
        <v>423</v>
      </c>
      <c r="V254" s="17" t="s">
        <v>1078</v>
      </c>
      <c r="W254" s="17" t="s">
        <v>403</v>
      </c>
      <c r="X254" s="17" t="s">
        <v>581</v>
      </c>
      <c r="Y254" s="17" t="s">
        <v>438</v>
      </c>
      <c r="Z254" s="17" t="s">
        <v>481</v>
      </c>
      <c r="AA254" s="17" t="s">
        <v>440</v>
      </c>
      <c r="AB254" s="17" t="s">
        <v>1679</v>
      </c>
      <c r="AC254" s="17" t="s">
        <v>428</v>
      </c>
      <c r="AD254" s="17" t="s">
        <v>589</v>
      </c>
      <c r="AE254" s="26">
        <v>170.0</v>
      </c>
      <c r="AF254" s="17" t="s">
        <v>463</v>
      </c>
      <c r="AG254" s="17" t="s">
        <v>463</v>
      </c>
      <c r="AH254" s="26" t="s">
        <v>1692</v>
      </c>
      <c r="AI254" s="26">
        <v>46914.0</v>
      </c>
      <c r="AJ254" s="26">
        <v>46914.0</v>
      </c>
      <c r="AK254" s="26" t="s">
        <v>552</v>
      </c>
      <c r="AL254" s="26">
        <v>261.0</v>
      </c>
      <c r="AM254" s="26">
        <v>1943.0</v>
      </c>
      <c r="AN254" s="32"/>
      <c r="AO254" s="17" t="s">
        <v>422</v>
      </c>
      <c r="AP254" s="17" t="s">
        <v>483</v>
      </c>
      <c r="AQ254" s="32"/>
      <c r="AR254" s="32"/>
      <c r="AS254" s="32"/>
      <c r="AT254" s="26">
        <v>188.0</v>
      </c>
      <c r="AU254" s="26" t="s">
        <v>1681</v>
      </c>
      <c r="AV254" s="35">
        <v>138.0</v>
      </c>
      <c r="AW254" s="26">
        <v>160.0</v>
      </c>
      <c r="AX254" s="26">
        <v>64.0</v>
      </c>
      <c r="AY254" s="26">
        <v>340.0</v>
      </c>
      <c r="AZ254" s="37">
        <v>45419.0</v>
      </c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</row>
    <row r="255">
      <c r="A255" s="20" t="s">
        <v>1693</v>
      </c>
      <c r="B255" s="20" t="s">
        <v>1238</v>
      </c>
      <c r="C255" s="17" t="s">
        <v>1694</v>
      </c>
      <c r="D255" s="17" t="s">
        <v>410</v>
      </c>
      <c r="E255" s="34" t="s">
        <v>550</v>
      </c>
      <c r="F255" s="26">
        <v>77.0</v>
      </c>
      <c r="G255" s="35">
        <v>144.0</v>
      </c>
      <c r="H255" s="17" t="s">
        <v>413</v>
      </c>
      <c r="I255" s="17" t="s">
        <v>414</v>
      </c>
      <c r="J255" s="17" t="s">
        <v>415</v>
      </c>
      <c r="L255" s="26">
        <v>5.0</v>
      </c>
      <c r="M255" s="17" t="s">
        <v>417</v>
      </c>
      <c r="N255" s="17" t="s">
        <v>418</v>
      </c>
      <c r="O255" s="26">
        <v>1200.0</v>
      </c>
      <c r="P255" s="26">
        <v>5.0</v>
      </c>
      <c r="Q255" s="26">
        <v>5.0</v>
      </c>
      <c r="R255" s="17" t="s">
        <v>419</v>
      </c>
      <c r="S255" s="17" t="s">
        <v>420</v>
      </c>
      <c r="T255" s="17" t="s">
        <v>421</v>
      </c>
      <c r="U255" s="17" t="s">
        <v>423</v>
      </c>
      <c r="V255" s="17" t="s">
        <v>759</v>
      </c>
      <c r="W255" s="17" t="s">
        <v>403</v>
      </c>
      <c r="X255" s="17" t="s">
        <v>493</v>
      </c>
      <c r="Y255" s="17" t="s">
        <v>404</v>
      </c>
      <c r="Z255" s="17" t="s">
        <v>1425</v>
      </c>
      <c r="AA255" s="17" t="s">
        <v>401</v>
      </c>
      <c r="AB255" s="17" t="s">
        <v>1679</v>
      </c>
      <c r="AC255" s="17" t="s">
        <v>428</v>
      </c>
      <c r="AD255" s="17" t="s">
        <v>1695</v>
      </c>
      <c r="AE255" s="26">
        <v>610.0</v>
      </c>
      <c r="AF255" s="36">
        <v>56.95</v>
      </c>
      <c r="AG255" s="36">
        <v>58.915</v>
      </c>
      <c r="AH255" s="26" t="s">
        <v>1696</v>
      </c>
      <c r="AI255" s="26">
        <v>59197.0</v>
      </c>
      <c r="AJ255" s="26">
        <v>59197.0</v>
      </c>
      <c r="AK255" s="26" t="s">
        <v>431</v>
      </c>
      <c r="AL255" s="26">
        <v>133.0</v>
      </c>
      <c r="AM255" s="26">
        <v>2017.0</v>
      </c>
      <c r="AN255" s="32"/>
      <c r="AO255" s="17" t="s">
        <v>422</v>
      </c>
      <c r="AP255" s="17" t="s">
        <v>483</v>
      </c>
      <c r="AQ255" s="32"/>
      <c r="AR255" s="32"/>
      <c r="AS255" s="32"/>
      <c r="AT255" s="26">
        <v>188.0</v>
      </c>
      <c r="AU255" s="26" t="s">
        <v>1681</v>
      </c>
      <c r="AV255" s="35">
        <v>144.0</v>
      </c>
      <c r="AW255" s="26">
        <v>180.0</v>
      </c>
      <c r="AX255" s="26">
        <v>77.0</v>
      </c>
      <c r="AY255" s="26">
        <v>410.0</v>
      </c>
      <c r="AZ255" s="37">
        <v>45449.0</v>
      </c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</row>
    <row r="256">
      <c r="A256" s="20" t="s">
        <v>1697</v>
      </c>
      <c r="B256" s="20" t="s">
        <v>1595</v>
      </c>
      <c r="C256" s="17" t="s">
        <v>1698</v>
      </c>
      <c r="D256" s="17" t="s">
        <v>827</v>
      </c>
      <c r="E256" s="34" t="s">
        <v>477</v>
      </c>
      <c r="F256" s="26">
        <v>47.0</v>
      </c>
      <c r="G256" s="35">
        <v>149.0</v>
      </c>
      <c r="H256" s="32"/>
      <c r="I256" s="32"/>
      <c r="J256" s="17" t="s">
        <v>415</v>
      </c>
      <c r="L256" s="26">
        <v>5.0</v>
      </c>
      <c r="M256" s="17" t="s">
        <v>417</v>
      </c>
      <c r="N256" s="32"/>
      <c r="O256" s="32"/>
      <c r="P256" s="26">
        <v>5.0</v>
      </c>
      <c r="Q256" s="26">
        <v>5.0</v>
      </c>
      <c r="R256" s="17" t="s">
        <v>419</v>
      </c>
      <c r="S256" s="17" t="s">
        <v>420</v>
      </c>
      <c r="T256" s="17" t="s">
        <v>421</v>
      </c>
      <c r="U256" s="17" t="s">
        <v>423</v>
      </c>
      <c r="V256" s="17" t="s">
        <v>732</v>
      </c>
      <c r="W256" s="17" t="s">
        <v>403</v>
      </c>
      <c r="X256" s="17" t="s">
        <v>493</v>
      </c>
      <c r="Y256" s="17" t="s">
        <v>438</v>
      </c>
      <c r="Z256" s="17" t="s">
        <v>605</v>
      </c>
      <c r="AA256" s="17" t="s">
        <v>440</v>
      </c>
      <c r="AB256" s="17" t="s">
        <v>1679</v>
      </c>
      <c r="AC256" s="17" t="s">
        <v>428</v>
      </c>
      <c r="AD256" s="17" t="s">
        <v>1254</v>
      </c>
      <c r="AE256" s="26">
        <v>320.0</v>
      </c>
      <c r="AF256" s="36">
        <v>37.49</v>
      </c>
      <c r="AG256" s="36">
        <v>37.4</v>
      </c>
      <c r="AH256" s="26" t="s">
        <v>1699</v>
      </c>
      <c r="AI256" s="26">
        <v>37210.0</v>
      </c>
      <c r="AJ256" s="26">
        <v>37210.0</v>
      </c>
      <c r="AK256" s="26" t="s">
        <v>777</v>
      </c>
      <c r="AL256" s="26">
        <v>102.0</v>
      </c>
      <c r="AM256" s="26">
        <v>2041.0</v>
      </c>
      <c r="AN256" s="17" t="s">
        <v>465</v>
      </c>
      <c r="AO256" s="17" t="s">
        <v>422</v>
      </c>
      <c r="AP256" s="32"/>
      <c r="AQ256" s="32"/>
      <c r="AR256" s="17" t="s">
        <v>512</v>
      </c>
      <c r="AS256" s="32"/>
      <c r="AT256" s="26">
        <v>188.0</v>
      </c>
      <c r="AU256" s="26" t="s">
        <v>1681</v>
      </c>
      <c r="AV256" s="35">
        <v>149.0</v>
      </c>
      <c r="AW256" s="26">
        <v>180.0</v>
      </c>
      <c r="AX256" s="26">
        <v>47.0</v>
      </c>
      <c r="AY256" s="26">
        <v>250.0</v>
      </c>
      <c r="AZ256" s="37">
        <v>45479.0</v>
      </c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</row>
    <row r="257">
      <c r="A257" s="20" t="s">
        <v>1700</v>
      </c>
      <c r="B257" s="20" t="s">
        <v>1657</v>
      </c>
      <c r="C257" s="17" t="s">
        <v>1701</v>
      </c>
      <c r="D257" s="17" t="s">
        <v>781</v>
      </c>
      <c r="E257" s="34" t="s">
        <v>477</v>
      </c>
      <c r="F257" s="26">
        <v>79.0</v>
      </c>
      <c r="G257" s="35">
        <v>137.0</v>
      </c>
      <c r="H257" s="17" t="s">
        <v>413</v>
      </c>
      <c r="I257" s="17" t="s">
        <v>414</v>
      </c>
      <c r="J257" s="17" t="s">
        <v>415</v>
      </c>
      <c r="L257" s="26">
        <v>5.0</v>
      </c>
      <c r="M257" s="17" t="s">
        <v>417</v>
      </c>
      <c r="N257" s="17" t="s">
        <v>418</v>
      </c>
      <c r="O257" s="26">
        <v>1500.0</v>
      </c>
      <c r="P257" s="26">
        <v>-1.0</v>
      </c>
      <c r="Q257" s="17" t="s">
        <v>419</v>
      </c>
      <c r="R257" s="17" t="s">
        <v>420</v>
      </c>
      <c r="S257" s="17" t="s">
        <v>421</v>
      </c>
      <c r="T257" s="17" t="s">
        <v>422</v>
      </c>
      <c r="U257" s="17" t="s">
        <v>423</v>
      </c>
      <c r="V257" s="17" t="s">
        <v>772</v>
      </c>
      <c r="W257" s="17" t="s">
        <v>403</v>
      </c>
      <c r="X257" s="17" t="s">
        <v>493</v>
      </c>
      <c r="Y257" s="17" t="s">
        <v>438</v>
      </c>
      <c r="Z257" s="17" t="s">
        <v>426</v>
      </c>
      <c r="AA257" s="17" t="s">
        <v>440</v>
      </c>
      <c r="AB257" s="17" t="s">
        <v>1679</v>
      </c>
      <c r="AC257" s="17" t="s">
        <v>428</v>
      </c>
      <c r="AD257" s="17" t="s">
        <v>866</v>
      </c>
      <c r="AE257" s="26">
        <v>630.0</v>
      </c>
      <c r="AF257" s="36">
        <v>57.19</v>
      </c>
      <c r="AG257" s="36">
        <v>53.495</v>
      </c>
      <c r="AH257" s="26" t="s">
        <v>1702</v>
      </c>
      <c r="AI257" s="26">
        <v>57711.0</v>
      </c>
      <c r="AJ257" s="26">
        <v>57711.0</v>
      </c>
      <c r="AK257" s="26" t="s">
        <v>495</v>
      </c>
      <c r="AL257" s="26">
        <v>346.0</v>
      </c>
      <c r="AM257" s="26">
        <v>2124.0</v>
      </c>
      <c r="AN257" s="32"/>
      <c r="AO257" s="32"/>
      <c r="AP257" s="17" t="s">
        <v>483</v>
      </c>
      <c r="AQ257" s="32"/>
      <c r="AR257" s="32"/>
      <c r="AS257" s="32"/>
      <c r="AT257" s="26">
        <v>188.0</v>
      </c>
      <c r="AU257" s="26" t="s">
        <v>1681</v>
      </c>
      <c r="AV257" s="35">
        <v>137.0</v>
      </c>
      <c r="AW257" s="26">
        <v>180.0</v>
      </c>
      <c r="AX257" s="26">
        <v>79.0</v>
      </c>
      <c r="AY257" s="26">
        <v>420.0</v>
      </c>
      <c r="AZ257" s="37">
        <v>45358.0</v>
      </c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</row>
    <row r="258">
      <c r="A258" s="20" t="s">
        <v>1703</v>
      </c>
      <c r="B258" s="20" t="s">
        <v>1595</v>
      </c>
      <c r="C258" s="17" t="s">
        <v>1704</v>
      </c>
      <c r="D258" s="17" t="s">
        <v>565</v>
      </c>
      <c r="E258" s="34" t="s">
        <v>477</v>
      </c>
      <c r="F258" s="26">
        <v>47.0</v>
      </c>
      <c r="G258" s="35">
        <v>140.0</v>
      </c>
      <c r="H258" s="32"/>
      <c r="I258" s="32"/>
      <c r="J258" s="17" t="s">
        <v>415</v>
      </c>
      <c r="L258" s="26">
        <v>5.0</v>
      </c>
      <c r="M258" s="17" t="s">
        <v>417</v>
      </c>
      <c r="N258" s="32"/>
      <c r="O258" s="32"/>
      <c r="P258" s="26">
        <v>5.0</v>
      </c>
      <c r="Q258" s="26">
        <v>5.0</v>
      </c>
      <c r="R258" s="17" t="s">
        <v>419</v>
      </c>
      <c r="S258" s="17" t="s">
        <v>420</v>
      </c>
      <c r="T258" s="17" t="s">
        <v>421</v>
      </c>
      <c r="U258" s="17" t="s">
        <v>423</v>
      </c>
      <c r="V258" s="17" t="s">
        <v>732</v>
      </c>
      <c r="W258" s="17" t="s">
        <v>403</v>
      </c>
      <c r="X258" s="17" t="s">
        <v>493</v>
      </c>
      <c r="Y258" s="17" t="s">
        <v>438</v>
      </c>
      <c r="Z258" s="17" t="s">
        <v>605</v>
      </c>
      <c r="AA258" s="17" t="s">
        <v>440</v>
      </c>
      <c r="AB258" s="17" t="s">
        <v>1679</v>
      </c>
      <c r="AC258" s="17" t="s">
        <v>428</v>
      </c>
      <c r="AD258" s="17" t="s">
        <v>1254</v>
      </c>
      <c r="AE258" s="26">
        <v>320.0</v>
      </c>
      <c r="AF258" s="36">
        <v>34.99</v>
      </c>
      <c r="AG258" s="36">
        <v>34.9</v>
      </c>
      <c r="AH258" s="17" t="s">
        <v>463</v>
      </c>
      <c r="AI258" s="26">
        <v>34945.0</v>
      </c>
      <c r="AJ258" s="26">
        <v>34945.0</v>
      </c>
      <c r="AK258" s="26" t="s">
        <v>567</v>
      </c>
      <c r="AL258" s="26">
        <v>127.0</v>
      </c>
      <c r="AM258" s="26">
        <v>2217.0</v>
      </c>
      <c r="AN258" s="17" t="s">
        <v>465</v>
      </c>
      <c r="AO258" s="17" t="s">
        <v>422</v>
      </c>
      <c r="AP258" s="32"/>
      <c r="AQ258" s="32"/>
      <c r="AR258" s="17" t="s">
        <v>512</v>
      </c>
      <c r="AS258" s="32"/>
      <c r="AT258" s="26">
        <v>188.0</v>
      </c>
      <c r="AU258" s="26" t="s">
        <v>1681</v>
      </c>
      <c r="AV258" s="35">
        <v>140.0</v>
      </c>
      <c r="AW258" s="26">
        <v>180.0</v>
      </c>
      <c r="AX258" s="26">
        <v>47.0</v>
      </c>
      <c r="AY258" s="26">
        <v>250.0</v>
      </c>
      <c r="AZ258" s="37">
        <v>45479.0</v>
      </c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</row>
    <row r="259">
      <c r="A259" s="20" t="s">
        <v>1705</v>
      </c>
      <c r="B259" s="20" t="s">
        <v>1706</v>
      </c>
      <c r="C259" s="17" t="s">
        <v>1707</v>
      </c>
      <c r="D259" s="17" t="s">
        <v>1012</v>
      </c>
      <c r="E259" s="34" t="s">
        <v>477</v>
      </c>
      <c r="F259" s="26" t="s">
        <v>1708</v>
      </c>
      <c r="G259" s="35">
        <v>139.0</v>
      </c>
      <c r="H259" s="32"/>
      <c r="I259" s="17" t="s">
        <v>414</v>
      </c>
      <c r="J259" s="17" t="s">
        <v>415</v>
      </c>
      <c r="L259" s="26">
        <v>5.0</v>
      </c>
      <c r="M259" s="32"/>
      <c r="N259" s="17" t="s">
        <v>418</v>
      </c>
      <c r="O259" s="26">
        <v>750.0</v>
      </c>
      <c r="P259" s="26">
        <v>5.0</v>
      </c>
      <c r="Q259" s="26">
        <v>5.0</v>
      </c>
      <c r="R259" s="17" t="s">
        <v>419</v>
      </c>
      <c r="S259" s="17" t="s">
        <v>420</v>
      </c>
      <c r="T259" s="17" t="s">
        <v>421</v>
      </c>
      <c r="U259" s="17" t="s">
        <v>423</v>
      </c>
      <c r="V259" s="17" t="s">
        <v>880</v>
      </c>
      <c r="W259" s="17" t="s">
        <v>403</v>
      </c>
      <c r="X259" s="17" t="s">
        <v>493</v>
      </c>
      <c r="Y259" s="17" t="s">
        <v>438</v>
      </c>
      <c r="Z259" s="17" t="s">
        <v>955</v>
      </c>
      <c r="AA259" s="17" t="s">
        <v>440</v>
      </c>
      <c r="AB259" s="17" t="s">
        <v>1709</v>
      </c>
      <c r="AC259" s="17" t="s">
        <v>428</v>
      </c>
      <c r="AD259" s="17" t="s">
        <v>545</v>
      </c>
      <c r="AE259" s="26">
        <v>470.0</v>
      </c>
      <c r="AF259" s="36">
        <v>55.8</v>
      </c>
      <c r="AG259" s="36">
        <v>46.3</v>
      </c>
      <c r="AH259" s="26" t="s">
        <v>1710</v>
      </c>
      <c r="AI259" s="26">
        <v>53518.0</v>
      </c>
      <c r="AJ259" s="26">
        <v>53518.0</v>
      </c>
      <c r="AK259" s="26" t="s">
        <v>567</v>
      </c>
      <c r="AL259" s="26">
        <v>229.0</v>
      </c>
      <c r="AM259" s="26">
        <v>2277.0</v>
      </c>
      <c r="AN259" s="32"/>
      <c r="AO259" s="17" t="s">
        <v>422</v>
      </c>
      <c r="AP259" s="32"/>
      <c r="AQ259" s="32"/>
      <c r="AR259" s="32"/>
      <c r="AS259" s="32"/>
      <c r="AT259" s="26">
        <v>189.0</v>
      </c>
      <c r="AU259" s="26" t="s">
        <v>1711</v>
      </c>
      <c r="AV259" s="35">
        <v>139.0</v>
      </c>
      <c r="AW259" s="26">
        <v>180.0</v>
      </c>
      <c r="AX259" s="26" t="s">
        <v>1708</v>
      </c>
      <c r="AY259" s="26">
        <v>385.0</v>
      </c>
      <c r="AZ259" s="37">
        <v>45540.0</v>
      </c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</row>
    <row r="260">
      <c r="A260" s="20" t="s">
        <v>1712</v>
      </c>
      <c r="B260" s="20" t="s">
        <v>1713</v>
      </c>
      <c r="C260" s="17" t="s">
        <v>1714</v>
      </c>
      <c r="D260" s="17" t="s">
        <v>951</v>
      </c>
      <c r="E260" s="34" t="s">
        <v>436</v>
      </c>
      <c r="F260" s="26">
        <v>74.0</v>
      </c>
      <c r="G260" s="35">
        <v>159.0</v>
      </c>
      <c r="H260" s="32"/>
      <c r="I260" s="17" t="s">
        <v>414</v>
      </c>
      <c r="J260" s="17" t="s">
        <v>415</v>
      </c>
      <c r="L260" s="26">
        <v>5.0</v>
      </c>
      <c r="M260" s="32"/>
      <c r="N260" s="17" t="s">
        <v>418</v>
      </c>
      <c r="O260" s="26">
        <v>1600.0</v>
      </c>
      <c r="P260" s="26">
        <v>5.0</v>
      </c>
      <c r="Q260" s="26">
        <v>5.0</v>
      </c>
      <c r="R260" s="17" t="s">
        <v>419</v>
      </c>
      <c r="S260" s="17" t="s">
        <v>420</v>
      </c>
      <c r="T260" s="17" t="s">
        <v>421</v>
      </c>
      <c r="U260" s="17" t="s">
        <v>423</v>
      </c>
      <c r="V260" s="17" t="s">
        <v>953</v>
      </c>
      <c r="W260" s="17" t="s">
        <v>403</v>
      </c>
      <c r="X260" s="17" t="s">
        <v>459</v>
      </c>
      <c r="Y260" s="17" t="s">
        <v>438</v>
      </c>
      <c r="Z260" s="17" t="s">
        <v>900</v>
      </c>
      <c r="AA260" s="17" t="s">
        <v>440</v>
      </c>
      <c r="AB260" s="17" t="s">
        <v>1715</v>
      </c>
      <c r="AC260" s="17" t="s">
        <v>428</v>
      </c>
      <c r="AD260" s="17" t="s">
        <v>1654</v>
      </c>
      <c r="AE260" s="26">
        <v>1020.0</v>
      </c>
      <c r="AF260" s="17" t="s">
        <v>463</v>
      </c>
      <c r="AG260" s="17" t="s">
        <v>463</v>
      </c>
      <c r="AH260" s="26" t="s">
        <v>1716</v>
      </c>
      <c r="AI260" s="26">
        <v>61990.0</v>
      </c>
      <c r="AJ260" s="26">
        <v>61990.0</v>
      </c>
      <c r="AK260" s="26" t="s">
        <v>537</v>
      </c>
      <c r="AL260" s="26">
        <v>185.0</v>
      </c>
      <c r="AM260" s="26">
        <v>1647.0</v>
      </c>
      <c r="AN260" s="17" t="s">
        <v>465</v>
      </c>
      <c r="AO260" s="17" t="s">
        <v>422</v>
      </c>
      <c r="AP260" s="17" t="s">
        <v>483</v>
      </c>
      <c r="AQ260" s="32"/>
      <c r="AR260" s="32"/>
      <c r="AS260" s="32"/>
      <c r="AT260" s="26">
        <v>190.0</v>
      </c>
      <c r="AU260" s="26" t="s">
        <v>1717</v>
      </c>
      <c r="AV260" s="35">
        <v>159.0</v>
      </c>
      <c r="AW260" s="26">
        <v>185.0</v>
      </c>
      <c r="AX260" s="26">
        <v>74.0</v>
      </c>
      <c r="AY260" s="26">
        <v>390.0</v>
      </c>
      <c r="AZ260" s="37">
        <v>45511.0</v>
      </c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  <c r="CF260" s="32"/>
      <c r="CG260" s="32"/>
    </row>
    <row r="261">
      <c r="A261" s="20" t="s">
        <v>1718</v>
      </c>
      <c r="B261" s="20" t="s">
        <v>1719</v>
      </c>
      <c r="C261" s="17" t="s">
        <v>1720</v>
      </c>
      <c r="D261" s="17" t="s">
        <v>533</v>
      </c>
      <c r="E261" s="34" t="s">
        <v>436</v>
      </c>
      <c r="F261" s="26">
        <v>60.0</v>
      </c>
      <c r="G261" s="35">
        <v>131.0</v>
      </c>
      <c r="H261" s="17" t="s">
        <v>413</v>
      </c>
      <c r="I261" s="17" t="s">
        <v>414</v>
      </c>
      <c r="J261" s="17" t="s">
        <v>415</v>
      </c>
      <c r="L261" s="26">
        <v>5.0</v>
      </c>
      <c r="M261" s="32"/>
      <c r="N261" s="32"/>
      <c r="O261" s="32"/>
      <c r="P261" s="26">
        <v>3.0</v>
      </c>
      <c r="Q261" s="26">
        <v>3.0</v>
      </c>
      <c r="R261" s="17" t="s">
        <v>419</v>
      </c>
      <c r="S261" s="17" t="s">
        <v>420</v>
      </c>
      <c r="T261" s="17" t="s">
        <v>421</v>
      </c>
      <c r="U261" s="17" t="s">
        <v>423</v>
      </c>
      <c r="V261" s="17" t="s">
        <v>1078</v>
      </c>
      <c r="W261" s="17" t="s">
        <v>543</v>
      </c>
      <c r="X261" s="17" t="s">
        <v>480</v>
      </c>
      <c r="Y261" s="17" t="s">
        <v>438</v>
      </c>
      <c r="Z261" s="17" t="s">
        <v>509</v>
      </c>
      <c r="AA261" s="17" t="s">
        <v>440</v>
      </c>
      <c r="AB261" s="17" t="s">
        <v>1715</v>
      </c>
      <c r="AC261" s="17" t="s">
        <v>428</v>
      </c>
      <c r="AD261" s="17" t="s">
        <v>746</v>
      </c>
      <c r="AE261" s="26">
        <v>380.0</v>
      </c>
      <c r="AF261" s="36">
        <v>39.563</v>
      </c>
      <c r="AG261" s="36">
        <v>42.95</v>
      </c>
      <c r="AH261" s="17" t="s">
        <v>463</v>
      </c>
      <c r="AI261" s="26">
        <v>41256.0</v>
      </c>
      <c r="AJ261" s="26">
        <v>41256.0</v>
      </c>
      <c r="AK261" s="26" t="s">
        <v>537</v>
      </c>
      <c r="AL261" s="26">
        <v>480.0</v>
      </c>
      <c r="AM261" s="26">
        <v>1678.0</v>
      </c>
      <c r="AN261" s="32"/>
      <c r="AO261" s="17" t="s">
        <v>422</v>
      </c>
      <c r="AP261" s="17" t="s">
        <v>483</v>
      </c>
      <c r="AQ261" s="32"/>
      <c r="AR261" s="32"/>
      <c r="AS261" s="32"/>
      <c r="AT261" s="26">
        <v>190.0</v>
      </c>
      <c r="AU261" s="26" t="s">
        <v>1717</v>
      </c>
      <c r="AV261" s="35">
        <v>131.0</v>
      </c>
      <c r="AW261" s="26">
        <v>150.0</v>
      </c>
      <c r="AX261" s="26">
        <v>60.0</v>
      </c>
      <c r="AY261" s="26">
        <v>315.0</v>
      </c>
      <c r="AZ261" s="37">
        <v>45419.0</v>
      </c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</row>
    <row r="262">
      <c r="A262" s="20" t="s">
        <v>1721</v>
      </c>
      <c r="B262" s="20" t="s">
        <v>1722</v>
      </c>
      <c r="C262" s="17" t="s">
        <v>1723</v>
      </c>
      <c r="D262" s="17" t="s">
        <v>835</v>
      </c>
      <c r="E262" s="34" t="s">
        <v>436</v>
      </c>
      <c r="F262" s="26">
        <v>94.0</v>
      </c>
      <c r="G262" s="35">
        <v>133.0</v>
      </c>
      <c r="H262" s="17" t="s">
        <v>413</v>
      </c>
      <c r="I262" s="17" t="s">
        <v>414</v>
      </c>
      <c r="J262" s="17" t="s">
        <v>415</v>
      </c>
      <c r="K262" s="17" t="s">
        <v>595</v>
      </c>
      <c r="L262" s="26">
        <v>5.0</v>
      </c>
      <c r="M262" s="17" t="s">
        <v>417</v>
      </c>
      <c r="N262" s="17" t="s">
        <v>418</v>
      </c>
      <c r="O262" s="26">
        <v>1500.0</v>
      </c>
      <c r="P262" s="26">
        <v>-1.0</v>
      </c>
      <c r="Q262" s="17" t="s">
        <v>419</v>
      </c>
      <c r="R262" s="17" t="s">
        <v>420</v>
      </c>
      <c r="S262" s="17" t="s">
        <v>421</v>
      </c>
      <c r="T262" s="17" t="s">
        <v>422</v>
      </c>
      <c r="U262" s="17" t="s">
        <v>423</v>
      </c>
      <c r="V262" s="17" t="s">
        <v>470</v>
      </c>
      <c r="W262" s="17" t="s">
        <v>403</v>
      </c>
      <c r="X262" s="17" t="s">
        <v>493</v>
      </c>
      <c r="Y262" s="17" t="s">
        <v>438</v>
      </c>
      <c r="Z262" s="17" t="s">
        <v>471</v>
      </c>
      <c r="AA262" s="17" t="s">
        <v>440</v>
      </c>
      <c r="AB262" s="17" t="s">
        <v>1715</v>
      </c>
      <c r="AC262" s="17" t="s">
        <v>428</v>
      </c>
      <c r="AD262" s="17" t="s">
        <v>1144</v>
      </c>
      <c r="AE262" s="26">
        <v>670.0</v>
      </c>
      <c r="AF262" s="36">
        <v>63.2</v>
      </c>
      <c r="AG262" s="36">
        <v>64.8</v>
      </c>
      <c r="AH262" s="26" t="s">
        <v>522</v>
      </c>
      <c r="AI262" s="26">
        <v>65662.0</v>
      </c>
      <c r="AJ262" s="26">
        <v>65662.0</v>
      </c>
      <c r="AK262" s="26" t="s">
        <v>777</v>
      </c>
      <c r="AL262" s="26">
        <v>479.0</v>
      </c>
      <c r="AM262" s="26">
        <v>1841.0</v>
      </c>
      <c r="AN262" s="17" t="s">
        <v>465</v>
      </c>
      <c r="AO262" s="32"/>
      <c r="AP262" s="32"/>
      <c r="AQ262" s="32"/>
      <c r="AR262" s="32"/>
      <c r="AS262" s="32"/>
      <c r="AT262" s="26">
        <v>190.0</v>
      </c>
      <c r="AU262" s="26" t="s">
        <v>1717</v>
      </c>
      <c r="AV262" s="35">
        <v>133.0</v>
      </c>
      <c r="AW262" s="26">
        <v>180.0</v>
      </c>
      <c r="AX262" s="26">
        <v>94.0</v>
      </c>
      <c r="AY262" s="26">
        <v>495.0</v>
      </c>
      <c r="AZ262" s="37">
        <v>45389.0</v>
      </c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</row>
    <row r="263">
      <c r="A263" s="20" t="s">
        <v>1724</v>
      </c>
      <c r="B263" s="20" t="s">
        <v>1429</v>
      </c>
      <c r="C263" s="17" t="s">
        <v>1725</v>
      </c>
      <c r="D263" s="17" t="s">
        <v>410</v>
      </c>
      <c r="E263" s="34" t="s">
        <v>436</v>
      </c>
      <c r="F263" s="26">
        <v>94.0</v>
      </c>
      <c r="G263" s="35">
        <v>139.0</v>
      </c>
      <c r="H263" s="32"/>
      <c r="I263" s="17" t="s">
        <v>414</v>
      </c>
      <c r="J263" s="17" t="s">
        <v>415</v>
      </c>
      <c r="K263" s="17" t="s">
        <v>595</v>
      </c>
      <c r="L263" s="26">
        <v>5.0</v>
      </c>
      <c r="M263" s="17" t="s">
        <v>417</v>
      </c>
      <c r="N263" s="17" t="s">
        <v>418</v>
      </c>
      <c r="O263" s="26">
        <v>2000.0</v>
      </c>
      <c r="P263" s="26">
        <v>5.0</v>
      </c>
      <c r="Q263" s="26">
        <v>5.0</v>
      </c>
      <c r="R263" s="17" t="s">
        <v>419</v>
      </c>
      <c r="S263" s="17" t="s">
        <v>420</v>
      </c>
      <c r="T263" s="17" t="s">
        <v>421</v>
      </c>
      <c r="U263" s="17" t="s">
        <v>423</v>
      </c>
      <c r="V263" s="17" t="s">
        <v>1249</v>
      </c>
      <c r="W263" s="17" t="s">
        <v>403</v>
      </c>
      <c r="X263" s="17" t="s">
        <v>782</v>
      </c>
      <c r="Y263" s="17" t="s">
        <v>438</v>
      </c>
      <c r="Z263" s="17" t="s">
        <v>471</v>
      </c>
      <c r="AA263" s="17" t="s">
        <v>440</v>
      </c>
      <c r="AB263" s="17" t="s">
        <v>1715</v>
      </c>
      <c r="AC263" s="17" t="s">
        <v>428</v>
      </c>
      <c r="AD263" s="17" t="s">
        <v>1144</v>
      </c>
      <c r="AE263" s="26">
        <v>670.0</v>
      </c>
      <c r="AF263" s="36">
        <v>68.97</v>
      </c>
      <c r="AG263" s="36">
        <v>68.49</v>
      </c>
      <c r="AH263" s="17" t="s">
        <v>463</v>
      </c>
      <c r="AI263" s="26">
        <v>68730.0</v>
      </c>
      <c r="AJ263" s="26">
        <v>68730.0</v>
      </c>
      <c r="AK263" s="26" t="s">
        <v>431</v>
      </c>
      <c r="AL263" s="26">
        <v>184.0</v>
      </c>
      <c r="AM263" s="26">
        <v>1935.0</v>
      </c>
      <c r="AN263" s="17" t="s">
        <v>465</v>
      </c>
      <c r="AO263" s="17" t="s">
        <v>422</v>
      </c>
      <c r="AP263" s="32"/>
      <c r="AQ263" s="32"/>
      <c r="AR263" s="32"/>
      <c r="AS263" s="32"/>
      <c r="AT263" s="26">
        <v>190.0</v>
      </c>
      <c r="AU263" s="26" t="s">
        <v>1717</v>
      </c>
      <c r="AV263" s="35">
        <v>139.0</v>
      </c>
      <c r="AW263" s="26">
        <v>200.0</v>
      </c>
      <c r="AX263" s="26">
        <v>94.0</v>
      </c>
      <c r="AY263" s="26">
        <v>495.0</v>
      </c>
      <c r="AZ263" s="37">
        <v>45507.0</v>
      </c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/>
      <c r="CG263" s="32"/>
    </row>
    <row r="264">
      <c r="A264" s="20" t="s">
        <v>1726</v>
      </c>
      <c r="B264" s="20" t="s">
        <v>978</v>
      </c>
      <c r="C264" s="17" t="s">
        <v>1727</v>
      </c>
      <c r="D264" s="17" t="s">
        <v>804</v>
      </c>
      <c r="E264" s="34" t="s">
        <v>477</v>
      </c>
      <c r="F264" s="26" t="s">
        <v>980</v>
      </c>
      <c r="G264" s="35">
        <v>165.0</v>
      </c>
      <c r="H264" s="17" t="s">
        <v>413</v>
      </c>
      <c r="I264" s="17" t="s">
        <v>414</v>
      </c>
      <c r="J264" s="17" t="s">
        <v>415</v>
      </c>
      <c r="L264" s="26">
        <v>5.0</v>
      </c>
      <c r="M264" s="17" t="s">
        <v>417</v>
      </c>
      <c r="N264" s="17" t="s">
        <v>418</v>
      </c>
      <c r="O264" s="26">
        <v>1800.0</v>
      </c>
      <c r="P264" s="26">
        <v>-1.0</v>
      </c>
      <c r="Q264" s="17" t="s">
        <v>419</v>
      </c>
      <c r="R264" s="17" t="s">
        <v>420</v>
      </c>
      <c r="S264" s="17" t="s">
        <v>421</v>
      </c>
      <c r="T264" s="17" t="s">
        <v>422</v>
      </c>
      <c r="U264" s="17" t="s">
        <v>423</v>
      </c>
      <c r="V264" s="17" t="s">
        <v>1033</v>
      </c>
      <c r="W264" s="17" t="s">
        <v>403</v>
      </c>
      <c r="X264" s="17" t="s">
        <v>581</v>
      </c>
      <c r="Y264" s="17" t="s">
        <v>438</v>
      </c>
      <c r="Z264" s="17" t="s">
        <v>799</v>
      </c>
      <c r="AA264" s="17" t="s">
        <v>440</v>
      </c>
      <c r="AB264" s="17" t="s">
        <v>1715</v>
      </c>
      <c r="AC264" s="17" t="s">
        <v>520</v>
      </c>
      <c r="AD264" s="17" t="s">
        <v>805</v>
      </c>
      <c r="AE264" s="26">
        <v>500.0</v>
      </c>
      <c r="AF264" s="36">
        <v>53.52</v>
      </c>
      <c r="AG264" s="36">
        <v>58.959</v>
      </c>
      <c r="AH264" s="26" t="s">
        <v>1728</v>
      </c>
      <c r="AI264" s="26">
        <v>57813.0</v>
      </c>
      <c r="AJ264" s="26">
        <v>57813.0</v>
      </c>
      <c r="AK264" s="26" t="s">
        <v>777</v>
      </c>
      <c r="AL264" s="26">
        <v>192.0</v>
      </c>
      <c r="AM264" s="26">
        <v>1986.0</v>
      </c>
      <c r="AN264" s="32"/>
      <c r="AO264" s="32"/>
      <c r="AP264" s="17" t="s">
        <v>483</v>
      </c>
      <c r="AQ264" s="32"/>
      <c r="AR264" s="32"/>
      <c r="AS264" s="32"/>
      <c r="AT264" s="26">
        <v>190.0</v>
      </c>
      <c r="AU264" s="26" t="s">
        <v>1717</v>
      </c>
      <c r="AV264" s="35">
        <v>165.0</v>
      </c>
      <c r="AW264" s="26">
        <v>160.0</v>
      </c>
      <c r="AX264" s="26" t="s">
        <v>980</v>
      </c>
      <c r="AY264" s="26">
        <v>350.0</v>
      </c>
      <c r="AZ264" s="37">
        <v>45480.0</v>
      </c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</row>
    <row r="265">
      <c r="A265" s="20" t="s">
        <v>1729</v>
      </c>
      <c r="B265" s="20" t="s">
        <v>978</v>
      </c>
      <c r="C265" s="17" t="s">
        <v>1730</v>
      </c>
      <c r="D265" s="17" t="s">
        <v>804</v>
      </c>
      <c r="E265" s="34" t="s">
        <v>477</v>
      </c>
      <c r="F265" s="26" t="s">
        <v>980</v>
      </c>
      <c r="G265" s="35">
        <v>178.0</v>
      </c>
      <c r="H265" s="17" t="s">
        <v>413</v>
      </c>
      <c r="I265" s="17" t="s">
        <v>414</v>
      </c>
      <c r="J265" s="17" t="s">
        <v>415</v>
      </c>
      <c r="L265" s="26">
        <v>5.0</v>
      </c>
      <c r="M265" s="17" t="s">
        <v>417</v>
      </c>
      <c r="N265" s="17" t="s">
        <v>418</v>
      </c>
      <c r="O265" s="26">
        <v>1800.0</v>
      </c>
      <c r="P265" s="26">
        <v>-1.0</v>
      </c>
      <c r="Q265" s="17" t="s">
        <v>419</v>
      </c>
      <c r="R265" s="17" t="s">
        <v>420</v>
      </c>
      <c r="S265" s="17" t="s">
        <v>421</v>
      </c>
      <c r="T265" s="17" t="s">
        <v>422</v>
      </c>
      <c r="U265" s="17" t="s">
        <v>423</v>
      </c>
      <c r="V265" s="17" t="s">
        <v>596</v>
      </c>
      <c r="W265" s="17" t="s">
        <v>403</v>
      </c>
      <c r="X265" s="17" t="s">
        <v>581</v>
      </c>
      <c r="Y265" s="17" t="s">
        <v>438</v>
      </c>
      <c r="Z265" s="17" t="s">
        <v>799</v>
      </c>
      <c r="AA265" s="17" t="s">
        <v>440</v>
      </c>
      <c r="AB265" s="17" t="s">
        <v>1715</v>
      </c>
      <c r="AC265" s="17" t="s">
        <v>520</v>
      </c>
      <c r="AD265" s="17" t="s">
        <v>805</v>
      </c>
      <c r="AE265" s="26">
        <v>500.0</v>
      </c>
      <c r="AF265" s="36">
        <v>56.424</v>
      </c>
      <c r="AG265" s="36">
        <v>67.308</v>
      </c>
      <c r="AH265" s="26" t="s">
        <v>1731</v>
      </c>
      <c r="AI265" s="26">
        <v>62139.0</v>
      </c>
      <c r="AJ265" s="26">
        <v>62139.0</v>
      </c>
      <c r="AK265" s="26" t="s">
        <v>777</v>
      </c>
      <c r="AL265" s="26">
        <v>173.0</v>
      </c>
      <c r="AM265" s="26">
        <v>1987.0</v>
      </c>
      <c r="AN265" s="32"/>
      <c r="AO265" s="32"/>
      <c r="AP265" s="17" t="s">
        <v>483</v>
      </c>
      <c r="AQ265" s="32"/>
      <c r="AR265" s="32"/>
      <c r="AS265" s="32"/>
      <c r="AT265" s="26">
        <v>190.0</v>
      </c>
      <c r="AU265" s="26" t="s">
        <v>1717</v>
      </c>
      <c r="AV265" s="35">
        <v>178.0</v>
      </c>
      <c r="AW265" s="26">
        <v>160.0</v>
      </c>
      <c r="AX265" s="26" t="s">
        <v>980</v>
      </c>
      <c r="AY265" s="26">
        <v>350.0</v>
      </c>
      <c r="AZ265" s="26">
        <v>6.0</v>
      </c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  <c r="CF265" s="32"/>
      <c r="CG265" s="32"/>
    </row>
    <row r="266">
      <c r="A266" s="20" t="s">
        <v>1732</v>
      </c>
      <c r="B266" s="20" t="s">
        <v>1436</v>
      </c>
      <c r="C266" s="17" t="s">
        <v>1733</v>
      </c>
      <c r="D266" s="17" t="s">
        <v>781</v>
      </c>
      <c r="E266" s="34" t="s">
        <v>477</v>
      </c>
      <c r="F266" s="26">
        <v>97.0</v>
      </c>
      <c r="G266" s="35">
        <v>246.0</v>
      </c>
      <c r="H266" s="17" t="s">
        <v>413</v>
      </c>
      <c r="I266" s="17" t="s">
        <v>414</v>
      </c>
      <c r="J266" s="17" t="s">
        <v>415</v>
      </c>
      <c r="L266" s="26">
        <v>5.0</v>
      </c>
      <c r="M266" s="17" t="s">
        <v>417</v>
      </c>
      <c r="N266" s="32"/>
      <c r="O266" s="32"/>
      <c r="P266" s="26">
        <v>-1.0</v>
      </c>
      <c r="Q266" s="17" t="s">
        <v>419</v>
      </c>
      <c r="R266" s="17" t="s">
        <v>420</v>
      </c>
      <c r="S266" s="17" t="s">
        <v>421</v>
      </c>
      <c r="T266" s="17" t="s">
        <v>422</v>
      </c>
      <c r="U266" s="17" t="s">
        <v>423</v>
      </c>
      <c r="V266" s="17" t="s">
        <v>991</v>
      </c>
      <c r="W266" s="17" t="s">
        <v>403</v>
      </c>
      <c r="X266" s="17" t="s">
        <v>701</v>
      </c>
      <c r="Y266" s="17" t="s">
        <v>438</v>
      </c>
      <c r="Z266" s="17" t="s">
        <v>1653</v>
      </c>
      <c r="AA266" s="17" t="s">
        <v>440</v>
      </c>
      <c r="AB266" s="17" t="s">
        <v>1715</v>
      </c>
      <c r="AC266" s="17" t="s">
        <v>428</v>
      </c>
      <c r="AD266" s="17" t="s">
        <v>1734</v>
      </c>
      <c r="AE266" s="26">
        <v>1190.0</v>
      </c>
      <c r="AF266" s="36">
        <v>127.322</v>
      </c>
      <c r="AG266" s="36">
        <v>133.631</v>
      </c>
      <c r="AH266" s="26" t="s">
        <v>1735</v>
      </c>
      <c r="AI266" s="26">
        <v>100000.0</v>
      </c>
      <c r="AJ266" s="26">
        <v>125699.0</v>
      </c>
      <c r="AK266" s="26" t="s">
        <v>495</v>
      </c>
      <c r="AL266" s="26">
        <v>79.0</v>
      </c>
      <c r="AM266" s="26">
        <v>2107.0</v>
      </c>
      <c r="AN266" s="32"/>
      <c r="AO266" s="32"/>
      <c r="AP266" s="32"/>
      <c r="AQ266" s="32"/>
      <c r="AR266" s="32"/>
      <c r="AS266" s="32"/>
      <c r="AT266" s="26">
        <v>190.0</v>
      </c>
      <c r="AU266" s="26" t="s">
        <v>1717</v>
      </c>
      <c r="AV266" s="35">
        <v>246.0</v>
      </c>
      <c r="AW266" s="26">
        <v>250.0</v>
      </c>
      <c r="AX266" s="26">
        <v>97.0</v>
      </c>
      <c r="AY266" s="26">
        <v>510.0</v>
      </c>
      <c r="AZ266" s="37">
        <v>45476.0</v>
      </c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32"/>
    </row>
    <row r="267">
      <c r="A267" s="20" t="s">
        <v>1736</v>
      </c>
      <c r="B267" s="20" t="s">
        <v>1737</v>
      </c>
      <c r="C267" s="17" t="s">
        <v>1738</v>
      </c>
      <c r="D267" s="17" t="s">
        <v>781</v>
      </c>
      <c r="E267" s="34" t="s">
        <v>477</v>
      </c>
      <c r="F267" s="26">
        <v>97.0</v>
      </c>
      <c r="G267" s="35">
        <v>225.0</v>
      </c>
      <c r="H267" s="17" t="s">
        <v>413</v>
      </c>
      <c r="I267" s="17" t="s">
        <v>414</v>
      </c>
      <c r="J267" s="17" t="s">
        <v>415</v>
      </c>
      <c r="L267" s="26">
        <v>5.0</v>
      </c>
      <c r="M267" s="17" t="s">
        <v>417</v>
      </c>
      <c r="N267" s="32"/>
      <c r="O267" s="32"/>
      <c r="P267" s="26">
        <v>-1.0</v>
      </c>
      <c r="Q267" s="17" t="s">
        <v>419</v>
      </c>
      <c r="R267" s="17" t="s">
        <v>420</v>
      </c>
      <c r="S267" s="17" t="s">
        <v>421</v>
      </c>
      <c r="T267" s="17" t="s">
        <v>422</v>
      </c>
      <c r="U267" s="17" t="s">
        <v>423</v>
      </c>
      <c r="V267" s="17" t="s">
        <v>764</v>
      </c>
      <c r="W267" s="17" t="s">
        <v>403</v>
      </c>
      <c r="X267" s="17" t="s">
        <v>1652</v>
      </c>
      <c r="Y267" s="17" t="s">
        <v>438</v>
      </c>
      <c r="Z267" s="17" t="s">
        <v>1653</v>
      </c>
      <c r="AA267" s="17" t="s">
        <v>440</v>
      </c>
      <c r="AB267" s="17" t="s">
        <v>1715</v>
      </c>
      <c r="AC267" s="17" t="s">
        <v>428</v>
      </c>
      <c r="AD267" s="17" t="s">
        <v>1734</v>
      </c>
      <c r="AE267" s="26">
        <v>1190.0</v>
      </c>
      <c r="AF267" s="36">
        <v>113.1</v>
      </c>
      <c r="AG267" s="36">
        <v>119.4</v>
      </c>
      <c r="AH267" s="26" t="s">
        <v>1739</v>
      </c>
      <c r="AI267" s="26">
        <v>100000.0</v>
      </c>
      <c r="AJ267" s="26">
        <v>114606.0</v>
      </c>
      <c r="AK267" s="26" t="s">
        <v>495</v>
      </c>
      <c r="AL267" s="26">
        <v>141.0</v>
      </c>
      <c r="AM267" s="26">
        <v>2110.0</v>
      </c>
      <c r="AN267" s="32"/>
      <c r="AO267" s="32"/>
      <c r="AP267" s="32"/>
      <c r="AQ267" s="32"/>
      <c r="AR267" s="32"/>
      <c r="AS267" s="32"/>
      <c r="AT267" s="26">
        <v>190.0</v>
      </c>
      <c r="AU267" s="26" t="s">
        <v>1717</v>
      </c>
      <c r="AV267" s="35">
        <v>225.0</v>
      </c>
      <c r="AW267" s="26">
        <v>220.0</v>
      </c>
      <c r="AX267" s="26">
        <v>97.0</v>
      </c>
      <c r="AY267" s="26">
        <v>510.0</v>
      </c>
      <c r="AZ267" s="37">
        <v>45477.0</v>
      </c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  <c r="CE267" s="32"/>
      <c r="CF267" s="32"/>
      <c r="CG267" s="32"/>
    </row>
    <row r="268">
      <c r="A268" s="20" t="s">
        <v>1740</v>
      </c>
      <c r="B268" s="20" t="s">
        <v>1737</v>
      </c>
      <c r="C268" s="17" t="s">
        <v>1741</v>
      </c>
      <c r="D268" s="17" t="s">
        <v>781</v>
      </c>
      <c r="E268" s="34" t="s">
        <v>477</v>
      </c>
      <c r="F268" s="26">
        <v>97.0</v>
      </c>
      <c r="G268" s="35">
        <v>245.0</v>
      </c>
      <c r="H268" s="17" t="s">
        <v>413</v>
      </c>
      <c r="I268" s="17" t="s">
        <v>414</v>
      </c>
      <c r="J268" s="17" t="s">
        <v>415</v>
      </c>
      <c r="L268" s="26">
        <v>5.0</v>
      </c>
      <c r="M268" s="17" t="s">
        <v>417</v>
      </c>
      <c r="N268" s="32"/>
      <c r="O268" s="32"/>
      <c r="P268" s="26">
        <v>-1.0</v>
      </c>
      <c r="Q268" s="17" t="s">
        <v>419</v>
      </c>
      <c r="R268" s="17" t="s">
        <v>420</v>
      </c>
      <c r="S268" s="17" t="s">
        <v>421</v>
      </c>
      <c r="T268" s="17" t="s">
        <v>422</v>
      </c>
      <c r="U268" s="17" t="s">
        <v>423</v>
      </c>
      <c r="V268" s="17" t="s">
        <v>1249</v>
      </c>
      <c r="W268" s="17" t="s">
        <v>403</v>
      </c>
      <c r="X268" s="17" t="s">
        <v>644</v>
      </c>
      <c r="Y268" s="17" t="s">
        <v>438</v>
      </c>
      <c r="Z268" s="17" t="s">
        <v>1653</v>
      </c>
      <c r="AA268" s="17" t="s">
        <v>440</v>
      </c>
      <c r="AB268" s="17" t="s">
        <v>1715</v>
      </c>
      <c r="AC268" s="17" t="s">
        <v>428</v>
      </c>
      <c r="AD268" s="17" t="s">
        <v>1734</v>
      </c>
      <c r="AE268" s="26">
        <v>1190.0</v>
      </c>
      <c r="AF268" s="36">
        <v>126.4</v>
      </c>
      <c r="AG268" s="36">
        <v>132.6</v>
      </c>
      <c r="AH268" s="26" t="s">
        <v>1742</v>
      </c>
      <c r="AI268" s="26">
        <v>100000.0</v>
      </c>
      <c r="AJ268" s="26">
        <v>124820.0</v>
      </c>
      <c r="AK268" s="26" t="s">
        <v>495</v>
      </c>
      <c r="AL268" s="26">
        <v>113.0</v>
      </c>
      <c r="AM268" s="26">
        <v>2111.0</v>
      </c>
      <c r="AN268" s="32"/>
      <c r="AO268" s="32"/>
      <c r="AP268" s="32"/>
      <c r="AQ268" s="32"/>
      <c r="AR268" s="32"/>
      <c r="AS268" s="32"/>
      <c r="AT268" s="26">
        <v>190.0</v>
      </c>
      <c r="AU268" s="26" t="s">
        <v>1717</v>
      </c>
      <c r="AV268" s="35">
        <v>245.0</v>
      </c>
      <c r="AW268" s="26">
        <v>240.0</v>
      </c>
      <c r="AX268" s="26">
        <v>97.0</v>
      </c>
      <c r="AY268" s="26">
        <v>510.0</v>
      </c>
      <c r="AZ268" s="37">
        <v>45507.0</v>
      </c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32"/>
    </row>
    <row r="269">
      <c r="A269" s="20" t="s">
        <v>1743</v>
      </c>
      <c r="B269" s="20" t="s">
        <v>1744</v>
      </c>
      <c r="C269" s="17" t="s">
        <v>1745</v>
      </c>
      <c r="D269" s="17" t="s">
        <v>843</v>
      </c>
      <c r="E269" s="34" t="s">
        <v>477</v>
      </c>
      <c r="F269" s="26" t="s">
        <v>1746</v>
      </c>
      <c r="G269" s="35">
        <v>209.0</v>
      </c>
      <c r="H269" s="32"/>
      <c r="I269" s="17" t="s">
        <v>414</v>
      </c>
      <c r="J269" s="17" t="s">
        <v>415</v>
      </c>
      <c r="K269" s="17" t="s">
        <v>595</v>
      </c>
      <c r="L269" s="26">
        <v>5.0</v>
      </c>
      <c r="M269" s="17" t="s">
        <v>417</v>
      </c>
      <c r="N269" s="17" t="s">
        <v>418</v>
      </c>
      <c r="O269" s="26">
        <v>2250.0</v>
      </c>
      <c r="P269" s="26">
        <v>-1.0</v>
      </c>
      <c r="Q269" s="17" t="s">
        <v>419</v>
      </c>
      <c r="R269" s="17" t="s">
        <v>420</v>
      </c>
      <c r="S269" s="17" t="s">
        <v>421</v>
      </c>
      <c r="T269" s="17" t="s">
        <v>422</v>
      </c>
      <c r="U269" s="17" t="s">
        <v>423</v>
      </c>
      <c r="V269" s="17" t="s">
        <v>1324</v>
      </c>
      <c r="W269" s="17" t="s">
        <v>403</v>
      </c>
      <c r="X269" s="17" t="s">
        <v>701</v>
      </c>
      <c r="Y269" s="17" t="s">
        <v>438</v>
      </c>
      <c r="Z269" s="17" t="s">
        <v>876</v>
      </c>
      <c r="AA269" s="17" t="s">
        <v>440</v>
      </c>
      <c r="AB269" s="17" t="s">
        <v>1715</v>
      </c>
      <c r="AC269" s="17" t="s">
        <v>428</v>
      </c>
      <c r="AD269" s="17" t="s">
        <v>1747</v>
      </c>
      <c r="AE269" s="26">
        <v>1210.0</v>
      </c>
      <c r="AF269" s="36">
        <v>106.4</v>
      </c>
      <c r="AG269" s="36">
        <v>109.685</v>
      </c>
      <c r="AH269" s="26" t="s">
        <v>1748</v>
      </c>
      <c r="AI269" s="26">
        <v>100000.0</v>
      </c>
      <c r="AJ269" s="26">
        <v>108926.0</v>
      </c>
      <c r="AK269" s="26" t="s">
        <v>495</v>
      </c>
      <c r="AL269" s="26">
        <v>280.0</v>
      </c>
      <c r="AM269" s="26">
        <v>2141.0</v>
      </c>
      <c r="AN269" s="32"/>
      <c r="AO269" s="32"/>
      <c r="AP269" s="32"/>
      <c r="AQ269" s="32"/>
      <c r="AR269" s="32"/>
      <c r="AS269" s="32"/>
      <c r="AT269" s="26">
        <v>190.0</v>
      </c>
      <c r="AU269" s="26" t="s">
        <v>1717</v>
      </c>
      <c r="AV269" s="35">
        <v>209.0</v>
      </c>
      <c r="AW269" s="26">
        <v>250.0</v>
      </c>
      <c r="AX269" s="26" t="s">
        <v>1746</v>
      </c>
      <c r="AY269" s="26">
        <v>520.0</v>
      </c>
      <c r="AZ269" s="37">
        <v>45326.0</v>
      </c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</row>
    <row r="270">
      <c r="A270" s="20" t="s">
        <v>1749</v>
      </c>
      <c r="B270" s="20" t="s">
        <v>1744</v>
      </c>
      <c r="C270" s="17" t="s">
        <v>1750</v>
      </c>
      <c r="D270" s="17" t="s">
        <v>843</v>
      </c>
      <c r="E270" s="34" t="s">
        <v>477</v>
      </c>
      <c r="F270" s="26" t="s">
        <v>1746</v>
      </c>
      <c r="G270" s="35">
        <v>245.0</v>
      </c>
      <c r="H270" s="32"/>
      <c r="I270" s="17" t="s">
        <v>414</v>
      </c>
      <c r="J270" s="17" t="s">
        <v>415</v>
      </c>
      <c r="K270" s="17" t="s">
        <v>595</v>
      </c>
      <c r="L270" s="26">
        <v>5.0</v>
      </c>
      <c r="M270" s="17" t="s">
        <v>417</v>
      </c>
      <c r="N270" s="17" t="s">
        <v>418</v>
      </c>
      <c r="O270" s="26">
        <v>2250.0</v>
      </c>
      <c r="P270" s="26">
        <v>-1.0</v>
      </c>
      <c r="Q270" s="17" t="s">
        <v>419</v>
      </c>
      <c r="R270" s="17" t="s">
        <v>420</v>
      </c>
      <c r="S270" s="17" t="s">
        <v>421</v>
      </c>
      <c r="T270" s="17" t="s">
        <v>422</v>
      </c>
      <c r="U270" s="17" t="s">
        <v>423</v>
      </c>
      <c r="V270" s="17" t="s">
        <v>1324</v>
      </c>
      <c r="W270" s="17" t="s">
        <v>403</v>
      </c>
      <c r="X270" s="17" t="s">
        <v>701</v>
      </c>
      <c r="Y270" s="17" t="s">
        <v>438</v>
      </c>
      <c r="Z270" s="17" t="s">
        <v>876</v>
      </c>
      <c r="AA270" s="17" t="s">
        <v>440</v>
      </c>
      <c r="AB270" s="17" t="s">
        <v>1715</v>
      </c>
      <c r="AC270" s="17" t="s">
        <v>428</v>
      </c>
      <c r="AD270" s="17" t="s">
        <v>1747</v>
      </c>
      <c r="AE270" s="26">
        <v>1210.0</v>
      </c>
      <c r="AF270" s="36">
        <v>126.95</v>
      </c>
      <c r="AG270" s="36">
        <v>130.585</v>
      </c>
      <c r="AH270" s="26" t="s">
        <v>1751</v>
      </c>
      <c r="AI270" s="26">
        <v>100000.0</v>
      </c>
      <c r="AJ270" s="26">
        <v>127534.0</v>
      </c>
      <c r="AK270" s="26" t="s">
        <v>495</v>
      </c>
      <c r="AL270" s="26">
        <v>158.0</v>
      </c>
      <c r="AM270" s="26">
        <v>2142.0</v>
      </c>
      <c r="AN270" s="32"/>
      <c r="AO270" s="32"/>
      <c r="AP270" s="32"/>
      <c r="AQ270" s="32"/>
      <c r="AR270" s="32"/>
      <c r="AS270" s="32"/>
      <c r="AT270" s="26">
        <v>190.0</v>
      </c>
      <c r="AU270" s="26" t="s">
        <v>1717</v>
      </c>
      <c r="AV270" s="35">
        <v>245.0</v>
      </c>
      <c r="AW270" s="26">
        <v>250.0</v>
      </c>
      <c r="AX270" s="26" t="s">
        <v>1746</v>
      </c>
      <c r="AY270" s="26">
        <v>520.0</v>
      </c>
      <c r="AZ270" s="37">
        <v>45326.0</v>
      </c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</row>
    <row r="271">
      <c r="A271" s="20" t="s">
        <v>1752</v>
      </c>
      <c r="B271" s="20" t="s">
        <v>1706</v>
      </c>
      <c r="C271" s="17" t="s">
        <v>1753</v>
      </c>
      <c r="D271" s="17" t="s">
        <v>1012</v>
      </c>
      <c r="E271" s="34" t="s">
        <v>477</v>
      </c>
      <c r="F271" s="26">
        <v>91.0</v>
      </c>
      <c r="G271" s="35">
        <v>126.0</v>
      </c>
      <c r="H271" s="32"/>
      <c r="I271" s="17" t="s">
        <v>414</v>
      </c>
      <c r="J271" s="17" t="s">
        <v>415</v>
      </c>
      <c r="L271" s="26">
        <v>5.0</v>
      </c>
      <c r="M271" s="32"/>
      <c r="N271" s="17" t="s">
        <v>418</v>
      </c>
      <c r="O271" s="26">
        <v>1500.0</v>
      </c>
      <c r="P271" s="26">
        <v>5.0</v>
      </c>
      <c r="Q271" s="26">
        <v>5.0</v>
      </c>
      <c r="R271" s="17" t="s">
        <v>419</v>
      </c>
      <c r="S271" s="17" t="s">
        <v>420</v>
      </c>
      <c r="T271" s="17" t="s">
        <v>421</v>
      </c>
      <c r="U271" s="17" t="s">
        <v>423</v>
      </c>
      <c r="V271" s="17" t="s">
        <v>678</v>
      </c>
      <c r="W271" s="17" t="s">
        <v>403</v>
      </c>
      <c r="X271" s="17" t="s">
        <v>493</v>
      </c>
      <c r="Y271" s="17" t="s">
        <v>438</v>
      </c>
      <c r="Z271" s="17" t="s">
        <v>733</v>
      </c>
      <c r="AA271" s="17" t="s">
        <v>440</v>
      </c>
      <c r="AB271" s="17" t="s">
        <v>1715</v>
      </c>
      <c r="AC271" s="17" t="s">
        <v>428</v>
      </c>
      <c r="AD271" s="17" t="s">
        <v>583</v>
      </c>
      <c r="AE271" s="26">
        <v>420.0</v>
      </c>
      <c r="AF271" s="36">
        <v>58.5</v>
      </c>
      <c r="AG271" s="36">
        <v>54.4</v>
      </c>
      <c r="AH271" s="26" t="s">
        <v>1754</v>
      </c>
      <c r="AI271" s="26">
        <v>60568.0</v>
      </c>
      <c r="AJ271" s="26">
        <v>60568.0</v>
      </c>
      <c r="AK271" s="26" t="s">
        <v>567</v>
      </c>
      <c r="AL271" s="26">
        <v>354.0</v>
      </c>
      <c r="AM271" s="26">
        <v>2278.0</v>
      </c>
      <c r="AN271" s="32"/>
      <c r="AO271" s="17" t="s">
        <v>422</v>
      </c>
      <c r="AP271" s="32"/>
      <c r="AQ271" s="32"/>
      <c r="AR271" s="32"/>
      <c r="AS271" s="32"/>
      <c r="AT271" s="26">
        <v>190.0</v>
      </c>
      <c r="AU271" s="26" t="s">
        <v>1717</v>
      </c>
      <c r="AV271" s="35">
        <v>126.0</v>
      </c>
      <c r="AW271" s="26">
        <v>180.0</v>
      </c>
      <c r="AX271" s="26">
        <v>91.0</v>
      </c>
      <c r="AY271" s="26">
        <v>480.0</v>
      </c>
      <c r="AZ271" s="37">
        <v>45448.0</v>
      </c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</row>
    <row r="272">
      <c r="A272" s="20" t="s">
        <v>1755</v>
      </c>
      <c r="B272" s="20" t="s">
        <v>1631</v>
      </c>
      <c r="C272" s="17" t="s">
        <v>1756</v>
      </c>
      <c r="E272" s="34" t="s">
        <v>477</v>
      </c>
      <c r="F272" s="26" t="s">
        <v>685</v>
      </c>
      <c r="G272" s="35">
        <v>159.0</v>
      </c>
      <c r="H272" s="17" t="s">
        <v>413</v>
      </c>
      <c r="I272" s="17" t="s">
        <v>414</v>
      </c>
      <c r="J272" s="17" t="s">
        <v>415</v>
      </c>
      <c r="L272" s="26">
        <v>5.0</v>
      </c>
      <c r="M272" s="17" t="s">
        <v>417</v>
      </c>
      <c r="N272" s="17" t="s">
        <v>418</v>
      </c>
      <c r="O272" s="26">
        <v>2400.0</v>
      </c>
      <c r="P272" s="26">
        <v>5.0</v>
      </c>
      <c r="Q272" s="26">
        <v>5.0</v>
      </c>
      <c r="R272" s="17" t="s">
        <v>419</v>
      </c>
      <c r="S272" s="17" t="s">
        <v>420</v>
      </c>
      <c r="T272" s="17" t="s">
        <v>421</v>
      </c>
      <c r="U272" s="17" t="s">
        <v>423</v>
      </c>
      <c r="V272" s="17" t="s">
        <v>880</v>
      </c>
      <c r="W272" s="17" t="s">
        <v>403</v>
      </c>
      <c r="X272" s="17" t="s">
        <v>619</v>
      </c>
      <c r="Y272" s="17" t="s">
        <v>438</v>
      </c>
      <c r="Z272" s="17" t="s">
        <v>1465</v>
      </c>
      <c r="AA272" s="17" t="s">
        <v>440</v>
      </c>
      <c r="AB272" s="17" t="s">
        <v>1715</v>
      </c>
      <c r="AC272" s="17" t="s">
        <v>428</v>
      </c>
      <c r="AD272" s="17" t="s">
        <v>1757</v>
      </c>
      <c r="AE272" s="26">
        <v>1000.0</v>
      </c>
      <c r="AF272" s="36">
        <v>77.1</v>
      </c>
      <c r="AG272" s="17" t="s">
        <v>1758</v>
      </c>
      <c r="AH272" s="17" t="s">
        <v>1759</v>
      </c>
      <c r="AI272" s="26">
        <v>79557.0</v>
      </c>
      <c r="AJ272" s="26">
        <v>79557.0</v>
      </c>
      <c r="AK272" s="26" t="s">
        <v>1635</v>
      </c>
      <c r="AL272" s="26">
        <v>196.0</v>
      </c>
      <c r="AM272" s="26">
        <v>3043.0</v>
      </c>
      <c r="AN272" s="32"/>
      <c r="AO272" s="17" t="s">
        <v>422</v>
      </c>
      <c r="AP272" s="32"/>
      <c r="AQ272" s="32"/>
      <c r="AR272" s="32"/>
      <c r="AS272" s="32"/>
      <c r="AT272" s="26">
        <v>190.0</v>
      </c>
      <c r="AU272" s="26" t="s">
        <v>1717</v>
      </c>
      <c r="AV272" s="35">
        <v>159.0</v>
      </c>
      <c r="AW272" s="26">
        <v>210.0</v>
      </c>
      <c r="AX272" s="26" t="s">
        <v>685</v>
      </c>
      <c r="AY272" s="26">
        <v>500.0</v>
      </c>
      <c r="AZ272" s="37">
        <v>45540.0</v>
      </c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</row>
    <row r="273">
      <c r="A273" s="20" t="s">
        <v>1760</v>
      </c>
      <c r="B273" s="20" t="s">
        <v>1761</v>
      </c>
      <c r="C273" s="17" t="s">
        <v>1762</v>
      </c>
      <c r="D273" s="17" t="s">
        <v>1461</v>
      </c>
      <c r="E273" s="34" t="s">
        <v>550</v>
      </c>
      <c r="F273" s="26">
        <v>62.0</v>
      </c>
      <c r="G273" s="35">
        <v>153.0</v>
      </c>
      <c r="H273" s="32"/>
      <c r="I273" s="17" t="s">
        <v>414</v>
      </c>
      <c r="J273" s="17" t="s">
        <v>415</v>
      </c>
      <c r="L273" s="26">
        <v>5.0</v>
      </c>
      <c r="M273" s="17" t="s">
        <v>417</v>
      </c>
      <c r="N273" s="17" t="s">
        <v>418</v>
      </c>
      <c r="O273" s="26">
        <v>1600.0</v>
      </c>
      <c r="P273" s="26">
        <v>5.0</v>
      </c>
      <c r="Q273" s="26">
        <v>5.0</v>
      </c>
      <c r="R273" s="17" t="s">
        <v>419</v>
      </c>
      <c r="S273" s="17" t="s">
        <v>420</v>
      </c>
      <c r="T273" s="17" t="s">
        <v>421</v>
      </c>
      <c r="U273" s="17" t="s">
        <v>423</v>
      </c>
      <c r="V273" s="17" t="s">
        <v>1243</v>
      </c>
      <c r="W273" s="17" t="s">
        <v>403</v>
      </c>
      <c r="X273" s="17" t="s">
        <v>493</v>
      </c>
      <c r="Y273" s="17" t="s">
        <v>404</v>
      </c>
      <c r="Z273" s="17" t="s">
        <v>1079</v>
      </c>
      <c r="AA273" s="17" t="s">
        <v>401</v>
      </c>
      <c r="AB273" s="17" t="s">
        <v>1763</v>
      </c>
      <c r="AC273" s="17" t="s">
        <v>428</v>
      </c>
      <c r="AD273" s="17" t="s">
        <v>805</v>
      </c>
      <c r="AE273" s="26">
        <v>500.0</v>
      </c>
      <c r="AF273" s="36">
        <v>48.99</v>
      </c>
      <c r="AG273" s="36">
        <v>50.4</v>
      </c>
      <c r="AH273" s="26" t="s">
        <v>1764</v>
      </c>
      <c r="AI273" s="26">
        <v>49785.0</v>
      </c>
      <c r="AJ273" s="26">
        <v>49785.0</v>
      </c>
      <c r="AK273" s="26" t="s">
        <v>552</v>
      </c>
      <c r="AL273" s="26">
        <v>401.0</v>
      </c>
      <c r="AM273" s="26">
        <v>1748.0</v>
      </c>
      <c r="AN273" s="17" t="s">
        <v>465</v>
      </c>
      <c r="AO273" s="17" t="s">
        <v>422</v>
      </c>
      <c r="AP273" s="32"/>
      <c r="AQ273" s="32"/>
      <c r="AR273" s="17" t="s">
        <v>512</v>
      </c>
      <c r="AS273" s="32"/>
      <c r="AT273" s="26">
        <v>191.0</v>
      </c>
      <c r="AU273" s="26" t="s">
        <v>1765</v>
      </c>
      <c r="AV273" s="35">
        <v>153.0</v>
      </c>
      <c r="AW273" s="26">
        <v>180.0</v>
      </c>
      <c r="AX273" s="26">
        <v>62.0</v>
      </c>
      <c r="AY273" s="26">
        <v>325.0</v>
      </c>
      <c r="AZ273" s="37">
        <v>45538.0</v>
      </c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  <c r="CF273" s="32"/>
      <c r="CG273" s="32"/>
    </row>
    <row r="274">
      <c r="A274" s="20" t="s">
        <v>1766</v>
      </c>
      <c r="B274" s="20" t="s">
        <v>1384</v>
      </c>
      <c r="C274" s="17" t="s">
        <v>1767</v>
      </c>
      <c r="D274" s="17" t="s">
        <v>541</v>
      </c>
      <c r="E274" s="34" t="s">
        <v>550</v>
      </c>
      <c r="F274" s="26">
        <v>64.0</v>
      </c>
      <c r="G274" s="35">
        <v>147.0</v>
      </c>
      <c r="H274" s="17" t="s">
        <v>413</v>
      </c>
      <c r="I274" s="17" t="s">
        <v>414</v>
      </c>
      <c r="J274" s="17" t="s">
        <v>415</v>
      </c>
      <c r="L274" s="26">
        <v>5.0</v>
      </c>
      <c r="M274" s="17" t="s">
        <v>417</v>
      </c>
      <c r="N274" s="17" t="s">
        <v>418</v>
      </c>
      <c r="O274" s="26">
        <v>1600.0</v>
      </c>
      <c r="P274" s="26">
        <v>-1.0</v>
      </c>
      <c r="Q274" s="17" t="s">
        <v>419</v>
      </c>
      <c r="R274" s="17" t="s">
        <v>420</v>
      </c>
      <c r="S274" s="17" t="s">
        <v>421</v>
      </c>
      <c r="T274" s="17" t="s">
        <v>422</v>
      </c>
      <c r="U274" s="17" t="s">
        <v>423</v>
      </c>
      <c r="V274" s="17" t="s">
        <v>1768</v>
      </c>
      <c r="W274" s="17" t="s">
        <v>403</v>
      </c>
      <c r="X274" s="17" t="s">
        <v>493</v>
      </c>
      <c r="Y274" s="17" t="s">
        <v>404</v>
      </c>
      <c r="Z274" s="17" t="s">
        <v>460</v>
      </c>
      <c r="AA274" s="17" t="s">
        <v>401</v>
      </c>
      <c r="AB274" s="17" t="s">
        <v>1763</v>
      </c>
      <c r="AC274" s="17" t="s">
        <v>428</v>
      </c>
      <c r="AD274" s="17" t="s">
        <v>1564</v>
      </c>
      <c r="AE274" s="26">
        <v>560.0</v>
      </c>
      <c r="AF274" s="36">
        <v>48.49</v>
      </c>
      <c r="AG274" s="36">
        <v>50.995</v>
      </c>
      <c r="AH274" s="26" t="s">
        <v>1769</v>
      </c>
      <c r="AI274" s="26">
        <v>49395.0</v>
      </c>
      <c r="AJ274" s="26">
        <v>49395.0</v>
      </c>
      <c r="AK274" s="26" t="s">
        <v>431</v>
      </c>
      <c r="AL274" s="26">
        <v>601.0</v>
      </c>
      <c r="AM274" s="26">
        <v>1911.0</v>
      </c>
      <c r="AN274" s="32"/>
      <c r="AO274" s="32"/>
      <c r="AP274" s="32"/>
      <c r="AQ274" s="32"/>
      <c r="AR274" s="17" t="s">
        <v>512</v>
      </c>
      <c r="AS274" s="32"/>
      <c r="AT274" s="26">
        <v>191.0</v>
      </c>
      <c r="AU274" s="26" t="s">
        <v>1765</v>
      </c>
      <c r="AV274" s="35">
        <v>147.0</v>
      </c>
      <c r="AW274" s="26">
        <v>180.0</v>
      </c>
      <c r="AX274" s="26">
        <v>64.0</v>
      </c>
      <c r="AY274" s="26">
        <v>335.0</v>
      </c>
      <c r="AZ274" s="37">
        <v>45446.0</v>
      </c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32"/>
    </row>
    <row r="275">
      <c r="A275" s="20" t="s">
        <v>1770</v>
      </c>
      <c r="B275" s="20" t="s">
        <v>1595</v>
      </c>
      <c r="C275" s="17" t="s">
        <v>1771</v>
      </c>
      <c r="D275" s="17" t="s">
        <v>541</v>
      </c>
      <c r="E275" s="34" t="s">
        <v>477</v>
      </c>
      <c r="F275" s="26">
        <v>62.0</v>
      </c>
      <c r="G275" s="35">
        <v>141.0</v>
      </c>
      <c r="H275" s="32"/>
      <c r="I275" s="17" t="s">
        <v>414</v>
      </c>
      <c r="J275" s="17" t="s">
        <v>415</v>
      </c>
      <c r="L275" s="26">
        <v>5.0</v>
      </c>
      <c r="M275" s="17" t="s">
        <v>417</v>
      </c>
      <c r="N275" s="17" t="s">
        <v>418</v>
      </c>
      <c r="O275" s="26">
        <v>1600.0</v>
      </c>
      <c r="P275" s="26">
        <v>5.0</v>
      </c>
      <c r="Q275" s="26">
        <v>5.0</v>
      </c>
      <c r="R275" s="17" t="s">
        <v>419</v>
      </c>
      <c r="S275" s="17" t="s">
        <v>420</v>
      </c>
      <c r="T275" s="17" t="s">
        <v>421</v>
      </c>
      <c r="U275" s="17" t="s">
        <v>423</v>
      </c>
      <c r="V275" s="17" t="s">
        <v>1265</v>
      </c>
      <c r="W275" s="17" t="s">
        <v>403</v>
      </c>
      <c r="X275" s="17" t="s">
        <v>493</v>
      </c>
      <c r="Y275" s="17" t="s">
        <v>438</v>
      </c>
      <c r="Z275" s="17" t="s">
        <v>1079</v>
      </c>
      <c r="AA275" s="17" t="s">
        <v>440</v>
      </c>
      <c r="AB275" s="17" t="s">
        <v>1763</v>
      </c>
      <c r="AC275" s="17" t="s">
        <v>428</v>
      </c>
      <c r="AD275" s="17" t="s">
        <v>805</v>
      </c>
      <c r="AE275" s="26">
        <v>500.0</v>
      </c>
      <c r="AF275" s="36">
        <v>46.49</v>
      </c>
      <c r="AG275" s="36">
        <v>45.4</v>
      </c>
      <c r="AH275" s="17" t="s">
        <v>463</v>
      </c>
      <c r="AI275" s="26">
        <v>45945.0</v>
      </c>
      <c r="AJ275" s="26">
        <v>45945.0</v>
      </c>
      <c r="AK275" s="26" t="s">
        <v>431</v>
      </c>
      <c r="AL275" s="26">
        <v>119.0</v>
      </c>
      <c r="AM275" s="26">
        <v>1920.0</v>
      </c>
      <c r="AN275" s="17" t="s">
        <v>465</v>
      </c>
      <c r="AO275" s="17" t="s">
        <v>422</v>
      </c>
      <c r="AP275" s="32"/>
      <c r="AQ275" s="32"/>
      <c r="AR275" s="17" t="s">
        <v>512</v>
      </c>
      <c r="AS275" s="32"/>
      <c r="AT275" s="26">
        <v>191.0</v>
      </c>
      <c r="AU275" s="26" t="s">
        <v>1765</v>
      </c>
      <c r="AV275" s="35">
        <v>141.0</v>
      </c>
      <c r="AW275" s="26">
        <v>180.0</v>
      </c>
      <c r="AX275" s="26">
        <v>62.0</v>
      </c>
      <c r="AY275" s="26">
        <v>325.0</v>
      </c>
      <c r="AZ275" s="37">
        <v>45416.0</v>
      </c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  <c r="CF275" s="32"/>
      <c r="CG275" s="32"/>
    </row>
    <row r="276">
      <c r="A276" s="20" t="s">
        <v>1772</v>
      </c>
      <c r="B276" s="20" t="s">
        <v>1773</v>
      </c>
      <c r="C276" s="17" t="s">
        <v>1774</v>
      </c>
      <c r="D276" s="17" t="s">
        <v>1340</v>
      </c>
      <c r="E276" s="34" t="s">
        <v>436</v>
      </c>
      <c r="F276" s="26">
        <v>70.0</v>
      </c>
      <c r="G276" s="35">
        <v>125.0</v>
      </c>
      <c r="H276" s="32"/>
      <c r="I276" s="17" t="s">
        <v>414</v>
      </c>
      <c r="J276" s="17" t="s">
        <v>415</v>
      </c>
      <c r="L276" s="26">
        <v>5.0</v>
      </c>
      <c r="M276" s="17" t="s">
        <v>417</v>
      </c>
      <c r="N276" s="17" t="s">
        <v>418</v>
      </c>
      <c r="O276" s="26">
        <v>750.0</v>
      </c>
      <c r="P276" s="26">
        <v>4.0</v>
      </c>
      <c r="Q276" s="26">
        <v>4.0</v>
      </c>
      <c r="R276" s="17" t="s">
        <v>419</v>
      </c>
      <c r="S276" s="17" t="s">
        <v>420</v>
      </c>
      <c r="T276" s="17" t="s">
        <v>421</v>
      </c>
      <c r="U276" s="17" t="s">
        <v>423</v>
      </c>
      <c r="V276" s="17" t="s">
        <v>892</v>
      </c>
      <c r="W276" s="17" t="s">
        <v>403</v>
      </c>
      <c r="X276" s="17" t="s">
        <v>782</v>
      </c>
      <c r="Y276" s="17" t="s">
        <v>438</v>
      </c>
      <c r="Z276" s="17" t="s">
        <v>1298</v>
      </c>
      <c r="AA276" s="17" t="s">
        <v>440</v>
      </c>
      <c r="AB276" s="17" t="s">
        <v>1775</v>
      </c>
      <c r="AC276" s="17" t="s">
        <v>428</v>
      </c>
      <c r="AD276" s="17" t="s">
        <v>788</v>
      </c>
      <c r="AE276" s="26">
        <v>400.0</v>
      </c>
      <c r="AF276" s="36">
        <v>46.99</v>
      </c>
      <c r="AG276" s="36">
        <v>44.485</v>
      </c>
      <c r="AH276" s="17" t="s">
        <v>463</v>
      </c>
      <c r="AI276" s="26">
        <v>45737.0</v>
      </c>
      <c r="AJ276" s="26">
        <v>45737.0</v>
      </c>
      <c r="AK276" s="26" t="s">
        <v>1342</v>
      </c>
      <c r="AL276" s="26">
        <v>356.0</v>
      </c>
      <c r="AM276" s="26">
        <v>1524.0</v>
      </c>
      <c r="AN276" s="17" t="s">
        <v>465</v>
      </c>
      <c r="AO276" s="17" t="s">
        <v>422</v>
      </c>
      <c r="AP276" s="17" t="s">
        <v>483</v>
      </c>
      <c r="AQ276" s="32"/>
      <c r="AR276" s="32"/>
      <c r="AS276" s="32"/>
      <c r="AT276" s="26">
        <v>192.0</v>
      </c>
      <c r="AU276" s="26" t="s">
        <v>1776</v>
      </c>
      <c r="AV276" s="35">
        <v>125.0</v>
      </c>
      <c r="AW276" s="26">
        <v>200.0</v>
      </c>
      <c r="AX276" s="26">
        <v>70.0</v>
      </c>
      <c r="AY276" s="26">
        <v>365.0</v>
      </c>
      <c r="AZ276" s="37">
        <v>45542.0</v>
      </c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  <c r="CF276" s="32"/>
      <c r="CG276" s="32"/>
    </row>
    <row r="277">
      <c r="A277" s="20" t="s">
        <v>1777</v>
      </c>
      <c r="B277" s="20" t="s">
        <v>1778</v>
      </c>
      <c r="C277" s="17" t="s">
        <v>1779</v>
      </c>
      <c r="D277" s="17" t="s">
        <v>549</v>
      </c>
      <c r="E277" s="34" t="s">
        <v>436</v>
      </c>
      <c r="F277" s="26" t="s">
        <v>618</v>
      </c>
      <c r="G277" s="35">
        <v>148.0</v>
      </c>
      <c r="H277" s="32"/>
      <c r="I277" s="17" t="s">
        <v>414</v>
      </c>
      <c r="J277" s="17" t="s">
        <v>415</v>
      </c>
      <c r="L277" s="26">
        <v>5.0</v>
      </c>
      <c r="M277" s="17" t="s">
        <v>417</v>
      </c>
      <c r="N277" s="17" t="s">
        <v>418</v>
      </c>
      <c r="O277" s="26">
        <v>1500.0</v>
      </c>
      <c r="P277" s="26">
        <v>5.0</v>
      </c>
      <c r="Q277" s="26">
        <v>5.0</v>
      </c>
      <c r="R277" s="17" t="s">
        <v>419</v>
      </c>
      <c r="S277" s="17" t="s">
        <v>420</v>
      </c>
      <c r="T277" s="17" t="s">
        <v>421</v>
      </c>
      <c r="U277" s="17" t="s">
        <v>423</v>
      </c>
      <c r="V277" s="17" t="s">
        <v>858</v>
      </c>
      <c r="W277" s="17" t="s">
        <v>403</v>
      </c>
      <c r="X277" s="17" t="s">
        <v>782</v>
      </c>
      <c r="Y277" s="17" t="s">
        <v>438</v>
      </c>
      <c r="Z277" s="17" t="s">
        <v>838</v>
      </c>
      <c r="AA277" s="17" t="s">
        <v>440</v>
      </c>
      <c r="AB277" s="17" t="s">
        <v>1775</v>
      </c>
      <c r="AC277" s="17" t="s">
        <v>428</v>
      </c>
      <c r="AD277" s="17" t="s">
        <v>1780</v>
      </c>
      <c r="AE277" s="26">
        <v>830.0</v>
      </c>
      <c r="AF277" s="36">
        <v>57.6</v>
      </c>
      <c r="AG277" s="36">
        <v>59.188</v>
      </c>
      <c r="AH277" s="17" t="s">
        <v>463</v>
      </c>
      <c r="AI277" s="26">
        <v>58394.0</v>
      </c>
      <c r="AJ277" s="26">
        <v>58394.0</v>
      </c>
      <c r="AK277" s="26" t="s">
        <v>552</v>
      </c>
      <c r="AL277" s="26">
        <v>444.0</v>
      </c>
      <c r="AM277" s="26">
        <v>1824.0</v>
      </c>
      <c r="AN277" s="17" t="s">
        <v>465</v>
      </c>
      <c r="AO277" s="17" t="s">
        <v>422</v>
      </c>
      <c r="AP277" s="32"/>
      <c r="AQ277" s="32"/>
      <c r="AR277" s="32"/>
      <c r="AS277" s="32"/>
      <c r="AT277" s="26">
        <v>192.0</v>
      </c>
      <c r="AU277" s="26" t="s">
        <v>1776</v>
      </c>
      <c r="AV277" s="35">
        <v>148.0</v>
      </c>
      <c r="AW277" s="26">
        <v>200.0</v>
      </c>
      <c r="AX277" s="26" t="s">
        <v>618</v>
      </c>
      <c r="AY277" s="26">
        <v>395.0</v>
      </c>
      <c r="AZ277" s="37">
        <v>45388.0</v>
      </c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32"/>
    </row>
    <row r="278">
      <c r="A278" s="20" t="s">
        <v>1781</v>
      </c>
      <c r="B278" s="20" t="s">
        <v>1782</v>
      </c>
      <c r="C278" s="17" t="s">
        <v>1783</v>
      </c>
      <c r="D278" s="17" t="s">
        <v>827</v>
      </c>
      <c r="E278" s="34" t="s">
        <v>477</v>
      </c>
      <c r="F278" s="26">
        <v>73.0</v>
      </c>
      <c r="G278" s="35">
        <v>129.0</v>
      </c>
      <c r="H278" s="32"/>
      <c r="I278" s="17" t="s">
        <v>414</v>
      </c>
      <c r="J278" s="17" t="s">
        <v>415</v>
      </c>
      <c r="L278" s="26">
        <v>5.0</v>
      </c>
      <c r="M278" s="17" t="s">
        <v>417</v>
      </c>
      <c r="N278" s="17" t="s">
        <v>418</v>
      </c>
      <c r="O278" s="26">
        <v>1250.0</v>
      </c>
      <c r="P278" s="26">
        <v>-1.0</v>
      </c>
      <c r="Q278" s="17" t="s">
        <v>419</v>
      </c>
      <c r="R278" s="17" t="s">
        <v>420</v>
      </c>
      <c r="S278" s="17" t="s">
        <v>421</v>
      </c>
      <c r="T278" s="17" t="s">
        <v>422</v>
      </c>
      <c r="U278" s="17" t="s">
        <v>423</v>
      </c>
      <c r="V278" s="17" t="s">
        <v>458</v>
      </c>
      <c r="W278" s="17" t="s">
        <v>403</v>
      </c>
      <c r="X278" s="17" t="s">
        <v>589</v>
      </c>
      <c r="Y278" s="17" t="s">
        <v>438</v>
      </c>
      <c r="Z278" s="17" t="s">
        <v>661</v>
      </c>
      <c r="AA278" s="17" t="s">
        <v>440</v>
      </c>
      <c r="AB278" s="17" t="s">
        <v>1775</v>
      </c>
      <c r="AC278" s="17" t="s">
        <v>428</v>
      </c>
      <c r="AD278" s="17" t="s">
        <v>1784</v>
      </c>
      <c r="AE278" s="26">
        <v>440.0</v>
      </c>
      <c r="AF278" s="36">
        <v>48.65</v>
      </c>
      <c r="AG278" s="36">
        <v>45.415</v>
      </c>
      <c r="AH278" s="26" t="s">
        <v>1785</v>
      </c>
      <c r="AI278" s="26">
        <v>48969.0</v>
      </c>
      <c r="AJ278" s="26">
        <v>48969.0</v>
      </c>
      <c r="AK278" s="26" t="s">
        <v>777</v>
      </c>
      <c r="AL278" s="26">
        <v>830.0</v>
      </c>
      <c r="AM278" s="26">
        <v>2003.0</v>
      </c>
      <c r="AN278" s="17" t="s">
        <v>465</v>
      </c>
      <c r="AO278" s="32"/>
      <c r="AP278" s="17" t="s">
        <v>483</v>
      </c>
      <c r="AQ278" s="32"/>
      <c r="AR278" s="32"/>
      <c r="AS278" s="32"/>
      <c r="AT278" s="26">
        <v>192.0</v>
      </c>
      <c r="AU278" s="26" t="s">
        <v>1776</v>
      </c>
      <c r="AV278" s="35">
        <v>129.0</v>
      </c>
      <c r="AW278" s="26">
        <v>170.0</v>
      </c>
      <c r="AX278" s="26">
        <v>73.0</v>
      </c>
      <c r="AY278" s="26">
        <v>380.0</v>
      </c>
      <c r="AZ278" s="37">
        <v>45512.0</v>
      </c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</row>
    <row r="279">
      <c r="A279" s="20" t="s">
        <v>1786</v>
      </c>
      <c r="B279" s="20" t="s">
        <v>1782</v>
      </c>
      <c r="C279" s="17" t="s">
        <v>1787</v>
      </c>
      <c r="E279" s="34" t="s">
        <v>477</v>
      </c>
      <c r="F279" s="26">
        <v>73.0</v>
      </c>
      <c r="G279" s="35">
        <v>133.0</v>
      </c>
      <c r="H279" s="32"/>
      <c r="I279" s="17" t="s">
        <v>414</v>
      </c>
      <c r="J279" s="17" t="s">
        <v>415</v>
      </c>
      <c r="L279" s="26">
        <v>5.0</v>
      </c>
      <c r="M279" s="17" t="s">
        <v>417</v>
      </c>
      <c r="N279" s="17" t="s">
        <v>418</v>
      </c>
      <c r="P279" s="26">
        <v>-1.0</v>
      </c>
      <c r="Q279" s="17" t="s">
        <v>419</v>
      </c>
      <c r="R279" s="17" t="s">
        <v>420</v>
      </c>
      <c r="S279" s="17" t="s">
        <v>421</v>
      </c>
      <c r="T279" s="17" t="s">
        <v>422</v>
      </c>
      <c r="U279" s="17" t="s">
        <v>423</v>
      </c>
      <c r="V279" s="17" t="s">
        <v>858</v>
      </c>
      <c r="W279" s="17" t="s">
        <v>403</v>
      </c>
      <c r="X279" s="17" t="s">
        <v>589</v>
      </c>
      <c r="Y279" s="17" t="s">
        <v>438</v>
      </c>
      <c r="Z279" s="17" t="s">
        <v>661</v>
      </c>
      <c r="AA279" s="17" t="s">
        <v>440</v>
      </c>
      <c r="AB279" s="17" t="s">
        <v>1775</v>
      </c>
      <c r="AC279" s="17" t="s">
        <v>428</v>
      </c>
      <c r="AD279" s="17" t="s">
        <v>1784</v>
      </c>
      <c r="AE279" s="26">
        <v>440.0</v>
      </c>
      <c r="AF279" s="17" t="s">
        <v>1788</v>
      </c>
      <c r="AG279" s="17" t="s">
        <v>1789</v>
      </c>
      <c r="AH279" s="17" t="s">
        <v>1790</v>
      </c>
      <c r="AI279" s="26">
        <v>50683.0</v>
      </c>
      <c r="AJ279" s="26">
        <v>50683.0</v>
      </c>
      <c r="AK279" s="26" t="s">
        <v>1635</v>
      </c>
      <c r="AL279" s="26">
        <v>178.0</v>
      </c>
      <c r="AM279" s="26">
        <v>2004.0</v>
      </c>
      <c r="AN279" s="17" t="s">
        <v>465</v>
      </c>
      <c r="AO279" s="32"/>
      <c r="AP279" s="17" t="s">
        <v>483</v>
      </c>
      <c r="AQ279" s="32"/>
      <c r="AR279" s="32"/>
      <c r="AS279" s="32"/>
      <c r="AT279" s="26">
        <v>192.0</v>
      </c>
      <c r="AU279" s="26" t="s">
        <v>1776</v>
      </c>
      <c r="AV279" s="35">
        <v>133.0</v>
      </c>
      <c r="AW279" s="26">
        <v>170.0</v>
      </c>
      <c r="AX279" s="26">
        <v>73.0</v>
      </c>
      <c r="AY279" s="26">
        <v>380.0</v>
      </c>
      <c r="AZ279" s="37">
        <v>45388.0</v>
      </c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  <c r="CF279" s="32"/>
      <c r="CG279" s="32"/>
    </row>
    <row r="280">
      <c r="A280" s="20" t="s">
        <v>1791</v>
      </c>
      <c r="B280" s="20" t="s">
        <v>1436</v>
      </c>
      <c r="C280" s="17" t="s">
        <v>1792</v>
      </c>
      <c r="D280" s="17" t="s">
        <v>781</v>
      </c>
      <c r="E280" s="34" t="s">
        <v>477</v>
      </c>
      <c r="F280" s="26">
        <v>97.0</v>
      </c>
      <c r="G280" s="35">
        <v>340.0</v>
      </c>
      <c r="H280" s="17" t="s">
        <v>413</v>
      </c>
      <c r="I280" s="17" t="s">
        <v>414</v>
      </c>
      <c r="J280" s="17" t="s">
        <v>415</v>
      </c>
      <c r="L280" s="26">
        <v>5.0</v>
      </c>
      <c r="M280" s="17" t="s">
        <v>417</v>
      </c>
      <c r="N280" s="32"/>
      <c r="O280" s="32"/>
      <c r="P280" s="26">
        <v>-1.0</v>
      </c>
      <c r="Q280" s="17" t="s">
        <v>419</v>
      </c>
      <c r="R280" s="17" t="s">
        <v>420</v>
      </c>
      <c r="S280" s="17" t="s">
        <v>421</v>
      </c>
      <c r="T280" s="17" t="s">
        <v>422</v>
      </c>
      <c r="U280" s="17" t="s">
        <v>423</v>
      </c>
      <c r="V280" s="17" t="s">
        <v>1482</v>
      </c>
      <c r="W280" s="17" t="s">
        <v>403</v>
      </c>
      <c r="X280" s="17" t="s">
        <v>1483</v>
      </c>
      <c r="Y280" s="17" t="s">
        <v>438</v>
      </c>
      <c r="Z280" s="17" t="s">
        <v>1380</v>
      </c>
      <c r="AA280" s="17" t="s">
        <v>440</v>
      </c>
      <c r="AB280" s="17" t="s">
        <v>1775</v>
      </c>
      <c r="AC280" s="17" t="s">
        <v>428</v>
      </c>
      <c r="AD280" s="17" t="s">
        <v>766</v>
      </c>
      <c r="AE280" s="26">
        <v>1170.0</v>
      </c>
      <c r="AF280" s="36">
        <v>176.6</v>
      </c>
      <c r="AG280" s="36">
        <v>184.0</v>
      </c>
      <c r="AH280" s="26" t="s">
        <v>1793</v>
      </c>
      <c r="AI280" s="26">
        <v>100000.0</v>
      </c>
      <c r="AJ280" s="26">
        <v>171873.0</v>
      </c>
      <c r="AK280" s="26" t="s">
        <v>495</v>
      </c>
      <c r="AL280" s="26">
        <v>55.0</v>
      </c>
      <c r="AM280" s="26">
        <v>2108.0</v>
      </c>
      <c r="AN280" s="32"/>
      <c r="AO280" s="32"/>
      <c r="AP280" s="32"/>
      <c r="AQ280" s="32"/>
      <c r="AR280" s="32"/>
      <c r="AS280" s="32"/>
      <c r="AT280" s="26">
        <v>192.0</v>
      </c>
      <c r="AU280" s="26" t="s">
        <v>1776</v>
      </c>
      <c r="AV280" s="35">
        <v>340.0</v>
      </c>
      <c r="AW280" s="26">
        <v>260.0</v>
      </c>
      <c r="AX280" s="26">
        <v>97.0</v>
      </c>
      <c r="AY280" s="26">
        <v>505.0</v>
      </c>
      <c r="AZ280" s="37">
        <v>45475.0</v>
      </c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  <c r="CF280" s="32"/>
      <c r="CG280" s="32"/>
    </row>
    <row r="281">
      <c r="A281" s="20" t="s">
        <v>1794</v>
      </c>
      <c r="B281" s="20" t="s">
        <v>1436</v>
      </c>
      <c r="C281" s="17" t="s">
        <v>1795</v>
      </c>
      <c r="D281" s="17" t="s">
        <v>781</v>
      </c>
      <c r="E281" s="34" t="s">
        <v>477</v>
      </c>
      <c r="F281" s="26">
        <v>97.0</v>
      </c>
      <c r="G281" s="35">
        <v>407.0</v>
      </c>
      <c r="H281" s="17" t="s">
        <v>413</v>
      </c>
      <c r="I281" s="17" t="s">
        <v>414</v>
      </c>
      <c r="J281" s="17" t="s">
        <v>415</v>
      </c>
      <c r="L281" s="26">
        <v>5.0</v>
      </c>
      <c r="M281" s="17" t="s">
        <v>417</v>
      </c>
      <c r="N281" s="32"/>
      <c r="O281" s="32"/>
      <c r="P281" s="26">
        <v>-1.0</v>
      </c>
      <c r="Q281" s="17" t="s">
        <v>419</v>
      </c>
      <c r="R281" s="17" t="s">
        <v>420</v>
      </c>
      <c r="S281" s="17" t="s">
        <v>421</v>
      </c>
      <c r="T281" s="17" t="s">
        <v>422</v>
      </c>
      <c r="U281" s="17" t="s">
        <v>423</v>
      </c>
      <c r="V281" s="17" t="s">
        <v>1615</v>
      </c>
      <c r="W281" s="17" t="s">
        <v>403</v>
      </c>
      <c r="X281" s="17" t="s">
        <v>1483</v>
      </c>
      <c r="Y281" s="17" t="s">
        <v>438</v>
      </c>
      <c r="Z281" s="17" t="s">
        <v>1380</v>
      </c>
      <c r="AA281" s="17" t="s">
        <v>440</v>
      </c>
      <c r="AB281" s="17" t="s">
        <v>1775</v>
      </c>
      <c r="AC281" s="17" t="s">
        <v>428</v>
      </c>
      <c r="AD281" s="17" t="s">
        <v>766</v>
      </c>
      <c r="AE281" s="26">
        <v>1170.0</v>
      </c>
      <c r="AF281" s="36">
        <v>210.8</v>
      </c>
      <c r="AG281" s="36">
        <v>219.9</v>
      </c>
      <c r="AH281" s="26" t="s">
        <v>1796</v>
      </c>
      <c r="AI281" s="26">
        <v>100000.0</v>
      </c>
      <c r="AJ281" s="26">
        <v>205705.0</v>
      </c>
      <c r="AK281" s="26" t="s">
        <v>495</v>
      </c>
      <c r="AL281" s="26">
        <v>46.0</v>
      </c>
      <c r="AM281" s="26">
        <v>2109.0</v>
      </c>
      <c r="AN281" s="32"/>
      <c r="AO281" s="32"/>
      <c r="AP281" s="32"/>
      <c r="AQ281" s="32"/>
      <c r="AR281" s="32"/>
      <c r="AS281" s="32"/>
      <c r="AT281" s="26">
        <v>192.0</v>
      </c>
      <c r="AU281" s="26" t="s">
        <v>1776</v>
      </c>
      <c r="AV281" s="35">
        <v>407.0</v>
      </c>
      <c r="AW281" s="26">
        <v>260.0</v>
      </c>
      <c r="AX281" s="26">
        <v>97.0</v>
      </c>
      <c r="AY281" s="26">
        <v>505.0</v>
      </c>
      <c r="AZ281" s="37">
        <v>45384.0</v>
      </c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  <c r="CF281" s="32"/>
      <c r="CG281" s="32"/>
    </row>
    <row r="282">
      <c r="A282" s="20" t="s">
        <v>1797</v>
      </c>
      <c r="B282" s="20" t="s">
        <v>1798</v>
      </c>
      <c r="C282" s="17" t="s">
        <v>1799</v>
      </c>
      <c r="D282" s="17" t="s">
        <v>1187</v>
      </c>
      <c r="E282" s="34" t="s">
        <v>477</v>
      </c>
      <c r="F282" s="26" t="s">
        <v>618</v>
      </c>
      <c r="G282" s="35">
        <v>167.0</v>
      </c>
      <c r="H282" s="17" t="s">
        <v>413</v>
      </c>
      <c r="I282" s="17" t="s">
        <v>414</v>
      </c>
      <c r="J282" s="17" t="s">
        <v>415</v>
      </c>
      <c r="L282" s="26">
        <v>5.0</v>
      </c>
      <c r="M282" s="17" t="s">
        <v>417</v>
      </c>
      <c r="N282" s="17" t="s">
        <v>418</v>
      </c>
      <c r="O282" s="26">
        <v>2000.0</v>
      </c>
      <c r="P282" s="26">
        <v>5.0</v>
      </c>
      <c r="Q282" s="26">
        <v>5.0</v>
      </c>
      <c r="R282" s="17" t="s">
        <v>419</v>
      </c>
      <c r="S282" s="17" t="s">
        <v>420</v>
      </c>
      <c r="T282" s="17" t="s">
        <v>421</v>
      </c>
      <c r="U282" s="17" t="s">
        <v>423</v>
      </c>
      <c r="V282" s="17" t="s">
        <v>938</v>
      </c>
      <c r="W282" s="17" t="s">
        <v>403</v>
      </c>
      <c r="X282" s="17" t="s">
        <v>619</v>
      </c>
      <c r="Y282" s="17" t="s">
        <v>438</v>
      </c>
      <c r="Z282" s="17" t="s">
        <v>838</v>
      </c>
      <c r="AA282" s="17" t="s">
        <v>440</v>
      </c>
      <c r="AB282" s="17" t="s">
        <v>1775</v>
      </c>
      <c r="AC282" s="17" t="s">
        <v>428</v>
      </c>
      <c r="AD282" s="17" t="s">
        <v>1105</v>
      </c>
      <c r="AE282" s="26">
        <v>750.0</v>
      </c>
      <c r="AF282" s="36">
        <v>63.5</v>
      </c>
      <c r="AG282" s="36">
        <v>65.95</v>
      </c>
      <c r="AH282" s="26" t="s">
        <v>1800</v>
      </c>
      <c r="AI282" s="26">
        <v>66140.0</v>
      </c>
      <c r="AJ282" s="26">
        <v>66140.0</v>
      </c>
      <c r="AK282" s="26" t="s">
        <v>567</v>
      </c>
      <c r="AL282" s="26">
        <v>226.0</v>
      </c>
      <c r="AM282" s="26">
        <v>2281.0</v>
      </c>
      <c r="AN282" s="32"/>
      <c r="AO282" s="17" t="s">
        <v>422</v>
      </c>
      <c r="AP282" s="32"/>
      <c r="AQ282" s="32"/>
      <c r="AR282" s="32"/>
      <c r="AS282" s="32"/>
      <c r="AT282" s="26">
        <v>192.0</v>
      </c>
      <c r="AU282" s="26" t="s">
        <v>1776</v>
      </c>
      <c r="AV282" s="35">
        <v>167.0</v>
      </c>
      <c r="AW282" s="26">
        <v>210.0</v>
      </c>
      <c r="AX282" s="26" t="s">
        <v>618</v>
      </c>
      <c r="AY282" s="26">
        <v>395.0</v>
      </c>
      <c r="AZ282" s="26">
        <v>7.0</v>
      </c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32"/>
    </row>
    <row r="283">
      <c r="A283" s="20" t="s">
        <v>1801</v>
      </c>
      <c r="B283" s="20" t="s">
        <v>1802</v>
      </c>
      <c r="C283" s="17" t="s">
        <v>1803</v>
      </c>
      <c r="E283" s="34" t="s">
        <v>477</v>
      </c>
      <c r="F283" s="26" t="s">
        <v>685</v>
      </c>
      <c r="G283" s="35">
        <v>208.0</v>
      </c>
      <c r="H283" s="17" t="s">
        <v>413</v>
      </c>
      <c r="I283" s="17" t="s">
        <v>414</v>
      </c>
      <c r="J283" s="17" t="s">
        <v>415</v>
      </c>
      <c r="L283" s="26">
        <v>5.0</v>
      </c>
      <c r="M283" s="17" t="s">
        <v>417</v>
      </c>
      <c r="N283" s="17" t="s">
        <v>418</v>
      </c>
      <c r="O283" s="26">
        <v>2400.0</v>
      </c>
      <c r="P283" s="26">
        <v>5.0</v>
      </c>
      <c r="Q283" s="26">
        <v>5.0</v>
      </c>
      <c r="R283" s="17" t="s">
        <v>419</v>
      </c>
      <c r="S283" s="17" t="s">
        <v>420</v>
      </c>
      <c r="T283" s="17" t="s">
        <v>421</v>
      </c>
      <c r="U283" s="17" t="s">
        <v>423</v>
      </c>
      <c r="V283" s="17" t="s">
        <v>1804</v>
      </c>
      <c r="W283" s="17" t="s">
        <v>403</v>
      </c>
      <c r="X283" s="17" t="s">
        <v>655</v>
      </c>
      <c r="Y283" s="17" t="s">
        <v>438</v>
      </c>
      <c r="Z283" s="17" t="s">
        <v>471</v>
      </c>
      <c r="AA283" s="17" t="s">
        <v>440</v>
      </c>
      <c r="AB283" s="17" t="s">
        <v>1775</v>
      </c>
      <c r="AC283" s="17" t="s">
        <v>428</v>
      </c>
      <c r="AD283" s="17" t="s">
        <v>1805</v>
      </c>
      <c r="AE283" s="26">
        <v>990.0</v>
      </c>
      <c r="AF283" s="36">
        <v>96.2</v>
      </c>
      <c r="AG283" s="17" t="s">
        <v>1806</v>
      </c>
      <c r="AH283" s="17" t="s">
        <v>1807</v>
      </c>
      <c r="AI283" s="26">
        <v>100000.0</v>
      </c>
      <c r="AJ283" s="26">
        <v>102930.0</v>
      </c>
      <c r="AK283" s="26" t="s">
        <v>1635</v>
      </c>
      <c r="AL283" s="26">
        <v>156.0</v>
      </c>
      <c r="AM283" s="26">
        <v>3044.0</v>
      </c>
      <c r="AN283" s="32"/>
      <c r="AO283" s="17" t="s">
        <v>422</v>
      </c>
      <c r="AP283" s="32"/>
      <c r="AQ283" s="32"/>
      <c r="AR283" s="32"/>
      <c r="AS283" s="32"/>
      <c r="AT283" s="26">
        <v>192.0</v>
      </c>
      <c r="AU283" s="26" t="s">
        <v>1776</v>
      </c>
      <c r="AV283" s="35">
        <v>208.0</v>
      </c>
      <c r="AW283" s="26">
        <v>230.0</v>
      </c>
      <c r="AX283" s="26" t="s">
        <v>685</v>
      </c>
      <c r="AY283" s="26">
        <v>495.0</v>
      </c>
      <c r="AZ283" s="37">
        <v>45355.0</v>
      </c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  <c r="CF283" s="32"/>
      <c r="CG283" s="32"/>
    </row>
    <row r="284">
      <c r="A284" s="20" t="s">
        <v>1808</v>
      </c>
      <c r="B284" s="20" t="s">
        <v>1809</v>
      </c>
      <c r="C284" s="17" t="s">
        <v>1810</v>
      </c>
      <c r="D284" s="17" t="s">
        <v>638</v>
      </c>
      <c r="E284" s="34" t="s">
        <v>477</v>
      </c>
      <c r="F284" s="26">
        <v>97.0</v>
      </c>
      <c r="G284" s="35">
        <v>290.0</v>
      </c>
      <c r="H284" s="17" t="s">
        <v>413</v>
      </c>
      <c r="I284" s="17" t="s">
        <v>414</v>
      </c>
      <c r="J284" s="17" t="s">
        <v>415</v>
      </c>
      <c r="L284" s="26">
        <v>5.0</v>
      </c>
      <c r="M284" s="17" t="s">
        <v>417</v>
      </c>
      <c r="N284" s="32"/>
      <c r="O284" s="32"/>
      <c r="P284" s="26">
        <v>-1.0</v>
      </c>
      <c r="Q284" s="17" t="s">
        <v>419</v>
      </c>
      <c r="R284" s="17" t="s">
        <v>420</v>
      </c>
      <c r="S284" s="17" t="s">
        <v>421</v>
      </c>
      <c r="T284" s="17" t="s">
        <v>422</v>
      </c>
      <c r="U284" s="17" t="s">
        <v>423</v>
      </c>
      <c r="V284" s="17" t="s">
        <v>1507</v>
      </c>
      <c r="W284" s="17" t="s">
        <v>403</v>
      </c>
      <c r="X284" s="17" t="s">
        <v>701</v>
      </c>
      <c r="Y284" s="17" t="s">
        <v>438</v>
      </c>
      <c r="Z284" s="17" t="s">
        <v>1380</v>
      </c>
      <c r="AA284" s="17" t="s">
        <v>440</v>
      </c>
      <c r="AB284" s="17" t="s">
        <v>1775</v>
      </c>
      <c r="AC284" s="17" t="s">
        <v>428</v>
      </c>
      <c r="AD284" s="17" t="s">
        <v>766</v>
      </c>
      <c r="AE284" s="26">
        <v>1170.0</v>
      </c>
      <c r="AF284" s="36">
        <v>148.6</v>
      </c>
      <c r="AG284" s="36">
        <v>155.233</v>
      </c>
      <c r="AH284" s="26" t="s">
        <v>1811</v>
      </c>
      <c r="AI284" s="26">
        <v>100000.0</v>
      </c>
      <c r="AJ284" s="26">
        <v>146626.0</v>
      </c>
      <c r="AK284" s="26" t="s">
        <v>444</v>
      </c>
      <c r="AL284" s="26">
        <v>192.0</v>
      </c>
      <c r="AM284" s="26">
        <v>3063.0</v>
      </c>
      <c r="AN284" s="32"/>
      <c r="AO284" s="32"/>
      <c r="AP284" s="32"/>
      <c r="AQ284" s="32"/>
      <c r="AR284" s="32"/>
      <c r="AS284" s="32"/>
      <c r="AT284" s="26">
        <v>192.0</v>
      </c>
      <c r="AU284" s="26" t="s">
        <v>1776</v>
      </c>
      <c r="AV284" s="35">
        <v>290.0</v>
      </c>
      <c r="AW284" s="26">
        <v>250.0</v>
      </c>
      <c r="AX284" s="26">
        <v>97.0</v>
      </c>
      <c r="AY284" s="26">
        <v>505.0</v>
      </c>
      <c r="AZ284" s="37">
        <v>45354.0</v>
      </c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  <c r="CF284" s="32"/>
      <c r="CG284" s="32"/>
    </row>
    <row r="285">
      <c r="A285" s="20" t="s">
        <v>1812</v>
      </c>
      <c r="B285" s="20" t="s">
        <v>1677</v>
      </c>
      <c r="C285" s="17" t="s">
        <v>1813</v>
      </c>
      <c r="D285" s="17" t="s">
        <v>670</v>
      </c>
      <c r="E285" s="34" t="s">
        <v>550</v>
      </c>
      <c r="F285" s="26">
        <v>87.0</v>
      </c>
      <c r="G285" s="35">
        <v>117.0</v>
      </c>
      <c r="H285" s="32"/>
      <c r="I285" s="17" t="s">
        <v>414</v>
      </c>
      <c r="J285" s="17" t="s">
        <v>415</v>
      </c>
      <c r="L285" s="26">
        <v>5.0</v>
      </c>
      <c r="M285" s="17" t="s">
        <v>417</v>
      </c>
      <c r="N285" s="17" t="s">
        <v>418</v>
      </c>
      <c r="O285" s="26">
        <v>750.0</v>
      </c>
      <c r="P285" s="26">
        <v>5.0</v>
      </c>
      <c r="Q285" s="26">
        <v>5.0</v>
      </c>
      <c r="R285" s="17" t="s">
        <v>419</v>
      </c>
      <c r="S285" s="17" t="s">
        <v>420</v>
      </c>
      <c r="T285" s="17" t="s">
        <v>421</v>
      </c>
      <c r="U285" s="17" t="s">
        <v>423</v>
      </c>
      <c r="V285" s="17" t="s">
        <v>851</v>
      </c>
      <c r="W285" s="17" t="s">
        <v>403</v>
      </c>
      <c r="X285" s="17" t="s">
        <v>581</v>
      </c>
      <c r="Y285" s="17" t="s">
        <v>404</v>
      </c>
      <c r="Z285" s="17" t="s">
        <v>1143</v>
      </c>
      <c r="AA285" s="17" t="s">
        <v>401</v>
      </c>
      <c r="AB285" s="17" t="s">
        <v>1814</v>
      </c>
      <c r="AC285" s="17" t="s">
        <v>428</v>
      </c>
      <c r="AD285" s="17" t="s">
        <v>1299</v>
      </c>
      <c r="AE285" s="26">
        <v>540.0</v>
      </c>
      <c r="AF285" s="36">
        <v>58.99</v>
      </c>
      <c r="AG285" s="36">
        <v>47.99</v>
      </c>
      <c r="AH285" s="26" t="s">
        <v>1815</v>
      </c>
      <c r="AI285" s="26">
        <v>52773.0</v>
      </c>
      <c r="AJ285" s="26">
        <v>52773.0</v>
      </c>
      <c r="AK285" s="26" t="s">
        <v>671</v>
      </c>
      <c r="AL285" s="26">
        <v>898.0</v>
      </c>
      <c r="AM285" s="26">
        <v>1302.0</v>
      </c>
      <c r="AN285" s="32"/>
      <c r="AO285" s="17" t="s">
        <v>422</v>
      </c>
      <c r="AP285" s="17" t="s">
        <v>483</v>
      </c>
      <c r="AQ285" s="32"/>
      <c r="AR285" s="32"/>
      <c r="AS285" s="32"/>
      <c r="AT285" s="26">
        <v>193.0</v>
      </c>
      <c r="AU285" s="26" t="s">
        <v>1816</v>
      </c>
      <c r="AV285" s="35">
        <v>117.0</v>
      </c>
      <c r="AW285" s="26">
        <v>160.0</v>
      </c>
      <c r="AX285" s="26">
        <v>87.0</v>
      </c>
      <c r="AY285" s="26">
        <v>450.0</v>
      </c>
      <c r="AZ285" s="37">
        <v>45450.0</v>
      </c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  <c r="CF285" s="32"/>
      <c r="CG285" s="32"/>
    </row>
    <row r="286">
      <c r="A286" s="20" t="s">
        <v>1817</v>
      </c>
      <c r="B286" s="20" t="s">
        <v>1818</v>
      </c>
      <c r="C286" s="17" t="s">
        <v>1819</v>
      </c>
      <c r="D286" s="17" t="s">
        <v>1023</v>
      </c>
      <c r="E286" s="34" t="s">
        <v>436</v>
      </c>
      <c r="F286" s="26">
        <v>56.0</v>
      </c>
      <c r="G286" s="35">
        <v>147.0</v>
      </c>
      <c r="H286" s="32"/>
      <c r="I286" s="32"/>
      <c r="J286" s="17" t="s">
        <v>415</v>
      </c>
      <c r="L286" s="26">
        <v>5.0</v>
      </c>
      <c r="M286" s="17" t="s">
        <v>417</v>
      </c>
      <c r="N286" s="17" t="s">
        <v>418</v>
      </c>
      <c r="O286" s="26">
        <v>1500.0</v>
      </c>
      <c r="P286" s="26">
        <v>-1.0</v>
      </c>
      <c r="Q286" s="17" t="s">
        <v>419</v>
      </c>
      <c r="R286" s="17" t="s">
        <v>420</v>
      </c>
      <c r="S286" s="17" t="s">
        <v>421</v>
      </c>
      <c r="T286" s="17" t="s">
        <v>422</v>
      </c>
      <c r="U286" s="17" t="s">
        <v>488</v>
      </c>
      <c r="V286" s="17" t="s">
        <v>1163</v>
      </c>
      <c r="W286" s="17" t="s">
        <v>403</v>
      </c>
      <c r="X286" s="17" t="s">
        <v>1820</v>
      </c>
      <c r="Y286" s="17" t="s">
        <v>438</v>
      </c>
      <c r="Z286" s="17" t="s">
        <v>720</v>
      </c>
      <c r="AA286" s="17" t="s">
        <v>440</v>
      </c>
      <c r="AB286" s="17" t="s">
        <v>1814</v>
      </c>
      <c r="AC286" s="17" t="s">
        <v>428</v>
      </c>
      <c r="AD286" s="17" t="s">
        <v>640</v>
      </c>
      <c r="AE286" s="26">
        <v>330.0</v>
      </c>
      <c r="AF286" s="36">
        <v>42.49</v>
      </c>
      <c r="AG286" s="17" t="s">
        <v>463</v>
      </c>
      <c r="AH286" s="17" t="s">
        <v>463</v>
      </c>
      <c r="AI286" s="26">
        <v>42490.0</v>
      </c>
      <c r="AJ286" s="26">
        <v>42490.0</v>
      </c>
      <c r="AK286" s="26" t="s">
        <v>724</v>
      </c>
      <c r="AL286" s="26">
        <v>213.0</v>
      </c>
      <c r="AM286" s="26">
        <v>1589.0</v>
      </c>
      <c r="AN286" s="32"/>
      <c r="AO286" s="32"/>
      <c r="AP286" s="17" t="s">
        <v>483</v>
      </c>
      <c r="AQ286" s="32"/>
      <c r="AR286" s="32"/>
      <c r="AS286" s="32"/>
      <c r="AT286" s="26">
        <v>193.0</v>
      </c>
      <c r="AU286" s="26" t="s">
        <v>1816</v>
      </c>
      <c r="AV286" s="35">
        <v>147.0</v>
      </c>
      <c r="AW286" s="26">
        <v>156.0</v>
      </c>
      <c r="AX286" s="26">
        <v>56.0</v>
      </c>
      <c r="AY286" s="26">
        <v>290.0</v>
      </c>
      <c r="AZ286" s="37">
        <v>45420.0</v>
      </c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  <c r="CF286" s="32"/>
      <c r="CG286" s="32"/>
    </row>
    <row r="287">
      <c r="A287" s="20" t="s">
        <v>1821</v>
      </c>
      <c r="B287" s="20" t="s">
        <v>1822</v>
      </c>
      <c r="C287" s="17" t="s">
        <v>1823</v>
      </c>
      <c r="D287" s="17" t="s">
        <v>700</v>
      </c>
      <c r="E287" s="34" t="s">
        <v>550</v>
      </c>
      <c r="F287" s="26" t="s">
        <v>1201</v>
      </c>
      <c r="G287" s="35">
        <v>254.0</v>
      </c>
      <c r="H287" s="17" t="s">
        <v>413</v>
      </c>
      <c r="I287" s="17" t="s">
        <v>414</v>
      </c>
      <c r="J287" s="17" t="s">
        <v>415</v>
      </c>
      <c r="K287" s="17" t="s">
        <v>416</v>
      </c>
      <c r="L287" s="26">
        <v>5.0</v>
      </c>
      <c r="M287" s="17" t="s">
        <v>417</v>
      </c>
      <c r="N287" s="17" t="s">
        <v>418</v>
      </c>
      <c r="O287" s="26">
        <v>2000.0</v>
      </c>
      <c r="P287" s="26">
        <v>5.0</v>
      </c>
      <c r="Q287" s="26">
        <v>5.0</v>
      </c>
      <c r="R287" s="17" t="s">
        <v>419</v>
      </c>
      <c r="S287" s="17" t="s">
        <v>420</v>
      </c>
      <c r="T287" s="17" t="s">
        <v>421</v>
      </c>
      <c r="U287" s="17" t="s">
        <v>423</v>
      </c>
      <c r="V287" s="17" t="s">
        <v>1249</v>
      </c>
      <c r="W287" s="17" t="s">
        <v>403</v>
      </c>
      <c r="X287" s="17" t="s">
        <v>655</v>
      </c>
      <c r="Y287" s="17" t="s">
        <v>404</v>
      </c>
      <c r="Z287" s="17" t="s">
        <v>426</v>
      </c>
      <c r="AA287" s="17" t="s">
        <v>401</v>
      </c>
      <c r="AB287" s="17" t="s">
        <v>1814</v>
      </c>
      <c r="AC287" s="17" t="s">
        <v>428</v>
      </c>
      <c r="AD287" s="17" t="s">
        <v>1144</v>
      </c>
      <c r="AE287" s="26">
        <v>670.0</v>
      </c>
      <c r="AF287" s="36">
        <v>99.5</v>
      </c>
      <c r="AG287" s="36">
        <v>108.427</v>
      </c>
      <c r="AH287" s="26" t="s">
        <v>1824</v>
      </c>
      <c r="AI287" s="26">
        <v>100000.0</v>
      </c>
      <c r="AJ287" s="26">
        <v>106777.0</v>
      </c>
      <c r="AK287" s="26" t="s">
        <v>552</v>
      </c>
      <c r="AL287" s="26">
        <v>441.0</v>
      </c>
      <c r="AM287" s="26">
        <v>1907.0</v>
      </c>
      <c r="AN287" s="32"/>
      <c r="AO287" s="17" t="s">
        <v>422</v>
      </c>
      <c r="AP287" s="32"/>
      <c r="AQ287" s="32"/>
      <c r="AR287" s="32"/>
      <c r="AS287" s="32"/>
      <c r="AT287" s="26">
        <v>193.0</v>
      </c>
      <c r="AU287" s="26" t="s">
        <v>1816</v>
      </c>
      <c r="AV287" s="35">
        <v>254.0</v>
      </c>
      <c r="AW287" s="26">
        <v>230.0</v>
      </c>
      <c r="AX287" s="26" t="s">
        <v>1201</v>
      </c>
      <c r="AY287" s="26">
        <v>420.0</v>
      </c>
      <c r="AZ287" s="37">
        <v>45507.0</v>
      </c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  <c r="CF287" s="32"/>
      <c r="CG287" s="32"/>
    </row>
    <row r="288">
      <c r="A288" s="20" t="s">
        <v>1825</v>
      </c>
      <c r="B288" s="20" t="s">
        <v>1826</v>
      </c>
      <c r="C288" s="17" t="s">
        <v>1827</v>
      </c>
      <c r="D288" s="17" t="s">
        <v>556</v>
      </c>
      <c r="E288" s="34" t="s">
        <v>477</v>
      </c>
      <c r="F288" s="26" t="s">
        <v>1131</v>
      </c>
      <c r="G288" s="35">
        <v>137.0</v>
      </c>
      <c r="H288" s="32"/>
      <c r="I288" s="17" t="s">
        <v>414</v>
      </c>
      <c r="J288" s="17" t="s">
        <v>415</v>
      </c>
      <c r="L288" s="26">
        <v>5.0</v>
      </c>
      <c r="M288" s="17" t="s">
        <v>417</v>
      </c>
      <c r="N288" s="17" t="s">
        <v>418</v>
      </c>
      <c r="O288" s="26">
        <v>500.0</v>
      </c>
      <c r="P288" s="26">
        <v>5.0</v>
      </c>
      <c r="Q288" s="26">
        <v>5.0</v>
      </c>
      <c r="R288" s="17" t="s">
        <v>419</v>
      </c>
      <c r="S288" s="17" t="s">
        <v>420</v>
      </c>
      <c r="T288" s="17" t="s">
        <v>421</v>
      </c>
      <c r="U288" s="17" t="s">
        <v>423</v>
      </c>
      <c r="V288" s="17" t="s">
        <v>1249</v>
      </c>
      <c r="W288" s="17" t="s">
        <v>403</v>
      </c>
      <c r="X288" s="17" t="s">
        <v>782</v>
      </c>
      <c r="Y288" s="17" t="s">
        <v>438</v>
      </c>
      <c r="Z288" s="17" t="s">
        <v>709</v>
      </c>
      <c r="AA288" s="17" t="s">
        <v>440</v>
      </c>
      <c r="AB288" s="17" t="s">
        <v>1814</v>
      </c>
      <c r="AC288" s="17" t="s">
        <v>428</v>
      </c>
      <c r="AD288" s="17" t="s">
        <v>1564</v>
      </c>
      <c r="AE288" s="26">
        <v>560.0</v>
      </c>
      <c r="AF288" s="36">
        <v>46.99</v>
      </c>
      <c r="AG288" s="36">
        <v>42.285</v>
      </c>
      <c r="AH288" s="26" t="s">
        <v>1276</v>
      </c>
      <c r="AI288" s="26">
        <v>43748.0</v>
      </c>
      <c r="AJ288" s="26">
        <v>43748.0</v>
      </c>
      <c r="AK288" s="26" t="s">
        <v>431</v>
      </c>
      <c r="AL288" s="26">
        <v>438.0</v>
      </c>
      <c r="AM288" s="26">
        <v>1944.0</v>
      </c>
      <c r="AN288" s="17" t="s">
        <v>465</v>
      </c>
      <c r="AO288" s="17" t="s">
        <v>422</v>
      </c>
      <c r="AP288" s="17" t="s">
        <v>483</v>
      </c>
      <c r="AQ288" s="17" t="s">
        <v>496</v>
      </c>
      <c r="AS288" s="32"/>
      <c r="AT288" s="26">
        <v>193.0</v>
      </c>
      <c r="AU288" s="26" t="s">
        <v>1816</v>
      </c>
      <c r="AV288" s="35">
        <v>137.0</v>
      </c>
      <c r="AW288" s="26">
        <v>200.0</v>
      </c>
      <c r="AX288" s="26" t="s">
        <v>1131</v>
      </c>
      <c r="AY288" s="26">
        <v>320.0</v>
      </c>
      <c r="AZ288" s="37">
        <v>45507.0</v>
      </c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  <c r="CF288" s="32"/>
      <c r="CG288" s="32"/>
    </row>
    <row r="289">
      <c r="A289" s="20" t="s">
        <v>1828</v>
      </c>
      <c r="B289" s="20" t="s">
        <v>1092</v>
      </c>
      <c r="C289" s="17" t="s">
        <v>1829</v>
      </c>
      <c r="D289" s="17" t="s">
        <v>804</v>
      </c>
      <c r="E289" s="34" t="s">
        <v>550</v>
      </c>
      <c r="F289" s="26" t="s">
        <v>980</v>
      </c>
      <c r="G289" s="35">
        <v>174.0</v>
      </c>
      <c r="H289" s="17" t="s">
        <v>413</v>
      </c>
      <c r="I289" s="17" t="s">
        <v>414</v>
      </c>
      <c r="J289" s="17" t="s">
        <v>415</v>
      </c>
      <c r="L289" s="26">
        <v>7.0</v>
      </c>
      <c r="M289" s="17" t="s">
        <v>417</v>
      </c>
      <c r="N289" s="17" t="s">
        <v>418</v>
      </c>
      <c r="O289" s="26">
        <v>1700.0</v>
      </c>
      <c r="P289" s="26">
        <v>-1.0</v>
      </c>
      <c r="Q289" s="17" t="s">
        <v>419</v>
      </c>
      <c r="R289" s="17" t="s">
        <v>420</v>
      </c>
      <c r="S289" s="17" t="s">
        <v>421</v>
      </c>
      <c r="T289" s="17" t="s">
        <v>422</v>
      </c>
      <c r="U289" s="17" t="s">
        <v>423</v>
      </c>
      <c r="V289" s="17" t="s">
        <v>787</v>
      </c>
      <c r="W289" s="17" t="s">
        <v>403</v>
      </c>
      <c r="X289" s="17" t="s">
        <v>581</v>
      </c>
      <c r="Y289" s="17" t="s">
        <v>404</v>
      </c>
      <c r="Z289" s="17" t="s">
        <v>1164</v>
      </c>
      <c r="AA289" s="17" t="s">
        <v>401</v>
      </c>
      <c r="AB289" s="17" t="s">
        <v>1814</v>
      </c>
      <c r="AC289" s="17" t="s">
        <v>428</v>
      </c>
      <c r="AD289" s="17" t="s">
        <v>805</v>
      </c>
      <c r="AE289" s="26">
        <v>500.0</v>
      </c>
      <c r="AF289" s="36">
        <v>55.519</v>
      </c>
      <c r="AG289" s="36">
        <v>61.379</v>
      </c>
      <c r="AH289" s="26" t="s">
        <v>1830</v>
      </c>
      <c r="AI289" s="26">
        <v>60168.0</v>
      </c>
      <c r="AJ289" s="26">
        <v>60168.0</v>
      </c>
      <c r="AK289" s="26" t="s">
        <v>777</v>
      </c>
      <c r="AL289" s="26">
        <v>483.0</v>
      </c>
      <c r="AM289" s="26">
        <v>1989.0</v>
      </c>
      <c r="AN289" s="32"/>
      <c r="AO289" s="32"/>
      <c r="AP289" s="17" t="s">
        <v>483</v>
      </c>
      <c r="AQ289" s="32"/>
      <c r="AR289" s="32"/>
      <c r="AS289" s="32"/>
      <c r="AT289" s="26">
        <v>193.0</v>
      </c>
      <c r="AU289" s="26" t="s">
        <v>1816</v>
      </c>
      <c r="AV289" s="35">
        <v>174.0</v>
      </c>
      <c r="AW289" s="26">
        <v>160.0</v>
      </c>
      <c r="AX289" s="26" t="s">
        <v>980</v>
      </c>
      <c r="AY289" s="26">
        <v>345.0</v>
      </c>
      <c r="AZ289" s="26">
        <v>8.0</v>
      </c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  <c r="CF289" s="32"/>
      <c r="CG289" s="32"/>
    </row>
    <row r="290">
      <c r="A290" s="20" t="s">
        <v>1831</v>
      </c>
      <c r="B290" s="20" t="s">
        <v>1092</v>
      </c>
      <c r="C290" s="17" t="s">
        <v>1832</v>
      </c>
      <c r="D290" s="17" t="s">
        <v>804</v>
      </c>
      <c r="E290" s="34" t="s">
        <v>477</v>
      </c>
      <c r="F290" s="26" t="s">
        <v>980</v>
      </c>
      <c r="G290" s="35">
        <v>187.0</v>
      </c>
      <c r="H290" s="17" t="s">
        <v>413</v>
      </c>
      <c r="I290" s="17" t="s">
        <v>414</v>
      </c>
      <c r="J290" s="17" t="s">
        <v>415</v>
      </c>
      <c r="L290" s="26">
        <v>7.0</v>
      </c>
      <c r="M290" s="17" t="s">
        <v>417</v>
      </c>
      <c r="N290" s="17" t="s">
        <v>418</v>
      </c>
      <c r="O290" s="26">
        <v>1700.0</v>
      </c>
      <c r="P290" s="26">
        <v>-1.0</v>
      </c>
      <c r="Q290" s="17" t="s">
        <v>419</v>
      </c>
      <c r="R290" s="17" t="s">
        <v>420</v>
      </c>
      <c r="S290" s="17" t="s">
        <v>421</v>
      </c>
      <c r="T290" s="17" t="s">
        <v>422</v>
      </c>
      <c r="U290" s="17" t="s">
        <v>423</v>
      </c>
      <c r="V290" s="17" t="s">
        <v>916</v>
      </c>
      <c r="W290" s="17" t="s">
        <v>403</v>
      </c>
      <c r="X290" s="17" t="s">
        <v>581</v>
      </c>
      <c r="Y290" s="17" t="s">
        <v>438</v>
      </c>
      <c r="Z290" s="17" t="s">
        <v>1164</v>
      </c>
      <c r="AA290" s="17" t="s">
        <v>440</v>
      </c>
      <c r="AB290" s="17" t="s">
        <v>1814</v>
      </c>
      <c r="AC290" s="17" t="s">
        <v>520</v>
      </c>
      <c r="AD290" s="17" t="s">
        <v>805</v>
      </c>
      <c r="AE290" s="26">
        <v>500.0</v>
      </c>
      <c r="AF290" s="36">
        <v>58.197</v>
      </c>
      <c r="AG290" s="36">
        <v>69.728</v>
      </c>
      <c r="AH290" s="26" t="s">
        <v>1833</v>
      </c>
      <c r="AI290" s="26">
        <v>64418.0</v>
      </c>
      <c r="AJ290" s="26">
        <v>64418.0</v>
      </c>
      <c r="AK290" s="26" t="s">
        <v>777</v>
      </c>
      <c r="AL290" s="26">
        <v>459.0</v>
      </c>
      <c r="AM290" s="26">
        <v>1990.0</v>
      </c>
      <c r="AN290" s="32"/>
      <c r="AO290" s="32"/>
      <c r="AP290" s="17" t="s">
        <v>483</v>
      </c>
      <c r="AQ290" s="32"/>
      <c r="AR290" s="32"/>
      <c r="AS290" s="32"/>
      <c r="AT290" s="26">
        <v>193.0</v>
      </c>
      <c r="AU290" s="26" t="s">
        <v>1816</v>
      </c>
      <c r="AV290" s="35">
        <v>187.0</v>
      </c>
      <c r="AW290" s="26">
        <v>160.0</v>
      </c>
      <c r="AX290" s="26" t="s">
        <v>980</v>
      </c>
      <c r="AY290" s="26">
        <v>345.0</v>
      </c>
      <c r="AZ290" s="37">
        <v>45328.0</v>
      </c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</row>
    <row r="291">
      <c r="A291" s="20" t="s">
        <v>1834</v>
      </c>
      <c r="B291" s="20" t="s">
        <v>1778</v>
      </c>
      <c r="C291" s="17" t="s">
        <v>1835</v>
      </c>
      <c r="D291" s="17" t="s">
        <v>549</v>
      </c>
      <c r="E291" s="34" t="s">
        <v>436</v>
      </c>
      <c r="F291" s="26" t="s">
        <v>1836</v>
      </c>
      <c r="G291" s="35">
        <v>130.0</v>
      </c>
      <c r="H291" s="32"/>
      <c r="I291" s="17" t="s">
        <v>414</v>
      </c>
      <c r="J291" s="17" t="s">
        <v>415</v>
      </c>
      <c r="L291" s="26">
        <v>5.0</v>
      </c>
      <c r="M291" s="17" t="s">
        <v>417</v>
      </c>
      <c r="N291" s="17" t="s">
        <v>418</v>
      </c>
      <c r="O291" s="26">
        <v>1500.0</v>
      </c>
      <c r="P291" s="26">
        <v>5.0</v>
      </c>
      <c r="Q291" s="26">
        <v>5.0</v>
      </c>
      <c r="R291" s="17" t="s">
        <v>419</v>
      </c>
      <c r="S291" s="17" t="s">
        <v>420</v>
      </c>
      <c r="T291" s="17" t="s">
        <v>421</v>
      </c>
      <c r="U291" s="17" t="s">
        <v>423</v>
      </c>
      <c r="V291" s="17" t="s">
        <v>858</v>
      </c>
      <c r="W291" s="17" t="s">
        <v>403</v>
      </c>
      <c r="X291" s="17" t="s">
        <v>782</v>
      </c>
      <c r="Y291" s="17" t="s">
        <v>438</v>
      </c>
      <c r="Z291" s="17" t="s">
        <v>733</v>
      </c>
      <c r="AA291" s="17" t="s">
        <v>440</v>
      </c>
      <c r="AB291" s="17" t="s">
        <v>1837</v>
      </c>
      <c r="AC291" s="17" t="s">
        <v>428</v>
      </c>
      <c r="AD291" s="17" t="s">
        <v>1838</v>
      </c>
      <c r="AE291" s="26">
        <v>1120.0</v>
      </c>
      <c r="AF291" s="36">
        <v>61.6</v>
      </c>
      <c r="AG291" s="36">
        <v>63.188</v>
      </c>
      <c r="AH291" s="17" t="s">
        <v>463</v>
      </c>
      <c r="AI291" s="26">
        <v>62394.0</v>
      </c>
      <c r="AJ291" s="26">
        <v>62394.0</v>
      </c>
      <c r="AK291" s="26" t="s">
        <v>552</v>
      </c>
      <c r="AL291" s="26">
        <v>405.0</v>
      </c>
      <c r="AM291" s="26">
        <v>1825.0</v>
      </c>
      <c r="AN291" s="17" t="s">
        <v>465</v>
      </c>
      <c r="AO291" s="17" t="s">
        <v>422</v>
      </c>
      <c r="AP291" s="32"/>
      <c r="AQ291" s="32"/>
      <c r="AR291" s="32"/>
      <c r="AS291" s="32"/>
      <c r="AT291" s="26">
        <v>194.0</v>
      </c>
      <c r="AU291" s="26" t="s">
        <v>1839</v>
      </c>
      <c r="AV291" s="35">
        <v>130.0</v>
      </c>
      <c r="AW291" s="26">
        <v>200.0</v>
      </c>
      <c r="AX291" s="26" t="s">
        <v>1836</v>
      </c>
      <c r="AY291" s="26">
        <v>480.0</v>
      </c>
      <c r="AZ291" s="37">
        <v>45388.0</v>
      </c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  <c r="CE291" s="32"/>
      <c r="CF291" s="32"/>
      <c r="CG291" s="32"/>
    </row>
    <row r="292">
      <c r="A292" s="20" t="s">
        <v>1840</v>
      </c>
      <c r="B292" s="20" t="s">
        <v>1722</v>
      </c>
      <c r="C292" s="17" t="s">
        <v>1841</v>
      </c>
      <c r="D292" s="17" t="s">
        <v>835</v>
      </c>
      <c r="E292" s="34" t="s">
        <v>436</v>
      </c>
      <c r="F292" s="26">
        <v>94.0</v>
      </c>
      <c r="G292" s="35">
        <v>152.0</v>
      </c>
      <c r="H292" s="17" t="s">
        <v>413</v>
      </c>
      <c r="I292" s="17" t="s">
        <v>414</v>
      </c>
      <c r="J292" s="17" t="s">
        <v>415</v>
      </c>
      <c r="K292" s="17" t="s">
        <v>595</v>
      </c>
      <c r="L292" s="26">
        <v>5.0</v>
      </c>
      <c r="M292" s="17" t="s">
        <v>417</v>
      </c>
      <c r="N292" s="17" t="s">
        <v>418</v>
      </c>
      <c r="O292" s="26">
        <v>2000.0</v>
      </c>
      <c r="P292" s="26">
        <v>-1.0</v>
      </c>
      <c r="Q292" s="17" t="s">
        <v>419</v>
      </c>
      <c r="R292" s="17" t="s">
        <v>420</v>
      </c>
      <c r="S292" s="17" t="s">
        <v>421</v>
      </c>
      <c r="T292" s="17" t="s">
        <v>422</v>
      </c>
      <c r="U292" s="17" t="s">
        <v>423</v>
      </c>
      <c r="V292" s="17" t="s">
        <v>1249</v>
      </c>
      <c r="W292" s="17" t="s">
        <v>403</v>
      </c>
      <c r="X292" s="17" t="s">
        <v>782</v>
      </c>
      <c r="Y292" s="17" t="s">
        <v>438</v>
      </c>
      <c r="Z292" s="17" t="s">
        <v>620</v>
      </c>
      <c r="AA292" s="17" t="s">
        <v>440</v>
      </c>
      <c r="AB292" s="17" t="s">
        <v>1837</v>
      </c>
      <c r="AC292" s="17" t="s">
        <v>428</v>
      </c>
      <c r="AD292" s="17" t="s">
        <v>1354</v>
      </c>
      <c r="AE292" s="26">
        <v>650.0</v>
      </c>
      <c r="AF292" s="36">
        <v>71.2</v>
      </c>
      <c r="AG292" s="36">
        <v>72.8</v>
      </c>
      <c r="AH292" s="26" t="s">
        <v>1842</v>
      </c>
      <c r="AI292" s="26">
        <v>73679.0</v>
      </c>
      <c r="AJ292" s="26">
        <v>73679.0</v>
      </c>
      <c r="AK292" s="26" t="s">
        <v>777</v>
      </c>
      <c r="AL292" s="26">
        <v>407.0</v>
      </c>
      <c r="AM292" s="26">
        <v>1842.0</v>
      </c>
      <c r="AN292" s="17" t="s">
        <v>465</v>
      </c>
      <c r="AO292" s="32"/>
      <c r="AP292" s="32"/>
      <c r="AQ292" s="32"/>
      <c r="AR292" s="32"/>
      <c r="AS292" s="32"/>
      <c r="AT292" s="26">
        <v>194.0</v>
      </c>
      <c r="AU292" s="26" t="s">
        <v>1839</v>
      </c>
      <c r="AV292" s="35">
        <v>152.0</v>
      </c>
      <c r="AW292" s="26">
        <v>200.0</v>
      </c>
      <c r="AX292" s="26">
        <v>94.0</v>
      </c>
      <c r="AY292" s="26">
        <v>485.0</v>
      </c>
      <c r="AZ292" s="37">
        <v>45507.0</v>
      </c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  <c r="CF292" s="32"/>
      <c r="CG292" s="32"/>
    </row>
    <row r="293">
      <c r="A293" s="20" t="s">
        <v>1843</v>
      </c>
      <c r="B293" s="20" t="s">
        <v>1782</v>
      </c>
      <c r="C293" s="17" t="s">
        <v>1844</v>
      </c>
      <c r="D293" s="17" t="s">
        <v>435</v>
      </c>
      <c r="E293" s="34" t="s">
        <v>477</v>
      </c>
      <c r="F293" s="26" t="s">
        <v>1845</v>
      </c>
      <c r="G293" s="35">
        <v>106.0</v>
      </c>
      <c r="H293" s="32"/>
      <c r="I293" s="17" t="s">
        <v>414</v>
      </c>
      <c r="J293" s="17" t="s">
        <v>415</v>
      </c>
      <c r="L293" s="26">
        <v>5.0</v>
      </c>
      <c r="M293" s="17" t="s">
        <v>417</v>
      </c>
      <c r="N293" s="17" t="s">
        <v>418</v>
      </c>
      <c r="O293" s="26">
        <v>1200.0</v>
      </c>
      <c r="P293" s="26">
        <v>-1.0</v>
      </c>
      <c r="Q293" s="17" t="s">
        <v>419</v>
      </c>
      <c r="R293" s="17" t="s">
        <v>420</v>
      </c>
      <c r="S293" s="17" t="s">
        <v>421</v>
      </c>
      <c r="T293" s="17" t="s">
        <v>422</v>
      </c>
      <c r="U293" s="17" t="s">
        <v>423</v>
      </c>
      <c r="V293" s="17" t="s">
        <v>625</v>
      </c>
      <c r="W293" s="17" t="s">
        <v>403</v>
      </c>
      <c r="X293" s="17" t="s">
        <v>589</v>
      </c>
      <c r="Y293" s="17" t="s">
        <v>438</v>
      </c>
      <c r="Z293" s="17" t="s">
        <v>1465</v>
      </c>
      <c r="AA293" s="17" t="s">
        <v>440</v>
      </c>
      <c r="AB293" s="17" t="s">
        <v>1837</v>
      </c>
      <c r="AC293" s="17" t="s">
        <v>428</v>
      </c>
      <c r="AD293" s="17" t="s">
        <v>1354</v>
      </c>
      <c r="AE293" s="26">
        <v>650.0</v>
      </c>
      <c r="AF293" s="36">
        <v>52.75</v>
      </c>
      <c r="AG293" s="36">
        <v>49.915</v>
      </c>
      <c r="AH293" s="26" t="s">
        <v>1846</v>
      </c>
      <c r="AI293" s="26">
        <v>52870.0</v>
      </c>
      <c r="AJ293" s="26">
        <v>52870.0</v>
      </c>
      <c r="AK293" s="26" t="s">
        <v>444</v>
      </c>
      <c r="AL293" s="26">
        <v>1053.0</v>
      </c>
      <c r="AM293" s="26">
        <v>2005.0</v>
      </c>
      <c r="AN293" s="17" t="s">
        <v>465</v>
      </c>
      <c r="AO293" s="32"/>
      <c r="AP293" s="17" t="s">
        <v>483</v>
      </c>
      <c r="AQ293" s="32"/>
      <c r="AR293" s="32"/>
      <c r="AS293" s="32"/>
      <c r="AT293" s="26">
        <v>194.0</v>
      </c>
      <c r="AU293" s="26" t="s">
        <v>1839</v>
      </c>
      <c r="AV293" s="35">
        <v>106.0</v>
      </c>
      <c r="AW293" s="26">
        <v>170.0</v>
      </c>
      <c r="AX293" s="26" t="s">
        <v>1845</v>
      </c>
      <c r="AY293" s="26">
        <v>500.0</v>
      </c>
      <c r="AZ293" s="37">
        <v>45481.0</v>
      </c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  <c r="CD293" s="32"/>
      <c r="CE293" s="32"/>
      <c r="CF293" s="32"/>
      <c r="CG293" s="32"/>
    </row>
    <row r="294">
      <c r="A294" s="20" t="s">
        <v>1847</v>
      </c>
      <c r="B294" s="20" t="s">
        <v>1848</v>
      </c>
      <c r="C294" s="17" t="s">
        <v>1849</v>
      </c>
      <c r="D294" s="17" t="s">
        <v>781</v>
      </c>
      <c r="E294" s="34" t="s">
        <v>477</v>
      </c>
      <c r="F294" s="26">
        <v>67.0</v>
      </c>
      <c r="G294" s="35">
        <v>144.0</v>
      </c>
      <c r="H294" s="17" t="s">
        <v>413</v>
      </c>
      <c r="I294" s="17" t="s">
        <v>414</v>
      </c>
      <c r="J294" s="17" t="s">
        <v>415</v>
      </c>
      <c r="L294" s="26">
        <v>5.0</v>
      </c>
      <c r="M294" s="17" t="s">
        <v>417</v>
      </c>
      <c r="N294" s="17" t="s">
        <v>418</v>
      </c>
      <c r="O294" s="26">
        <v>1500.0</v>
      </c>
      <c r="P294" s="26">
        <v>-1.0</v>
      </c>
      <c r="Q294" s="17" t="s">
        <v>419</v>
      </c>
      <c r="R294" s="17" t="s">
        <v>420</v>
      </c>
      <c r="S294" s="17" t="s">
        <v>421</v>
      </c>
      <c r="T294" s="17" t="s">
        <v>422</v>
      </c>
      <c r="U294" s="17" t="s">
        <v>423</v>
      </c>
      <c r="V294" s="17" t="s">
        <v>772</v>
      </c>
      <c r="W294" s="17" t="s">
        <v>403</v>
      </c>
      <c r="X294" s="17" t="s">
        <v>493</v>
      </c>
      <c r="Y294" s="17" t="s">
        <v>438</v>
      </c>
      <c r="Z294" s="17" t="s">
        <v>1164</v>
      </c>
      <c r="AA294" s="17" t="s">
        <v>440</v>
      </c>
      <c r="AB294" s="17" t="s">
        <v>1837</v>
      </c>
      <c r="AC294" s="17" t="s">
        <v>428</v>
      </c>
      <c r="AD294" s="17" t="s">
        <v>662</v>
      </c>
      <c r="AE294" s="26">
        <v>530.0</v>
      </c>
      <c r="AF294" s="36">
        <v>49.99</v>
      </c>
      <c r="AG294" s="36">
        <v>45.995</v>
      </c>
      <c r="AH294" s="26" t="s">
        <v>1850</v>
      </c>
      <c r="AI294" s="26">
        <v>49611.0</v>
      </c>
      <c r="AJ294" s="26">
        <v>49611.0</v>
      </c>
      <c r="AK294" s="26" t="s">
        <v>495</v>
      </c>
      <c r="AL294" s="26">
        <v>394.0</v>
      </c>
      <c r="AM294" s="26">
        <v>2120.0</v>
      </c>
      <c r="AN294" s="32"/>
      <c r="AO294" s="32"/>
      <c r="AP294" s="17" t="s">
        <v>483</v>
      </c>
      <c r="AQ294" s="32"/>
      <c r="AR294" s="32"/>
      <c r="AS294" s="32"/>
      <c r="AT294" s="26">
        <v>194.0</v>
      </c>
      <c r="AU294" s="26" t="s">
        <v>1839</v>
      </c>
      <c r="AV294" s="35">
        <v>144.0</v>
      </c>
      <c r="AW294" s="26">
        <v>180.0</v>
      </c>
      <c r="AX294" s="26">
        <v>67.0</v>
      </c>
      <c r="AY294" s="26">
        <v>345.0</v>
      </c>
      <c r="AZ294" s="37">
        <v>45358.0</v>
      </c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  <c r="CE294" s="32"/>
      <c r="CF294" s="32"/>
      <c r="CG294" s="32"/>
    </row>
    <row r="295">
      <c r="A295" s="20" t="s">
        <v>1851</v>
      </c>
      <c r="B295" s="20" t="s">
        <v>1798</v>
      </c>
      <c r="C295" s="17" t="s">
        <v>1852</v>
      </c>
      <c r="D295" s="17" t="s">
        <v>793</v>
      </c>
      <c r="E295" s="34" t="s">
        <v>477</v>
      </c>
      <c r="F295" s="26" t="s">
        <v>685</v>
      </c>
      <c r="G295" s="35">
        <v>145.0</v>
      </c>
      <c r="H295" s="17" t="s">
        <v>413</v>
      </c>
      <c r="I295" s="17" t="s">
        <v>414</v>
      </c>
      <c r="J295" s="17" t="s">
        <v>415</v>
      </c>
      <c r="L295" s="26">
        <v>5.0</v>
      </c>
      <c r="M295" s="17" t="s">
        <v>417</v>
      </c>
      <c r="N295" s="17" t="s">
        <v>418</v>
      </c>
      <c r="O295" s="26">
        <v>2000.0</v>
      </c>
      <c r="P295" s="26">
        <v>5.0</v>
      </c>
      <c r="Q295" s="26">
        <v>5.0</v>
      </c>
      <c r="R295" s="17" t="s">
        <v>419</v>
      </c>
      <c r="S295" s="17" t="s">
        <v>420</v>
      </c>
      <c r="T295" s="17" t="s">
        <v>421</v>
      </c>
      <c r="U295" s="17" t="s">
        <v>423</v>
      </c>
      <c r="V295" s="17" t="s">
        <v>759</v>
      </c>
      <c r="W295" s="17" t="s">
        <v>403</v>
      </c>
      <c r="X295" s="17" t="s">
        <v>619</v>
      </c>
      <c r="Y295" s="17" t="s">
        <v>438</v>
      </c>
      <c r="Z295" s="17" t="s">
        <v>519</v>
      </c>
      <c r="AA295" s="17" t="s">
        <v>440</v>
      </c>
      <c r="AB295" s="17" t="s">
        <v>1837</v>
      </c>
      <c r="AC295" s="17" t="s">
        <v>428</v>
      </c>
      <c r="AD295" s="17" t="s">
        <v>1853</v>
      </c>
      <c r="AE295" s="26">
        <v>930.0</v>
      </c>
      <c r="AF295" s="36">
        <v>68.8</v>
      </c>
      <c r="AG295" s="36">
        <v>71.95</v>
      </c>
      <c r="AH295" s="26" t="s">
        <v>1854</v>
      </c>
      <c r="AI295" s="26">
        <v>71248.0</v>
      </c>
      <c r="AJ295" s="26">
        <v>71248.0</v>
      </c>
      <c r="AK295" s="26" t="s">
        <v>495</v>
      </c>
      <c r="AL295" s="26">
        <v>363.0</v>
      </c>
      <c r="AM295" s="26">
        <v>2215.0</v>
      </c>
      <c r="AN295" s="32"/>
      <c r="AO295" s="17" t="s">
        <v>422</v>
      </c>
      <c r="AP295" s="32"/>
      <c r="AQ295" s="32"/>
      <c r="AR295" s="32"/>
      <c r="AS295" s="32"/>
      <c r="AT295" s="26">
        <v>194.0</v>
      </c>
      <c r="AU295" s="26" t="s">
        <v>1839</v>
      </c>
      <c r="AV295" s="35">
        <v>145.0</v>
      </c>
      <c r="AW295" s="26">
        <v>210.0</v>
      </c>
      <c r="AX295" s="26" t="s">
        <v>685</v>
      </c>
      <c r="AY295" s="26">
        <v>490.0</v>
      </c>
      <c r="AZ295" s="37">
        <v>45449.0</v>
      </c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  <c r="CE295" s="32"/>
      <c r="CF295" s="32"/>
      <c r="CG295" s="32"/>
    </row>
    <row r="296">
      <c r="A296" s="20" t="s">
        <v>1855</v>
      </c>
      <c r="B296" s="20" t="s">
        <v>1576</v>
      </c>
      <c r="C296" s="17" t="s">
        <v>1856</v>
      </c>
      <c r="D296" s="17" t="s">
        <v>1012</v>
      </c>
      <c r="E296" s="34" t="s">
        <v>477</v>
      </c>
      <c r="F296" s="26" t="s">
        <v>1857</v>
      </c>
      <c r="G296" s="35">
        <v>124.0</v>
      </c>
      <c r="H296" s="32"/>
      <c r="I296" s="17" t="s">
        <v>414</v>
      </c>
      <c r="J296" s="17" t="s">
        <v>415</v>
      </c>
      <c r="K296" s="17" t="s">
        <v>416</v>
      </c>
      <c r="L296" s="26">
        <v>5.0</v>
      </c>
      <c r="M296" s="17" t="s">
        <v>417</v>
      </c>
      <c r="N296" s="32"/>
      <c r="O296" s="32"/>
      <c r="P296" s="26">
        <v>-1.0</v>
      </c>
      <c r="Q296" s="17" t="s">
        <v>419</v>
      </c>
      <c r="R296" s="17" t="s">
        <v>420</v>
      </c>
      <c r="S296" s="17" t="s">
        <v>421</v>
      </c>
      <c r="T296" s="17" t="s">
        <v>422</v>
      </c>
      <c r="U296" s="17" t="s">
        <v>423</v>
      </c>
      <c r="V296" s="17" t="s">
        <v>1265</v>
      </c>
      <c r="W296" s="17" t="s">
        <v>403</v>
      </c>
      <c r="X296" s="17" t="s">
        <v>493</v>
      </c>
      <c r="Y296" s="17" t="s">
        <v>438</v>
      </c>
      <c r="Z296" s="17" t="s">
        <v>598</v>
      </c>
      <c r="AA296" s="17" t="s">
        <v>440</v>
      </c>
      <c r="AB296" s="17" t="s">
        <v>1837</v>
      </c>
      <c r="AC296" s="17" t="s">
        <v>428</v>
      </c>
      <c r="AD296" s="17" t="s">
        <v>694</v>
      </c>
      <c r="AE296" s="26">
        <v>390.0</v>
      </c>
      <c r="AF296" s="36">
        <v>53.49</v>
      </c>
      <c r="AG296" s="17" t="s">
        <v>463</v>
      </c>
      <c r="AH296" s="17" t="s">
        <v>463</v>
      </c>
      <c r="AI296" s="26">
        <v>53490.0</v>
      </c>
      <c r="AJ296" s="26">
        <v>53490.0</v>
      </c>
      <c r="AK296" s="26" t="s">
        <v>567</v>
      </c>
      <c r="AL296" s="26">
        <v>116.0</v>
      </c>
      <c r="AM296" s="26">
        <v>2247.0</v>
      </c>
      <c r="AN296" s="32"/>
      <c r="AO296" s="32"/>
      <c r="AP296" s="32"/>
      <c r="AQ296" s="32"/>
      <c r="AR296" s="32"/>
      <c r="AS296" s="32"/>
      <c r="AT296" s="26">
        <v>194.0</v>
      </c>
      <c r="AU296" s="26" t="s">
        <v>1839</v>
      </c>
      <c r="AV296" s="35">
        <v>124.0</v>
      </c>
      <c r="AW296" s="26">
        <v>180.0</v>
      </c>
      <c r="AX296" s="26" t="s">
        <v>1857</v>
      </c>
      <c r="AY296" s="26">
        <v>430.0</v>
      </c>
      <c r="AZ296" s="37">
        <v>45416.0</v>
      </c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32"/>
      <c r="CD296" s="32"/>
      <c r="CE296" s="32"/>
      <c r="CF296" s="32"/>
      <c r="CG296" s="32"/>
    </row>
    <row r="297">
      <c r="A297" s="20" t="s">
        <v>1858</v>
      </c>
      <c r="B297" s="20" t="s">
        <v>1713</v>
      </c>
      <c r="C297" s="17" t="s">
        <v>1859</v>
      </c>
      <c r="D297" s="17" t="s">
        <v>951</v>
      </c>
      <c r="E297" s="34" t="s">
        <v>436</v>
      </c>
      <c r="F297" s="26">
        <v>74.0</v>
      </c>
      <c r="G297" s="35">
        <v>171.0</v>
      </c>
      <c r="H297" s="32"/>
      <c r="I297" s="17" t="s">
        <v>414</v>
      </c>
      <c r="J297" s="17" t="s">
        <v>415</v>
      </c>
      <c r="L297" s="26">
        <v>5.0</v>
      </c>
      <c r="M297" s="32"/>
      <c r="N297" s="17" t="s">
        <v>418</v>
      </c>
      <c r="O297" s="26">
        <v>1600.0</v>
      </c>
      <c r="P297" s="26">
        <v>5.0</v>
      </c>
      <c r="Q297" s="26">
        <v>5.0</v>
      </c>
      <c r="R297" s="17" t="s">
        <v>419</v>
      </c>
      <c r="S297" s="17" t="s">
        <v>420</v>
      </c>
      <c r="T297" s="17" t="s">
        <v>421</v>
      </c>
      <c r="U297" s="17" t="s">
        <v>423</v>
      </c>
      <c r="V297" s="17" t="s">
        <v>927</v>
      </c>
      <c r="W297" s="17" t="s">
        <v>403</v>
      </c>
      <c r="X297" s="17" t="s">
        <v>782</v>
      </c>
      <c r="Y297" s="17" t="s">
        <v>438</v>
      </c>
      <c r="Z297" s="17" t="s">
        <v>661</v>
      </c>
      <c r="AA297" s="17" t="s">
        <v>440</v>
      </c>
      <c r="AB297" s="17" t="s">
        <v>1860</v>
      </c>
      <c r="AC297" s="17" t="s">
        <v>428</v>
      </c>
      <c r="AD297" s="17" t="s">
        <v>1805</v>
      </c>
      <c r="AE297" s="26">
        <v>990.0</v>
      </c>
      <c r="AF297" s="36">
        <v>63.2</v>
      </c>
      <c r="AG297" s="17" t="s">
        <v>463</v>
      </c>
      <c r="AH297" s="26" t="s">
        <v>1861</v>
      </c>
      <c r="AI297" s="26">
        <v>65159.0</v>
      </c>
      <c r="AJ297" s="26">
        <v>65159.0</v>
      </c>
      <c r="AK297" s="26" t="s">
        <v>537</v>
      </c>
      <c r="AL297" s="26">
        <v>108.0</v>
      </c>
      <c r="AM297" s="26">
        <v>1648.0</v>
      </c>
      <c r="AN297" s="17" t="s">
        <v>465</v>
      </c>
      <c r="AO297" s="17" t="s">
        <v>422</v>
      </c>
      <c r="AP297" s="17" t="s">
        <v>483</v>
      </c>
      <c r="AQ297" s="32"/>
      <c r="AR297" s="32"/>
      <c r="AS297" s="32"/>
      <c r="AT297" s="26">
        <v>195.0</v>
      </c>
      <c r="AU297" s="26" t="s">
        <v>1862</v>
      </c>
      <c r="AV297" s="35">
        <v>171.0</v>
      </c>
      <c r="AW297" s="26">
        <v>200.0</v>
      </c>
      <c r="AX297" s="26">
        <v>74.0</v>
      </c>
      <c r="AY297" s="26">
        <v>380.0</v>
      </c>
      <c r="AZ297" s="37">
        <v>45417.0</v>
      </c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  <c r="CC297" s="32"/>
      <c r="CD297" s="32"/>
      <c r="CE297" s="32"/>
      <c r="CF297" s="32"/>
      <c r="CG297" s="32"/>
    </row>
    <row r="298">
      <c r="A298" s="20" t="s">
        <v>1863</v>
      </c>
      <c r="B298" s="20" t="s">
        <v>1525</v>
      </c>
      <c r="C298" s="17" t="s">
        <v>1864</v>
      </c>
      <c r="D298" s="17" t="s">
        <v>410</v>
      </c>
      <c r="E298" s="34" t="s">
        <v>550</v>
      </c>
      <c r="F298" s="26">
        <v>77.0</v>
      </c>
      <c r="G298" s="35">
        <v>145.0</v>
      </c>
      <c r="H298" s="17" t="s">
        <v>413</v>
      </c>
      <c r="I298" s="17" t="s">
        <v>414</v>
      </c>
      <c r="J298" s="17" t="s">
        <v>415</v>
      </c>
      <c r="L298" s="26">
        <v>5.0</v>
      </c>
      <c r="M298" s="17" t="s">
        <v>417</v>
      </c>
      <c r="N298" s="17" t="s">
        <v>418</v>
      </c>
      <c r="O298" s="26">
        <v>1200.0</v>
      </c>
      <c r="P298" s="26">
        <v>5.0</v>
      </c>
      <c r="Q298" s="26">
        <v>5.0</v>
      </c>
      <c r="R298" s="17" t="s">
        <v>419</v>
      </c>
      <c r="S298" s="17" t="s">
        <v>420</v>
      </c>
      <c r="T298" s="17" t="s">
        <v>421</v>
      </c>
      <c r="U298" s="17" t="s">
        <v>423</v>
      </c>
      <c r="V298" s="17" t="s">
        <v>759</v>
      </c>
      <c r="W298" s="17" t="s">
        <v>403</v>
      </c>
      <c r="X298" s="17" t="s">
        <v>493</v>
      </c>
      <c r="Y298" s="17" t="s">
        <v>404</v>
      </c>
      <c r="Z298" s="17" t="s">
        <v>838</v>
      </c>
      <c r="AA298" s="17" t="s">
        <v>401</v>
      </c>
      <c r="AB298" s="17" t="s">
        <v>1860</v>
      </c>
      <c r="AC298" s="17" t="s">
        <v>428</v>
      </c>
      <c r="AD298" s="17" t="s">
        <v>1275</v>
      </c>
      <c r="AE298" s="26">
        <v>590.0</v>
      </c>
      <c r="AF298" s="36">
        <v>54.95</v>
      </c>
      <c r="AG298" s="36">
        <v>56.865</v>
      </c>
      <c r="AH298" s="26" t="s">
        <v>1865</v>
      </c>
      <c r="AI298" s="26">
        <v>57272.0</v>
      </c>
      <c r="AJ298" s="26">
        <v>57272.0</v>
      </c>
      <c r="AK298" s="26" t="s">
        <v>431</v>
      </c>
      <c r="AL298" s="26">
        <v>200.0</v>
      </c>
      <c r="AM298" s="26">
        <v>2014.0</v>
      </c>
      <c r="AN298" s="32"/>
      <c r="AO298" s="17" t="s">
        <v>422</v>
      </c>
      <c r="AP298" s="17" t="s">
        <v>483</v>
      </c>
      <c r="AQ298" s="32"/>
      <c r="AR298" s="32"/>
      <c r="AS298" s="32"/>
      <c r="AT298" s="26">
        <v>195.0</v>
      </c>
      <c r="AU298" s="26" t="s">
        <v>1862</v>
      </c>
      <c r="AV298" s="35">
        <v>145.0</v>
      </c>
      <c r="AW298" s="26">
        <v>180.0</v>
      </c>
      <c r="AX298" s="26">
        <v>77.0</v>
      </c>
      <c r="AY298" s="26">
        <v>395.0</v>
      </c>
      <c r="AZ298" s="37">
        <v>45449.0</v>
      </c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  <c r="CC298" s="32"/>
      <c r="CD298" s="32"/>
      <c r="CE298" s="32"/>
      <c r="CF298" s="32"/>
      <c r="CG298" s="32"/>
    </row>
    <row r="299">
      <c r="A299" s="20" t="s">
        <v>1866</v>
      </c>
      <c r="B299" s="20" t="s">
        <v>1525</v>
      </c>
      <c r="C299" s="17" t="s">
        <v>1867</v>
      </c>
      <c r="D299" s="17" t="s">
        <v>410</v>
      </c>
      <c r="E299" s="34" t="s">
        <v>477</v>
      </c>
      <c r="F299" s="26">
        <v>77.0</v>
      </c>
      <c r="G299" s="35">
        <v>160.0</v>
      </c>
      <c r="H299" s="17" t="s">
        <v>413</v>
      </c>
      <c r="I299" s="17" t="s">
        <v>414</v>
      </c>
      <c r="J299" s="17" t="s">
        <v>415</v>
      </c>
      <c r="L299" s="26">
        <v>5.0</v>
      </c>
      <c r="M299" s="17" t="s">
        <v>417</v>
      </c>
      <c r="N299" s="17" t="s">
        <v>418</v>
      </c>
      <c r="O299" s="26">
        <v>1200.0</v>
      </c>
      <c r="P299" s="26">
        <v>5.0</v>
      </c>
      <c r="Q299" s="26">
        <v>5.0</v>
      </c>
      <c r="R299" s="17" t="s">
        <v>419</v>
      </c>
      <c r="S299" s="17" t="s">
        <v>420</v>
      </c>
      <c r="T299" s="17" t="s">
        <v>421</v>
      </c>
      <c r="U299" s="17" t="s">
        <v>423</v>
      </c>
      <c r="V299" s="17" t="s">
        <v>686</v>
      </c>
      <c r="W299" s="17" t="s">
        <v>403</v>
      </c>
      <c r="X299" s="17" t="s">
        <v>493</v>
      </c>
      <c r="Y299" s="17" t="s">
        <v>438</v>
      </c>
      <c r="Z299" s="17" t="s">
        <v>838</v>
      </c>
      <c r="AA299" s="17" t="s">
        <v>440</v>
      </c>
      <c r="AB299" s="17" t="s">
        <v>1860</v>
      </c>
      <c r="AC299" s="17" t="s">
        <v>428</v>
      </c>
      <c r="AD299" s="17" t="s">
        <v>1275</v>
      </c>
      <c r="AE299" s="26">
        <v>590.0</v>
      </c>
      <c r="AF299" s="36">
        <v>59.0</v>
      </c>
      <c r="AG299" s="36">
        <v>64.615</v>
      </c>
      <c r="AH299" s="26" t="s">
        <v>1868</v>
      </c>
      <c r="AI299" s="26">
        <v>63102.0</v>
      </c>
      <c r="AJ299" s="26">
        <v>63102.0</v>
      </c>
      <c r="AK299" s="26" t="s">
        <v>431</v>
      </c>
      <c r="AL299" s="26">
        <v>309.0</v>
      </c>
      <c r="AM299" s="26">
        <v>2015.0</v>
      </c>
      <c r="AN299" s="32"/>
      <c r="AO299" s="17" t="s">
        <v>422</v>
      </c>
      <c r="AP299" s="17" t="s">
        <v>483</v>
      </c>
      <c r="AQ299" s="32"/>
      <c r="AR299" s="32"/>
      <c r="AS299" s="32"/>
      <c r="AT299" s="26">
        <v>195.0</v>
      </c>
      <c r="AU299" s="26" t="s">
        <v>1862</v>
      </c>
      <c r="AV299" s="35">
        <v>160.0</v>
      </c>
      <c r="AW299" s="26">
        <v>180.0</v>
      </c>
      <c r="AX299" s="26">
        <v>77.0</v>
      </c>
      <c r="AY299" s="26">
        <v>395.0</v>
      </c>
      <c r="AZ299" s="37">
        <v>45387.0</v>
      </c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  <c r="CC299" s="32"/>
      <c r="CD299" s="32"/>
      <c r="CE299" s="32"/>
      <c r="CF299" s="32"/>
      <c r="CG299" s="32"/>
    </row>
    <row r="300">
      <c r="A300" s="20" t="s">
        <v>1869</v>
      </c>
      <c r="B300" s="20" t="s">
        <v>1870</v>
      </c>
      <c r="C300" s="17" t="s">
        <v>1871</v>
      </c>
      <c r="D300" s="17" t="s">
        <v>487</v>
      </c>
      <c r="E300" s="34" t="s">
        <v>411</v>
      </c>
      <c r="F300" s="26">
        <v>72.0</v>
      </c>
      <c r="G300" s="35">
        <v>123.0</v>
      </c>
      <c r="H300" s="17" t="s">
        <v>413</v>
      </c>
      <c r="I300" s="17" t="s">
        <v>414</v>
      </c>
      <c r="J300" s="17" t="s">
        <v>415</v>
      </c>
      <c r="L300" s="26">
        <v>5.0</v>
      </c>
      <c r="M300" s="17" t="s">
        <v>417</v>
      </c>
      <c r="N300" s="17" t="s">
        <v>418</v>
      </c>
      <c r="O300" s="26">
        <v>1500.0</v>
      </c>
      <c r="P300" s="26">
        <v>-1.0</v>
      </c>
      <c r="Q300" s="17" t="s">
        <v>419</v>
      </c>
      <c r="R300" s="17" t="s">
        <v>420</v>
      </c>
      <c r="S300" s="17" t="s">
        <v>421</v>
      </c>
      <c r="T300" s="17" t="s">
        <v>422</v>
      </c>
      <c r="U300" s="17" t="s">
        <v>423</v>
      </c>
      <c r="V300" s="17" t="s">
        <v>508</v>
      </c>
      <c r="W300" s="17" t="s">
        <v>403</v>
      </c>
      <c r="X300" s="17" t="s">
        <v>1588</v>
      </c>
      <c r="Y300" s="17" t="s">
        <v>404</v>
      </c>
      <c r="Z300" s="17" t="s">
        <v>1195</v>
      </c>
      <c r="AA300" s="17" t="s">
        <v>401</v>
      </c>
      <c r="AB300" s="17" t="s">
        <v>1860</v>
      </c>
      <c r="AC300" s="17" t="s">
        <v>428</v>
      </c>
      <c r="AD300" s="17" t="s">
        <v>583</v>
      </c>
      <c r="AE300" s="26">
        <v>420.0</v>
      </c>
      <c r="AF300" s="36">
        <v>43.99</v>
      </c>
      <c r="AG300" s="36">
        <v>41.25</v>
      </c>
      <c r="AH300" s="26" t="s">
        <v>1872</v>
      </c>
      <c r="AI300" s="26">
        <v>45469.0</v>
      </c>
      <c r="AJ300" s="26">
        <v>45469.0</v>
      </c>
      <c r="AK300" s="26" t="s">
        <v>495</v>
      </c>
      <c r="AL300" s="26">
        <v>1129.0</v>
      </c>
      <c r="AM300" s="26">
        <v>2189.0</v>
      </c>
      <c r="AN300" s="17" t="s">
        <v>465</v>
      </c>
      <c r="AO300" s="32"/>
      <c r="AP300" s="17" t="s">
        <v>483</v>
      </c>
      <c r="AQ300" s="32"/>
      <c r="AR300" s="32"/>
      <c r="AS300" s="32"/>
      <c r="AT300" s="26">
        <v>195.0</v>
      </c>
      <c r="AU300" s="26" t="s">
        <v>1862</v>
      </c>
      <c r="AV300" s="35">
        <v>123.0</v>
      </c>
      <c r="AW300" s="26">
        <v>175.0</v>
      </c>
      <c r="AX300" s="26">
        <v>72.0</v>
      </c>
      <c r="AY300" s="26">
        <v>370.0</v>
      </c>
      <c r="AZ300" s="37">
        <v>45299.0</v>
      </c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2"/>
      <c r="CD300" s="32"/>
      <c r="CE300" s="32"/>
      <c r="CF300" s="32"/>
      <c r="CG300" s="32"/>
    </row>
    <row r="301">
      <c r="A301" s="20" t="s">
        <v>1873</v>
      </c>
      <c r="B301" s="20" t="s">
        <v>1874</v>
      </c>
      <c r="C301" s="17" t="s">
        <v>1875</v>
      </c>
      <c r="D301" s="17" t="s">
        <v>457</v>
      </c>
      <c r="E301" s="34" t="s">
        <v>436</v>
      </c>
      <c r="F301" s="26">
        <v>95.0</v>
      </c>
      <c r="G301" s="35">
        <v>220.0</v>
      </c>
      <c r="H301" s="32"/>
      <c r="I301" s="17" t="s">
        <v>414</v>
      </c>
      <c r="J301" s="17" t="s">
        <v>415</v>
      </c>
      <c r="L301" s="26">
        <v>7.0</v>
      </c>
      <c r="M301" s="17" t="s">
        <v>417</v>
      </c>
      <c r="N301" s="17" t="s">
        <v>418</v>
      </c>
      <c r="O301" s="26">
        <v>2250.0</v>
      </c>
      <c r="P301" s="26">
        <v>-1.0</v>
      </c>
      <c r="Q301" s="17" t="s">
        <v>419</v>
      </c>
      <c r="R301" s="17" t="s">
        <v>420</v>
      </c>
      <c r="S301" s="17" t="s">
        <v>421</v>
      </c>
      <c r="T301" s="17" t="s">
        <v>422</v>
      </c>
      <c r="U301" s="17" t="s">
        <v>423</v>
      </c>
      <c r="V301" s="17" t="s">
        <v>1243</v>
      </c>
      <c r="W301" s="17" t="s">
        <v>403</v>
      </c>
      <c r="X301" s="17" t="s">
        <v>701</v>
      </c>
      <c r="Y301" s="17" t="s">
        <v>404</v>
      </c>
      <c r="Z301" s="17" t="s">
        <v>620</v>
      </c>
      <c r="AA301" s="17" t="s">
        <v>401</v>
      </c>
      <c r="AB301" s="17" t="s">
        <v>1876</v>
      </c>
      <c r="AC301" s="17" t="s">
        <v>520</v>
      </c>
      <c r="AD301" s="17" t="s">
        <v>1144</v>
      </c>
      <c r="AE301" s="26">
        <v>670.0</v>
      </c>
      <c r="AF301" s="36">
        <v>98.97</v>
      </c>
      <c r="AG301" s="36">
        <v>100.99</v>
      </c>
      <c r="AH301" s="17" t="s">
        <v>1877</v>
      </c>
      <c r="AI301" s="26">
        <v>100000.0</v>
      </c>
      <c r="AJ301" s="26">
        <v>106903.0</v>
      </c>
      <c r="AK301" s="26" t="s">
        <v>464</v>
      </c>
      <c r="AL301" s="26">
        <v>532.0</v>
      </c>
      <c r="AM301" s="26">
        <v>1407.0</v>
      </c>
      <c r="AN301" s="32"/>
      <c r="AO301" s="32"/>
      <c r="AP301" s="32"/>
      <c r="AQ301" s="32"/>
      <c r="AR301" s="32"/>
      <c r="AS301" s="32"/>
      <c r="AT301" s="26">
        <v>196.0</v>
      </c>
      <c r="AU301" s="37">
        <v>45570.0</v>
      </c>
      <c r="AV301" s="35">
        <v>220.0</v>
      </c>
      <c r="AW301" s="26">
        <v>250.0</v>
      </c>
      <c r="AX301" s="26">
        <v>95.0</v>
      </c>
      <c r="AY301" s="26">
        <v>485.0</v>
      </c>
      <c r="AZ301" s="37">
        <v>45538.0</v>
      </c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32"/>
      <c r="CD301" s="32"/>
      <c r="CE301" s="32"/>
      <c r="CF301" s="32"/>
      <c r="CG301" s="32"/>
    </row>
    <row r="302">
      <c r="A302" s="20" t="s">
        <v>1878</v>
      </c>
      <c r="B302" s="20" t="s">
        <v>1879</v>
      </c>
      <c r="C302" s="17" t="s">
        <v>1880</v>
      </c>
      <c r="D302" s="17" t="s">
        <v>700</v>
      </c>
      <c r="E302" s="34" t="s">
        <v>477</v>
      </c>
      <c r="F302" s="26" t="s">
        <v>1881</v>
      </c>
      <c r="G302" s="35">
        <v>227.0</v>
      </c>
      <c r="H302" s="32"/>
      <c r="I302" s="17" t="s">
        <v>414</v>
      </c>
      <c r="J302" s="17" t="s">
        <v>415</v>
      </c>
      <c r="K302" s="17" t="s">
        <v>416</v>
      </c>
      <c r="L302" s="26">
        <v>5.0</v>
      </c>
      <c r="M302" s="17" t="s">
        <v>417</v>
      </c>
      <c r="N302" s="32"/>
      <c r="O302" s="32"/>
      <c r="P302" s="26">
        <v>-1.0</v>
      </c>
      <c r="Q302" s="17" t="s">
        <v>419</v>
      </c>
      <c r="R302" s="17" t="s">
        <v>420</v>
      </c>
      <c r="S302" s="17" t="s">
        <v>421</v>
      </c>
      <c r="T302" s="17" t="s">
        <v>422</v>
      </c>
      <c r="U302" s="17" t="s">
        <v>423</v>
      </c>
      <c r="V302" s="17" t="s">
        <v>927</v>
      </c>
      <c r="W302" s="17" t="s">
        <v>403</v>
      </c>
      <c r="X302" s="17" t="s">
        <v>859</v>
      </c>
      <c r="Y302" s="17" t="s">
        <v>438</v>
      </c>
      <c r="Z302" s="17" t="s">
        <v>876</v>
      </c>
      <c r="AA302" s="17" t="s">
        <v>440</v>
      </c>
      <c r="AB302" s="17" t="s">
        <v>1876</v>
      </c>
      <c r="AC302" s="17" t="s">
        <v>428</v>
      </c>
      <c r="AD302" s="17" t="s">
        <v>462</v>
      </c>
      <c r="AE302" s="26">
        <v>780.0</v>
      </c>
      <c r="AF302" s="36">
        <v>115.7</v>
      </c>
      <c r="AG302" s="36">
        <v>122.463</v>
      </c>
      <c r="AH302" s="26" t="s">
        <v>1882</v>
      </c>
      <c r="AI302" s="26">
        <v>100000.0</v>
      </c>
      <c r="AJ302" s="26">
        <v>117799.0</v>
      </c>
      <c r="AK302" s="26" t="s">
        <v>552</v>
      </c>
      <c r="AL302" s="26">
        <v>289.0</v>
      </c>
      <c r="AM302" s="26">
        <v>1905.0</v>
      </c>
      <c r="AN302" s="32"/>
      <c r="AO302" s="32"/>
      <c r="AP302" s="32"/>
      <c r="AQ302" s="32"/>
      <c r="AR302" s="32"/>
      <c r="AS302" s="32"/>
      <c r="AT302" s="26">
        <v>196.0</v>
      </c>
      <c r="AU302" s="37">
        <v>45570.0</v>
      </c>
      <c r="AV302" s="35">
        <v>227.0</v>
      </c>
      <c r="AW302" s="26">
        <v>205.0</v>
      </c>
      <c r="AX302" s="26" t="s">
        <v>1881</v>
      </c>
      <c r="AY302" s="26">
        <v>520.0</v>
      </c>
      <c r="AZ302" s="37">
        <v>45417.0</v>
      </c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  <c r="CE302" s="32"/>
      <c r="CF302" s="32"/>
      <c r="CG302" s="32"/>
    </row>
    <row r="303">
      <c r="A303" s="20" t="s">
        <v>1883</v>
      </c>
      <c r="B303" s="20" t="s">
        <v>1884</v>
      </c>
      <c r="C303" s="17" t="s">
        <v>1885</v>
      </c>
      <c r="D303" s="17" t="s">
        <v>835</v>
      </c>
      <c r="E303" s="34" t="s">
        <v>477</v>
      </c>
      <c r="F303" s="26">
        <v>95.0</v>
      </c>
      <c r="G303" s="35">
        <v>174.0</v>
      </c>
      <c r="H303" s="17" t="s">
        <v>413</v>
      </c>
      <c r="I303" s="17" t="s">
        <v>414</v>
      </c>
      <c r="J303" s="17" t="s">
        <v>415</v>
      </c>
      <c r="L303" s="26">
        <v>5.0</v>
      </c>
      <c r="M303" s="17" t="s">
        <v>417</v>
      </c>
      <c r="N303" s="17" t="s">
        <v>418</v>
      </c>
      <c r="O303" s="26">
        <v>2000.0</v>
      </c>
      <c r="P303" s="26">
        <v>-1.0</v>
      </c>
      <c r="Q303" s="17" t="s">
        <v>419</v>
      </c>
      <c r="R303" s="17" t="s">
        <v>420</v>
      </c>
      <c r="S303" s="17" t="s">
        <v>421</v>
      </c>
      <c r="T303" s="17" t="s">
        <v>422</v>
      </c>
      <c r="U303" s="17" t="s">
        <v>423</v>
      </c>
      <c r="V303" s="17" t="s">
        <v>437</v>
      </c>
      <c r="W303" s="17" t="s">
        <v>403</v>
      </c>
      <c r="X303" s="17" t="s">
        <v>1652</v>
      </c>
      <c r="Y303" s="17" t="s">
        <v>438</v>
      </c>
      <c r="Z303" s="17" t="s">
        <v>620</v>
      </c>
      <c r="AA303" s="17" t="s">
        <v>440</v>
      </c>
      <c r="AB303" s="17" t="s">
        <v>1876</v>
      </c>
      <c r="AC303" s="17" t="s">
        <v>428</v>
      </c>
      <c r="AD303" s="17" t="s">
        <v>703</v>
      </c>
      <c r="AE303" s="26">
        <v>970.0</v>
      </c>
      <c r="AF303" s="36">
        <v>84.1</v>
      </c>
      <c r="AG303" s="36">
        <v>88.899</v>
      </c>
      <c r="AH303" s="26" t="s">
        <v>1886</v>
      </c>
      <c r="AI303" s="26">
        <v>84423.0</v>
      </c>
      <c r="AJ303" s="26">
        <v>84423.0</v>
      </c>
      <c r="AK303" s="26" t="s">
        <v>777</v>
      </c>
      <c r="AL303" s="26">
        <v>774.0</v>
      </c>
      <c r="AM303" s="26">
        <v>2084.0</v>
      </c>
      <c r="AN303" s="32"/>
      <c r="AO303" s="32"/>
      <c r="AP303" s="32"/>
      <c r="AQ303" s="32"/>
      <c r="AR303" s="32"/>
      <c r="AS303" s="32"/>
      <c r="AT303" s="26">
        <v>196.0</v>
      </c>
      <c r="AU303" s="37">
        <v>45570.0</v>
      </c>
      <c r="AV303" s="35">
        <v>174.0</v>
      </c>
      <c r="AW303" s="26">
        <v>220.0</v>
      </c>
      <c r="AX303" s="26">
        <v>95.0</v>
      </c>
      <c r="AY303" s="26">
        <v>485.0</v>
      </c>
      <c r="AZ303" s="37">
        <v>45327.0</v>
      </c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  <c r="CD303" s="32"/>
      <c r="CE303" s="32"/>
      <c r="CF303" s="32"/>
      <c r="CG303" s="32"/>
    </row>
    <row r="304">
      <c r="A304" s="20" t="s">
        <v>1887</v>
      </c>
      <c r="B304" s="20" t="s">
        <v>1737</v>
      </c>
      <c r="C304" s="17" t="s">
        <v>1888</v>
      </c>
      <c r="D304" s="17" t="s">
        <v>781</v>
      </c>
      <c r="E304" s="34" t="s">
        <v>477</v>
      </c>
      <c r="F304" s="26">
        <v>97.0</v>
      </c>
      <c r="G304" s="35">
        <v>348.0</v>
      </c>
      <c r="H304" s="17" t="s">
        <v>413</v>
      </c>
      <c r="I304" s="17" t="s">
        <v>414</v>
      </c>
      <c r="J304" s="17" t="s">
        <v>415</v>
      </c>
      <c r="L304" s="26">
        <v>5.0</v>
      </c>
      <c r="M304" s="17" t="s">
        <v>417</v>
      </c>
      <c r="N304" s="32"/>
      <c r="O304" s="32"/>
      <c r="P304" s="26">
        <v>-1.0</v>
      </c>
      <c r="Q304" s="17" t="s">
        <v>419</v>
      </c>
      <c r="R304" s="17" t="s">
        <v>420</v>
      </c>
      <c r="S304" s="17" t="s">
        <v>421</v>
      </c>
      <c r="T304" s="17" t="s">
        <v>422</v>
      </c>
      <c r="U304" s="17" t="s">
        <v>423</v>
      </c>
      <c r="V304" s="17" t="s">
        <v>1623</v>
      </c>
      <c r="W304" s="17" t="s">
        <v>403</v>
      </c>
      <c r="X304" s="17" t="s">
        <v>701</v>
      </c>
      <c r="Y304" s="17" t="s">
        <v>438</v>
      </c>
      <c r="Z304" s="17" t="s">
        <v>471</v>
      </c>
      <c r="AA304" s="17" t="s">
        <v>440</v>
      </c>
      <c r="AB304" s="17" t="s">
        <v>1876</v>
      </c>
      <c r="AC304" s="17" t="s">
        <v>428</v>
      </c>
      <c r="AD304" s="17" t="s">
        <v>960</v>
      </c>
      <c r="AE304" s="26">
        <v>1150.0</v>
      </c>
      <c r="AF304" s="36">
        <v>177.0</v>
      </c>
      <c r="AG304" s="36">
        <v>184.5</v>
      </c>
      <c r="AH304" s="26" t="s">
        <v>1889</v>
      </c>
      <c r="AI304" s="26">
        <v>100000.0</v>
      </c>
      <c r="AJ304" s="26">
        <v>172326.0</v>
      </c>
      <c r="AK304" s="26" t="s">
        <v>495</v>
      </c>
      <c r="AL304" s="26">
        <v>81.0</v>
      </c>
      <c r="AM304" s="26">
        <v>2112.0</v>
      </c>
      <c r="AN304" s="32"/>
      <c r="AO304" s="32"/>
      <c r="AP304" s="32"/>
      <c r="AQ304" s="32"/>
      <c r="AR304" s="32"/>
      <c r="AS304" s="32"/>
      <c r="AT304" s="26">
        <v>196.0</v>
      </c>
      <c r="AU304" s="37">
        <v>45570.0</v>
      </c>
      <c r="AV304" s="35">
        <v>348.0</v>
      </c>
      <c r="AW304" s="26">
        <v>250.0</v>
      </c>
      <c r="AX304" s="26">
        <v>97.0</v>
      </c>
      <c r="AY304" s="26">
        <v>495.0</v>
      </c>
      <c r="AZ304" s="37">
        <v>45506.0</v>
      </c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32"/>
      <c r="CD304" s="32"/>
      <c r="CE304" s="32"/>
      <c r="CF304" s="32"/>
      <c r="CG304" s="32"/>
    </row>
    <row r="305">
      <c r="A305" s="20" t="s">
        <v>1890</v>
      </c>
      <c r="B305" s="20" t="s">
        <v>1891</v>
      </c>
      <c r="C305" s="17" t="s">
        <v>1892</v>
      </c>
      <c r="D305" s="17" t="s">
        <v>781</v>
      </c>
      <c r="E305" s="34" t="s">
        <v>477</v>
      </c>
      <c r="F305" s="26" t="s">
        <v>1201</v>
      </c>
      <c r="G305" s="35">
        <v>263.0</v>
      </c>
      <c r="H305" s="17" t="s">
        <v>413</v>
      </c>
      <c r="I305" s="17" t="s">
        <v>414</v>
      </c>
      <c r="J305" s="17" t="s">
        <v>415</v>
      </c>
      <c r="L305" s="26">
        <v>5.0</v>
      </c>
      <c r="M305" s="17" t="s">
        <v>417</v>
      </c>
      <c r="N305" s="17" t="s">
        <v>418</v>
      </c>
      <c r="O305" s="26">
        <v>2000.0</v>
      </c>
      <c r="P305" s="26">
        <v>5.0</v>
      </c>
      <c r="Q305" s="26">
        <v>5.0</v>
      </c>
      <c r="R305" s="17" t="s">
        <v>419</v>
      </c>
      <c r="S305" s="17" t="s">
        <v>420</v>
      </c>
      <c r="T305" s="17" t="s">
        <v>421</v>
      </c>
      <c r="U305" s="17" t="s">
        <v>423</v>
      </c>
      <c r="V305" s="17" t="s">
        <v>1243</v>
      </c>
      <c r="W305" s="17" t="s">
        <v>403</v>
      </c>
      <c r="X305" s="17" t="s">
        <v>655</v>
      </c>
      <c r="Y305" s="17" t="s">
        <v>438</v>
      </c>
      <c r="Z305" s="17" t="s">
        <v>860</v>
      </c>
      <c r="AA305" s="17" t="s">
        <v>440</v>
      </c>
      <c r="AB305" s="17" t="s">
        <v>1876</v>
      </c>
      <c r="AC305" s="17" t="s">
        <v>428</v>
      </c>
      <c r="AD305" s="17" t="s">
        <v>1144</v>
      </c>
      <c r="AE305" s="26">
        <v>670.0</v>
      </c>
      <c r="AF305" s="36">
        <v>101.5</v>
      </c>
      <c r="AG305" s="36">
        <v>110.477</v>
      </c>
      <c r="AH305" s="26" t="s">
        <v>1893</v>
      </c>
      <c r="AI305" s="26">
        <v>100000.0</v>
      </c>
      <c r="AJ305" s="26">
        <v>108990.0</v>
      </c>
      <c r="AK305" s="26" t="s">
        <v>495</v>
      </c>
      <c r="AL305" s="26">
        <v>165.0</v>
      </c>
      <c r="AM305" s="26">
        <v>2115.0</v>
      </c>
      <c r="AN305" s="32"/>
      <c r="AO305" s="17" t="s">
        <v>422</v>
      </c>
      <c r="AP305" s="32"/>
      <c r="AQ305" s="32"/>
      <c r="AR305" s="32"/>
      <c r="AS305" s="32"/>
      <c r="AT305" s="26">
        <v>196.0</v>
      </c>
      <c r="AU305" s="37">
        <v>45570.0</v>
      </c>
      <c r="AV305" s="35">
        <v>263.0</v>
      </c>
      <c r="AW305" s="26">
        <v>230.0</v>
      </c>
      <c r="AX305" s="26" t="s">
        <v>1201</v>
      </c>
      <c r="AY305" s="26">
        <v>415.0</v>
      </c>
      <c r="AZ305" s="37">
        <v>45538.0</v>
      </c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  <c r="CD305" s="32"/>
      <c r="CE305" s="32"/>
      <c r="CF305" s="32"/>
      <c r="CG305" s="32"/>
    </row>
    <row r="306">
      <c r="A306" s="20" t="s">
        <v>1894</v>
      </c>
      <c r="B306" s="20" t="s">
        <v>1895</v>
      </c>
      <c r="C306" s="17" t="s">
        <v>1896</v>
      </c>
      <c r="D306" s="17" t="s">
        <v>1012</v>
      </c>
      <c r="E306" s="34" t="s">
        <v>477</v>
      </c>
      <c r="F306" s="26">
        <v>95.0</v>
      </c>
      <c r="G306" s="35">
        <v>188.0</v>
      </c>
      <c r="H306" s="17" t="s">
        <v>413</v>
      </c>
      <c r="I306" s="17" t="s">
        <v>414</v>
      </c>
      <c r="J306" s="17" t="s">
        <v>415</v>
      </c>
      <c r="L306" s="26">
        <v>5.0</v>
      </c>
      <c r="M306" s="17" t="s">
        <v>417</v>
      </c>
      <c r="N306" s="17" t="s">
        <v>418</v>
      </c>
      <c r="O306" s="26">
        <v>2000.0</v>
      </c>
      <c r="P306" s="26">
        <v>-1.0</v>
      </c>
      <c r="Q306" s="17" t="s">
        <v>419</v>
      </c>
      <c r="R306" s="17" t="s">
        <v>420</v>
      </c>
      <c r="S306" s="17" t="s">
        <v>421</v>
      </c>
      <c r="T306" s="17" t="s">
        <v>422</v>
      </c>
      <c r="U306" s="17" t="s">
        <v>423</v>
      </c>
      <c r="V306" s="17" t="s">
        <v>1468</v>
      </c>
      <c r="W306" s="17" t="s">
        <v>403</v>
      </c>
      <c r="X306" s="17" t="s">
        <v>644</v>
      </c>
      <c r="Y306" s="17" t="s">
        <v>438</v>
      </c>
      <c r="Z306" s="17" t="s">
        <v>620</v>
      </c>
      <c r="AA306" s="17" t="s">
        <v>440</v>
      </c>
      <c r="AB306" s="17" t="s">
        <v>1876</v>
      </c>
      <c r="AC306" s="17" t="s">
        <v>428</v>
      </c>
      <c r="AD306" s="17" t="s">
        <v>703</v>
      </c>
      <c r="AE306" s="26">
        <v>970.0</v>
      </c>
      <c r="AF306" s="36">
        <v>90.7</v>
      </c>
      <c r="AG306" s="36">
        <v>96.0</v>
      </c>
      <c r="AH306" s="26" t="s">
        <v>1897</v>
      </c>
      <c r="AI306" s="26">
        <v>91136.0</v>
      </c>
      <c r="AJ306" s="26">
        <v>91136.0</v>
      </c>
      <c r="AK306" s="26" t="s">
        <v>567</v>
      </c>
      <c r="AL306" s="26">
        <v>202.0</v>
      </c>
      <c r="AM306" s="26">
        <v>2244.0</v>
      </c>
      <c r="AN306" s="32"/>
      <c r="AO306" s="32"/>
      <c r="AP306" s="32"/>
      <c r="AQ306" s="32"/>
      <c r="AR306" s="32"/>
      <c r="AS306" s="32"/>
      <c r="AT306" s="26">
        <v>196.0</v>
      </c>
      <c r="AU306" s="37">
        <v>45570.0</v>
      </c>
      <c r="AV306" s="35">
        <v>188.0</v>
      </c>
      <c r="AW306" s="26">
        <v>240.0</v>
      </c>
      <c r="AX306" s="26">
        <v>95.0</v>
      </c>
      <c r="AY306" s="26">
        <v>485.0</v>
      </c>
      <c r="AZ306" s="37">
        <v>45295.0</v>
      </c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  <c r="CD306" s="32"/>
      <c r="CE306" s="32"/>
      <c r="CF306" s="32"/>
      <c r="CG306" s="32"/>
    </row>
    <row r="307">
      <c r="A307" s="20" t="s">
        <v>1898</v>
      </c>
      <c r="B307" s="20" t="s">
        <v>1899</v>
      </c>
      <c r="C307" s="17" t="s">
        <v>1900</v>
      </c>
      <c r="D307" s="17" t="s">
        <v>1340</v>
      </c>
      <c r="E307" s="34" t="s">
        <v>550</v>
      </c>
      <c r="F307" s="26">
        <v>71.0</v>
      </c>
      <c r="G307" s="35">
        <v>225.0</v>
      </c>
      <c r="H307" s="17" t="s">
        <v>413</v>
      </c>
      <c r="I307" s="17" t="s">
        <v>414</v>
      </c>
      <c r="J307" s="17" t="s">
        <v>415</v>
      </c>
      <c r="L307" s="26">
        <v>5.0</v>
      </c>
      <c r="M307" s="17" t="s">
        <v>417</v>
      </c>
      <c r="N307" s="17" t="s">
        <v>418</v>
      </c>
      <c r="O307" s="26">
        <v>2500.0</v>
      </c>
      <c r="P307" s="26">
        <v>5.0</v>
      </c>
      <c r="Q307" s="26">
        <v>5.0</v>
      </c>
      <c r="R307" s="17" t="s">
        <v>419</v>
      </c>
      <c r="S307" s="17" t="s">
        <v>420</v>
      </c>
      <c r="T307" s="17" t="s">
        <v>421</v>
      </c>
      <c r="U307" s="17" t="s">
        <v>423</v>
      </c>
      <c r="V307" s="17" t="s">
        <v>424</v>
      </c>
      <c r="W307" s="17" t="s">
        <v>403</v>
      </c>
      <c r="X307" s="17" t="s">
        <v>782</v>
      </c>
      <c r="Y307" s="17" t="s">
        <v>404</v>
      </c>
      <c r="Z307" s="17" t="s">
        <v>852</v>
      </c>
      <c r="AA307" s="17" t="s">
        <v>401</v>
      </c>
      <c r="AB307" s="17" t="s">
        <v>1901</v>
      </c>
      <c r="AC307" s="17" t="s">
        <v>428</v>
      </c>
      <c r="AD307" s="17" t="s">
        <v>502</v>
      </c>
      <c r="AE307" s="26">
        <v>480.0</v>
      </c>
      <c r="AF307" s="36">
        <v>77.3</v>
      </c>
      <c r="AG307" s="36">
        <v>84.998</v>
      </c>
      <c r="AH307" s="26" t="s">
        <v>1902</v>
      </c>
      <c r="AI307" s="26">
        <v>80896.0</v>
      </c>
      <c r="AJ307" s="26">
        <v>80896.0</v>
      </c>
      <c r="AK307" s="26" t="s">
        <v>1342</v>
      </c>
      <c r="AL307" s="26">
        <v>1673.0</v>
      </c>
      <c r="AM307" s="26">
        <v>1472.0</v>
      </c>
      <c r="AN307" s="32"/>
      <c r="AO307" s="17" t="s">
        <v>422</v>
      </c>
      <c r="AP307" s="32"/>
      <c r="AQ307" s="32"/>
      <c r="AR307" s="32"/>
      <c r="AS307" s="32"/>
      <c r="AT307" s="26">
        <v>197.0</v>
      </c>
      <c r="AU307" s="38">
        <v>45509.0</v>
      </c>
      <c r="AV307" s="35">
        <v>225.0</v>
      </c>
      <c r="AW307" s="26">
        <v>200.0</v>
      </c>
      <c r="AX307" s="26">
        <v>71.0</v>
      </c>
      <c r="AY307" s="26">
        <v>360.0</v>
      </c>
      <c r="AZ307" s="37">
        <v>45297.0</v>
      </c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  <c r="CD307" s="32"/>
      <c r="CE307" s="32"/>
      <c r="CF307" s="32"/>
      <c r="CG307" s="32"/>
    </row>
    <row r="308">
      <c r="A308" s="20" t="s">
        <v>1903</v>
      </c>
      <c r="B308" s="20" t="s">
        <v>1904</v>
      </c>
      <c r="C308" s="17" t="s">
        <v>1905</v>
      </c>
      <c r="D308" s="17" t="s">
        <v>565</v>
      </c>
      <c r="E308" s="34" t="s">
        <v>477</v>
      </c>
      <c r="F308" s="26">
        <v>73.0</v>
      </c>
      <c r="G308" s="35">
        <v>140.0</v>
      </c>
      <c r="H308" s="32"/>
      <c r="I308" s="17" t="s">
        <v>414</v>
      </c>
      <c r="J308" s="17" t="s">
        <v>415</v>
      </c>
      <c r="L308" s="26">
        <v>7.0</v>
      </c>
      <c r="M308" s="17" t="s">
        <v>417</v>
      </c>
      <c r="N308" s="17" t="s">
        <v>418</v>
      </c>
      <c r="O308" s="26">
        <v>1000.0</v>
      </c>
      <c r="P308" s="26">
        <v>-1.0</v>
      </c>
      <c r="Q308" s="17" t="s">
        <v>419</v>
      </c>
      <c r="R308" s="17" t="s">
        <v>420</v>
      </c>
      <c r="S308" s="17" t="s">
        <v>421</v>
      </c>
      <c r="T308" s="17" t="s">
        <v>422</v>
      </c>
      <c r="U308" s="17" t="s">
        <v>423</v>
      </c>
      <c r="V308" s="17" t="s">
        <v>719</v>
      </c>
      <c r="W308" s="17" t="s">
        <v>403</v>
      </c>
      <c r="X308" s="17" t="s">
        <v>589</v>
      </c>
      <c r="Y308" s="17" t="s">
        <v>438</v>
      </c>
      <c r="Z308" s="17" t="s">
        <v>1195</v>
      </c>
      <c r="AA308" s="17" t="s">
        <v>440</v>
      </c>
      <c r="AB308" s="17" t="s">
        <v>1901</v>
      </c>
      <c r="AC308" s="17" t="s">
        <v>428</v>
      </c>
      <c r="AD308" s="17" t="s">
        <v>830</v>
      </c>
      <c r="AE308" s="26">
        <v>430.0</v>
      </c>
      <c r="AF308" s="36">
        <v>51.15</v>
      </c>
      <c r="AG308" s="36">
        <v>48.415</v>
      </c>
      <c r="AH308" s="26" t="s">
        <v>1846</v>
      </c>
      <c r="AI308" s="26">
        <v>51837.0</v>
      </c>
      <c r="AJ308" s="26">
        <v>51837.0</v>
      </c>
      <c r="AK308" s="26" t="s">
        <v>567</v>
      </c>
      <c r="AL308" s="26">
        <v>750.0</v>
      </c>
      <c r="AM308" s="26">
        <v>2149.0</v>
      </c>
      <c r="AN308" s="17" t="s">
        <v>465</v>
      </c>
      <c r="AO308" s="32"/>
      <c r="AP308" s="32"/>
      <c r="AQ308" s="32"/>
      <c r="AR308" s="32"/>
      <c r="AS308" s="32"/>
      <c r="AT308" s="26">
        <v>197.0</v>
      </c>
      <c r="AU308" s="38">
        <v>45509.0</v>
      </c>
      <c r="AV308" s="35">
        <v>140.0</v>
      </c>
      <c r="AW308" s="26">
        <v>170.0</v>
      </c>
      <c r="AX308" s="26">
        <v>73.0</v>
      </c>
      <c r="AY308" s="26">
        <v>370.0</v>
      </c>
      <c r="AZ308" s="37">
        <v>45482.0</v>
      </c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  <c r="CF308" s="32"/>
      <c r="CG308" s="32"/>
    </row>
    <row r="309">
      <c r="A309" s="20" t="s">
        <v>1906</v>
      </c>
      <c r="B309" s="20" t="s">
        <v>1907</v>
      </c>
      <c r="C309" s="17" t="s">
        <v>1908</v>
      </c>
      <c r="D309" s="17" t="s">
        <v>435</v>
      </c>
      <c r="E309" s="34" t="s">
        <v>436</v>
      </c>
      <c r="F309" s="26">
        <v>66.0</v>
      </c>
      <c r="G309" s="35">
        <v>117.0</v>
      </c>
      <c r="H309" s="32"/>
      <c r="I309" s="17" t="s">
        <v>414</v>
      </c>
      <c r="J309" s="17" t="s">
        <v>415</v>
      </c>
      <c r="L309" s="26">
        <v>5.0</v>
      </c>
      <c r="M309" s="17" t="s">
        <v>417</v>
      </c>
      <c r="N309" s="17" t="s">
        <v>418</v>
      </c>
      <c r="O309" s="26">
        <v>1500.0</v>
      </c>
      <c r="P309" s="26">
        <v>-1.0</v>
      </c>
      <c r="Q309" s="17" t="s">
        <v>419</v>
      </c>
      <c r="R309" s="17" t="s">
        <v>420</v>
      </c>
      <c r="S309" s="17" t="s">
        <v>421</v>
      </c>
      <c r="T309" s="17" t="s">
        <v>422</v>
      </c>
      <c r="U309" s="17" t="s">
        <v>423</v>
      </c>
      <c r="V309" s="17" t="s">
        <v>1078</v>
      </c>
      <c r="W309" s="17" t="s">
        <v>403</v>
      </c>
      <c r="X309" s="17" t="s">
        <v>589</v>
      </c>
      <c r="Y309" s="17" t="s">
        <v>438</v>
      </c>
      <c r="Z309" s="17" t="s">
        <v>460</v>
      </c>
      <c r="AA309" s="17" t="s">
        <v>440</v>
      </c>
      <c r="AB309" s="17" t="s">
        <v>1901</v>
      </c>
      <c r="AC309" s="17" t="s">
        <v>428</v>
      </c>
      <c r="AD309" s="17" t="s">
        <v>640</v>
      </c>
      <c r="AE309" s="26">
        <v>330.0</v>
      </c>
      <c r="AF309" s="36">
        <v>36.4</v>
      </c>
      <c r="AG309" s="36">
        <v>39.05</v>
      </c>
      <c r="AH309" s="26" t="s">
        <v>1909</v>
      </c>
      <c r="AI309" s="26">
        <v>39141.0</v>
      </c>
      <c r="AJ309" s="26">
        <v>39141.0</v>
      </c>
      <c r="AK309" s="26" t="s">
        <v>444</v>
      </c>
      <c r="AL309" s="26">
        <v>574.0</v>
      </c>
      <c r="AM309" s="26">
        <v>3040.0</v>
      </c>
      <c r="AN309" s="32"/>
      <c r="AO309" s="32"/>
      <c r="AP309" s="17" t="s">
        <v>483</v>
      </c>
      <c r="AQ309" s="32"/>
      <c r="AR309" s="32"/>
      <c r="AS309" s="32"/>
      <c r="AT309" s="26">
        <v>197.0</v>
      </c>
      <c r="AU309" s="38">
        <v>45509.0</v>
      </c>
      <c r="AV309" s="35">
        <v>117.0</v>
      </c>
      <c r="AW309" s="26">
        <v>170.0</v>
      </c>
      <c r="AX309" s="26">
        <v>66.0</v>
      </c>
      <c r="AY309" s="26">
        <v>335.0</v>
      </c>
      <c r="AZ309" s="37">
        <v>45419.0</v>
      </c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  <c r="CE309" s="32"/>
      <c r="CF309" s="32"/>
      <c r="CG309" s="32"/>
    </row>
    <row r="310">
      <c r="A310" s="20" t="s">
        <v>1910</v>
      </c>
      <c r="B310" s="20" t="s">
        <v>1911</v>
      </c>
      <c r="C310" s="17" t="s">
        <v>1912</v>
      </c>
      <c r="D310" s="17" t="s">
        <v>835</v>
      </c>
      <c r="E310" s="34" t="s">
        <v>477</v>
      </c>
      <c r="F310" s="26">
        <v>83.0</v>
      </c>
      <c r="G310" s="35">
        <v>480.0</v>
      </c>
      <c r="H310" s="32"/>
      <c r="I310" s="17" t="s">
        <v>414</v>
      </c>
      <c r="J310" s="17" t="s">
        <v>415</v>
      </c>
      <c r="L310" s="26">
        <v>4.0</v>
      </c>
      <c r="M310" s="32"/>
      <c r="N310" s="32"/>
      <c r="O310" s="32"/>
      <c r="P310" s="26">
        <v>-1.0</v>
      </c>
      <c r="Q310" s="17" t="s">
        <v>419</v>
      </c>
      <c r="R310" s="17" t="s">
        <v>420</v>
      </c>
      <c r="S310" s="17" t="s">
        <v>421</v>
      </c>
      <c r="T310" s="17" t="s">
        <v>422</v>
      </c>
      <c r="U310" s="17" t="s">
        <v>423</v>
      </c>
      <c r="V310" s="17" t="s">
        <v>1482</v>
      </c>
      <c r="W310" s="17" t="s">
        <v>403</v>
      </c>
      <c r="X310" s="17" t="s">
        <v>1913</v>
      </c>
      <c r="Y310" s="17" t="s">
        <v>438</v>
      </c>
      <c r="Z310" s="17" t="s">
        <v>426</v>
      </c>
      <c r="AA310" s="17" t="s">
        <v>440</v>
      </c>
      <c r="AB310" s="17" t="s">
        <v>1914</v>
      </c>
      <c r="AC310" s="17" t="s">
        <v>520</v>
      </c>
      <c r="AD310" s="17" t="s">
        <v>621</v>
      </c>
      <c r="AE310" s="26">
        <v>920.0</v>
      </c>
      <c r="AF310" s="36">
        <v>198.212</v>
      </c>
      <c r="AG310" s="36">
        <v>199.25</v>
      </c>
      <c r="AH310" s="26" t="s">
        <v>1915</v>
      </c>
      <c r="AI310" s="26">
        <v>100000.0</v>
      </c>
      <c r="AJ310" s="26">
        <v>201468.0</v>
      </c>
      <c r="AK310" s="26" t="s">
        <v>777</v>
      </c>
      <c r="AL310" s="26">
        <v>232.0</v>
      </c>
      <c r="AM310" s="26">
        <v>1803.0</v>
      </c>
      <c r="AN310" s="32"/>
      <c r="AO310" s="32"/>
      <c r="AP310" s="32"/>
      <c r="AQ310" s="32"/>
      <c r="AR310" s="32"/>
      <c r="AS310" s="32"/>
      <c r="AT310" s="26">
        <v>198.0</v>
      </c>
      <c r="AU310" s="38">
        <v>45417.0</v>
      </c>
      <c r="AV310" s="35">
        <v>480.0</v>
      </c>
      <c r="AW310" s="26">
        <v>325.0</v>
      </c>
      <c r="AX310" s="26">
        <v>83.0</v>
      </c>
      <c r="AY310" s="26">
        <v>420.0</v>
      </c>
      <c r="AZ310" s="37">
        <v>45475.0</v>
      </c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  <c r="CF310" s="32"/>
      <c r="CG310" s="32"/>
    </row>
    <row r="311">
      <c r="A311" s="20" t="s">
        <v>1916</v>
      </c>
      <c r="B311" s="20" t="s">
        <v>1848</v>
      </c>
      <c r="C311" s="17" t="s">
        <v>1917</v>
      </c>
      <c r="D311" s="17" t="s">
        <v>781</v>
      </c>
      <c r="E311" s="34" t="s">
        <v>477</v>
      </c>
      <c r="F311" s="26">
        <v>79.0</v>
      </c>
      <c r="G311" s="35">
        <v>135.0</v>
      </c>
      <c r="H311" s="17" t="s">
        <v>413</v>
      </c>
      <c r="I311" s="17" t="s">
        <v>414</v>
      </c>
      <c r="J311" s="17" t="s">
        <v>415</v>
      </c>
      <c r="L311" s="26">
        <v>5.0</v>
      </c>
      <c r="M311" s="17" t="s">
        <v>417</v>
      </c>
      <c r="N311" s="17" t="s">
        <v>418</v>
      </c>
      <c r="O311" s="26">
        <v>1500.0</v>
      </c>
      <c r="P311" s="26">
        <v>-1.0</v>
      </c>
      <c r="Q311" s="17" t="s">
        <v>419</v>
      </c>
      <c r="R311" s="17" t="s">
        <v>420</v>
      </c>
      <c r="S311" s="17" t="s">
        <v>421</v>
      </c>
      <c r="T311" s="17" t="s">
        <v>422</v>
      </c>
      <c r="U311" s="17" t="s">
        <v>423</v>
      </c>
      <c r="V311" s="17" t="s">
        <v>772</v>
      </c>
      <c r="W311" s="17" t="s">
        <v>403</v>
      </c>
      <c r="X311" s="17" t="s">
        <v>493</v>
      </c>
      <c r="Y311" s="17" t="s">
        <v>438</v>
      </c>
      <c r="Z311" s="17" t="s">
        <v>1562</v>
      </c>
      <c r="AA311" s="17" t="s">
        <v>440</v>
      </c>
      <c r="AB311" s="17" t="s">
        <v>1914</v>
      </c>
      <c r="AC311" s="17" t="s">
        <v>428</v>
      </c>
      <c r="AD311" s="17" t="s">
        <v>853</v>
      </c>
      <c r="AE311" s="26">
        <v>600.0</v>
      </c>
      <c r="AF311" s="36">
        <v>55.49</v>
      </c>
      <c r="AG311" s="36">
        <v>51.995</v>
      </c>
      <c r="AH311" s="26" t="s">
        <v>1918</v>
      </c>
      <c r="AI311" s="26">
        <v>54115.0</v>
      </c>
      <c r="AJ311" s="26">
        <v>54115.0</v>
      </c>
      <c r="AK311" s="26" t="s">
        <v>495</v>
      </c>
      <c r="AL311" s="26">
        <v>654.0</v>
      </c>
      <c r="AM311" s="26">
        <v>2121.0</v>
      </c>
      <c r="AN311" s="32"/>
      <c r="AO311" s="32"/>
      <c r="AP311" s="17" t="s">
        <v>483</v>
      </c>
      <c r="AQ311" s="32"/>
      <c r="AR311" s="32"/>
      <c r="AS311" s="32"/>
      <c r="AT311" s="26">
        <v>198.0</v>
      </c>
      <c r="AU311" s="38">
        <v>45417.0</v>
      </c>
      <c r="AV311" s="35">
        <v>135.0</v>
      </c>
      <c r="AW311" s="26">
        <v>180.0</v>
      </c>
      <c r="AX311" s="26">
        <v>79.0</v>
      </c>
      <c r="AY311" s="26">
        <v>400.0</v>
      </c>
      <c r="AZ311" s="37">
        <v>45358.0</v>
      </c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  <c r="CF311" s="32"/>
      <c r="CG311" s="32"/>
    </row>
    <row r="312">
      <c r="A312" s="20" t="s">
        <v>1919</v>
      </c>
      <c r="B312" s="20" t="s">
        <v>1657</v>
      </c>
      <c r="C312" s="17" t="s">
        <v>1920</v>
      </c>
      <c r="D312" s="17" t="s">
        <v>781</v>
      </c>
      <c r="E312" s="34" t="s">
        <v>477</v>
      </c>
      <c r="F312" s="26">
        <v>79.0</v>
      </c>
      <c r="G312" s="35">
        <v>157.0</v>
      </c>
      <c r="H312" s="17" t="s">
        <v>413</v>
      </c>
      <c r="I312" s="17" t="s">
        <v>414</v>
      </c>
      <c r="J312" s="17" t="s">
        <v>415</v>
      </c>
      <c r="L312" s="26">
        <v>5.0</v>
      </c>
      <c r="M312" s="17" t="s">
        <v>417</v>
      </c>
      <c r="N312" s="17" t="s">
        <v>418</v>
      </c>
      <c r="O312" s="26">
        <v>1800.0</v>
      </c>
      <c r="P312" s="26">
        <v>-1.0</v>
      </c>
      <c r="Q312" s="17" t="s">
        <v>419</v>
      </c>
      <c r="R312" s="17" t="s">
        <v>420</v>
      </c>
      <c r="S312" s="17" t="s">
        <v>421</v>
      </c>
      <c r="T312" s="17" t="s">
        <v>422</v>
      </c>
      <c r="U312" s="17" t="s">
        <v>423</v>
      </c>
      <c r="V312" s="17" t="s">
        <v>1020</v>
      </c>
      <c r="W312" s="17" t="s">
        <v>403</v>
      </c>
      <c r="X312" s="17" t="s">
        <v>493</v>
      </c>
      <c r="Y312" s="17" t="s">
        <v>438</v>
      </c>
      <c r="Z312" s="17" t="s">
        <v>1562</v>
      </c>
      <c r="AA312" s="17" t="s">
        <v>440</v>
      </c>
      <c r="AB312" s="17" t="s">
        <v>1914</v>
      </c>
      <c r="AC312" s="17" t="s">
        <v>428</v>
      </c>
      <c r="AD312" s="17" t="s">
        <v>853</v>
      </c>
      <c r="AE312" s="26">
        <v>600.0</v>
      </c>
      <c r="AF312" s="36">
        <v>64.39</v>
      </c>
      <c r="AG312" s="36">
        <v>60.995</v>
      </c>
      <c r="AH312" s="17" t="s">
        <v>463</v>
      </c>
      <c r="AI312" s="26">
        <v>62692.0</v>
      </c>
      <c r="AJ312" s="26">
        <v>62692.0</v>
      </c>
      <c r="AK312" s="26" t="s">
        <v>495</v>
      </c>
      <c r="AL312" s="26">
        <v>130.0</v>
      </c>
      <c r="AM312" s="26">
        <v>2125.0</v>
      </c>
      <c r="AN312" s="32"/>
      <c r="AO312" s="32"/>
      <c r="AP312" s="17" t="s">
        <v>483</v>
      </c>
      <c r="AQ312" s="32"/>
      <c r="AR312" s="32"/>
      <c r="AS312" s="32"/>
      <c r="AT312" s="26">
        <v>198.0</v>
      </c>
      <c r="AU312" s="38">
        <v>45417.0</v>
      </c>
      <c r="AV312" s="35">
        <v>157.0</v>
      </c>
      <c r="AW312" s="26">
        <v>180.0</v>
      </c>
      <c r="AX312" s="26">
        <v>79.0</v>
      </c>
      <c r="AY312" s="26">
        <v>400.0</v>
      </c>
      <c r="AZ312" s="37">
        <v>45447.0</v>
      </c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  <c r="CF312" s="32"/>
      <c r="CG312" s="32"/>
    </row>
    <row r="313">
      <c r="A313" s="20" t="s">
        <v>1921</v>
      </c>
      <c r="B313" s="20" t="s">
        <v>1657</v>
      </c>
      <c r="C313" s="17" t="s">
        <v>1922</v>
      </c>
      <c r="D313" s="17" t="s">
        <v>781</v>
      </c>
      <c r="E313" s="34" t="s">
        <v>550</v>
      </c>
      <c r="F313" s="26">
        <v>79.0</v>
      </c>
      <c r="G313" s="35">
        <v>160.0</v>
      </c>
      <c r="H313" s="17" t="s">
        <v>413</v>
      </c>
      <c r="I313" s="17" t="s">
        <v>414</v>
      </c>
      <c r="J313" s="17" t="s">
        <v>415</v>
      </c>
      <c r="L313" s="26">
        <v>5.0</v>
      </c>
      <c r="M313" s="17" t="s">
        <v>417</v>
      </c>
      <c r="N313" s="17" t="s">
        <v>418</v>
      </c>
      <c r="O313" s="26">
        <v>1800.0</v>
      </c>
      <c r="P313" s="26">
        <v>-1.0</v>
      </c>
      <c r="Q313" s="17" t="s">
        <v>419</v>
      </c>
      <c r="R313" s="17" t="s">
        <v>420</v>
      </c>
      <c r="S313" s="17" t="s">
        <v>421</v>
      </c>
      <c r="T313" s="17" t="s">
        <v>422</v>
      </c>
      <c r="U313" s="17" t="s">
        <v>423</v>
      </c>
      <c r="V313" s="17" t="s">
        <v>907</v>
      </c>
      <c r="W313" s="17" t="s">
        <v>403</v>
      </c>
      <c r="X313" s="17" t="s">
        <v>493</v>
      </c>
      <c r="Y313" s="17" t="s">
        <v>404</v>
      </c>
      <c r="Z313" s="17" t="s">
        <v>1562</v>
      </c>
      <c r="AA313" s="17" t="s">
        <v>401</v>
      </c>
      <c r="AB313" s="17" t="s">
        <v>1914</v>
      </c>
      <c r="AC313" s="17" t="s">
        <v>428</v>
      </c>
      <c r="AD313" s="17" t="s">
        <v>853</v>
      </c>
      <c r="AE313" s="26">
        <v>600.0</v>
      </c>
      <c r="AF313" s="36">
        <v>61.29</v>
      </c>
      <c r="AG313" s="17" t="s">
        <v>463</v>
      </c>
      <c r="AH313" s="26" t="s">
        <v>1923</v>
      </c>
      <c r="AI313" s="26">
        <v>63882.0</v>
      </c>
      <c r="AJ313" s="26">
        <v>63882.0</v>
      </c>
      <c r="AK313" s="26" t="s">
        <v>495</v>
      </c>
      <c r="AL313" s="26">
        <v>239.0</v>
      </c>
      <c r="AM313" s="26">
        <v>2137.0</v>
      </c>
      <c r="AN313" s="32"/>
      <c r="AO313" s="32"/>
      <c r="AP313" s="17" t="s">
        <v>483</v>
      </c>
      <c r="AQ313" s="32"/>
      <c r="AR313" s="32"/>
      <c r="AS313" s="32"/>
      <c r="AT313" s="26">
        <v>198.0</v>
      </c>
      <c r="AU313" s="38">
        <v>45417.0</v>
      </c>
      <c r="AV313" s="35">
        <v>160.0</v>
      </c>
      <c r="AW313" s="26">
        <v>180.0</v>
      </c>
      <c r="AX313" s="26">
        <v>79.0</v>
      </c>
      <c r="AY313" s="26">
        <v>400.0</v>
      </c>
      <c r="AZ313" s="37">
        <v>45508.0</v>
      </c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  <c r="CF313" s="32"/>
      <c r="CG313" s="32"/>
    </row>
    <row r="314">
      <c r="A314" s="20" t="s">
        <v>1924</v>
      </c>
      <c r="B314" s="20" t="s">
        <v>1798</v>
      </c>
      <c r="C314" s="17" t="s">
        <v>1925</v>
      </c>
      <c r="D314" s="17" t="s">
        <v>487</v>
      </c>
      <c r="E314" s="34" t="s">
        <v>550</v>
      </c>
      <c r="F314" s="26" t="s">
        <v>685</v>
      </c>
      <c r="G314" s="35">
        <v>161.0</v>
      </c>
      <c r="H314" s="17" t="s">
        <v>413</v>
      </c>
      <c r="I314" s="17" t="s">
        <v>414</v>
      </c>
      <c r="J314" s="17" t="s">
        <v>415</v>
      </c>
      <c r="L314" s="26">
        <v>5.0</v>
      </c>
      <c r="M314" s="17" t="s">
        <v>417</v>
      </c>
      <c r="N314" s="17" t="s">
        <v>418</v>
      </c>
      <c r="O314" s="26">
        <v>2400.0</v>
      </c>
      <c r="P314" s="26">
        <v>5.0</v>
      </c>
      <c r="Q314" s="26">
        <v>5.0</v>
      </c>
      <c r="R314" s="17" t="s">
        <v>419</v>
      </c>
      <c r="S314" s="17" t="s">
        <v>420</v>
      </c>
      <c r="T314" s="17" t="s">
        <v>421</v>
      </c>
      <c r="U314" s="17" t="s">
        <v>423</v>
      </c>
      <c r="V314" s="17" t="s">
        <v>880</v>
      </c>
      <c r="W314" s="17" t="s">
        <v>403</v>
      </c>
      <c r="X314" s="17" t="s">
        <v>619</v>
      </c>
      <c r="Y314" s="17" t="s">
        <v>404</v>
      </c>
      <c r="Z314" s="17" t="s">
        <v>733</v>
      </c>
      <c r="AA314" s="17" t="s">
        <v>401</v>
      </c>
      <c r="AB314" s="17" t="s">
        <v>1914</v>
      </c>
      <c r="AC314" s="17" t="s">
        <v>428</v>
      </c>
      <c r="AD314" s="17" t="s">
        <v>1520</v>
      </c>
      <c r="AE314" s="26">
        <v>960.0</v>
      </c>
      <c r="AF314" s="36">
        <v>74.7</v>
      </c>
      <c r="AG314" s="36">
        <v>77.95</v>
      </c>
      <c r="AH314" s="26" t="s">
        <v>1926</v>
      </c>
      <c r="AI314" s="26">
        <v>77323.0</v>
      </c>
      <c r="AJ314" s="26">
        <v>77323.0</v>
      </c>
      <c r="AK314" s="26" t="s">
        <v>495</v>
      </c>
      <c r="AL314" s="26">
        <v>968.0</v>
      </c>
      <c r="AM314" s="26">
        <v>2146.0</v>
      </c>
      <c r="AN314" s="32"/>
      <c r="AO314" s="17" t="s">
        <v>422</v>
      </c>
      <c r="AP314" s="32"/>
      <c r="AQ314" s="32"/>
      <c r="AR314" s="32"/>
      <c r="AS314" s="32"/>
      <c r="AT314" s="26">
        <v>198.0</v>
      </c>
      <c r="AU314" s="38">
        <v>45417.0</v>
      </c>
      <c r="AV314" s="35">
        <v>161.0</v>
      </c>
      <c r="AW314" s="26">
        <v>210.0</v>
      </c>
      <c r="AX314" s="26" t="s">
        <v>685</v>
      </c>
      <c r="AY314" s="26">
        <v>480.0</v>
      </c>
      <c r="AZ314" s="37">
        <v>45540.0</v>
      </c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  <c r="CE314" s="32"/>
      <c r="CF314" s="32"/>
      <c r="CG314" s="32"/>
    </row>
    <row r="315">
      <c r="A315" s="20" t="s">
        <v>1927</v>
      </c>
      <c r="B315" s="20" t="s">
        <v>1879</v>
      </c>
      <c r="C315" s="17" t="s">
        <v>1928</v>
      </c>
      <c r="D315" s="17" t="s">
        <v>750</v>
      </c>
      <c r="E315" s="34" t="s">
        <v>477</v>
      </c>
      <c r="F315" s="26" t="s">
        <v>1881</v>
      </c>
      <c r="G315" s="35">
        <v>272.0</v>
      </c>
      <c r="H315" s="32"/>
      <c r="I315" s="17" t="s">
        <v>414</v>
      </c>
      <c r="J315" s="17" t="s">
        <v>415</v>
      </c>
      <c r="K315" s="17" t="s">
        <v>416</v>
      </c>
      <c r="L315" s="26">
        <v>5.0</v>
      </c>
      <c r="M315" s="17" t="s">
        <v>417</v>
      </c>
      <c r="N315" s="17" t="s">
        <v>418</v>
      </c>
      <c r="O315" s="26">
        <v>2000.0</v>
      </c>
      <c r="P315" s="26">
        <v>-1.0</v>
      </c>
      <c r="Q315" s="17" t="s">
        <v>419</v>
      </c>
      <c r="R315" s="17" t="s">
        <v>420</v>
      </c>
      <c r="S315" s="17" t="s">
        <v>421</v>
      </c>
      <c r="T315" s="17" t="s">
        <v>422</v>
      </c>
      <c r="U315" s="17" t="s">
        <v>423</v>
      </c>
      <c r="V315" s="17" t="s">
        <v>764</v>
      </c>
      <c r="W315" s="17" t="s">
        <v>403</v>
      </c>
      <c r="X315" s="17" t="s">
        <v>644</v>
      </c>
      <c r="Y315" s="17" t="s">
        <v>438</v>
      </c>
      <c r="Z315" s="17" t="s">
        <v>1653</v>
      </c>
      <c r="AA315" s="17" t="s">
        <v>440</v>
      </c>
      <c r="AB315" s="17" t="s">
        <v>1929</v>
      </c>
      <c r="AC315" s="17" t="s">
        <v>428</v>
      </c>
      <c r="AD315" s="17" t="s">
        <v>521</v>
      </c>
      <c r="AE315" s="26">
        <v>760.0</v>
      </c>
      <c r="AF315" s="36">
        <v>139.9</v>
      </c>
      <c r="AG315" s="36">
        <v>145.453</v>
      </c>
      <c r="AH315" s="26" t="s">
        <v>1930</v>
      </c>
      <c r="AI315" s="26">
        <v>100000.0</v>
      </c>
      <c r="AJ315" s="26">
        <v>138806.0</v>
      </c>
      <c r="AK315" s="26" t="s">
        <v>464</v>
      </c>
      <c r="AL315" s="26">
        <v>747.0</v>
      </c>
      <c r="AM315" s="26">
        <v>1676.0</v>
      </c>
      <c r="AN315" s="32"/>
      <c r="AO315" s="32"/>
      <c r="AP315" s="32"/>
      <c r="AQ315" s="32"/>
      <c r="AR315" s="32"/>
      <c r="AS315" s="32"/>
      <c r="AT315" s="26">
        <v>199.0</v>
      </c>
      <c r="AU315" s="38">
        <v>45356.0</v>
      </c>
      <c r="AV315" s="35">
        <v>272.0</v>
      </c>
      <c r="AW315" s="26">
        <v>240.0</v>
      </c>
      <c r="AX315" s="26" t="s">
        <v>1881</v>
      </c>
      <c r="AY315" s="26">
        <v>510.0</v>
      </c>
      <c r="AZ315" s="37">
        <v>45477.0</v>
      </c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  <c r="CE315" s="32"/>
      <c r="CF315" s="32"/>
      <c r="CG315" s="32"/>
    </row>
    <row r="316">
      <c r="A316" s="20" t="s">
        <v>1931</v>
      </c>
      <c r="B316" s="20" t="s">
        <v>1932</v>
      </c>
      <c r="C316" s="17" t="s">
        <v>1933</v>
      </c>
      <c r="D316" s="17" t="s">
        <v>487</v>
      </c>
      <c r="E316" s="34" t="s">
        <v>477</v>
      </c>
      <c r="F316" s="26" t="s">
        <v>1934</v>
      </c>
      <c r="G316" s="35">
        <v>118.0</v>
      </c>
      <c r="H316" s="17" t="s">
        <v>413</v>
      </c>
      <c r="I316" s="17" t="s">
        <v>414</v>
      </c>
      <c r="J316" s="17" t="s">
        <v>415</v>
      </c>
      <c r="L316" s="26">
        <v>5.0</v>
      </c>
      <c r="M316" s="17" t="s">
        <v>417</v>
      </c>
      <c r="N316" s="17" t="s">
        <v>418</v>
      </c>
      <c r="O316" s="26">
        <v>1300.0</v>
      </c>
      <c r="P316" s="26">
        <v>5.0</v>
      </c>
      <c r="Q316" s="26">
        <v>5.0</v>
      </c>
      <c r="R316" s="17" t="s">
        <v>419</v>
      </c>
      <c r="S316" s="17" t="s">
        <v>420</v>
      </c>
      <c r="T316" s="17" t="s">
        <v>421</v>
      </c>
      <c r="U316" s="17" t="s">
        <v>423</v>
      </c>
      <c r="V316" s="17" t="s">
        <v>551</v>
      </c>
      <c r="W316" s="17" t="s">
        <v>403</v>
      </c>
      <c r="X316" s="17" t="s">
        <v>1588</v>
      </c>
      <c r="Y316" s="17" t="s">
        <v>438</v>
      </c>
      <c r="Z316" s="17" t="s">
        <v>852</v>
      </c>
      <c r="AA316" s="17" t="s">
        <v>440</v>
      </c>
      <c r="AB316" s="17" t="s">
        <v>1929</v>
      </c>
      <c r="AC316" s="17" t="s">
        <v>428</v>
      </c>
      <c r="AD316" s="17" t="s">
        <v>536</v>
      </c>
      <c r="AE316" s="26">
        <v>340.0</v>
      </c>
      <c r="AF316" s="36">
        <v>41.99</v>
      </c>
      <c r="AG316" s="36">
        <v>42.99</v>
      </c>
      <c r="AH316" s="17" t="s">
        <v>463</v>
      </c>
      <c r="AI316" s="26">
        <v>42490.0</v>
      </c>
      <c r="AJ316" s="26">
        <v>42490.0</v>
      </c>
      <c r="AK316" s="26" t="s">
        <v>495</v>
      </c>
      <c r="AL316" s="26">
        <v>1610.0</v>
      </c>
      <c r="AM316" s="26">
        <v>2094.0</v>
      </c>
      <c r="AN316" s="17" t="s">
        <v>465</v>
      </c>
      <c r="AO316" s="17" t="s">
        <v>422</v>
      </c>
      <c r="AP316" s="32"/>
      <c r="AQ316" s="32"/>
      <c r="AR316" s="32"/>
      <c r="AS316" s="32"/>
      <c r="AT316" s="26">
        <v>199.0</v>
      </c>
      <c r="AU316" s="38">
        <v>45356.0</v>
      </c>
      <c r="AV316" s="35">
        <v>118.0</v>
      </c>
      <c r="AW316" s="26">
        <v>175.0</v>
      </c>
      <c r="AX316" s="26" t="s">
        <v>1934</v>
      </c>
      <c r="AY316" s="26">
        <v>360.0</v>
      </c>
      <c r="AZ316" s="37">
        <v>45360.0</v>
      </c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  <c r="CD316" s="32"/>
      <c r="CE316" s="32"/>
      <c r="CF316" s="32"/>
      <c r="CG316" s="32"/>
    </row>
    <row r="317">
      <c r="A317" s="20" t="s">
        <v>1935</v>
      </c>
      <c r="B317" s="20" t="s">
        <v>1773</v>
      </c>
      <c r="C317" s="17" t="s">
        <v>1936</v>
      </c>
      <c r="D317" s="17" t="s">
        <v>1340</v>
      </c>
      <c r="E317" s="34" t="s">
        <v>411</v>
      </c>
      <c r="F317" s="26">
        <v>70.0</v>
      </c>
      <c r="G317" s="35">
        <v>148.0</v>
      </c>
      <c r="H317" s="32"/>
      <c r="I317" s="17" t="s">
        <v>414</v>
      </c>
      <c r="J317" s="17" t="s">
        <v>415</v>
      </c>
      <c r="L317" s="26">
        <v>5.0</v>
      </c>
      <c r="M317" s="17" t="s">
        <v>417</v>
      </c>
      <c r="N317" s="17" t="s">
        <v>418</v>
      </c>
      <c r="O317" s="26">
        <v>750.0</v>
      </c>
      <c r="P317" s="26">
        <v>4.0</v>
      </c>
      <c r="Q317" s="26">
        <v>4.0</v>
      </c>
      <c r="R317" s="17" t="s">
        <v>419</v>
      </c>
      <c r="S317" s="17" t="s">
        <v>420</v>
      </c>
      <c r="T317" s="17" t="s">
        <v>421</v>
      </c>
      <c r="U317" s="17" t="s">
        <v>423</v>
      </c>
      <c r="V317" s="17" t="s">
        <v>1556</v>
      </c>
      <c r="W317" s="17" t="s">
        <v>403</v>
      </c>
      <c r="X317" s="17" t="s">
        <v>782</v>
      </c>
      <c r="Y317" s="17" t="s">
        <v>404</v>
      </c>
      <c r="Z317" s="17" t="s">
        <v>799</v>
      </c>
      <c r="AA317" s="17" t="s">
        <v>401</v>
      </c>
      <c r="AB317" s="17" t="s">
        <v>1937</v>
      </c>
      <c r="AC317" s="17" t="s">
        <v>428</v>
      </c>
      <c r="AD317" s="17" t="s">
        <v>746</v>
      </c>
      <c r="AE317" s="26">
        <v>380.0</v>
      </c>
      <c r="AF317" s="36">
        <v>50.99</v>
      </c>
      <c r="AG317" s="36">
        <v>52.485</v>
      </c>
      <c r="AH317" s="17" t="s">
        <v>463</v>
      </c>
      <c r="AI317" s="26">
        <v>51737.0</v>
      </c>
      <c r="AJ317" s="26">
        <v>51737.0</v>
      </c>
      <c r="AK317" s="26" t="s">
        <v>1342</v>
      </c>
      <c r="AL317" s="26">
        <v>321.0</v>
      </c>
      <c r="AM317" s="26">
        <v>1475.0</v>
      </c>
      <c r="AN317" s="17" t="s">
        <v>465</v>
      </c>
      <c r="AO317" s="17" t="s">
        <v>422</v>
      </c>
      <c r="AP317" s="17" t="s">
        <v>483</v>
      </c>
      <c r="AQ317" s="32"/>
      <c r="AR317" s="32"/>
      <c r="AS317" s="32"/>
      <c r="AT317" s="26">
        <v>200.0</v>
      </c>
      <c r="AU317" s="26" t="s">
        <v>1938</v>
      </c>
      <c r="AV317" s="35">
        <v>148.0</v>
      </c>
      <c r="AW317" s="26">
        <v>200.0</v>
      </c>
      <c r="AX317" s="26">
        <v>70.0</v>
      </c>
      <c r="AY317" s="26">
        <v>350.0</v>
      </c>
      <c r="AZ317" s="37">
        <v>45539.0</v>
      </c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  <c r="CE317" s="32"/>
      <c r="CF317" s="32"/>
      <c r="CG317" s="32"/>
    </row>
    <row r="318">
      <c r="A318" s="20" t="s">
        <v>1939</v>
      </c>
      <c r="B318" s="20" t="s">
        <v>1940</v>
      </c>
      <c r="C318" s="17" t="s">
        <v>1941</v>
      </c>
      <c r="D318" s="17" t="s">
        <v>951</v>
      </c>
      <c r="E318" s="34" t="s">
        <v>477</v>
      </c>
      <c r="F318" s="26">
        <v>64.0</v>
      </c>
      <c r="G318" s="35">
        <v>175.0</v>
      </c>
      <c r="H318" s="32"/>
      <c r="I318" s="32"/>
      <c r="J318" s="17" t="s">
        <v>415</v>
      </c>
      <c r="L318" s="26">
        <v>5.0</v>
      </c>
      <c r="M318" s="17" t="s">
        <v>417</v>
      </c>
      <c r="N318" s="17" t="s">
        <v>418</v>
      </c>
      <c r="O318" s="26">
        <v>750.0</v>
      </c>
      <c r="P318" s="26">
        <v>5.0</v>
      </c>
      <c r="Q318" s="26">
        <v>5.0</v>
      </c>
      <c r="R318" s="17" t="s">
        <v>419</v>
      </c>
      <c r="S318" s="17" t="s">
        <v>420</v>
      </c>
      <c r="T318" s="17" t="s">
        <v>421</v>
      </c>
      <c r="U318" s="17" t="s">
        <v>423</v>
      </c>
      <c r="V318" s="17" t="s">
        <v>797</v>
      </c>
      <c r="W318" s="17" t="s">
        <v>403</v>
      </c>
      <c r="X318" s="17" t="s">
        <v>581</v>
      </c>
      <c r="Y318" s="17" t="s">
        <v>438</v>
      </c>
      <c r="Z318" s="17" t="s">
        <v>709</v>
      </c>
      <c r="AA318" s="17" t="s">
        <v>440</v>
      </c>
      <c r="AB318" s="17" t="s">
        <v>1937</v>
      </c>
      <c r="AC318" s="17" t="s">
        <v>428</v>
      </c>
      <c r="AD318" s="17" t="s">
        <v>502</v>
      </c>
      <c r="AE318" s="26">
        <v>480.0</v>
      </c>
      <c r="AF318" s="36">
        <v>57.49</v>
      </c>
      <c r="AG318" s="36">
        <v>52.995</v>
      </c>
      <c r="AH318" s="26" t="s">
        <v>1942</v>
      </c>
      <c r="AI318" s="26">
        <v>55993.0</v>
      </c>
      <c r="AJ318" s="26">
        <v>55993.0</v>
      </c>
      <c r="AK318" s="26" t="s">
        <v>537</v>
      </c>
      <c r="AL318" s="26">
        <v>468.0</v>
      </c>
      <c r="AM318" s="26">
        <v>1567.0</v>
      </c>
      <c r="AN318" s="32"/>
      <c r="AO318" s="17" t="s">
        <v>422</v>
      </c>
      <c r="AP318" s="17" t="s">
        <v>483</v>
      </c>
      <c r="AQ318" s="32"/>
      <c r="AR318" s="32"/>
      <c r="AS318" s="32"/>
      <c r="AT318" s="26">
        <v>200.0</v>
      </c>
      <c r="AU318" s="26" t="s">
        <v>1938</v>
      </c>
      <c r="AV318" s="35">
        <v>175.0</v>
      </c>
      <c r="AW318" s="26">
        <v>160.0</v>
      </c>
      <c r="AX318" s="26">
        <v>64.0</v>
      </c>
      <c r="AY318" s="26">
        <v>320.0</v>
      </c>
      <c r="AZ318" s="37">
        <v>45541.0</v>
      </c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  <c r="CF318" s="32"/>
      <c r="CG318" s="32"/>
    </row>
    <row r="319">
      <c r="A319" s="20" t="s">
        <v>1943</v>
      </c>
      <c r="B319" s="20" t="s">
        <v>1944</v>
      </c>
      <c r="C319" s="17" t="s">
        <v>1945</v>
      </c>
      <c r="D319" s="17" t="s">
        <v>469</v>
      </c>
      <c r="E319" s="34" t="s">
        <v>477</v>
      </c>
      <c r="F319" s="26">
        <v>89.0</v>
      </c>
      <c r="G319" s="35">
        <v>182.0</v>
      </c>
      <c r="H319" s="17" t="s">
        <v>413</v>
      </c>
      <c r="I319" s="17" t="s">
        <v>414</v>
      </c>
      <c r="J319" s="17" t="s">
        <v>415</v>
      </c>
      <c r="L319" s="26">
        <v>5.0</v>
      </c>
      <c r="M319" s="17" t="s">
        <v>417</v>
      </c>
      <c r="N319" s="17" t="s">
        <v>418</v>
      </c>
      <c r="O319" s="26">
        <v>1800.0</v>
      </c>
      <c r="P319" s="26">
        <v>-1.0</v>
      </c>
      <c r="Q319" s="17" t="s">
        <v>419</v>
      </c>
      <c r="R319" s="17" t="s">
        <v>420</v>
      </c>
      <c r="S319" s="17" t="s">
        <v>421</v>
      </c>
      <c r="T319" s="17" t="s">
        <v>422</v>
      </c>
      <c r="U319" s="17" t="s">
        <v>423</v>
      </c>
      <c r="V319" s="17" t="s">
        <v>596</v>
      </c>
      <c r="W319" s="17" t="s">
        <v>403</v>
      </c>
      <c r="X319" s="17" t="s">
        <v>782</v>
      </c>
      <c r="Y319" s="17" t="s">
        <v>438</v>
      </c>
      <c r="Z319" s="17" t="s">
        <v>1025</v>
      </c>
      <c r="AA319" s="17" t="s">
        <v>440</v>
      </c>
      <c r="AB319" s="17" t="s">
        <v>1937</v>
      </c>
      <c r="AC319" s="17" t="s">
        <v>428</v>
      </c>
      <c r="AD319" s="17" t="s">
        <v>929</v>
      </c>
      <c r="AE319" s="26">
        <v>690.0</v>
      </c>
      <c r="AF319" s="36">
        <v>78.15</v>
      </c>
      <c r="AG319" s="17" t="s">
        <v>463</v>
      </c>
      <c r="AH319" s="26" t="s">
        <v>1946</v>
      </c>
      <c r="AI319" s="26">
        <v>81173.0</v>
      </c>
      <c r="AJ319" s="26">
        <v>81173.0</v>
      </c>
      <c r="AK319" s="26" t="s">
        <v>464</v>
      </c>
      <c r="AL319" s="26">
        <v>117.0</v>
      </c>
      <c r="AM319" s="26">
        <v>1771.0</v>
      </c>
      <c r="AN319" s="32"/>
      <c r="AO319" s="32"/>
      <c r="AP319" s="32"/>
      <c r="AQ319" s="32"/>
      <c r="AR319" s="32"/>
      <c r="AS319" s="32"/>
      <c r="AT319" s="26">
        <v>200.0</v>
      </c>
      <c r="AU319" s="26" t="s">
        <v>1938</v>
      </c>
      <c r="AV319" s="35">
        <v>182.0</v>
      </c>
      <c r="AW319" s="26">
        <v>200.0</v>
      </c>
      <c r="AX319" s="26">
        <v>89.0</v>
      </c>
      <c r="AY319" s="26">
        <v>445.0</v>
      </c>
      <c r="AZ319" s="26">
        <v>6.0</v>
      </c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  <c r="CF319" s="32"/>
      <c r="CG319" s="32"/>
    </row>
    <row r="320">
      <c r="A320" s="20" t="s">
        <v>1947</v>
      </c>
      <c r="B320" s="20" t="s">
        <v>1778</v>
      </c>
      <c r="C320" s="17" t="s">
        <v>1948</v>
      </c>
      <c r="D320" s="17" t="s">
        <v>549</v>
      </c>
      <c r="E320" s="34" t="s">
        <v>411</v>
      </c>
      <c r="F320" s="26" t="s">
        <v>1836</v>
      </c>
      <c r="G320" s="35">
        <v>154.0</v>
      </c>
      <c r="H320" s="32"/>
      <c r="I320" s="17" t="s">
        <v>414</v>
      </c>
      <c r="J320" s="17" t="s">
        <v>415</v>
      </c>
      <c r="L320" s="26">
        <v>5.0</v>
      </c>
      <c r="M320" s="17" t="s">
        <v>417</v>
      </c>
      <c r="N320" s="17" t="s">
        <v>418</v>
      </c>
      <c r="O320" s="26">
        <v>1500.0</v>
      </c>
      <c r="P320" s="26">
        <v>5.0</v>
      </c>
      <c r="Q320" s="26">
        <v>5.0</v>
      </c>
      <c r="R320" s="17" t="s">
        <v>419</v>
      </c>
      <c r="S320" s="17" t="s">
        <v>420</v>
      </c>
      <c r="T320" s="17" t="s">
        <v>421</v>
      </c>
      <c r="U320" s="17" t="s">
        <v>423</v>
      </c>
      <c r="V320" s="17" t="s">
        <v>1243</v>
      </c>
      <c r="W320" s="17" t="s">
        <v>403</v>
      </c>
      <c r="X320" s="17" t="s">
        <v>782</v>
      </c>
      <c r="Y320" s="17" t="s">
        <v>404</v>
      </c>
      <c r="Z320" s="17" t="s">
        <v>1104</v>
      </c>
      <c r="AA320" s="17" t="s">
        <v>401</v>
      </c>
      <c r="AB320" s="17" t="s">
        <v>1937</v>
      </c>
      <c r="AC320" s="17" t="s">
        <v>428</v>
      </c>
      <c r="AD320" s="17" t="s">
        <v>992</v>
      </c>
      <c r="AE320" s="26">
        <v>1080.0</v>
      </c>
      <c r="AF320" s="36">
        <v>69.6</v>
      </c>
      <c r="AG320" s="36">
        <v>73.188</v>
      </c>
      <c r="AH320" s="17" t="s">
        <v>463</v>
      </c>
      <c r="AI320" s="26">
        <v>71394.0</v>
      </c>
      <c r="AJ320" s="26">
        <v>71394.0</v>
      </c>
      <c r="AK320" s="26" t="s">
        <v>552</v>
      </c>
      <c r="AL320" s="26">
        <v>259.0</v>
      </c>
      <c r="AM320" s="26">
        <v>1826.0</v>
      </c>
      <c r="AN320" s="17" t="s">
        <v>465</v>
      </c>
      <c r="AO320" s="17" t="s">
        <v>422</v>
      </c>
      <c r="AP320" s="32"/>
      <c r="AQ320" s="32"/>
      <c r="AR320" s="32"/>
      <c r="AS320" s="32"/>
      <c r="AT320" s="26">
        <v>200.0</v>
      </c>
      <c r="AU320" s="26" t="s">
        <v>1938</v>
      </c>
      <c r="AV320" s="35">
        <v>154.0</v>
      </c>
      <c r="AW320" s="26">
        <v>200.0</v>
      </c>
      <c r="AX320" s="26" t="s">
        <v>1836</v>
      </c>
      <c r="AY320" s="26">
        <v>465.0</v>
      </c>
      <c r="AZ320" s="37">
        <v>45538.0</v>
      </c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  <c r="CD320" s="32"/>
      <c r="CE320" s="32"/>
      <c r="CF320" s="32"/>
      <c r="CG320" s="32"/>
    </row>
    <row r="321">
      <c r="A321" s="20" t="s">
        <v>1949</v>
      </c>
      <c r="B321" s="20" t="s">
        <v>1950</v>
      </c>
      <c r="C321" s="17" t="s">
        <v>1951</v>
      </c>
      <c r="D321" s="17" t="s">
        <v>541</v>
      </c>
      <c r="E321" s="34" t="s">
        <v>477</v>
      </c>
      <c r="F321" s="26">
        <v>45.0</v>
      </c>
      <c r="G321" s="35">
        <v>200.0</v>
      </c>
      <c r="H321" s="17" t="s">
        <v>413</v>
      </c>
      <c r="I321" s="17" t="s">
        <v>414</v>
      </c>
      <c r="J321" s="17" t="s">
        <v>415</v>
      </c>
      <c r="L321" s="26">
        <v>5.0</v>
      </c>
      <c r="M321" s="17" t="s">
        <v>417</v>
      </c>
      <c r="N321" s="17" t="s">
        <v>418</v>
      </c>
      <c r="O321" s="26">
        <v>1500.0</v>
      </c>
      <c r="P321" s="26">
        <v>-1.0</v>
      </c>
      <c r="Q321" s="17" t="s">
        <v>419</v>
      </c>
      <c r="R321" s="17" t="s">
        <v>420</v>
      </c>
      <c r="S321" s="17" t="s">
        <v>421</v>
      </c>
      <c r="T321" s="17" t="s">
        <v>422</v>
      </c>
      <c r="U321" s="17" t="s">
        <v>423</v>
      </c>
      <c r="V321" s="17" t="s">
        <v>1952</v>
      </c>
      <c r="W321" s="17" t="s">
        <v>403</v>
      </c>
      <c r="X321" s="17" t="s">
        <v>1008</v>
      </c>
      <c r="Y321" s="17" t="s">
        <v>438</v>
      </c>
      <c r="Z321" s="17" t="s">
        <v>773</v>
      </c>
      <c r="AA321" s="17" t="s">
        <v>440</v>
      </c>
      <c r="AB321" s="17" t="s">
        <v>1937</v>
      </c>
      <c r="AC321" s="17" t="s">
        <v>428</v>
      </c>
      <c r="AD321" s="17" t="s">
        <v>655</v>
      </c>
      <c r="AE321" s="26">
        <v>230.0</v>
      </c>
      <c r="AF321" s="36">
        <v>39.623</v>
      </c>
      <c r="AG321" s="36">
        <v>50.227</v>
      </c>
      <c r="AH321" s="17" t="s">
        <v>463</v>
      </c>
      <c r="AI321" s="26">
        <v>44925.0</v>
      </c>
      <c r="AJ321" s="26">
        <v>44925.0</v>
      </c>
      <c r="AK321" s="26" t="s">
        <v>431</v>
      </c>
      <c r="AL321" s="26">
        <v>125.0</v>
      </c>
      <c r="AM321" s="26">
        <v>1908.0</v>
      </c>
      <c r="AN321" s="32"/>
      <c r="AO321" s="32"/>
      <c r="AP321" s="32"/>
      <c r="AQ321" s="32"/>
      <c r="AR321" s="32"/>
      <c r="AS321" s="32"/>
      <c r="AT321" s="26">
        <v>200.0</v>
      </c>
      <c r="AU321" s="26" t="s">
        <v>1938</v>
      </c>
      <c r="AV321" s="35">
        <v>200.0</v>
      </c>
      <c r="AW321" s="26">
        <v>132.0</v>
      </c>
      <c r="AX321" s="26">
        <v>45.0</v>
      </c>
      <c r="AY321" s="26">
        <v>225.0</v>
      </c>
      <c r="AZ321" s="37">
        <v>45455.0</v>
      </c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  <c r="CD321" s="32"/>
      <c r="CE321" s="32"/>
      <c r="CF321" s="32"/>
      <c r="CG321" s="32"/>
    </row>
    <row r="322">
      <c r="A322" s="20" t="s">
        <v>1953</v>
      </c>
      <c r="B322" s="20" t="s">
        <v>1954</v>
      </c>
      <c r="C322" s="17" t="s">
        <v>1955</v>
      </c>
      <c r="D322" s="17" t="s">
        <v>804</v>
      </c>
      <c r="E322" s="34" t="s">
        <v>477</v>
      </c>
      <c r="F322" s="26">
        <v>45.0</v>
      </c>
      <c r="G322" s="35">
        <v>178.0</v>
      </c>
      <c r="H322" s="17" t="s">
        <v>413</v>
      </c>
      <c r="I322" s="17" t="s">
        <v>414</v>
      </c>
      <c r="J322" s="17" t="s">
        <v>415</v>
      </c>
      <c r="L322" s="26">
        <v>5.0</v>
      </c>
      <c r="M322" s="17" t="s">
        <v>417</v>
      </c>
      <c r="N322" s="17" t="s">
        <v>418</v>
      </c>
      <c r="O322" s="26">
        <v>1500.0</v>
      </c>
      <c r="P322" s="26">
        <v>-1.0</v>
      </c>
      <c r="Q322" s="17" t="s">
        <v>419</v>
      </c>
      <c r="R322" s="17" t="s">
        <v>420</v>
      </c>
      <c r="S322" s="17" t="s">
        <v>421</v>
      </c>
      <c r="T322" s="17" t="s">
        <v>422</v>
      </c>
      <c r="U322" s="17" t="s">
        <v>423</v>
      </c>
      <c r="V322" s="17" t="s">
        <v>1952</v>
      </c>
      <c r="W322" s="17" t="s">
        <v>403</v>
      </c>
      <c r="X322" s="17" t="s">
        <v>1008</v>
      </c>
      <c r="Y322" s="17" t="s">
        <v>438</v>
      </c>
      <c r="Z322" s="17" t="s">
        <v>773</v>
      </c>
      <c r="AA322" s="17" t="s">
        <v>440</v>
      </c>
      <c r="AB322" s="17" t="s">
        <v>1937</v>
      </c>
      <c r="AC322" s="17" t="s">
        <v>428</v>
      </c>
      <c r="AD322" s="17" t="s">
        <v>655</v>
      </c>
      <c r="AE322" s="26">
        <v>230.0</v>
      </c>
      <c r="AF322" s="36">
        <v>39.99</v>
      </c>
      <c r="AG322" s="17" t="s">
        <v>463</v>
      </c>
      <c r="AH322" s="17" t="s">
        <v>463</v>
      </c>
      <c r="AI322" s="26">
        <v>39990.0</v>
      </c>
      <c r="AJ322" s="26">
        <v>39990.0</v>
      </c>
      <c r="AK322" s="26" t="s">
        <v>777</v>
      </c>
      <c r="AL322" s="26">
        <v>199.0</v>
      </c>
      <c r="AM322" s="26">
        <v>2042.0</v>
      </c>
      <c r="AN322" s="32"/>
      <c r="AO322" s="32"/>
      <c r="AP322" s="32"/>
      <c r="AQ322" s="32"/>
      <c r="AR322" s="32"/>
      <c r="AS322" s="32"/>
      <c r="AT322" s="26">
        <v>200.0</v>
      </c>
      <c r="AU322" s="26" t="s">
        <v>1938</v>
      </c>
      <c r="AV322" s="35">
        <v>178.0</v>
      </c>
      <c r="AW322" s="26">
        <v>132.0</v>
      </c>
      <c r="AX322" s="26">
        <v>45.0</v>
      </c>
      <c r="AY322" s="26">
        <v>225.0</v>
      </c>
      <c r="AZ322" s="37">
        <v>45455.0</v>
      </c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  <c r="CD322" s="32"/>
      <c r="CE322" s="32"/>
      <c r="CF322" s="32"/>
      <c r="CG322" s="32"/>
    </row>
    <row r="323">
      <c r="A323" s="20" t="s">
        <v>1956</v>
      </c>
      <c r="B323" s="20" t="s">
        <v>1737</v>
      </c>
      <c r="C323" s="17" t="s">
        <v>1957</v>
      </c>
      <c r="D323" s="17" t="s">
        <v>781</v>
      </c>
      <c r="E323" s="34" t="s">
        <v>477</v>
      </c>
      <c r="F323" s="26">
        <v>97.0</v>
      </c>
      <c r="G323" s="35">
        <v>425.0</v>
      </c>
      <c r="H323" s="17" t="s">
        <v>413</v>
      </c>
      <c r="I323" s="17" t="s">
        <v>414</v>
      </c>
      <c r="J323" s="17" t="s">
        <v>415</v>
      </c>
      <c r="L323" s="26">
        <v>5.0</v>
      </c>
      <c r="M323" s="17" t="s">
        <v>417</v>
      </c>
      <c r="N323" s="32"/>
      <c r="O323" s="32"/>
      <c r="P323" s="26">
        <v>-1.0</v>
      </c>
      <c r="Q323" s="17" t="s">
        <v>419</v>
      </c>
      <c r="R323" s="17" t="s">
        <v>420</v>
      </c>
      <c r="S323" s="17" t="s">
        <v>421</v>
      </c>
      <c r="T323" s="17" t="s">
        <v>422</v>
      </c>
      <c r="U323" s="17" t="s">
        <v>423</v>
      </c>
      <c r="V323" s="17" t="s">
        <v>1628</v>
      </c>
      <c r="W323" s="17" t="s">
        <v>403</v>
      </c>
      <c r="X323" s="17" t="s">
        <v>701</v>
      </c>
      <c r="Y323" s="17" t="s">
        <v>438</v>
      </c>
      <c r="Z323" s="17" t="s">
        <v>620</v>
      </c>
      <c r="AA323" s="17" t="s">
        <v>440</v>
      </c>
      <c r="AB323" s="17" t="s">
        <v>1937</v>
      </c>
      <c r="AC323" s="17" t="s">
        <v>428</v>
      </c>
      <c r="AD323" s="17" t="s">
        <v>1016</v>
      </c>
      <c r="AE323" s="26">
        <v>1130.0</v>
      </c>
      <c r="AF323" s="36">
        <v>211.3</v>
      </c>
      <c r="AG323" s="36">
        <v>220.4</v>
      </c>
      <c r="AH323" s="26" t="s">
        <v>1958</v>
      </c>
      <c r="AI323" s="26">
        <v>100000.0</v>
      </c>
      <c r="AJ323" s="26">
        <v>206191.0</v>
      </c>
      <c r="AK323" s="26" t="s">
        <v>495</v>
      </c>
      <c r="AL323" s="26">
        <v>74.0</v>
      </c>
      <c r="AM323" s="26">
        <v>2113.0</v>
      </c>
      <c r="AN323" s="32"/>
      <c r="AO323" s="32"/>
      <c r="AP323" s="32"/>
      <c r="AQ323" s="32"/>
      <c r="AR323" s="32"/>
      <c r="AS323" s="32"/>
      <c r="AT323" s="26">
        <v>200.0</v>
      </c>
      <c r="AU323" s="26" t="s">
        <v>1938</v>
      </c>
      <c r="AV323" s="35">
        <v>425.0</v>
      </c>
      <c r="AW323" s="26">
        <v>250.0</v>
      </c>
      <c r="AX323" s="26">
        <v>97.0</v>
      </c>
      <c r="AY323" s="26">
        <v>485.0</v>
      </c>
      <c r="AZ323" s="37">
        <v>45414.0</v>
      </c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  <c r="CD323" s="32"/>
      <c r="CE323" s="32"/>
      <c r="CF323" s="32"/>
      <c r="CG323" s="32"/>
    </row>
    <row r="324">
      <c r="A324" s="20" t="s">
        <v>1959</v>
      </c>
      <c r="B324" s="20" t="s">
        <v>1904</v>
      </c>
      <c r="C324" s="17" t="s">
        <v>1960</v>
      </c>
      <c r="E324" s="34" t="s">
        <v>477</v>
      </c>
      <c r="F324" s="26">
        <v>73.0</v>
      </c>
      <c r="G324" s="35">
        <v>148.0</v>
      </c>
      <c r="H324" s="32"/>
      <c r="I324" s="17" t="s">
        <v>414</v>
      </c>
      <c r="J324" s="17" t="s">
        <v>415</v>
      </c>
      <c r="L324" s="26">
        <v>7.0</v>
      </c>
      <c r="M324" s="17" t="s">
        <v>417</v>
      </c>
      <c r="N324" s="17" t="s">
        <v>418</v>
      </c>
      <c r="P324" s="26">
        <v>-1.0</v>
      </c>
      <c r="Q324" s="17" t="s">
        <v>419</v>
      </c>
      <c r="R324" s="17" t="s">
        <v>420</v>
      </c>
      <c r="S324" s="17" t="s">
        <v>421</v>
      </c>
      <c r="T324" s="17" t="s">
        <v>422</v>
      </c>
      <c r="U324" s="17" t="s">
        <v>488</v>
      </c>
      <c r="V324" s="17" t="s">
        <v>938</v>
      </c>
      <c r="W324" s="17" t="s">
        <v>403</v>
      </c>
      <c r="X324" s="17" t="s">
        <v>589</v>
      </c>
      <c r="Y324" s="17" t="s">
        <v>438</v>
      </c>
      <c r="Z324" s="17" t="s">
        <v>1298</v>
      </c>
      <c r="AA324" s="17" t="s">
        <v>440</v>
      </c>
      <c r="AB324" s="17" t="s">
        <v>1937</v>
      </c>
      <c r="AC324" s="17" t="s">
        <v>428</v>
      </c>
      <c r="AD324" s="17" t="s">
        <v>583</v>
      </c>
      <c r="AE324" s="26">
        <v>420.0</v>
      </c>
      <c r="AF324" s="17" t="s">
        <v>1961</v>
      </c>
      <c r="AG324" s="17" t="s">
        <v>1788</v>
      </c>
      <c r="AH324" s="17" t="s">
        <v>1962</v>
      </c>
      <c r="AI324" s="26">
        <v>54166.0</v>
      </c>
      <c r="AJ324" s="26">
        <v>54166.0</v>
      </c>
      <c r="AK324" s="26" t="s">
        <v>1635</v>
      </c>
      <c r="AL324" s="26">
        <v>138.0</v>
      </c>
      <c r="AM324" s="26">
        <v>2150.0</v>
      </c>
      <c r="AN324" s="17" t="s">
        <v>465</v>
      </c>
      <c r="AO324" s="32"/>
      <c r="AP324" s="32"/>
      <c r="AQ324" s="32"/>
      <c r="AR324" s="32"/>
      <c r="AS324" s="32"/>
      <c r="AT324" s="26">
        <v>200.0</v>
      </c>
      <c r="AU324" s="26" t="s">
        <v>1938</v>
      </c>
      <c r="AV324" s="35">
        <v>148.0</v>
      </c>
      <c r="AW324" s="26">
        <v>170.0</v>
      </c>
      <c r="AX324" s="26">
        <v>73.0</v>
      </c>
      <c r="AY324" s="26">
        <v>365.0</v>
      </c>
      <c r="AZ324" s="26">
        <v>7.0</v>
      </c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  <c r="CD324" s="32"/>
      <c r="CE324" s="32"/>
      <c r="CF324" s="32"/>
      <c r="CG324" s="32"/>
    </row>
    <row r="325">
      <c r="A325" s="20" t="s">
        <v>1963</v>
      </c>
      <c r="B325" s="20" t="s">
        <v>1904</v>
      </c>
      <c r="C325" s="17" t="s">
        <v>1964</v>
      </c>
      <c r="D325" s="17" t="s">
        <v>435</v>
      </c>
      <c r="E325" s="34" t="s">
        <v>477</v>
      </c>
      <c r="F325" s="26" t="s">
        <v>1845</v>
      </c>
      <c r="G325" s="35">
        <v>115.0</v>
      </c>
      <c r="H325" s="32"/>
      <c r="I325" s="17" t="s">
        <v>414</v>
      </c>
      <c r="J325" s="17" t="s">
        <v>415</v>
      </c>
      <c r="L325" s="26">
        <v>7.0</v>
      </c>
      <c r="M325" s="17" t="s">
        <v>417</v>
      </c>
      <c r="N325" s="17" t="s">
        <v>418</v>
      </c>
      <c r="O325" s="26">
        <v>1000.0</v>
      </c>
      <c r="P325" s="26">
        <v>-1.0</v>
      </c>
      <c r="Q325" s="17" t="s">
        <v>419</v>
      </c>
      <c r="R325" s="17" t="s">
        <v>420</v>
      </c>
      <c r="S325" s="17" t="s">
        <v>421</v>
      </c>
      <c r="T325" s="17" t="s">
        <v>422</v>
      </c>
      <c r="U325" s="17" t="s">
        <v>423</v>
      </c>
      <c r="V325" s="17" t="s">
        <v>1965</v>
      </c>
      <c r="W325" s="17" t="s">
        <v>403</v>
      </c>
      <c r="X325" s="17" t="s">
        <v>589</v>
      </c>
      <c r="Y325" s="17" t="s">
        <v>438</v>
      </c>
      <c r="Z325" s="17" t="s">
        <v>620</v>
      </c>
      <c r="AA325" s="17" t="s">
        <v>440</v>
      </c>
      <c r="AB325" s="17" t="s">
        <v>1937</v>
      </c>
      <c r="AC325" s="17" t="s">
        <v>428</v>
      </c>
      <c r="AD325" s="17" t="s">
        <v>866</v>
      </c>
      <c r="AE325" s="26">
        <v>630.0</v>
      </c>
      <c r="AF325" s="36">
        <v>55.25</v>
      </c>
      <c r="AG325" s="36">
        <v>52.915</v>
      </c>
      <c r="AH325" s="17" t="s">
        <v>1966</v>
      </c>
      <c r="AI325" s="26">
        <v>55988.0</v>
      </c>
      <c r="AJ325" s="26">
        <v>55988.0</v>
      </c>
      <c r="AK325" s="26" t="s">
        <v>444</v>
      </c>
      <c r="AL325" s="26">
        <v>607.0</v>
      </c>
      <c r="AM325" s="26">
        <v>2151.0</v>
      </c>
      <c r="AN325" s="17" t="s">
        <v>465</v>
      </c>
      <c r="AO325" s="32"/>
      <c r="AP325" s="32"/>
      <c r="AQ325" s="32"/>
      <c r="AR325" s="32"/>
      <c r="AS325" s="32"/>
      <c r="AT325" s="26">
        <v>200.0</v>
      </c>
      <c r="AU325" s="26" t="s">
        <v>1938</v>
      </c>
      <c r="AV325" s="35">
        <v>115.0</v>
      </c>
      <c r="AW325" s="26">
        <v>170.0</v>
      </c>
      <c r="AX325" s="26" t="s">
        <v>1845</v>
      </c>
      <c r="AY325" s="26">
        <v>485.0</v>
      </c>
      <c r="AZ325" s="37">
        <v>45452.0</v>
      </c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  <c r="CE325" s="32"/>
      <c r="CF325" s="32"/>
      <c r="CG325" s="32"/>
    </row>
    <row r="326">
      <c r="A326" s="20" t="s">
        <v>1967</v>
      </c>
      <c r="B326" s="20" t="s">
        <v>1968</v>
      </c>
      <c r="C326" s="17" t="s">
        <v>1969</v>
      </c>
      <c r="D326" s="17" t="s">
        <v>435</v>
      </c>
      <c r="E326" s="34" t="s">
        <v>477</v>
      </c>
      <c r="F326" s="26">
        <v>73.0</v>
      </c>
      <c r="G326" s="35">
        <v>128.0</v>
      </c>
      <c r="H326" s="17" t="s">
        <v>413</v>
      </c>
      <c r="I326" s="17" t="s">
        <v>414</v>
      </c>
      <c r="J326" s="17" t="s">
        <v>415</v>
      </c>
      <c r="L326" s="26">
        <v>5.0</v>
      </c>
      <c r="M326" s="17" t="s">
        <v>417</v>
      </c>
      <c r="N326" s="17" t="s">
        <v>418</v>
      </c>
      <c r="O326" s="26">
        <v>1200.0</v>
      </c>
      <c r="P326" s="26">
        <v>-1.0</v>
      </c>
      <c r="Q326" s="17" t="s">
        <v>419</v>
      </c>
      <c r="R326" s="17" t="s">
        <v>420</v>
      </c>
      <c r="S326" s="17" t="s">
        <v>421</v>
      </c>
      <c r="T326" s="17" t="s">
        <v>422</v>
      </c>
      <c r="U326" s="17" t="s">
        <v>423</v>
      </c>
      <c r="V326" s="17" t="s">
        <v>639</v>
      </c>
      <c r="W326" s="17" t="s">
        <v>403</v>
      </c>
      <c r="X326" s="17" t="s">
        <v>589</v>
      </c>
      <c r="Y326" s="17" t="s">
        <v>438</v>
      </c>
      <c r="Z326" s="17" t="s">
        <v>1298</v>
      </c>
      <c r="AA326" s="17" t="s">
        <v>440</v>
      </c>
      <c r="AB326" s="17" t="s">
        <v>1937</v>
      </c>
      <c r="AC326" s="17" t="s">
        <v>428</v>
      </c>
      <c r="AD326" s="17" t="s">
        <v>583</v>
      </c>
      <c r="AE326" s="26">
        <v>420.0</v>
      </c>
      <c r="AF326" s="36">
        <v>46.75</v>
      </c>
      <c r="AG326" s="36">
        <v>45.999</v>
      </c>
      <c r="AH326" s="26" t="s">
        <v>1479</v>
      </c>
      <c r="AI326" s="26">
        <v>46631.0</v>
      </c>
      <c r="AJ326" s="26">
        <v>46631.0</v>
      </c>
      <c r="AK326" s="26" t="s">
        <v>444</v>
      </c>
      <c r="AL326" s="26">
        <v>211.0</v>
      </c>
      <c r="AM326" s="26">
        <v>3037.0</v>
      </c>
      <c r="AN326" s="32"/>
      <c r="AO326" s="32"/>
      <c r="AP326" s="17" t="s">
        <v>483</v>
      </c>
      <c r="AQ326" s="32"/>
      <c r="AR326" s="32"/>
      <c r="AS326" s="32"/>
      <c r="AT326" s="26">
        <v>200.0</v>
      </c>
      <c r="AU326" s="26" t="s">
        <v>1938</v>
      </c>
      <c r="AV326" s="35">
        <v>128.0</v>
      </c>
      <c r="AW326" s="26">
        <v>170.0</v>
      </c>
      <c r="AX326" s="26">
        <v>73.0</v>
      </c>
      <c r="AY326" s="26">
        <v>365.0</v>
      </c>
      <c r="AZ326" s="26">
        <v>9.0</v>
      </c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  <c r="CE326" s="32"/>
      <c r="CF326" s="32"/>
      <c r="CG326" s="32"/>
    </row>
    <row r="327">
      <c r="A327" s="20" t="s">
        <v>1970</v>
      </c>
      <c r="B327" s="20" t="s">
        <v>1968</v>
      </c>
      <c r="C327" s="17" t="s">
        <v>1971</v>
      </c>
      <c r="D327" s="17" t="s">
        <v>435</v>
      </c>
      <c r="E327" s="34" t="s">
        <v>477</v>
      </c>
      <c r="F327" s="26" t="s">
        <v>1972</v>
      </c>
      <c r="G327" s="35">
        <v>125.0</v>
      </c>
      <c r="H327" s="17" t="s">
        <v>413</v>
      </c>
      <c r="I327" s="17" t="s">
        <v>414</v>
      </c>
      <c r="J327" s="17" t="s">
        <v>415</v>
      </c>
      <c r="L327" s="26">
        <v>5.0</v>
      </c>
      <c r="M327" s="17" t="s">
        <v>417</v>
      </c>
      <c r="N327" s="17" t="s">
        <v>418</v>
      </c>
      <c r="O327" s="26">
        <v>1200.0</v>
      </c>
      <c r="P327" s="26">
        <v>-1.0</v>
      </c>
      <c r="Q327" s="17" t="s">
        <v>419</v>
      </c>
      <c r="R327" s="17" t="s">
        <v>420</v>
      </c>
      <c r="S327" s="17" t="s">
        <v>421</v>
      </c>
      <c r="T327" s="17" t="s">
        <v>422</v>
      </c>
      <c r="U327" s="17" t="s">
        <v>423</v>
      </c>
      <c r="V327" s="17" t="s">
        <v>639</v>
      </c>
      <c r="W327" s="17" t="s">
        <v>403</v>
      </c>
      <c r="X327" s="17" t="s">
        <v>589</v>
      </c>
      <c r="Y327" s="17" t="s">
        <v>438</v>
      </c>
      <c r="Z327" s="17" t="s">
        <v>1425</v>
      </c>
      <c r="AA327" s="17" t="s">
        <v>440</v>
      </c>
      <c r="AB327" s="17" t="s">
        <v>1937</v>
      </c>
      <c r="AC327" s="17" t="s">
        <v>428</v>
      </c>
      <c r="AD327" s="17" t="s">
        <v>545</v>
      </c>
      <c r="AE327" s="26">
        <v>470.0</v>
      </c>
      <c r="AF327" s="36">
        <v>51.95</v>
      </c>
      <c r="AG327" s="36">
        <v>50.499</v>
      </c>
      <c r="AH327" s="17" t="s">
        <v>463</v>
      </c>
      <c r="AI327" s="26">
        <v>51224.0</v>
      </c>
      <c r="AJ327" s="26">
        <v>51224.0</v>
      </c>
      <c r="AK327" s="26" t="s">
        <v>444</v>
      </c>
      <c r="AL327" s="26">
        <v>264.0</v>
      </c>
      <c r="AM327" s="26">
        <v>3038.0</v>
      </c>
      <c r="AN327" s="32"/>
      <c r="AO327" s="32"/>
      <c r="AP327" s="17" t="s">
        <v>483</v>
      </c>
      <c r="AQ327" s="32"/>
      <c r="AR327" s="32"/>
      <c r="AS327" s="32"/>
      <c r="AT327" s="26">
        <v>200.0</v>
      </c>
      <c r="AU327" s="26" t="s">
        <v>1938</v>
      </c>
      <c r="AV327" s="35">
        <v>125.0</v>
      </c>
      <c r="AW327" s="26">
        <v>170.0</v>
      </c>
      <c r="AX327" s="26" t="s">
        <v>1972</v>
      </c>
      <c r="AY327" s="26">
        <v>410.0</v>
      </c>
      <c r="AZ327" s="26">
        <v>9.0</v>
      </c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  <c r="CD327" s="32"/>
      <c r="CE327" s="32"/>
      <c r="CF327" s="32"/>
      <c r="CG327" s="32"/>
    </row>
    <row r="328">
      <c r="A328" s="20" t="s">
        <v>1973</v>
      </c>
      <c r="B328" s="20" t="s">
        <v>1974</v>
      </c>
      <c r="C328" s="17" t="s">
        <v>1975</v>
      </c>
      <c r="D328" s="17" t="s">
        <v>506</v>
      </c>
      <c r="E328" s="34" t="s">
        <v>477</v>
      </c>
      <c r="F328" s="26" t="s">
        <v>1347</v>
      </c>
      <c r="G328" s="35">
        <v>183.0</v>
      </c>
      <c r="H328" s="17" t="s">
        <v>413</v>
      </c>
      <c r="I328" s="17" t="s">
        <v>414</v>
      </c>
      <c r="J328" s="17" t="s">
        <v>415</v>
      </c>
      <c r="L328" s="26">
        <v>5.0</v>
      </c>
      <c r="M328" s="17" t="s">
        <v>417</v>
      </c>
      <c r="N328" s="17" t="s">
        <v>418</v>
      </c>
      <c r="O328" s="26">
        <v>1200.0</v>
      </c>
      <c r="P328" s="26">
        <v>5.0</v>
      </c>
      <c r="Q328" s="26">
        <v>5.0</v>
      </c>
      <c r="R328" s="17" t="s">
        <v>419</v>
      </c>
      <c r="S328" s="17" t="s">
        <v>420</v>
      </c>
      <c r="T328" s="17" t="s">
        <v>421</v>
      </c>
      <c r="U328" s="17" t="s">
        <v>423</v>
      </c>
      <c r="V328" s="17" t="s">
        <v>1265</v>
      </c>
      <c r="W328" s="17" t="s">
        <v>403</v>
      </c>
      <c r="X328" s="17" t="s">
        <v>782</v>
      </c>
      <c r="Y328" s="17" t="s">
        <v>438</v>
      </c>
      <c r="Z328" s="17" t="s">
        <v>1298</v>
      </c>
      <c r="AA328" s="17" t="s">
        <v>440</v>
      </c>
      <c r="AB328" s="17" t="s">
        <v>1976</v>
      </c>
      <c r="AC328" s="17" t="s">
        <v>428</v>
      </c>
      <c r="AD328" s="17" t="s">
        <v>710</v>
      </c>
      <c r="AE328" s="26">
        <v>510.0</v>
      </c>
      <c r="AF328" s="36">
        <v>65.5</v>
      </c>
      <c r="AG328" s="36">
        <v>67.9</v>
      </c>
      <c r="AH328" s="17" t="s">
        <v>463</v>
      </c>
      <c r="AI328" s="26">
        <v>66700.0</v>
      </c>
      <c r="AJ328" s="26">
        <v>66700.0</v>
      </c>
      <c r="AK328" s="26" t="s">
        <v>431</v>
      </c>
      <c r="AL328" s="26">
        <v>104.0</v>
      </c>
      <c r="AM328" s="26">
        <v>1921.0</v>
      </c>
      <c r="AN328" s="32"/>
      <c r="AO328" s="17" t="s">
        <v>422</v>
      </c>
      <c r="AP328" s="32"/>
      <c r="AQ328" s="32"/>
      <c r="AR328" s="32"/>
      <c r="AS328" s="32"/>
      <c r="AT328" s="26">
        <v>201.0</v>
      </c>
      <c r="AU328" s="26" t="s">
        <v>1977</v>
      </c>
      <c r="AV328" s="35">
        <v>183.0</v>
      </c>
      <c r="AW328" s="26">
        <v>200.0</v>
      </c>
      <c r="AX328" s="26" t="s">
        <v>1347</v>
      </c>
      <c r="AY328" s="26">
        <v>365.0</v>
      </c>
      <c r="AZ328" s="37">
        <v>45416.0</v>
      </c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  <c r="CE328" s="32"/>
      <c r="CF328" s="32"/>
      <c r="CG328" s="32"/>
    </row>
    <row r="329">
      <c r="A329" s="20" t="s">
        <v>1978</v>
      </c>
      <c r="B329" s="20" t="s">
        <v>1979</v>
      </c>
      <c r="C329" s="17" t="s">
        <v>1980</v>
      </c>
      <c r="D329" s="17" t="s">
        <v>804</v>
      </c>
      <c r="E329" s="34" t="s">
        <v>477</v>
      </c>
      <c r="F329" s="26" t="s">
        <v>1314</v>
      </c>
      <c r="G329" s="35">
        <v>186.0</v>
      </c>
      <c r="H329" s="17" t="s">
        <v>413</v>
      </c>
      <c r="I329" s="17" t="s">
        <v>414</v>
      </c>
      <c r="J329" s="17" t="s">
        <v>415</v>
      </c>
      <c r="L329" s="26">
        <v>5.0</v>
      </c>
      <c r="M329" s="17" t="s">
        <v>417</v>
      </c>
      <c r="N329" s="17" t="s">
        <v>418</v>
      </c>
      <c r="O329" s="26">
        <v>750.0</v>
      </c>
      <c r="P329" s="26">
        <v>5.0</v>
      </c>
      <c r="Q329" s="26">
        <v>5.0</v>
      </c>
      <c r="R329" s="17" t="s">
        <v>419</v>
      </c>
      <c r="S329" s="17" t="s">
        <v>420</v>
      </c>
      <c r="T329" s="17" t="s">
        <v>421</v>
      </c>
      <c r="U329" s="17" t="s">
        <v>423</v>
      </c>
      <c r="V329" s="17" t="s">
        <v>851</v>
      </c>
      <c r="W329" s="17" t="s">
        <v>403</v>
      </c>
      <c r="X329" s="17" t="s">
        <v>619</v>
      </c>
      <c r="Y329" s="17" t="s">
        <v>438</v>
      </c>
      <c r="Z329" s="17" t="s">
        <v>1143</v>
      </c>
      <c r="AA329" s="17" t="s">
        <v>440</v>
      </c>
      <c r="AB329" s="17" t="s">
        <v>1976</v>
      </c>
      <c r="AC329" s="17" t="s">
        <v>428</v>
      </c>
      <c r="AD329" s="17" t="s">
        <v>1144</v>
      </c>
      <c r="AE329" s="26">
        <v>670.0</v>
      </c>
      <c r="AF329" s="36">
        <v>83.479</v>
      </c>
      <c r="AG329" s="36">
        <v>83.48</v>
      </c>
      <c r="AH329" s="17" t="s">
        <v>463</v>
      </c>
      <c r="AI329" s="26">
        <v>83479.0</v>
      </c>
      <c r="AJ329" s="26">
        <v>83479.0</v>
      </c>
      <c r="AK329" s="26" t="s">
        <v>777</v>
      </c>
      <c r="AL329" s="26">
        <v>211.0</v>
      </c>
      <c r="AM329" s="26">
        <v>2045.0</v>
      </c>
      <c r="AN329" s="32"/>
      <c r="AO329" s="17" t="s">
        <v>422</v>
      </c>
      <c r="AP329" s="32"/>
      <c r="AQ329" s="32"/>
      <c r="AR329" s="32"/>
      <c r="AS329" s="32"/>
      <c r="AT329" s="26">
        <v>201.0</v>
      </c>
      <c r="AU329" s="26" t="s">
        <v>1977</v>
      </c>
      <c r="AV329" s="35">
        <v>186.0</v>
      </c>
      <c r="AW329" s="26">
        <v>210.0</v>
      </c>
      <c r="AX329" s="26" t="s">
        <v>1314</v>
      </c>
      <c r="AY329" s="26">
        <v>450.0</v>
      </c>
      <c r="AZ329" s="37">
        <v>45450.0</v>
      </c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  <c r="CD329" s="32"/>
      <c r="CE329" s="32"/>
      <c r="CF329" s="32"/>
      <c r="CG329" s="32"/>
    </row>
    <row r="330">
      <c r="A330" s="20" t="s">
        <v>1981</v>
      </c>
      <c r="B330" s="20" t="s">
        <v>1982</v>
      </c>
      <c r="C330" s="17" t="s">
        <v>1983</v>
      </c>
      <c r="D330" s="17" t="s">
        <v>487</v>
      </c>
      <c r="E330" s="34" t="s">
        <v>477</v>
      </c>
      <c r="F330" s="26" t="s">
        <v>1314</v>
      </c>
      <c r="G330" s="35">
        <v>240.0</v>
      </c>
      <c r="H330" s="17" t="s">
        <v>413</v>
      </c>
      <c r="I330" s="17" t="s">
        <v>414</v>
      </c>
      <c r="J330" s="17" t="s">
        <v>415</v>
      </c>
      <c r="K330" s="17" t="s">
        <v>416</v>
      </c>
      <c r="L330" s="26">
        <v>5.0</v>
      </c>
      <c r="M330" s="17" t="s">
        <v>417</v>
      </c>
      <c r="N330" s="17" t="s">
        <v>418</v>
      </c>
      <c r="O330" s="26">
        <v>1700.0</v>
      </c>
      <c r="P330" s="26">
        <v>5.0</v>
      </c>
      <c r="Q330" s="26">
        <v>5.0</v>
      </c>
      <c r="R330" s="17" t="s">
        <v>419</v>
      </c>
      <c r="S330" s="17" t="s">
        <v>420</v>
      </c>
      <c r="T330" s="17" t="s">
        <v>421</v>
      </c>
      <c r="U330" s="17" t="s">
        <v>423</v>
      </c>
      <c r="V330" s="17" t="s">
        <v>1324</v>
      </c>
      <c r="W330" s="17" t="s">
        <v>403</v>
      </c>
      <c r="X330" s="17" t="s">
        <v>619</v>
      </c>
      <c r="Y330" s="17" t="s">
        <v>438</v>
      </c>
      <c r="Z330" s="17" t="s">
        <v>1143</v>
      </c>
      <c r="AA330" s="17" t="s">
        <v>440</v>
      </c>
      <c r="AB330" s="17" t="s">
        <v>1976</v>
      </c>
      <c r="AC330" s="17" t="s">
        <v>428</v>
      </c>
      <c r="AD330" s="17" t="s">
        <v>1144</v>
      </c>
      <c r="AE330" s="26">
        <v>670.0</v>
      </c>
      <c r="AF330" s="36">
        <v>104.756</v>
      </c>
      <c r="AG330" s="36">
        <v>111.068</v>
      </c>
      <c r="AH330" s="17" t="s">
        <v>463</v>
      </c>
      <c r="AI330" s="26">
        <v>100000.0</v>
      </c>
      <c r="AJ330" s="26">
        <v>107912.0</v>
      </c>
      <c r="AK330" s="26" t="s">
        <v>495</v>
      </c>
      <c r="AL330" s="26">
        <v>106.0</v>
      </c>
      <c r="AM330" s="26">
        <v>2208.0</v>
      </c>
      <c r="AN330" s="32"/>
      <c r="AO330" s="17" t="s">
        <v>422</v>
      </c>
      <c r="AP330" s="32"/>
      <c r="AQ330" s="32"/>
      <c r="AR330" s="32"/>
      <c r="AS330" s="32"/>
      <c r="AT330" s="26">
        <v>201.0</v>
      </c>
      <c r="AU330" s="26" t="s">
        <v>1977</v>
      </c>
      <c r="AV330" s="35">
        <v>240.0</v>
      </c>
      <c r="AW330" s="26">
        <v>210.0</v>
      </c>
      <c r="AX330" s="26" t="s">
        <v>1314</v>
      </c>
      <c r="AY330" s="26">
        <v>450.0</v>
      </c>
      <c r="AZ330" s="37">
        <v>45326.0</v>
      </c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  <c r="CD330" s="32"/>
      <c r="CE330" s="32"/>
      <c r="CF330" s="32"/>
      <c r="CG330" s="32"/>
    </row>
    <row r="331">
      <c r="A331" s="20" t="s">
        <v>1984</v>
      </c>
      <c r="B331" s="20" t="s">
        <v>1985</v>
      </c>
      <c r="C331" s="17" t="s">
        <v>1986</v>
      </c>
      <c r="D331" s="17" t="s">
        <v>487</v>
      </c>
      <c r="E331" s="34" t="s">
        <v>477</v>
      </c>
      <c r="F331" s="26" t="s">
        <v>1314</v>
      </c>
      <c r="G331" s="35">
        <v>267.0</v>
      </c>
      <c r="H331" s="17" t="s">
        <v>413</v>
      </c>
      <c r="I331" s="17" t="s">
        <v>414</v>
      </c>
      <c r="J331" s="17" t="s">
        <v>415</v>
      </c>
      <c r="K331" s="17" t="s">
        <v>416</v>
      </c>
      <c r="L331" s="26">
        <v>5.0</v>
      </c>
      <c r="M331" s="17" t="s">
        <v>417</v>
      </c>
      <c r="N331" s="17" t="s">
        <v>418</v>
      </c>
      <c r="O331" s="26">
        <v>1700.0</v>
      </c>
      <c r="P331" s="26">
        <v>5.0</v>
      </c>
      <c r="Q331" s="26">
        <v>5.0</v>
      </c>
      <c r="R331" s="17" t="s">
        <v>419</v>
      </c>
      <c r="S331" s="17" t="s">
        <v>420</v>
      </c>
      <c r="T331" s="17" t="s">
        <v>421</v>
      </c>
      <c r="U331" s="17" t="s">
        <v>423</v>
      </c>
      <c r="V331" s="17" t="s">
        <v>1987</v>
      </c>
      <c r="W331" s="17" t="s">
        <v>403</v>
      </c>
      <c r="X331" s="17" t="s">
        <v>1652</v>
      </c>
      <c r="Y331" s="17" t="s">
        <v>438</v>
      </c>
      <c r="Z331" s="17" t="s">
        <v>1143</v>
      </c>
      <c r="AA331" s="17" t="s">
        <v>440</v>
      </c>
      <c r="AB331" s="17" t="s">
        <v>1976</v>
      </c>
      <c r="AC331" s="17" t="s">
        <v>428</v>
      </c>
      <c r="AD331" s="17" t="s">
        <v>1144</v>
      </c>
      <c r="AE331" s="26">
        <v>670.0</v>
      </c>
      <c r="AF331" s="36">
        <v>110.706</v>
      </c>
      <c r="AG331" s="36">
        <v>128.613</v>
      </c>
      <c r="AH331" s="26" t="s">
        <v>1988</v>
      </c>
      <c r="AI331" s="26">
        <v>100000.0</v>
      </c>
      <c r="AJ331" s="26">
        <v>120352.0</v>
      </c>
      <c r="AK331" s="26" t="s">
        <v>495</v>
      </c>
      <c r="AL331" s="26">
        <v>90.0</v>
      </c>
      <c r="AM331" s="26">
        <v>2209.0</v>
      </c>
      <c r="AN331" s="32"/>
      <c r="AO331" s="17" t="s">
        <v>422</v>
      </c>
      <c r="AP331" s="32"/>
      <c r="AQ331" s="32"/>
      <c r="AR331" s="32"/>
      <c r="AS331" s="32"/>
      <c r="AT331" s="26">
        <v>201.0</v>
      </c>
      <c r="AU331" s="26" t="s">
        <v>1977</v>
      </c>
      <c r="AV331" s="35">
        <v>267.0</v>
      </c>
      <c r="AW331" s="26">
        <v>220.0</v>
      </c>
      <c r="AX331" s="26" t="s">
        <v>1314</v>
      </c>
      <c r="AY331" s="26">
        <v>450.0</v>
      </c>
      <c r="AZ331" s="37">
        <v>45415.0</v>
      </c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  <c r="CD331" s="32"/>
      <c r="CE331" s="32"/>
      <c r="CF331" s="32"/>
      <c r="CG331" s="32"/>
    </row>
    <row r="332">
      <c r="A332" s="20" t="s">
        <v>1989</v>
      </c>
      <c r="B332" s="20" t="s">
        <v>1990</v>
      </c>
      <c r="C332" s="17" t="s">
        <v>1991</v>
      </c>
      <c r="D332" s="17" t="s">
        <v>565</v>
      </c>
      <c r="E332" s="34" t="s">
        <v>550</v>
      </c>
      <c r="F332" s="26" t="s">
        <v>1347</v>
      </c>
      <c r="G332" s="35">
        <v>255.0</v>
      </c>
      <c r="H332" s="17" t="s">
        <v>413</v>
      </c>
      <c r="I332" s="17" t="s">
        <v>414</v>
      </c>
      <c r="J332" s="17" t="s">
        <v>415</v>
      </c>
      <c r="L332" s="26">
        <v>6.0</v>
      </c>
      <c r="M332" s="17" t="s">
        <v>417</v>
      </c>
      <c r="N332" s="17" t="s">
        <v>418</v>
      </c>
      <c r="O332" s="26">
        <v>2000.0</v>
      </c>
      <c r="P332" s="26">
        <v>-1.0</v>
      </c>
      <c r="Q332" s="17" t="s">
        <v>419</v>
      </c>
      <c r="R332" s="17" t="s">
        <v>420</v>
      </c>
      <c r="S332" s="17" t="s">
        <v>421</v>
      </c>
      <c r="T332" s="17" t="s">
        <v>422</v>
      </c>
      <c r="U332" s="17" t="s">
        <v>423</v>
      </c>
      <c r="V332" s="17" t="s">
        <v>1468</v>
      </c>
      <c r="W332" s="17" t="s">
        <v>403</v>
      </c>
      <c r="X332" s="17" t="s">
        <v>782</v>
      </c>
      <c r="Y332" s="17" t="s">
        <v>404</v>
      </c>
      <c r="Z332" s="17" t="s">
        <v>1298</v>
      </c>
      <c r="AA332" s="17" t="s">
        <v>401</v>
      </c>
      <c r="AB332" s="17" t="s">
        <v>1976</v>
      </c>
      <c r="AC332" s="17" t="s">
        <v>428</v>
      </c>
      <c r="AD332" s="17" t="s">
        <v>710</v>
      </c>
      <c r="AE332" s="26">
        <v>510.0</v>
      </c>
      <c r="AF332" s="36">
        <v>94.9</v>
      </c>
      <c r="AG332" s="36">
        <v>90.9</v>
      </c>
      <c r="AH332" s="17" t="s">
        <v>463</v>
      </c>
      <c r="AI332" s="26">
        <v>92900.0</v>
      </c>
      <c r="AJ332" s="26">
        <v>92900.0</v>
      </c>
      <c r="AK332" s="26" t="s">
        <v>567</v>
      </c>
      <c r="AL332" s="26">
        <v>62.0</v>
      </c>
      <c r="AM332" s="26">
        <v>2222.0</v>
      </c>
      <c r="AN332" s="32"/>
      <c r="AO332" s="32"/>
      <c r="AP332" s="32"/>
      <c r="AQ332" s="32"/>
      <c r="AR332" s="32"/>
      <c r="AS332" s="32"/>
      <c r="AT332" s="26">
        <v>201.0</v>
      </c>
      <c r="AU332" s="26" t="s">
        <v>1977</v>
      </c>
      <c r="AV332" s="35">
        <v>255.0</v>
      </c>
      <c r="AW332" s="26">
        <v>200.0</v>
      </c>
      <c r="AX332" s="26" t="s">
        <v>1347</v>
      </c>
      <c r="AY332" s="26">
        <v>365.0</v>
      </c>
      <c r="AZ332" s="37">
        <v>45295.0</v>
      </c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  <c r="CD332" s="32"/>
      <c r="CE332" s="32"/>
      <c r="CF332" s="32"/>
      <c r="CG332" s="32"/>
    </row>
    <row r="333">
      <c r="A333" s="20" t="s">
        <v>1992</v>
      </c>
      <c r="B333" s="20" t="s">
        <v>1944</v>
      </c>
      <c r="C333" s="17" t="s">
        <v>1993</v>
      </c>
      <c r="D333" s="17" t="s">
        <v>469</v>
      </c>
      <c r="E333" s="34" t="s">
        <v>550</v>
      </c>
      <c r="F333" s="26">
        <v>106.0</v>
      </c>
      <c r="G333" s="35">
        <v>169.0</v>
      </c>
      <c r="H333" s="17" t="s">
        <v>413</v>
      </c>
      <c r="I333" s="17" t="s">
        <v>414</v>
      </c>
      <c r="J333" s="17" t="s">
        <v>415</v>
      </c>
      <c r="L333" s="26">
        <v>5.0</v>
      </c>
      <c r="M333" s="17" t="s">
        <v>417</v>
      </c>
      <c r="N333" s="17" t="s">
        <v>418</v>
      </c>
      <c r="O333" s="26">
        <v>1800.0</v>
      </c>
      <c r="P333" s="26">
        <v>-1.0</v>
      </c>
      <c r="Q333" s="17" t="s">
        <v>419</v>
      </c>
      <c r="R333" s="17" t="s">
        <v>420</v>
      </c>
      <c r="S333" s="17" t="s">
        <v>421</v>
      </c>
      <c r="T333" s="17" t="s">
        <v>422</v>
      </c>
      <c r="U333" s="17" t="s">
        <v>423</v>
      </c>
      <c r="V333" s="17" t="s">
        <v>678</v>
      </c>
      <c r="W333" s="17" t="s">
        <v>403</v>
      </c>
      <c r="X333" s="17" t="s">
        <v>782</v>
      </c>
      <c r="Y333" s="17" t="s">
        <v>404</v>
      </c>
      <c r="Z333" s="17" t="s">
        <v>449</v>
      </c>
      <c r="AA333" s="17" t="s">
        <v>401</v>
      </c>
      <c r="AB333" s="17" t="s">
        <v>1994</v>
      </c>
      <c r="AC333" s="17" t="s">
        <v>428</v>
      </c>
      <c r="AD333" s="17" t="s">
        <v>1114</v>
      </c>
      <c r="AE333" s="26">
        <v>660.0</v>
      </c>
      <c r="AF333" s="36">
        <v>89.55</v>
      </c>
      <c r="AG333" s="36">
        <v>80.99</v>
      </c>
      <c r="AH333" s="26" t="s">
        <v>1995</v>
      </c>
      <c r="AI333" s="26">
        <v>88745.0</v>
      </c>
      <c r="AJ333" s="26">
        <v>88745.0</v>
      </c>
      <c r="AK333" s="26" t="s">
        <v>464</v>
      </c>
      <c r="AL333" s="26">
        <v>307.0</v>
      </c>
      <c r="AM333" s="26">
        <v>1772.0</v>
      </c>
      <c r="AN333" s="32"/>
      <c r="AO333" s="32"/>
      <c r="AP333" s="32"/>
      <c r="AQ333" s="32"/>
      <c r="AR333" s="32"/>
      <c r="AS333" s="32"/>
      <c r="AT333" s="26">
        <v>202.0</v>
      </c>
      <c r="AU333" s="26" t="s">
        <v>1996</v>
      </c>
      <c r="AV333" s="35">
        <v>169.0</v>
      </c>
      <c r="AW333" s="26">
        <v>200.0</v>
      </c>
      <c r="AX333" s="26">
        <v>106.0</v>
      </c>
      <c r="AY333" s="26">
        <v>525.0</v>
      </c>
      <c r="AZ333" s="37">
        <v>45448.0</v>
      </c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  <c r="CE333" s="32"/>
      <c r="CF333" s="32"/>
      <c r="CG333" s="32"/>
    </row>
    <row r="334">
      <c r="A334" s="20" t="s">
        <v>1997</v>
      </c>
      <c r="B334" s="20" t="s">
        <v>1979</v>
      </c>
      <c r="C334" s="17" t="s">
        <v>1998</v>
      </c>
      <c r="D334" s="17" t="s">
        <v>804</v>
      </c>
      <c r="E334" s="34" t="s">
        <v>477</v>
      </c>
      <c r="F334" s="26">
        <v>96.0</v>
      </c>
      <c r="G334" s="35">
        <v>186.0</v>
      </c>
      <c r="H334" s="17" t="s">
        <v>413</v>
      </c>
      <c r="I334" s="17" t="s">
        <v>414</v>
      </c>
      <c r="J334" s="17" t="s">
        <v>415</v>
      </c>
      <c r="L334" s="26">
        <v>5.0</v>
      </c>
      <c r="M334" s="17" t="s">
        <v>417</v>
      </c>
      <c r="N334" s="17" t="s">
        <v>418</v>
      </c>
      <c r="O334" s="26">
        <v>750.0</v>
      </c>
      <c r="P334" s="26">
        <v>5.0</v>
      </c>
      <c r="Q334" s="26">
        <v>5.0</v>
      </c>
      <c r="R334" s="17" t="s">
        <v>419</v>
      </c>
      <c r="S334" s="17" t="s">
        <v>420</v>
      </c>
      <c r="T334" s="17" t="s">
        <v>421</v>
      </c>
      <c r="U334" s="17" t="s">
        <v>423</v>
      </c>
      <c r="V334" s="17" t="s">
        <v>797</v>
      </c>
      <c r="W334" s="17" t="s">
        <v>403</v>
      </c>
      <c r="X334" s="17" t="s">
        <v>619</v>
      </c>
      <c r="Y334" s="17" t="s">
        <v>438</v>
      </c>
      <c r="Z334" s="17" t="s">
        <v>740</v>
      </c>
      <c r="AA334" s="17" t="s">
        <v>440</v>
      </c>
      <c r="AB334" s="17" t="s">
        <v>1994</v>
      </c>
      <c r="AC334" s="17" t="s">
        <v>428</v>
      </c>
      <c r="AD334" s="17" t="s">
        <v>1114</v>
      </c>
      <c r="AE334" s="26">
        <v>660.0</v>
      </c>
      <c r="AF334" s="36">
        <v>86.811</v>
      </c>
      <c r="AG334" s="36">
        <v>91.95</v>
      </c>
      <c r="AH334" s="26" t="s">
        <v>1999</v>
      </c>
      <c r="AI334" s="26">
        <v>88526.0</v>
      </c>
      <c r="AJ334" s="26">
        <v>88526.0</v>
      </c>
      <c r="AK334" s="26" t="s">
        <v>777</v>
      </c>
      <c r="AL334" s="26">
        <v>192.0</v>
      </c>
      <c r="AM334" s="26">
        <v>2046.0</v>
      </c>
      <c r="AN334" s="32"/>
      <c r="AO334" s="17" t="s">
        <v>422</v>
      </c>
      <c r="AP334" s="32"/>
      <c r="AQ334" s="32"/>
      <c r="AR334" s="32"/>
      <c r="AS334" s="32"/>
      <c r="AT334" s="26">
        <v>202.0</v>
      </c>
      <c r="AU334" s="26" t="s">
        <v>1996</v>
      </c>
      <c r="AV334" s="35">
        <v>186.0</v>
      </c>
      <c r="AW334" s="26">
        <v>210.0</v>
      </c>
      <c r="AX334" s="26">
        <v>96.0</v>
      </c>
      <c r="AY334" s="26">
        <v>475.0</v>
      </c>
      <c r="AZ334" s="37">
        <v>45541.0</v>
      </c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  <c r="CD334" s="32"/>
      <c r="CE334" s="32"/>
      <c r="CF334" s="32"/>
      <c r="CG334" s="32"/>
    </row>
    <row r="335">
      <c r="A335" s="20" t="s">
        <v>2000</v>
      </c>
      <c r="B335" s="20" t="s">
        <v>2001</v>
      </c>
      <c r="C335" s="17" t="s">
        <v>2002</v>
      </c>
      <c r="D335" s="17" t="s">
        <v>835</v>
      </c>
      <c r="E335" s="34" t="s">
        <v>477</v>
      </c>
      <c r="F335" s="26">
        <v>95.0</v>
      </c>
      <c r="G335" s="35">
        <v>245.0</v>
      </c>
      <c r="H335" s="17" t="s">
        <v>413</v>
      </c>
      <c r="I335" s="17" t="s">
        <v>414</v>
      </c>
      <c r="J335" s="17" t="s">
        <v>415</v>
      </c>
      <c r="L335" s="26">
        <v>5.0</v>
      </c>
      <c r="M335" s="17" t="s">
        <v>417</v>
      </c>
      <c r="N335" s="17" t="s">
        <v>418</v>
      </c>
      <c r="O335" s="26">
        <v>2000.0</v>
      </c>
      <c r="P335" s="26">
        <v>-1.0</v>
      </c>
      <c r="Q335" s="17" t="s">
        <v>419</v>
      </c>
      <c r="R335" s="17" t="s">
        <v>420</v>
      </c>
      <c r="S335" s="17" t="s">
        <v>421</v>
      </c>
      <c r="T335" s="17" t="s">
        <v>422</v>
      </c>
      <c r="U335" s="17" t="s">
        <v>423</v>
      </c>
      <c r="V335" s="17" t="s">
        <v>1507</v>
      </c>
      <c r="W335" s="17" t="s">
        <v>403</v>
      </c>
      <c r="X335" s="17" t="s">
        <v>1483</v>
      </c>
      <c r="Y335" s="17" t="s">
        <v>438</v>
      </c>
      <c r="Z335" s="17" t="s">
        <v>844</v>
      </c>
      <c r="AA335" s="17" t="s">
        <v>440</v>
      </c>
      <c r="AB335" s="17" t="s">
        <v>1994</v>
      </c>
      <c r="AC335" s="17" t="s">
        <v>428</v>
      </c>
      <c r="AD335" s="17" t="s">
        <v>784</v>
      </c>
      <c r="AE335" s="26">
        <v>940.0</v>
      </c>
      <c r="AF335" s="36">
        <v>114.6</v>
      </c>
      <c r="AG335" s="36">
        <v>121.0</v>
      </c>
      <c r="AH335" s="26" t="s">
        <v>2003</v>
      </c>
      <c r="AI335" s="26">
        <v>100000.0</v>
      </c>
      <c r="AJ335" s="26">
        <v>114950.0</v>
      </c>
      <c r="AK335" s="26" t="s">
        <v>777</v>
      </c>
      <c r="AL335" s="26">
        <v>262.0</v>
      </c>
      <c r="AM335" s="26">
        <v>2085.0</v>
      </c>
      <c r="AN335" s="32"/>
      <c r="AO335" s="32"/>
      <c r="AP335" s="32"/>
      <c r="AQ335" s="32"/>
      <c r="AR335" s="32"/>
      <c r="AS335" s="32"/>
      <c r="AT335" s="26">
        <v>202.0</v>
      </c>
      <c r="AU335" s="26" t="s">
        <v>1996</v>
      </c>
      <c r="AV335" s="35">
        <v>245.0</v>
      </c>
      <c r="AW335" s="26">
        <v>260.0</v>
      </c>
      <c r="AX335" s="26">
        <v>95.0</v>
      </c>
      <c r="AY335" s="26">
        <v>470.0</v>
      </c>
      <c r="AZ335" s="37">
        <v>45354.0</v>
      </c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  <c r="CD335" s="32"/>
      <c r="CE335" s="32"/>
      <c r="CF335" s="32"/>
      <c r="CG335" s="32"/>
    </row>
    <row r="336">
      <c r="A336" s="20" t="s">
        <v>2004</v>
      </c>
      <c r="B336" s="20" t="s">
        <v>2005</v>
      </c>
      <c r="C336" s="17" t="s">
        <v>2006</v>
      </c>
      <c r="D336" s="17" t="s">
        <v>487</v>
      </c>
      <c r="E336" s="34" t="s">
        <v>477</v>
      </c>
      <c r="F336" s="26" t="s">
        <v>685</v>
      </c>
      <c r="G336" s="35">
        <v>214.0</v>
      </c>
      <c r="H336" s="17" t="s">
        <v>413</v>
      </c>
      <c r="I336" s="17" t="s">
        <v>414</v>
      </c>
      <c r="J336" s="17" t="s">
        <v>415</v>
      </c>
      <c r="L336" s="26">
        <v>5.0</v>
      </c>
      <c r="M336" s="17" t="s">
        <v>417</v>
      </c>
      <c r="N336" s="17" t="s">
        <v>418</v>
      </c>
      <c r="O336" s="26">
        <v>2400.0</v>
      </c>
      <c r="P336" s="26">
        <v>-1.0</v>
      </c>
      <c r="Q336" s="17" t="s">
        <v>419</v>
      </c>
      <c r="R336" s="17" t="s">
        <v>420</v>
      </c>
      <c r="S336" s="17" t="s">
        <v>421</v>
      </c>
      <c r="T336" s="17" t="s">
        <v>422</v>
      </c>
      <c r="U336" s="17" t="s">
        <v>423</v>
      </c>
      <c r="V336" s="17" t="s">
        <v>1804</v>
      </c>
      <c r="W336" s="17" t="s">
        <v>403</v>
      </c>
      <c r="X336" s="17" t="s">
        <v>655</v>
      </c>
      <c r="Y336" s="17" t="s">
        <v>438</v>
      </c>
      <c r="Z336" s="17" t="s">
        <v>844</v>
      </c>
      <c r="AA336" s="17" t="s">
        <v>440</v>
      </c>
      <c r="AB336" s="17" t="s">
        <v>1994</v>
      </c>
      <c r="AC336" s="17" t="s">
        <v>428</v>
      </c>
      <c r="AD336" s="17" t="s">
        <v>784</v>
      </c>
      <c r="AE336" s="26">
        <v>940.0</v>
      </c>
      <c r="AF336" s="36">
        <v>93.8</v>
      </c>
      <c r="AG336" s="36">
        <v>101.4</v>
      </c>
      <c r="AH336" s="26" t="s">
        <v>2007</v>
      </c>
      <c r="AI336" s="26">
        <v>100000.0</v>
      </c>
      <c r="AJ336" s="26">
        <v>100697.0</v>
      </c>
      <c r="AK336" s="26" t="s">
        <v>495</v>
      </c>
      <c r="AL336" s="26">
        <v>176.0</v>
      </c>
      <c r="AM336" s="26">
        <v>2147.0</v>
      </c>
      <c r="AN336" s="32"/>
      <c r="AO336" s="32"/>
      <c r="AP336" s="32"/>
      <c r="AQ336" s="32"/>
      <c r="AR336" s="32"/>
      <c r="AS336" s="32"/>
      <c r="AT336" s="26">
        <v>202.0</v>
      </c>
      <c r="AU336" s="26" t="s">
        <v>1996</v>
      </c>
      <c r="AV336" s="35">
        <v>214.0</v>
      </c>
      <c r="AW336" s="26">
        <v>230.0</v>
      </c>
      <c r="AX336" s="26" t="s">
        <v>685</v>
      </c>
      <c r="AY336" s="26">
        <v>470.0</v>
      </c>
      <c r="AZ336" s="37">
        <v>45355.0</v>
      </c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  <c r="CD336" s="32"/>
      <c r="CE336" s="32"/>
      <c r="CF336" s="32"/>
      <c r="CG336" s="32"/>
    </row>
    <row r="337">
      <c r="A337" s="20" t="s">
        <v>2008</v>
      </c>
      <c r="B337" s="20" t="s">
        <v>1147</v>
      </c>
      <c r="C337" s="17" t="s">
        <v>2009</v>
      </c>
      <c r="D337" s="17" t="s">
        <v>487</v>
      </c>
      <c r="E337" s="34" t="s">
        <v>477</v>
      </c>
      <c r="F337" s="26">
        <v>118.0</v>
      </c>
      <c r="G337" s="35">
        <v>293.0</v>
      </c>
      <c r="H337" s="17" t="s">
        <v>413</v>
      </c>
      <c r="I337" s="17" t="s">
        <v>414</v>
      </c>
      <c r="J337" s="17" t="s">
        <v>415</v>
      </c>
      <c r="K337" s="17" t="s">
        <v>416</v>
      </c>
      <c r="L337" s="26">
        <v>5.0</v>
      </c>
      <c r="M337" s="17" t="s">
        <v>417</v>
      </c>
      <c r="N337" s="17" t="s">
        <v>418</v>
      </c>
      <c r="O337" s="26">
        <v>1700.0</v>
      </c>
      <c r="P337" s="26">
        <v>-1.0</v>
      </c>
      <c r="Q337" s="17" t="s">
        <v>419</v>
      </c>
      <c r="R337" s="17" t="s">
        <v>420</v>
      </c>
      <c r="S337" s="17" t="s">
        <v>421</v>
      </c>
      <c r="T337" s="17" t="s">
        <v>422</v>
      </c>
      <c r="U337" s="17" t="s">
        <v>423</v>
      </c>
      <c r="V337" s="17" t="s">
        <v>1406</v>
      </c>
      <c r="W337" s="17" t="s">
        <v>403</v>
      </c>
      <c r="X337" s="17" t="s">
        <v>701</v>
      </c>
      <c r="Y337" s="17" t="s">
        <v>438</v>
      </c>
      <c r="Z337" s="17" t="s">
        <v>765</v>
      </c>
      <c r="AA337" s="17" t="s">
        <v>440</v>
      </c>
      <c r="AB337" s="17" t="s">
        <v>1994</v>
      </c>
      <c r="AC337" s="17" t="s">
        <v>428</v>
      </c>
      <c r="AD337" s="17" t="s">
        <v>1182</v>
      </c>
      <c r="AE337" s="26">
        <v>740.0</v>
      </c>
      <c r="AF337" s="36">
        <v>155.009</v>
      </c>
      <c r="AG337" s="36">
        <v>173.825</v>
      </c>
      <c r="AH337" s="26" t="s">
        <v>2010</v>
      </c>
      <c r="AI337" s="26">
        <v>100000.0</v>
      </c>
      <c r="AJ337" s="26">
        <v>171657.0</v>
      </c>
      <c r="AK337" s="26" t="s">
        <v>495</v>
      </c>
      <c r="AL337" s="26">
        <v>178.0</v>
      </c>
      <c r="AM337" s="26">
        <v>2197.0</v>
      </c>
      <c r="AN337" s="32"/>
      <c r="AO337" s="32"/>
      <c r="AP337" s="32"/>
      <c r="AQ337" s="32"/>
      <c r="AR337" s="32"/>
      <c r="AS337" s="32"/>
      <c r="AT337" s="26">
        <v>202.0</v>
      </c>
      <c r="AU337" s="26" t="s">
        <v>1996</v>
      </c>
      <c r="AV337" s="35">
        <v>293.0</v>
      </c>
      <c r="AW337" s="26">
        <v>250.0</v>
      </c>
      <c r="AX337" s="26">
        <v>118.0</v>
      </c>
      <c r="AY337" s="26">
        <v>585.0</v>
      </c>
      <c r="AZ337" s="37">
        <v>45385.0</v>
      </c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  <c r="CD337" s="32"/>
      <c r="CE337" s="32"/>
      <c r="CF337" s="32"/>
      <c r="CG337" s="32"/>
    </row>
    <row r="338">
      <c r="A338" s="20" t="s">
        <v>2011</v>
      </c>
      <c r="B338" s="20" t="s">
        <v>1713</v>
      </c>
      <c r="C338" s="17" t="s">
        <v>2012</v>
      </c>
      <c r="D338" s="17" t="s">
        <v>951</v>
      </c>
      <c r="E338" s="34" t="s">
        <v>436</v>
      </c>
      <c r="F338" s="26">
        <v>74.0</v>
      </c>
      <c r="G338" s="35">
        <v>206.0</v>
      </c>
      <c r="H338" s="32"/>
      <c r="I338" s="17" t="s">
        <v>414</v>
      </c>
      <c r="J338" s="17" t="s">
        <v>415</v>
      </c>
      <c r="L338" s="26">
        <v>5.0</v>
      </c>
      <c r="M338" s="32"/>
      <c r="N338" s="17" t="s">
        <v>418</v>
      </c>
      <c r="O338" s="26">
        <v>1600.0</v>
      </c>
      <c r="P338" s="26">
        <v>5.0</v>
      </c>
      <c r="Q338" s="26">
        <v>5.0</v>
      </c>
      <c r="R338" s="17" t="s">
        <v>419</v>
      </c>
      <c r="S338" s="17" t="s">
        <v>420</v>
      </c>
      <c r="T338" s="17" t="s">
        <v>421</v>
      </c>
      <c r="U338" s="17" t="s">
        <v>423</v>
      </c>
      <c r="V338" s="17" t="s">
        <v>1424</v>
      </c>
      <c r="W338" s="17" t="s">
        <v>403</v>
      </c>
      <c r="X338" s="17" t="s">
        <v>2013</v>
      </c>
      <c r="Y338" s="17" t="s">
        <v>438</v>
      </c>
      <c r="Z338" s="17" t="s">
        <v>1298</v>
      </c>
      <c r="AA338" s="17" t="s">
        <v>440</v>
      </c>
      <c r="AB338" s="17" t="s">
        <v>2014</v>
      </c>
      <c r="AC338" s="17" t="s">
        <v>428</v>
      </c>
      <c r="AD338" s="17" t="s">
        <v>1571</v>
      </c>
      <c r="AE338" s="26">
        <v>950.0</v>
      </c>
      <c r="AF338" s="36">
        <v>73.1</v>
      </c>
      <c r="AG338" s="17" t="s">
        <v>463</v>
      </c>
      <c r="AH338" s="26" t="s">
        <v>2015</v>
      </c>
      <c r="AI338" s="26">
        <v>75365.0</v>
      </c>
      <c r="AJ338" s="26">
        <v>75365.0</v>
      </c>
      <c r="AK338" s="26" t="s">
        <v>537</v>
      </c>
      <c r="AL338" s="26">
        <v>77.0</v>
      </c>
      <c r="AM338" s="26">
        <v>1649.0</v>
      </c>
      <c r="AN338" s="17" t="s">
        <v>465</v>
      </c>
      <c r="AO338" s="17" t="s">
        <v>422</v>
      </c>
      <c r="AP338" s="17" t="s">
        <v>483</v>
      </c>
      <c r="AQ338" s="32"/>
      <c r="AR338" s="32"/>
      <c r="AS338" s="32"/>
      <c r="AT338" s="26">
        <v>203.0</v>
      </c>
      <c r="AU338" s="26" t="s">
        <v>2016</v>
      </c>
      <c r="AV338" s="35">
        <v>206.0</v>
      </c>
      <c r="AW338" s="26">
        <v>235.0</v>
      </c>
      <c r="AX338" s="26">
        <v>74.0</v>
      </c>
      <c r="AY338" s="26">
        <v>365.0</v>
      </c>
      <c r="AZ338" s="26">
        <v>4.0</v>
      </c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  <c r="CF338" s="32"/>
      <c r="CG338" s="32"/>
    </row>
    <row r="339">
      <c r="A339" s="20" t="s">
        <v>2017</v>
      </c>
      <c r="B339" s="20" t="s">
        <v>1874</v>
      </c>
      <c r="C339" s="17" t="s">
        <v>2018</v>
      </c>
      <c r="D339" s="17" t="s">
        <v>750</v>
      </c>
      <c r="E339" s="34" t="s">
        <v>436</v>
      </c>
      <c r="F339" s="26">
        <v>95.0</v>
      </c>
      <c r="G339" s="35">
        <v>264.0</v>
      </c>
      <c r="H339" s="32"/>
      <c r="I339" s="17" t="s">
        <v>414</v>
      </c>
      <c r="J339" s="17" t="s">
        <v>415</v>
      </c>
      <c r="L339" s="26">
        <v>7.0</v>
      </c>
      <c r="M339" s="17" t="s">
        <v>417</v>
      </c>
      <c r="N339" s="17" t="s">
        <v>418</v>
      </c>
      <c r="O339" s="26">
        <v>2250.0</v>
      </c>
      <c r="P339" s="26">
        <v>-1.0</v>
      </c>
      <c r="Q339" s="17" t="s">
        <v>419</v>
      </c>
      <c r="R339" s="17" t="s">
        <v>420</v>
      </c>
      <c r="S339" s="17" t="s">
        <v>421</v>
      </c>
      <c r="T339" s="17" t="s">
        <v>422</v>
      </c>
      <c r="U339" s="17" t="s">
        <v>488</v>
      </c>
      <c r="V339" s="17" t="s">
        <v>1482</v>
      </c>
      <c r="W339" s="17" t="s">
        <v>403</v>
      </c>
      <c r="X339" s="17" t="s">
        <v>518</v>
      </c>
      <c r="Y339" s="17" t="s">
        <v>438</v>
      </c>
      <c r="Z339" s="17" t="s">
        <v>1104</v>
      </c>
      <c r="AA339" s="17" t="s">
        <v>440</v>
      </c>
      <c r="AB339" s="17" t="s">
        <v>2019</v>
      </c>
      <c r="AC339" s="17" t="s">
        <v>520</v>
      </c>
      <c r="AD339" s="17" t="s">
        <v>1354</v>
      </c>
      <c r="AE339" s="26">
        <v>650.0</v>
      </c>
      <c r="AF339" s="36">
        <v>113.97</v>
      </c>
      <c r="AG339" s="36">
        <v>115.99</v>
      </c>
      <c r="AH339" s="17" t="s">
        <v>2020</v>
      </c>
      <c r="AI339" s="26">
        <v>100000.0</v>
      </c>
      <c r="AJ339" s="26">
        <v>122653.0</v>
      </c>
      <c r="AK339" s="26" t="s">
        <v>464</v>
      </c>
      <c r="AL339" s="26">
        <v>571.0</v>
      </c>
      <c r="AM339" s="26">
        <v>1408.0</v>
      </c>
      <c r="AN339" s="32"/>
      <c r="AO339" s="32"/>
      <c r="AP339" s="32"/>
      <c r="AQ339" s="32"/>
      <c r="AR339" s="32"/>
      <c r="AS339" s="32"/>
      <c r="AT339" s="26">
        <v>204.0</v>
      </c>
      <c r="AU339" s="26" t="s">
        <v>2021</v>
      </c>
      <c r="AV339" s="35">
        <v>264.0</v>
      </c>
      <c r="AW339" s="26">
        <v>262.0</v>
      </c>
      <c r="AX339" s="26">
        <v>95.0</v>
      </c>
      <c r="AY339" s="26">
        <v>465.0</v>
      </c>
      <c r="AZ339" s="37">
        <v>45475.0</v>
      </c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  <c r="CD339" s="32"/>
      <c r="CE339" s="32"/>
      <c r="CF339" s="32"/>
      <c r="CG339" s="32"/>
    </row>
    <row r="340">
      <c r="A340" s="20" t="s">
        <v>2022</v>
      </c>
      <c r="B340" s="20" t="s">
        <v>2023</v>
      </c>
      <c r="C340" s="17" t="s">
        <v>2024</v>
      </c>
      <c r="D340" s="17" t="s">
        <v>843</v>
      </c>
      <c r="E340" s="34" t="s">
        <v>477</v>
      </c>
      <c r="F340" s="26">
        <v>97.0</v>
      </c>
      <c r="G340" s="35">
        <v>494.0</v>
      </c>
      <c r="H340" s="17" t="s">
        <v>413</v>
      </c>
      <c r="I340" s="17" t="s">
        <v>414</v>
      </c>
      <c r="J340" s="17" t="s">
        <v>415</v>
      </c>
      <c r="K340" s="17" t="s">
        <v>416</v>
      </c>
      <c r="L340" s="26">
        <v>5.0</v>
      </c>
      <c r="M340" s="17" t="s">
        <v>417</v>
      </c>
      <c r="N340" s="32"/>
      <c r="O340" s="32"/>
      <c r="P340" s="26">
        <v>-1.0</v>
      </c>
      <c r="Q340" s="17" t="s">
        <v>419</v>
      </c>
      <c r="R340" s="17" t="s">
        <v>420</v>
      </c>
      <c r="S340" s="17" t="s">
        <v>421</v>
      </c>
      <c r="T340" s="17" t="s">
        <v>422</v>
      </c>
      <c r="U340" s="17" t="s">
        <v>423</v>
      </c>
      <c r="V340" s="17" t="s">
        <v>1082</v>
      </c>
      <c r="W340" s="17" t="s">
        <v>403</v>
      </c>
      <c r="X340" s="17" t="s">
        <v>1262</v>
      </c>
      <c r="Y340" s="17" t="s">
        <v>438</v>
      </c>
      <c r="Z340" s="17" t="s">
        <v>740</v>
      </c>
      <c r="AA340" s="17" t="s">
        <v>440</v>
      </c>
      <c r="AB340" s="17" t="s">
        <v>2019</v>
      </c>
      <c r="AC340" s="17" t="s">
        <v>428</v>
      </c>
      <c r="AD340" s="17" t="s">
        <v>1245</v>
      </c>
      <c r="AE340" s="26">
        <v>1100.0</v>
      </c>
      <c r="AF340" s="36">
        <v>240.0</v>
      </c>
      <c r="AG340" s="36">
        <v>249.9</v>
      </c>
      <c r="AH340" s="26" t="s">
        <v>2025</v>
      </c>
      <c r="AI340" s="26">
        <v>100000.0</v>
      </c>
      <c r="AJ340" s="26">
        <v>234715.0</v>
      </c>
      <c r="AK340" s="26" t="s">
        <v>495</v>
      </c>
      <c r="AL340" s="26">
        <v>248.0</v>
      </c>
      <c r="AM340" s="26">
        <v>2144.0</v>
      </c>
      <c r="AN340" s="32"/>
      <c r="AO340" s="32"/>
      <c r="AP340" s="32"/>
      <c r="AQ340" s="32"/>
      <c r="AR340" s="32"/>
      <c r="AS340" s="32"/>
      <c r="AT340" s="26">
        <v>204.0</v>
      </c>
      <c r="AU340" s="26" t="s">
        <v>2021</v>
      </c>
      <c r="AV340" s="35">
        <v>494.0</v>
      </c>
      <c r="AW340" s="26">
        <v>290.0</v>
      </c>
      <c r="AX340" s="26">
        <v>97.0</v>
      </c>
      <c r="AY340" s="26">
        <v>475.0</v>
      </c>
      <c r="AZ340" s="37">
        <v>45353.0</v>
      </c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  <c r="CD340" s="32"/>
      <c r="CE340" s="32"/>
      <c r="CF340" s="32"/>
      <c r="CG340" s="32"/>
    </row>
    <row r="341">
      <c r="A341" s="20" t="s">
        <v>2026</v>
      </c>
      <c r="B341" s="20" t="s">
        <v>2027</v>
      </c>
      <c r="C341" s="17" t="s">
        <v>2028</v>
      </c>
      <c r="D341" s="17" t="s">
        <v>843</v>
      </c>
      <c r="E341" s="34" t="s">
        <v>477</v>
      </c>
      <c r="F341" s="26">
        <v>97.0</v>
      </c>
      <c r="G341" s="35">
        <v>494.0</v>
      </c>
      <c r="H341" s="32"/>
      <c r="I341" s="17" t="s">
        <v>414</v>
      </c>
      <c r="J341" s="17" t="s">
        <v>415</v>
      </c>
      <c r="K341" s="17" t="s">
        <v>416</v>
      </c>
      <c r="L341" s="26">
        <v>2.0</v>
      </c>
      <c r="M341" s="17" t="s">
        <v>417</v>
      </c>
      <c r="N341" s="32"/>
      <c r="O341" s="32"/>
      <c r="P341" s="26">
        <v>-1.0</v>
      </c>
      <c r="Q341" s="17" t="s">
        <v>419</v>
      </c>
      <c r="R341" s="17" t="s">
        <v>420</v>
      </c>
      <c r="S341" s="17" t="s">
        <v>421</v>
      </c>
      <c r="T341" s="17" t="s">
        <v>422</v>
      </c>
      <c r="U341" s="17" t="s">
        <v>423</v>
      </c>
      <c r="V341" s="17" t="s">
        <v>2029</v>
      </c>
      <c r="W341" s="17" t="s">
        <v>403</v>
      </c>
      <c r="X341" s="17" t="s">
        <v>2030</v>
      </c>
      <c r="Y341" s="17" t="s">
        <v>438</v>
      </c>
      <c r="Z341" s="17" t="s">
        <v>740</v>
      </c>
      <c r="AA341" s="17" t="s">
        <v>440</v>
      </c>
      <c r="AB341" s="17" t="s">
        <v>2019</v>
      </c>
      <c r="AC341" s="17" t="s">
        <v>428</v>
      </c>
      <c r="AD341" s="17" t="s">
        <v>1245</v>
      </c>
      <c r="AE341" s="26">
        <v>1100.0</v>
      </c>
      <c r="AF341" s="36">
        <v>240.0</v>
      </c>
      <c r="AG341" s="36">
        <v>249.9</v>
      </c>
      <c r="AH341" s="26" t="s">
        <v>2025</v>
      </c>
      <c r="AI341" s="26">
        <v>100000.0</v>
      </c>
      <c r="AJ341" s="26">
        <v>234715.0</v>
      </c>
      <c r="AK341" s="26" t="s">
        <v>495</v>
      </c>
      <c r="AL341" s="26">
        <v>134.0</v>
      </c>
      <c r="AM341" s="26">
        <v>2145.0</v>
      </c>
      <c r="AN341" s="32"/>
      <c r="AO341" s="32"/>
      <c r="AP341" s="32"/>
      <c r="AQ341" s="32"/>
      <c r="AR341" s="32"/>
      <c r="AS341" s="32"/>
      <c r="AT341" s="26">
        <v>204.0</v>
      </c>
      <c r="AU341" s="26" t="s">
        <v>2021</v>
      </c>
      <c r="AV341" s="35">
        <v>494.0</v>
      </c>
      <c r="AW341" s="26">
        <v>305.0</v>
      </c>
      <c r="AX341" s="26">
        <v>97.0</v>
      </c>
      <c r="AY341" s="26">
        <v>475.0</v>
      </c>
      <c r="AZ341" s="37">
        <v>45324.0</v>
      </c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  <c r="CD341" s="32"/>
      <c r="CE341" s="32"/>
      <c r="CF341" s="32"/>
      <c r="CG341" s="32"/>
    </row>
    <row r="342">
      <c r="A342" s="20" t="s">
        <v>2031</v>
      </c>
      <c r="B342" s="20" t="s">
        <v>2032</v>
      </c>
      <c r="C342" s="17" t="s">
        <v>2033</v>
      </c>
      <c r="D342" s="17" t="s">
        <v>469</v>
      </c>
      <c r="E342" s="34" t="s">
        <v>477</v>
      </c>
      <c r="F342" s="26">
        <v>45.0</v>
      </c>
      <c r="G342" s="35">
        <v>179.0</v>
      </c>
      <c r="H342" s="17" t="s">
        <v>413</v>
      </c>
      <c r="I342" s="17" t="s">
        <v>414</v>
      </c>
      <c r="J342" s="17" t="s">
        <v>415</v>
      </c>
      <c r="L342" s="26">
        <v>5.0</v>
      </c>
      <c r="M342" s="17" t="s">
        <v>417</v>
      </c>
      <c r="N342" s="17" t="s">
        <v>418</v>
      </c>
      <c r="O342" s="26">
        <v>1500.0</v>
      </c>
      <c r="P342" s="26">
        <v>-1.0</v>
      </c>
      <c r="Q342" s="17" t="s">
        <v>419</v>
      </c>
      <c r="R342" s="17" t="s">
        <v>420</v>
      </c>
      <c r="S342" s="17" t="s">
        <v>421</v>
      </c>
      <c r="T342" s="17" t="s">
        <v>422</v>
      </c>
      <c r="U342" s="17" t="s">
        <v>423</v>
      </c>
      <c r="V342" s="17" t="s">
        <v>1952</v>
      </c>
      <c r="W342" s="17" t="s">
        <v>403</v>
      </c>
      <c r="X342" s="17" t="s">
        <v>1008</v>
      </c>
      <c r="Y342" s="17" t="s">
        <v>438</v>
      </c>
      <c r="Z342" s="17" t="s">
        <v>2034</v>
      </c>
      <c r="AA342" s="17" t="s">
        <v>440</v>
      </c>
      <c r="AB342" s="17" t="s">
        <v>2035</v>
      </c>
      <c r="AC342" s="17" t="s">
        <v>428</v>
      </c>
      <c r="AD342" s="17" t="s">
        <v>655</v>
      </c>
      <c r="AE342" s="26">
        <v>230.0</v>
      </c>
      <c r="AF342" s="36">
        <v>39.3</v>
      </c>
      <c r="AG342" s="17" t="s">
        <v>463</v>
      </c>
      <c r="AH342" s="17" t="s">
        <v>463</v>
      </c>
      <c r="AI342" s="26">
        <v>39300.0</v>
      </c>
      <c r="AJ342" s="26">
        <v>39300.0</v>
      </c>
      <c r="AK342" s="26" t="s">
        <v>464</v>
      </c>
      <c r="AL342" s="26">
        <v>297.0</v>
      </c>
      <c r="AM342" s="26">
        <v>1802.0</v>
      </c>
      <c r="AN342" s="32"/>
      <c r="AO342" s="32"/>
      <c r="AP342" s="32"/>
      <c r="AQ342" s="32"/>
      <c r="AR342" s="32"/>
      <c r="AS342" s="32"/>
      <c r="AT342" s="26">
        <v>205.0</v>
      </c>
      <c r="AU342" s="26" t="s">
        <v>2036</v>
      </c>
      <c r="AV342" s="35">
        <v>179.0</v>
      </c>
      <c r="AW342" s="26">
        <v>132.0</v>
      </c>
      <c r="AX342" s="26">
        <v>45.0</v>
      </c>
      <c r="AY342" s="26">
        <v>220.0</v>
      </c>
      <c r="AZ342" s="37">
        <v>45455.0</v>
      </c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  <c r="CE342" s="32"/>
      <c r="CF342" s="32"/>
      <c r="CG342" s="32"/>
    </row>
    <row r="343">
      <c r="A343" s="20" t="s">
        <v>2037</v>
      </c>
      <c r="B343" s="20" t="s">
        <v>2038</v>
      </c>
      <c r="C343" s="17" t="s">
        <v>2039</v>
      </c>
      <c r="D343" s="17" t="s">
        <v>827</v>
      </c>
      <c r="E343" s="34" t="s">
        <v>411</v>
      </c>
      <c r="F343" s="26">
        <v>80.0</v>
      </c>
      <c r="G343" s="35">
        <v>191.0</v>
      </c>
      <c r="H343" s="32"/>
      <c r="I343" s="17" t="s">
        <v>414</v>
      </c>
      <c r="J343" s="17" t="s">
        <v>415</v>
      </c>
      <c r="L343" s="26">
        <v>5.0</v>
      </c>
      <c r="M343" s="17" t="s">
        <v>417</v>
      </c>
      <c r="N343" s="32"/>
      <c r="O343" s="32"/>
      <c r="P343" s="26">
        <v>5.0</v>
      </c>
      <c r="Q343" s="26">
        <v>5.0</v>
      </c>
      <c r="R343" s="17" t="s">
        <v>419</v>
      </c>
      <c r="S343" s="17" t="s">
        <v>420</v>
      </c>
      <c r="T343" s="17" t="s">
        <v>421</v>
      </c>
      <c r="U343" s="17" t="s">
        <v>423</v>
      </c>
      <c r="V343" s="17" t="s">
        <v>1406</v>
      </c>
      <c r="W343" s="17" t="s">
        <v>403</v>
      </c>
      <c r="X343" s="17" t="s">
        <v>1483</v>
      </c>
      <c r="Y343" s="17" t="s">
        <v>404</v>
      </c>
      <c r="Z343" s="17" t="s">
        <v>900</v>
      </c>
      <c r="AA343" s="17" t="s">
        <v>401</v>
      </c>
      <c r="AB343" s="17" t="s">
        <v>2035</v>
      </c>
      <c r="AC343" s="17" t="s">
        <v>428</v>
      </c>
      <c r="AD343" s="17" t="s">
        <v>1520</v>
      </c>
      <c r="AE343" s="26">
        <v>960.0</v>
      </c>
      <c r="AF343" s="36">
        <v>74.9</v>
      </c>
      <c r="AG343" s="36">
        <v>73.995</v>
      </c>
      <c r="AH343" s="26" t="s">
        <v>2040</v>
      </c>
      <c r="AI343" s="26">
        <v>74548.0</v>
      </c>
      <c r="AJ343" s="26">
        <v>74548.0</v>
      </c>
      <c r="AK343" s="26" t="s">
        <v>777</v>
      </c>
      <c r="AL343" s="26">
        <v>682.0</v>
      </c>
      <c r="AM343" s="26">
        <v>2044.0</v>
      </c>
      <c r="AN343" s="17" t="s">
        <v>465</v>
      </c>
      <c r="AO343" s="17" t="s">
        <v>422</v>
      </c>
      <c r="AP343" s="17" t="s">
        <v>483</v>
      </c>
      <c r="AQ343" s="32"/>
      <c r="AR343" s="32"/>
      <c r="AS343" s="32"/>
      <c r="AT343" s="26">
        <v>205.0</v>
      </c>
      <c r="AU343" s="26" t="s">
        <v>2036</v>
      </c>
      <c r="AV343" s="35">
        <v>191.0</v>
      </c>
      <c r="AW343" s="26">
        <v>260.0</v>
      </c>
      <c r="AX343" s="26">
        <v>80.0</v>
      </c>
      <c r="AY343" s="26">
        <v>390.0</v>
      </c>
      <c r="AZ343" s="37">
        <v>45385.0</v>
      </c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  <c r="CE343" s="32"/>
      <c r="CF343" s="32"/>
      <c r="CG343" s="32"/>
    </row>
    <row r="344">
      <c r="A344" s="20" t="s">
        <v>2041</v>
      </c>
      <c r="B344" s="20" t="s">
        <v>1932</v>
      </c>
      <c r="C344" s="17" t="s">
        <v>2042</v>
      </c>
      <c r="D344" s="17" t="s">
        <v>487</v>
      </c>
      <c r="E344" s="34" t="s">
        <v>550</v>
      </c>
      <c r="F344" s="26">
        <v>87.0</v>
      </c>
      <c r="G344" s="35">
        <v>107.0</v>
      </c>
      <c r="H344" s="17" t="s">
        <v>413</v>
      </c>
      <c r="I344" s="17" t="s">
        <v>414</v>
      </c>
      <c r="J344" s="17" t="s">
        <v>415</v>
      </c>
      <c r="L344" s="26">
        <v>5.0</v>
      </c>
      <c r="M344" s="17" t="s">
        <v>417</v>
      </c>
      <c r="N344" s="17" t="s">
        <v>418</v>
      </c>
      <c r="O344" s="26">
        <v>1300.0</v>
      </c>
      <c r="P344" s="26">
        <v>5.0</v>
      </c>
      <c r="Q344" s="26">
        <v>5.0</v>
      </c>
      <c r="R344" s="17" t="s">
        <v>419</v>
      </c>
      <c r="S344" s="17" t="s">
        <v>420</v>
      </c>
      <c r="T344" s="17" t="s">
        <v>421</v>
      </c>
      <c r="U344" s="17" t="s">
        <v>423</v>
      </c>
      <c r="V344" s="17" t="s">
        <v>1965</v>
      </c>
      <c r="W344" s="17" t="s">
        <v>403</v>
      </c>
      <c r="X344" s="17" t="s">
        <v>1588</v>
      </c>
      <c r="Y344" s="17" t="s">
        <v>404</v>
      </c>
      <c r="Z344" s="17" t="s">
        <v>1273</v>
      </c>
      <c r="AA344" s="17" t="s">
        <v>401</v>
      </c>
      <c r="AB344" s="17" t="s">
        <v>2035</v>
      </c>
      <c r="AC344" s="17" t="s">
        <v>428</v>
      </c>
      <c r="AD344" s="17" t="s">
        <v>694</v>
      </c>
      <c r="AE344" s="26">
        <v>390.0</v>
      </c>
      <c r="AF344" s="36">
        <v>44.99</v>
      </c>
      <c r="AG344" s="36">
        <v>45.99</v>
      </c>
      <c r="AH344" s="17" t="s">
        <v>463</v>
      </c>
      <c r="AI344" s="26">
        <v>45490.0</v>
      </c>
      <c r="AJ344" s="26">
        <v>45490.0</v>
      </c>
      <c r="AK344" s="26" t="s">
        <v>495</v>
      </c>
      <c r="AL344" s="26">
        <v>1708.0</v>
      </c>
      <c r="AM344" s="26">
        <v>2067.0</v>
      </c>
      <c r="AN344" s="17" t="s">
        <v>465</v>
      </c>
      <c r="AO344" s="17" t="s">
        <v>422</v>
      </c>
      <c r="AP344" s="32"/>
      <c r="AQ344" s="32"/>
      <c r="AR344" s="32"/>
      <c r="AS344" s="32"/>
      <c r="AT344" s="26">
        <v>205.0</v>
      </c>
      <c r="AU344" s="26" t="s">
        <v>2036</v>
      </c>
      <c r="AV344" s="35">
        <v>107.0</v>
      </c>
      <c r="AW344" s="26">
        <v>175.0</v>
      </c>
      <c r="AX344" s="26">
        <v>87.0</v>
      </c>
      <c r="AY344" s="26">
        <v>425.0</v>
      </c>
      <c r="AZ344" s="37">
        <v>45452.0</v>
      </c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  <c r="CE344" s="32"/>
      <c r="CF344" s="32"/>
      <c r="CG344" s="32"/>
    </row>
    <row r="345">
      <c r="A345" s="20" t="s">
        <v>2043</v>
      </c>
      <c r="B345" s="20" t="s">
        <v>1848</v>
      </c>
      <c r="C345" s="17" t="s">
        <v>2044</v>
      </c>
      <c r="D345" s="17" t="s">
        <v>781</v>
      </c>
      <c r="E345" s="34" t="s">
        <v>550</v>
      </c>
      <c r="F345" s="26">
        <v>79.0</v>
      </c>
      <c r="G345" s="35">
        <v>164.0</v>
      </c>
      <c r="H345" s="17" t="s">
        <v>413</v>
      </c>
      <c r="I345" s="17" t="s">
        <v>414</v>
      </c>
      <c r="J345" s="17" t="s">
        <v>415</v>
      </c>
      <c r="L345" s="26">
        <v>5.0</v>
      </c>
      <c r="M345" s="17" t="s">
        <v>417</v>
      </c>
      <c r="N345" s="17" t="s">
        <v>418</v>
      </c>
      <c r="O345" s="26">
        <v>1800.0</v>
      </c>
      <c r="P345" s="26">
        <v>-1.0</v>
      </c>
      <c r="Q345" s="17" t="s">
        <v>419</v>
      </c>
      <c r="R345" s="17" t="s">
        <v>420</v>
      </c>
      <c r="S345" s="17" t="s">
        <v>421</v>
      </c>
      <c r="T345" s="17" t="s">
        <v>422</v>
      </c>
      <c r="U345" s="17" t="s">
        <v>423</v>
      </c>
      <c r="V345" s="17" t="s">
        <v>907</v>
      </c>
      <c r="W345" s="17" t="s">
        <v>403</v>
      </c>
      <c r="X345" s="17" t="s">
        <v>493</v>
      </c>
      <c r="Y345" s="17" t="s">
        <v>404</v>
      </c>
      <c r="Z345" s="17" t="s">
        <v>955</v>
      </c>
      <c r="AA345" s="17" t="s">
        <v>401</v>
      </c>
      <c r="AB345" s="17" t="s">
        <v>2035</v>
      </c>
      <c r="AC345" s="17" t="s">
        <v>428</v>
      </c>
      <c r="AD345" s="17" t="s">
        <v>981</v>
      </c>
      <c r="AE345" s="26">
        <v>570.0</v>
      </c>
      <c r="AF345" s="36">
        <v>59.59</v>
      </c>
      <c r="AG345" s="17" t="s">
        <v>463</v>
      </c>
      <c r="AH345" s="26" t="s">
        <v>1923</v>
      </c>
      <c r="AI345" s="26">
        <v>63032.0</v>
      </c>
      <c r="AJ345" s="26">
        <v>63032.0</v>
      </c>
      <c r="AK345" s="26" t="s">
        <v>495</v>
      </c>
      <c r="AL345" s="26">
        <v>251.0</v>
      </c>
      <c r="AM345" s="26">
        <v>2136.0</v>
      </c>
      <c r="AN345" s="32"/>
      <c r="AO345" s="32"/>
      <c r="AP345" s="17" t="s">
        <v>483</v>
      </c>
      <c r="AQ345" s="32"/>
      <c r="AR345" s="32"/>
      <c r="AS345" s="32"/>
      <c r="AT345" s="26">
        <v>205.0</v>
      </c>
      <c r="AU345" s="26" t="s">
        <v>2036</v>
      </c>
      <c r="AV345" s="35">
        <v>164.0</v>
      </c>
      <c r="AW345" s="26">
        <v>180.0</v>
      </c>
      <c r="AX345" s="26">
        <v>79.0</v>
      </c>
      <c r="AY345" s="26">
        <v>385.0</v>
      </c>
      <c r="AZ345" s="37">
        <v>45508.0</v>
      </c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  <c r="CD345" s="32"/>
      <c r="CE345" s="32"/>
      <c r="CF345" s="32"/>
      <c r="CG345" s="32"/>
    </row>
    <row r="346">
      <c r="A346" s="20" t="s">
        <v>2045</v>
      </c>
      <c r="B346" s="20" t="s">
        <v>1990</v>
      </c>
      <c r="C346" s="17" t="s">
        <v>2046</v>
      </c>
      <c r="D346" s="17" t="s">
        <v>565</v>
      </c>
      <c r="E346" s="34" t="s">
        <v>550</v>
      </c>
      <c r="F346" s="26">
        <v>90.0</v>
      </c>
      <c r="G346" s="35">
        <v>232.0</v>
      </c>
      <c r="H346" s="17" t="s">
        <v>413</v>
      </c>
      <c r="I346" s="17" t="s">
        <v>414</v>
      </c>
      <c r="J346" s="17" t="s">
        <v>415</v>
      </c>
      <c r="L346" s="26">
        <v>6.0</v>
      </c>
      <c r="M346" s="17" t="s">
        <v>417</v>
      </c>
      <c r="N346" s="17" t="s">
        <v>418</v>
      </c>
      <c r="O346" s="26">
        <v>2000.0</v>
      </c>
      <c r="P346" s="26">
        <v>-1.0</v>
      </c>
      <c r="Q346" s="17" t="s">
        <v>419</v>
      </c>
      <c r="R346" s="17" t="s">
        <v>420</v>
      </c>
      <c r="S346" s="17" t="s">
        <v>421</v>
      </c>
      <c r="T346" s="17" t="s">
        <v>422</v>
      </c>
      <c r="U346" s="17" t="s">
        <v>423</v>
      </c>
      <c r="V346" s="17" t="s">
        <v>1468</v>
      </c>
      <c r="W346" s="17" t="s">
        <v>403</v>
      </c>
      <c r="X346" s="17" t="s">
        <v>782</v>
      </c>
      <c r="Y346" s="17" t="s">
        <v>404</v>
      </c>
      <c r="Z346" s="17" t="s">
        <v>959</v>
      </c>
      <c r="AA346" s="17" t="s">
        <v>401</v>
      </c>
      <c r="AB346" s="17" t="s">
        <v>2035</v>
      </c>
      <c r="AC346" s="17" t="s">
        <v>428</v>
      </c>
      <c r="AD346" s="17" t="s">
        <v>1685</v>
      </c>
      <c r="AE346" s="26">
        <v>880.0</v>
      </c>
      <c r="AF346" s="36">
        <v>103.9</v>
      </c>
      <c r="AG346" s="36">
        <v>99.9</v>
      </c>
      <c r="AH346" s="17" t="s">
        <v>463</v>
      </c>
      <c r="AI346" s="26">
        <v>100000.0</v>
      </c>
      <c r="AJ346" s="26">
        <v>101900.0</v>
      </c>
      <c r="AK346" s="26" t="s">
        <v>567</v>
      </c>
      <c r="AL346" s="26">
        <v>377.0</v>
      </c>
      <c r="AM346" s="26">
        <v>2223.0</v>
      </c>
      <c r="AN346" s="32"/>
      <c r="AO346" s="32"/>
      <c r="AP346" s="32"/>
      <c r="AQ346" s="32"/>
      <c r="AR346" s="32"/>
      <c r="AS346" s="32"/>
      <c r="AT346" s="26">
        <v>205.0</v>
      </c>
      <c r="AU346" s="26" t="s">
        <v>2036</v>
      </c>
      <c r="AV346" s="35">
        <v>232.0</v>
      </c>
      <c r="AW346" s="26">
        <v>200.0</v>
      </c>
      <c r="AX346" s="26">
        <v>90.0</v>
      </c>
      <c r="AY346" s="26">
        <v>440.0</v>
      </c>
      <c r="AZ346" s="37">
        <v>45295.0</v>
      </c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  <c r="CE346" s="32"/>
      <c r="CF346" s="32"/>
      <c r="CG346" s="32"/>
    </row>
    <row r="347">
      <c r="A347" s="20" t="s">
        <v>2047</v>
      </c>
      <c r="B347" s="20" t="s">
        <v>1950</v>
      </c>
      <c r="C347" s="17" t="s">
        <v>2048</v>
      </c>
      <c r="D347" s="17" t="s">
        <v>565</v>
      </c>
      <c r="E347" s="34" t="s">
        <v>477</v>
      </c>
      <c r="F347" s="26">
        <v>45.0</v>
      </c>
      <c r="G347" s="35">
        <v>213.0</v>
      </c>
      <c r="H347" s="17" t="s">
        <v>413</v>
      </c>
      <c r="I347" s="17" t="s">
        <v>414</v>
      </c>
      <c r="J347" s="17" t="s">
        <v>415</v>
      </c>
      <c r="L347" s="26">
        <v>7.0</v>
      </c>
      <c r="M347" s="17" t="s">
        <v>417</v>
      </c>
      <c r="N347" s="17" t="s">
        <v>418</v>
      </c>
      <c r="O347" s="26">
        <v>1500.0</v>
      </c>
      <c r="P347" s="26">
        <v>-1.0</v>
      </c>
      <c r="Q347" s="17" t="s">
        <v>419</v>
      </c>
      <c r="R347" s="17" t="s">
        <v>420</v>
      </c>
      <c r="S347" s="17" t="s">
        <v>421</v>
      </c>
      <c r="T347" s="17" t="s">
        <v>422</v>
      </c>
      <c r="U347" s="17" t="s">
        <v>423</v>
      </c>
      <c r="V347" s="17" t="s">
        <v>2049</v>
      </c>
      <c r="W347" s="17" t="s">
        <v>403</v>
      </c>
      <c r="X347" s="17" t="s">
        <v>1008</v>
      </c>
      <c r="Y347" s="17" t="s">
        <v>438</v>
      </c>
      <c r="Z347" s="17" t="s">
        <v>2034</v>
      </c>
      <c r="AA347" s="17" t="s">
        <v>440</v>
      </c>
      <c r="AB347" s="17" t="s">
        <v>2035</v>
      </c>
      <c r="AC347" s="17" t="s">
        <v>428</v>
      </c>
      <c r="AD347" s="17" t="s">
        <v>655</v>
      </c>
      <c r="AE347" s="26">
        <v>230.0</v>
      </c>
      <c r="AF347" s="36">
        <v>41.613</v>
      </c>
      <c r="AG347" s="36">
        <v>52.326</v>
      </c>
      <c r="AH347" s="17" t="s">
        <v>463</v>
      </c>
      <c r="AI347" s="26">
        <v>46969.0</v>
      </c>
      <c r="AJ347" s="26">
        <v>46969.0</v>
      </c>
      <c r="AK347" s="26" t="s">
        <v>567</v>
      </c>
      <c r="AL347" s="26">
        <v>60.0</v>
      </c>
      <c r="AM347" s="26">
        <v>2239.0</v>
      </c>
      <c r="AN347" s="32"/>
      <c r="AO347" s="32"/>
      <c r="AP347" s="32"/>
      <c r="AQ347" s="32"/>
      <c r="AR347" s="32"/>
      <c r="AS347" s="32"/>
      <c r="AT347" s="26">
        <v>205.0</v>
      </c>
      <c r="AU347" s="26" t="s">
        <v>2036</v>
      </c>
      <c r="AV347" s="35">
        <v>213.0</v>
      </c>
      <c r="AW347" s="26">
        <v>132.0</v>
      </c>
      <c r="AX347" s="26">
        <v>45.0</v>
      </c>
      <c r="AY347" s="26">
        <v>220.0</v>
      </c>
      <c r="AZ347" s="37">
        <v>45364.0</v>
      </c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  <c r="CD347" s="32"/>
      <c r="CE347" s="32"/>
      <c r="CF347" s="32"/>
      <c r="CG347" s="32"/>
    </row>
    <row r="348">
      <c r="A348" s="20" t="s">
        <v>2050</v>
      </c>
      <c r="B348" s="20" t="s">
        <v>2051</v>
      </c>
      <c r="C348" s="17" t="s">
        <v>2052</v>
      </c>
      <c r="D348" s="17" t="s">
        <v>533</v>
      </c>
      <c r="E348" s="34" t="s">
        <v>411</v>
      </c>
      <c r="F348" s="26">
        <v>74.0</v>
      </c>
      <c r="G348" s="35">
        <v>203.0</v>
      </c>
      <c r="H348" s="17" t="s">
        <v>413</v>
      </c>
      <c r="I348" s="17" t="s">
        <v>414</v>
      </c>
      <c r="J348" s="17" t="s">
        <v>415</v>
      </c>
      <c r="L348" s="26">
        <v>5.0</v>
      </c>
      <c r="M348" s="17" t="s">
        <v>417</v>
      </c>
      <c r="N348" s="17" t="s">
        <v>418</v>
      </c>
      <c r="O348" s="26">
        <v>1800.0</v>
      </c>
      <c r="P348" s="26">
        <v>5.0</v>
      </c>
      <c r="Q348" s="26">
        <v>5.0</v>
      </c>
      <c r="R348" s="17" t="s">
        <v>419</v>
      </c>
      <c r="S348" s="17" t="s">
        <v>420</v>
      </c>
      <c r="T348" s="17" t="s">
        <v>421</v>
      </c>
      <c r="U348" s="17" t="s">
        <v>423</v>
      </c>
      <c r="V348" s="17" t="s">
        <v>1987</v>
      </c>
      <c r="W348" s="17" t="s">
        <v>403</v>
      </c>
      <c r="X348" s="17" t="s">
        <v>1483</v>
      </c>
      <c r="Y348" s="17" t="s">
        <v>404</v>
      </c>
      <c r="Z348" s="17" t="s">
        <v>852</v>
      </c>
      <c r="AA348" s="17" t="s">
        <v>401</v>
      </c>
      <c r="AB348" s="17" t="s">
        <v>2053</v>
      </c>
      <c r="AC348" s="17" t="s">
        <v>428</v>
      </c>
      <c r="AD348" s="17" t="s">
        <v>784</v>
      </c>
      <c r="AE348" s="26">
        <v>940.0</v>
      </c>
      <c r="AF348" s="36">
        <v>72.99</v>
      </c>
      <c r="AG348" s="17" t="s">
        <v>463</v>
      </c>
      <c r="AH348" s="17" t="s">
        <v>463</v>
      </c>
      <c r="AI348" s="26">
        <v>72990.0</v>
      </c>
      <c r="AJ348" s="26">
        <v>72990.0</v>
      </c>
      <c r="AK348" s="26" t="s">
        <v>537</v>
      </c>
      <c r="AL348" s="26">
        <v>830.0</v>
      </c>
      <c r="AM348" s="26">
        <v>1471.0</v>
      </c>
      <c r="AN348" s="17" t="s">
        <v>465</v>
      </c>
      <c r="AO348" s="17" t="s">
        <v>422</v>
      </c>
      <c r="AP348" s="17" t="s">
        <v>483</v>
      </c>
      <c r="AQ348" s="32"/>
      <c r="AR348" s="32"/>
      <c r="AS348" s="32"/>
      <c r="AT348" s="26">
        <v>206.0</v>
      </c>
      <c r="AU348" s="26" t="s">
        <v>2054</v>
      </c>
      <c r="AV348" s="35">
        <v>203.0</v>
      </c>
      <c r="AW348" s="26">
        <v>260.0</v>
      </c>
      <c r="AX348" s="26">
        <v>74.0</v>
      </c>
      <c r="AY348" s="26">
        <v>360.0</v>
      </c>
      <c r="AZ348" s="37">
        <v>45415.0</v>
      </c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  <c r="CD348" s="32"/>
      <c r="CE348" s="32"/>
      <c r="CF348" s="32"/>
      <c r="CG348" s="32"/>
    </row>
    <row r="349">
      <c r="A349" s="20" t="s">
        <v>2055</v>
      </c>
      <c r="B349" s="20" t="s">
        <v>2056</v>
      </c>
      <c r="C349" s="17" t="s">
        <v>2057</v>
      </c>
      <c r="D349" s="17" t="s">
        <v>435</v>
      </c>
      <c r="E349" s="34" t="s">
        <v>436</v>
      </c>
      <c r="F349" s="26">
        <v>73.0</v>
      </c>
      <c r="G349" s="35">
        <v>169.0</v>
      </c>
      <c r="H349" s="17" t="s">
        <v>413</v>
      </c>
      <c r="I349" s="17" t="s">
        <v>414</v>
      </c>
      <c r="J349" s="17" t="s">
        <v>415</v>
      </c>
      <c r="L349" s="26">
        <v>7.0</v>
      </c>
      <c r="M349" s="17" t="s">
        <v>417</v>
      </c>
      <c r="N349" s="17" t="s">
        <v>418</v>
      </c>
      <c r="O349" s="26">
        <v>900.0</v>
      </c>
      <c r="P349" s="26">
        <v>5.0</v>
      </c>
      <c r="Q349" s="26">
        <v>5.0</v>
      </c>
      <c r="R349" s="17" t="s">
        <v>419</v>
      </c>
      <c r="S349" s="17" t="s">
        <v>420</v>
      </c>
      <c r="T349" s="17" t="s">
        <v>421</v>
      </c>
      <c r="U349" s="17" t="s">
        <v>423</v>
      </c>
      <c r="V349" s="17" t="s">
        <v>1163</v>
      </c>
      <c r="W349" s="17" t="s">
        <v>403</v>
      </c>
      <c r="X349" s="17" t="s">
        <v>597</v>
      </c>
      <c r="Y349" s="17" t="s">
        <v>438</v>
      </c>
      <c r="Z349" s="17" t="s">
        <v>1282</v>
      </c>
      <c r="AA349" s="17" t="s">
        <v>440</v>
      </c>
      <c r="AB349" s="17" t="s">
        <v>2053</v>
      </c>
      <c r="AC349" s="17" t="s">
        <v>428</v>
      </c>
      <c r="AD349" s="17" t="s">
        <v>1182</v>
      </c>
      <c r="AE349" s="26">
        <v>740.0</v>
      </c>
      <c r="AF349" s="17" t="s">
        <v>463</v>
      </c>
      <c r="AG349" s="36">
        <v>59.995</v>
      </c>
      <c r="AH349" s="17" t="s">
        <v>463</v>
      </c>
      <c r="AI349" s="26">
        <v>59995.0</v>
      </c>
      <c r="AJ349" s="26">
        <v>59995.0</v>
      </c>
      <c r="AK349" s="26" t="s">
        <v>444</v>
      </c>
      <c r="AL349" s="26">
        <v>160.0</v>
      </c>
      <c r="AM349" s="26">
        <v>1833.0</v>
      </c>
      <c r="AN349" s="17" t="s">
        <v>465</v>
      </c>
      <c r="AO349" s="17" t="s">
        <v>422</v>
      </c>
      <c r="AP349" s="32"/>
      <c r="AQ349" s="32"/>
      <c r="AR349" s="32"/>
      <c r="AS349" s="32"/>
      <c r="AT349" s="26">
        <v>206.0</v>
      </c>
      <c r="AU349" s="26" t="s">
        <v>2054</v>
      </c>
      <c r="AV349" s="35">
        <v>169.0</v>
      </c>
      <c r="AW349" s="26">
        <v>190.0</v>
      </c>
      <c r="AX349" s="26">
        <v>73.0</v>
      </c>
      <c r="AY349" s="26">
        <v>355.0</v>
      </c>
      <c r="AZ349" s="37">
        <v>45420.0</v>
      </c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  <c r="CD349" s="32"/>
      <c r="CE349" s="32"/>
      <c r="CF349" s="32"/>
      <c r="CG349" s="32"/>
    </row>
    <row r="350">
      <c r="A350" s="20" t="s">
        <v>2058</v>
      </c>
      <c r="B350" s="20" t="s">
        <v>2059</v>
      </c>
      <c r="C350" s="17" t="s">
        <v>2060</v>
      </c>
      <c r="D350" s="17" t="s">
        <v>1012</v>
      </c>
      <c r="E350" s="34" t="s">
        <v>436</v>
      </c>
      <c r="F350" s="26">
        <v>68.0</v>
      </c>
      <c r="G350" s="35">
        <v>129.0</v>
      </c>
      <c r="H350" s="17" t="s">
        <v>413</v>
      </c>
      <c r="I350" s="17" t="s">
        <v>414</v>
      </c>
      <c r="J350" s="17" t="s">
        <v>415</v>
      </c>
      <c r="L350" s="26">
        <v>5.0</v>
      </c>
      <c r="M350" s="32"/>
      <c r="N350" s="32"/>
      <c r="O350" s="32"/>
      <c r="P350" s="26">
        <v>-1.0</v>
      </c>
      <c r="Q350" s="17" t="s">
        <v>419</v>
      </c>
      <c r="R350" s="17" t="s">
        <v>420</v>
      </c>
      <c r="S350" s="17" t="s">
        <v>421</v>
      </c>
      <c r="T350" s="17" t="s">
        <v>422</v>
      </c>
      <c r="U350" s="17" t="s">
        <v>423</v>
      </c>
      <c r="V350" s="17" t="s">
        <v>1965</v>
      </c>
      <c r="W350" s="17" t="s">
        <v>403</v>
      </c>
      <c r="X350" s="17" t="s">
        <v>480</v>
      </c>
      <c r="Y350" s="17" t="s">
        <v>438</v>
      </c>
      <c r="Z350" s="17" t="s">
        <v>544</v>
      </c>
      <c r="AA350" s="17" t="s">
        <v>440</v>
      </c>
      <c r="AB350" s="17" t="s">
        <v>2053</v>
      </c>
      <c r="AC350" s="17" t="s">
        <v>428</v>
      </c>
      <c r="AD350" s="17" t="s">
        <v>655</v>
      </c>
      <c r="AE350" s="26">
        <v>230.0</v>
      </c>
      <c r="AF350" s="17" t="s">
        <v>463</v>
      </c>
      <c r="AG350" s="17" t="s">
        <v>463</v>
      </c>
      <c r="AH350" s="26" t="s">
        <v>663</v>
      </c>
      <c r="AI350" s="26">
        <v>42544.0</v>
      </c>
      <c r="AJ350" s="26">
        <v>42544.0</v>
      </c>
      <c r="AK350" s="26" t="s">
        <v>567</v>
      </c>
      <c r="AL350" s="26">
        <v>190.0</v>
      </c>
      <c r="AM350" s="26">
        <v>3064.0</v>
      </c>
      <c r="AN350" s="32"/>
      <c r="AO350" s="32"/>
      <c r="AP350" s="32"/>
      <c r="AQ350" s="32"/>
      <c r="AR350" s="32"/>
      <c r="AS350" s="32"/>
      <c r="AT350" s="26">
        <v>206.0</v>
      </c>
      <c r="AU350" s="26" t="s">
        <v>2054</v>
      </c>
      <c r="AV350" s="35">
        <v>129.0</v>
      </c>
      <c r="AW350" s="26">
        <v>150.0</v>
      </c>
      <c r="AX350" s="26">
        <v>68.0</v>
      </c>
      <c r="AY350" s="26">
        <v>330.0</v>
      </c>
      <c r="AZ350" s="37">
        <v>45452.0</v>
      </c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  <c r="CD350" s="32"/>
      <c r="CE350" s="32"/>
      <c r="CF350" s="32"/>
      <c r="CG350" s="32"/>
    </row>
    <row r="351">
      <c r="A351" s="20" t="s">
        <v>2061</v>
      </c>
      <c r="B351" s="20" t="s">
        <v>2062</v>
      </c>
      <c r="C351" s="17" t="s">
        <v>2063</v>
      </c>
      <c r="D351" s="17" t="s">
        <v>469</v>
      </c>
      <c r="E351" s="34" t="s">
        <v>477</v>
      </c>
      <c r="F351" s="26" t="s">
        <v>1347</v>
      </c>
      <c r="G351" s="35">
        <v>246.0</v>
      </c>
      <c r="H351" s="17" t="s">
        <v>413</v>
      </c>
      <c r="I351" s="17" t="s">
        <v>414</v>
      </c>
      <c r="J351" s="17" t="s">
        <v>415</v>
      </c>
      <c r="L351" s="26">
        <v>5.0</v>
      </c>
      <c r="M351" s="17" t="s">
        <v>417</v>
      </c>
      <c r="N351" s="17" t="s">
        <v>418</v>
      </c>
      <c r="O351" s="26">
        <v>2000.0</v>
      </c>
      <c r="P351" s="26">
        <v>5.0</v>
      </c>
      <c r="Q351" s="26">
        <v>5.0</v>
      </c>
      <c r="R351" s="17" t="s">
        <v>419</v>
      </c>
      <c r="S351" s="17" t="s">
        <v>420</v>
      </c>
      <c r="T351" s="17" t="s">
        <v>421</v>
      </c>
      <c r="U351" s="17" t="s">
        <v>423</v>
      </c>
      <c r="V351" s="17" t="s">
        <v>1243</v>
      </c>
      <c r="W351" s="17" t="s">
        <v>403</v>
      </c>
      <c r="X351" s="17" t="s">
        <v>782</v>
      </c>
      <c r="Y351" s="17" t="s">
        <v>438</v>
      </c>
      <c r="Z351" s="17" t="s">
        <v>1282</v>
      </c>
      <c r="AA351" s="17" t="s">
        <v>440</v>
      </c>
      <c r="AB351" s="17" t="s">
        <v>2064</v>
      </c>
      <c r="AC351" s="17" t="s">
        <v>428</v>
      </c>
      <c r="AD351" s="17" t="s">
        <v>482</v>
      </c>
      <c r="AE351" s="26">
        <v>490.0</v>
      </c>
      <c r="AF351" s="36">
        <v>85.9</v>
      </c>
      <c r="AG351" s="36">
        <v>88.9</v>
      </c>
      <c r="AH351" s="17" t="s">
        <v>463</v>
      </c>
      <c r="AI351" s="26">
        <v>87400.0</v>
      </c>
      <c r="AJ351" s="26">
        <v>87400.0</v>
      </c>
      <c r="AK351" s="26" t="s">
        <v>464</v>
      </c>
      <c r="AL351" s="26">
        <v>76.0</v>
      </c>
      <c r="AM351" s="26">
        <v>1788.0</v>
      </c>
      <c r="AN351" s="32"/>
      <c r="AO351" s="17" t="s">
        <v>422</v>
      </c>
      <c r="AP351" s="32"/>
      <c r="AQ351" s="32"/>
      <c r="AR351" s="32"/>
      <c r="AS351" s="32"/>
      <c r="AT351" s="26">
        <v>207.0</v>
      </c>
      <c r="AU351" s="26" t="s">
        <v>2065</v>
      </c>
      <c r="AV351" s="35">
        <v>246.0</v>
      </c>
      <c r="AW351" s="26">
        <v>200.0</v>
      </c>
      <c r="AX351" s="26" t="s">
        <v>1347</v>
      </c>
      <c r="AY351" s="26">
        <v>355.0</v>
      </c>
      <c r="AZ351" s="37">
        <v>45538.0</v>
      </c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  <c r="CD351" s="32"/>
      <c r="CE351" s="32"/>
      <c r="CF351" s="32"/>
      <c r="CG351" s="32"/>
    </row>
    <row r="352">
      <c r="A352" s="20" t="s">
        <v>2066</v>
      </c>
      <c r="B352" s="20" t="s">
        <v>1974</v>
      </c>
      <c r="C352" s="17" t="s">
        <v>2067</v>
      </c>
      <c r="D352" s="17" t="s">
        <v>506</v>
      </c>
      <c r="E352" s="34" t="s">
        <v>550</v>
      </c>
      <c r="F352" s="26">
        <v>90.0</v>
      </c>
      <c r="G352" s="35">
        <v>174.0</v>
      </c>
      <c r="H352" s="17" t="s">
        <v>413</v>
      </c>
      <c r="I352" s="17" t="s">
        <v>414</v>
      </c>
      <c r="J352" s="17" t="s">
        <v>415</v>
      </c>
      <c r="L352" s="26">
        <v>5.0</v>
      </c>
      <c r="M352" s="17" t="s">
        <v>417</v>
      </c>
      <c r="N352" s="17" t="s">
        <v>418</v>
      </c>
      <c r="O352" s="26">
        <v>1200.0</v>
      </c>
      <c r="P352" s="26">
        <v>5.0</v>
      </c>
      <c r="Q352" s="26">
        <v>5.0</v>
      </c>
      <c r="R352" s="17" t="s">
        <v>419</v>
      </c>
      <c r="S352" s="17" t="s">
        <v>420</v>
      </c>
      <c r="T352" s="17" t="s">
        <v>421</v>
      </c>
      <c r="U352" s="17" t="s">
        <v>423</v>
      </c>
      <c r="V352" s="17" t="s">
        <v>1265</v>
      </c>
      <c r="W352" s="17" t="s">
        <v>403</v>
      </c>
      <c r="X352" s="17" t="s">
        <v>782</v>
      </c>
      <c r="Y352" s="17" t="s">
        <v>404</v>
      </c>
      <c r="Z352" s="17" t="s">
        <v>1353</v>
      </c>
      <c r="AA352" s="17" t="s">
        <v>401</v>
      </c>
      <c r="AB352" s="17" t="s">
        <v>2064</v>
      </c>
      <c r="AC352" s="17" t="s">
        <v>428</v>
      </c>
      <c r="AD352" s="17" t="s">
        <v>866</v>
      </c>
      <c r="AE352" s="26">
        <v>630.0</v>
      </c>
      <c r="AF352" s="36">
        <v>74.5</v>
      </c>
      <c r="AG352" s="36">
        <v>76.9</v>
      </c>
      <c r="AH352" s="17" t="s">
        <v>463</v>
      </c>
      <c r="AI352" s="26">
        <v>75700.0</v>
      </c>
      <c r="AJ352" s="26">
        <v>75700.0</v>
      </c>
      <c r="AK352" s="26" t="s">
        <v>431</v>
      </c>
      <c r="AL352" s="26">
        <v>229.0</v>
      </c>
      <c r="AM352" s="26">
        <v>1922.0</v>
      </c>
      <c r="AN352" s="32"/>
      <c r="AO352" s="17" t="s">
        <v>422</v>
      </c>
      <c r="AP352" s="32"/>
      <c r="AQ352" s="32"/>
      <c r="AR352" s="32"/>
      <c r="AS352" s="32"/>
      <c r="AT352" s="26">
        <v>207.0</v>
      </c>
      <c r="AU352" s="26" t="s">
        <v>2065</v>
      </c>
      <c r="AV352" s="35">
        <v>174.0</v>
      </c>
      <c r="AW352" s="26">
        <v>200.0</v>
      </c>
      <c r="AX352" s="26">
        <v>90.0</v>
      </c>
      <c r="AY352" s="26">
        <v>435.0</v>
      </c>
      <c r="AZ352" s="37">
        <v>45416.0</v>
      </c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  <c r="CD352" s="32"/>
      <c r="CE352" s="32"/>
      <c r="CF352" s="32"/>
      <c r="CG352" s="32"/>
    </row>
    <row r="353">
      <c r="A353" s="20" t="s">
        <v>2068</v>
      </c>
      <c r="B353" s="20" t="s">
        <v>1706</v>
      </c>
      <c r="C353" s="17" t="s">
        <v>2069</v>
      </c>
      <c r="D353" s="17" t="s">
        <v>1187</v>
      </c>
      <c r="E353" s="34" t="s">
        <v>477</v>
      </c>
      <c r="F353" s="26" t="s">
        <v>1708</v>
      </c>
      <c r="G353" s="35">
        <v>165.0</v>
      </c>
      <c r="H353" s="32"/>
      <c r="I353" s="17" t="s">
        <v>414</v>
      </c>
      <c r="J353" s="17" t="s">
        <v>415</v>
      </c>
      <c r="L353" s="26">
        <v>5.0</v>
      </c>
      <c r="M353" s="32"/>
      <c r="N353" s="17" t="s">
        <v>418</v>
      </c>
      <c r="O353" s="26">
        <v>750.0</v>
      </c>
      <c r="P353" s="26">
        <v>5.0</v>
      </c>
      <c r="Q353" s="26">
        <v>5.0</v>
      </c>
      <c r="R353" s="17" t="s">
        <v>419</v>
      </c>
      <c r="S353" s="17" t="s">
        <v>420</v>
      </c>
      <c r="T353" s="17" t="s">
        <v>421</v>
      </c>
      <c r="U353" s="17" t="s">
        <v>423</v>
      </c>
      <c r="V353" s="17" t="s">
        <v>916</v>
      </c>
      <c r="W353" s="17" t="s">
        <v>403</v>
      </c>
      <c r="X353" s="17" t="s">
        <v>493</v>
      </c>
      <c r="Y353" s="17" t="s">
        <v>438</v>
      </c>
      <c r="Z353" s="17" t="s">
        <v>799</v>
      </c>
      <c r="AA353" s="17" t="s">
        <v>440</v>
      </c>
      <c r="AB353" s="17" t="s">
        <v>2064</v>
      </c>
      <c r="AC353" s="17" t="s">
        <v>428</v>
      </c>
      <c r="AD353" s="17" t="s">
        <v>830</v>
      </c>
      <c r="AE353" s="26">
        <v>430.0</v>
      </c>
      <c r="AF353" s="36">
        <v>57.9</v>
      </c>
      <c r="AG353" s="17" t="s">
        <v>463</v>
      </c>
      <c r="AH353" s="17" t="s">
        <v>463</v>
      </c>
      <c r="AI353" s="26">
        <v>57900.0</v>
      </c>
      <c r="AJ353" s="26">
        <v>57900.0</v>
      </c>
      <c r="AK353" s="26" t="s">
        <v>567</v>
      </c>
      <c r="AL353" s="26">
        <v>129.0</v>
      </c>
      <c r="AM353" s="26">
        <v>2276.0</v>
      </c>
      <c r="AN353" s="32"/>
      <c r="AO353" s="17" t="s">
        <v>422</v>
      </c>
      <c r="AP353" s="32"/>
      <c r="AQ353" s="32"/>
      <c r="AR353" s="32"/>
      <c r="AS353" s="32"/>
      <c r="AT353" s="26">
        <v>207.0</v>
      </c>
      <c r="AU353" s="26" t="s">
        <v>2065</v>
      </c>
      <c r="AV353" s="35">
        <v>165.0</v>
      </c>
      <c r="AW353" s="26">
        <v>180.0</v>
      </c>
      <c r="AX353" s="26" t="s">
        <v>1708</v>
      </c>
      <c r="AY353" s="26">
        <v>350.0</v>
      </c>
      <c r="AZ353" s="37">
        <v>45328.0</v>
      </c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  <c r="CD353" s="32"/>
      <c r="CE353" s="32"/>
      <c r="CF353" s="32"/>
      <c r="CG353" s="32"/>
    </row>
    <row r="354">
      <c r="A354" s="20" t="s">
        <v>2070</v>
      </c>
      <c r="B354" s="20" t="s">
        <v>1706</v>
      </c>
      <c r="C354" s="17" t="s">
        <v>2071</v>
      </c>
      <c r="D354" s="17" t="s">
        <v>1012</v>
      </c>
      <c r="E354" s="34" t="s">
        <v>477</v>
      </c>
      <c r="F354" s="26">
        <v>91.0</v>
      </c>
      <c r="G354" s="35">
        <v>156.0</v>
      </c>
      <c r="H354" s="32"/>
      <c r="I354" s="17" t="s">
        <v>414</v>
      </c>
      <c r="J354" s="17" t="s">
        <v>415</v>
      </c>
      <c r="L354" s="26">
        <v>5.0</v>
      </c>
      <c r="M354" s="32"/>
      <c r="N354" s="17" t="s">
        <v>418</v>
      </c>
      <c r="O354" s="26">
        <v>1500.0</v>
      </c>
      <c r="P354" s="26">
        <v>5.0</v>
      </c>
      <c r="Q354" s="26">
        <v>5.0</v>
      </c>
      <c r="R354" s="17" t="s">
        <v>419</v>
      </c>
      <c r="S354" s="17" t="s">
        <v>420</v>
      </c>
      <c r="T354" s="17" t="s">
        <v>421</v>
      </c>
      <c r="U354" s="17" t="s">
        <v>423</v>
      </c>
      <c r="V354" s="17" t="s">
        <v>1804</v>
      </c>
      <c r="W354" s="17" t="s">
        <v>403</v>
      </c>
      <c r="X354" s="17" t="s">
        <v>493</v>
      </c>
      <c r="Y354" s="17" t="s">
        <v>438</v>
      </c>
      <c r="Z354" s="17" t="s">
        <v>959</v>
      </c>
      <c r="AA354" s="17" t="s">
        <v>440</v>
      </c>
      <c r="AB354" s="17" t="s">
        <v>2064</v>
      </c>
      <c r="AC354" s="17" t="s">
        <v>428</v>
      </c>
      <c r="AD354" s="17" t="s">
        <v>694</v>
      </c>
      <c r="AE354" s="26">
        <v>390.0</v>
      </c>
      <c r="AF354" s="36">
        <v>65.9</v>
      </c>
      <c r="AG354" s="36">
        <v>64.4</v>
      </c>
      <c r="AH354" s="26" t="s">
        <v>2072</v>
      </c>
      <c r="AI354" s="26">
        <v>68505.0</v>
      </c>
      <c r="AJ354" s="26">
        <v>68505.0</v>
      </c>
      <c r="AK354" s="26" t="s">
        <v>567</v>
      </c>
      <c r="AL354" s="26">
        <v>254.0</v>
      </c>
      <c r="AM354" s="26">
        <v>2279.0</v>
      </c>
      <c r="AN354" s="32"/>
      <c r="AO354" s="17" t="s">
        <v>422</v>
      </c>
      <c r="AP354" s="32"/>
      <c r="AQ354" s="32"/>
      <c r="AR354" s="32"/>
      <c r="AS354" s="32"/>
      <c r="AT354" s="26">
        <v>207.0</v>
      </c>
      <c r="AU354" s="26" t="s">
        <v>2065</v>
      </c>
      <c r="AV354" s="35">
        <v>156.0</v>
      </c>
      <c r="AW354" s="26">
        <v>180.0</v>
      </c>
      <c r="AX354" s="26">
        <v>91.0</v>
      </c>
      <c r="AY354" s="26">
        <v>440.0</v>
      </c>
      <c r="AZ354" s="37">
        <v>45355.0</v>
      </c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  <c r="CD354" s="32"/>
      <c r="CE354" s="32"/>
      <c r="CF354" s="32"/>
      <c r="CG354" s="32"/>
    </row>
    <row r="355">
      <c r="A355" s="20" t="s">
        <v>2073</v>
      </c>
      <c r="B355" s="20" t="s">
        <v>1899</v>
      </c>
      <c r="C355" s="17" t="s">
        <v>2074</v>
      </c>
      <c r="D355" s="17" t="s">
        <v>718</v>
      </c>
      <c r="E355" s="34" t="s">
        <v>477</v>
      </c>
      <c r="F355" s="26" t="s">
        <v>2075</v>
      </c>
      <c r="G355" s="35">
        <v>213.0</v>
      </c>
      <c r="H355" s="17" t="s">
        <v>413</v>
      </c>
      <c r="I355" s="17" t="s">
        <v>414</v>
      </c>
      <c r="J355" s="17" t="s">
        <v>415</v>
      </c>
      <c r="L355" s="26">
        <v>5.0</v>
      </c>
      <c r="M355" s="17" t="s">
        <v>417</v>
      </c>
      <c r="N355" s="17" t="s">
        <v>418</v>
      </c>
      <c r="O355" s="26">
        <v>2500.0</v>
      </c>
      <c r="P355" s="26">
        <v>5.0</v>
      </c>
      <c r="Q355" s="26">
        <v>5.0</v>
      </c>
      <c r="R355" s="17" t="s">
        <v>419</v>
      </c>
      <c r="S355" s="17" t="s">
        <v>420</v>
      </c>
      <c r="T355" s="17" t="s">
        <v>421</v>
      </c>
      <c r="U355" s="17" t="s">
        <v>423</v>
      </c>
      <c r="V355" s="17" t="s">
        <v>1020</v>
      </c>
      <c r="W355" s="17" t="s">
        <v>403</v>
      </c>
      <c r="X355" s="17" t="s">
        <v>782</v>
      </c>
      <c r="Y355" s="17" t="s">
        <v>438</v>
      </c>
      <c r="Z355" s="17" t="s">
        <v>1380</v>
      </c>
      <c r="AA355" s="17" t="s">
        <v>440</v>
      </c>
      <c r="AB355" s="17" t="s">
        <v>2076</v>
      </c>
      <c r="AC355" s="17" t="s">
        <v>428</v>
      </c>
      <c r="AD355" s="17" t="s">
        <v>1064</v>
      </c>
      <c r="AE355" s="26">
        <v>680.0</v>
      </c>
      <c r="AF355" s="36">
        <v>100.1</v>
      </c>
      <c r="AG355" s="36">
        <v>105.097</v>
      </c>
      <c r="AH355" s="26" t="s">
        <v>2077</v>
      </c>
      <c r="AI355" s="26">
        <v>100000.0</v>
      </c>
      <c r="AJ355" s="26">
        <v>107788.0</v>
      </c>
      <c r="AK355" s="26" t="s">
        <v>724</v>
      </c>
      <c r="AL355" s="26">
        <v>1110.0</v>
      </c>
      <c r="AM355" s="26">
        <v>1473.0</v>
      </c>
      <c r="AN355" s="32"/>
      <c r="AO355" s="17" t="s">
        <v>422</v>
      </c>
      <c r="AP355" s="32"/>
      <c r="AQ355" s="32"/>
      <c r="AR355" s="32"/>
      <c r="AS355" s="32"/>
      <c r="AT355" s="26">
        <v>208.0</v>
      </c>
      <c r="AU355" s="26" t="s">
        <v>2078</v>
      </c>
      <c r="AV355" s="35">
        <v>213.0</v>
      </c>
      <c r="AW355" s="26">
        <v>200.0</v>
      </c>
      <c r="AX355" s="26" t="s">
        <v>2075</v>
      </c>
      <c r="AY355" s="26">
        <v>505.0</v>
      </c>
      <c r="AZ355" s="37">
        <v>45447.0</v>
      </c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  <c r="CD355" s="32"/>
      <c r="CE355" s="32"/>
      <c r="CF355" s="32"/>
      <c r="CG355" s="32"/>
    </row>
    <row r="356">
      <c r="A356" s="20" t="s">
        <v>2079</v>
      </c>
      <c r="B356" s="20" t="s">
        <v>2080</v>
      </c>
      <c r="C356" s="17" t="s">
        <v>2081</v>
      </c>
      <c r="D356" s="17" t="s">
        <v>700</v>
      </c>
      <c r="E356" s="34" t="s">
        <v>477</v>
      </c>
      <c r="F356" s="26" t="s">
        <v>1881</v>
      </c>
      <c r="G356" s="35">
        <v>381.0</v>
      </c>
      <c r="H356" s="32"/>
      <c r="I356" s="17" t="s">
        <v>414</v>
      </c>
      <c r="J356" s="17" t="s">
        <v>415</v>
      </c>
      <c r="K356" s="17" t="s">
        <v>416</v>
      </c>
      <c r="L356" s="26">
        <v>5.0</v>
      </c>
      <c r="M356" s="17" t="s">
        <v>417</v>
      </c>
      <c r="N356" s="32"/>
      <c r="O356" s="32"/>
      <c r="P356" s="26">
        <v>-1.0</v>
      </c>
      <c r="Q356" s="17" t="s">
        <v>419</v>
      </c>
      <c r="R356" s="17" t="s">
        <v>420</v>
      </c>
      <c r="S356" s="17" t="s">
        <v>421</v>
      </c>
      <c r="T356" s="17" t="s">
        <v>422</v>
      </c>
      <c r="U356" s="17" t="s">
        <v>423</v>
      </c>
      <c r="V356" s="17" t="s">
        <v>991</v>
      </c>
      <c r="W356" s="17" t="s">
        <v>403</v>
      </c>
      <c r="X356" s="17" t="s">
        <v>701</v>
      </c>
      <c r="Y356" s="17" t="s">
        <v>438</v>
      </c>
      <c r="Z356" s="17" t="s">
        <v>519</v>
      </c>
      <c r="AA356" s="17" t="s">
        <v>440</v>
      </c>
      <c r="AB356" s="17" t="s">
        <v>2076</v>
      </c>
      <c r="AC356" s="17" t="s">
        <v>428</v>
      </c>
      <c r="AD356" s="17" t="s">
        <v>429</v>
      </c>
      <c r="AE356" s="26">
        <v>730.0</v>
      </c>
      <c r="AF356" s="36">
        <v>181.8</v>
      </c>
      <c r="AG356" s="36">
        <v>189.877</v>
      </c>
      <c r="AH356" s="26" t="s">
        <v>2082</v>
      </c>
      <c r="AI356" s="26">
        <v>100000.0</v>
      </c>
      <c r="AJ356" s="26">
        <v>186496.0</v>
      </c>
      <c r="AK356" s="26" t="s">
        <v>552</v>
      </c>
      <c r="AL356" s="26">
        <v>332.0</v>
      </c>
      <c r="AM356" s="26">
        <v>1838.0</v>
      </c>
      <c r="AN356" s="32"/>
      <c r="AO356" s="32"/>
      <c r="AP356" s="32"/>
      <c r="AQ356" s="32"/>
      <c r="AR356" s="32"/>
      <c r="AS356" s="32"/>
      <c r="AT356" s="26">
        <v>208.0</v>
      </c>
      <c r="AU356" s="26" t="s">
        <v>2078</v>
      </c>
      <c r="AV356" s="35">
        <v>381.0</v>
      </c>
      <c r="AW356" s="26">
        <v>250.0</v>
      </c>
      <c r="AX356" s="26" t="s">
        <v>1881</v>
      </c>
      <c r="AY356" s="26">
        <v>490.0</v>
      </c>
      <c r="AZ356" s="37">
        <v>45476.0</v>
      </c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  <c r="CD356" s="32"/>
      <c r="CE356" s="32"/>
      <c r="CF356" s="32"/>
      <c r="CG356" s="32"/>
    </row>
    <row r="357">
      <c r="A357" s="20" t="s">
        <v>2083</v>
      </c>
      <c r="B357" s="20" t="s">
        <v>2084</v>
      </c>
      <c r="C357" s="17" t="s">
        <v>2085</v>
      </c>
      <c r="D357" s="17" t="s">
        <v>549</v>
      </c>
      <c r="E357" s="34" t="s">
        <v>436</v>
      </c>
      <c r="F357" s="26">
        <v>81.0</v>
      </c>
      <c r="G357" s="35">
        <v>136.0</v>
      </c>
      <c r="H357" s="32"/>
      <c r="I357" s="17" t="s">
        <v>414</v>
      </c>
      <c r="J357" s="17" t="s">
        <v>415</v>
      </c>
      <c r="L357" s="26">
        <v>5.0</v>
      </c>
      <c r="M357" s="32"/>
      <c r="N357" s="32"/>
      <c r="O357" s="32"/>
      <c r="P357" s="26">
        <v>-1.0</v>
      </c>
      <c r="Q357" s="17" t="s">
        <v>419</v>
      </c>
      <c r="R357" s="17" t="s">
        <v>420</v>
      </c>
      <c r="S357" s="17" t="s">
        <v>421</v>
      </c>
      <c r="T357" s="17" t="s">
        <v>422</v>
      </c>
      <c r="U357" s="17" t="s">
        <v>488</v>
      </c>
      <c r="V357" s="17" t="s">
        <v>2086</v>
      </c>
      <c r="W357" s="17" t="s">
        <v>403</v>
      </c>
      <c r="X357" s="17" t="s">
        <v>480</v>
      </c>
      <c r="Y357" s="17" t="s">
        <v>438</v>
      </c>
      <c r="Z357" s="17" t="s">
        <v>900</v>
      </c>
      <c r="AA357" s="17" t="s">
        <v>440</v>
      </c>
      <c r="AB357" s="17" t="s">
        <v>2076</v>
      </c>
      <c r="AC357" s="17" t="s">
        <v>428</v>
      </c>
      <c r="AD357" s="17" t="s">
        <v>1262</v>
      </c>
      <c r="AE357" s="26">
        <v>290.0</v>
      </c>
      <c r="AF357" s="36">
        <v>53.09</v>
      </c>
      <c r="AG357" s="17" t="s">
        <v>463</v>
      </c>
      <c r="AH357" s="17" t="s">
        <v>463</v>
      </c>
      <c r="AI357" s="26">
        <v>53090.0</v>
      </c>
      <c r="AJ357" s="26">
        <v>53090.0</v>
      </c>
      <c r="AK357" s="26" t="s">
        <v>552</v>
      </c>
      <c r="AL357" s="26">
        <v>118.0</v>
      </c>
      <c r="AM357" s="26">
        <v>1975.0</v>
      </c>
      <c r="AN357" s="32"/>
      <c r="AO357" s="32"/>
      <c r="AP357" s="32"/>
      <c r="AQ357" s="32"/>
      <c r="AR357" s="32"/>
      <c r="AS357" s="32"/>
      <c r="AT357" s="26">
        <v>208.0</v>
      </c>
      <c r="AU357" s="26" t="s">
        <v>2078</v>
      </c>
      <c r="AV357" s="35">
        <v>136.0</v>
      </c>
      <c r="AW357" s="26">
        <v>150.0</v>
      </c>
      <c r="AX357" s="26">
        <v>81.0</v>
      </c>
      <c r="AY357" s="26">
        <v>390.0</v>
      </c>
      <c r="AZ357" s="37">
        <v>45421.0</v>
      </c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  <c r="CD357" s="32"/>
      <c r="CE357" s="32"/>
      <c r="CF357" s="32"/>
      <c r="CG357" s="32"/>
    </row>
    <row r="358">
      <c r="A358" s="20" t="s">
        <v>2087</v>
      </c>
      <c r="B358" s="20" t="s">
        <v>1979</v>
      </c>
      <c r="C358" s="17" t="s">
        <v>2088</v>
      </c>
      <c r="D358" s="17" t="s">
        <v>804</v>
      </c>
      <c r="E358" s="34" t="s">
        <v>477</v>
      </c>
      <c r="F358" s="26" t="s">
        <v>1314</v>
      </c>
      <c r="G358" s="35">
        <v>215.0</v>
      </c>
      <c r="H358" s="17" t="s">
        <v>413</v>
      </c>
      <c r="I358" s="17" t="s">
        <v>414</v>
      </c>
      <c r="J358" s="17" t="s">
        <v>415</v>
      </c>
      <c r="L358" s="26">
        <v>5.0</v>
      </c>
      <c r="M358" s="17" t="s">
        <v>417</v>
      </c>
      <c r="N358" s="17" t="s">
        <v>418</v>
      </c>
      <c r="O358" s="26">
        <v>1800.0</v>
      </c>
      <c r="P358" s="26">
        <v>5.0</v>
      </c>
      <c r="Q358" s="26">
        <v>5.0</v>
      </c>
      <c r="R358" s="17" t="s">
        <v>419</v>
      </c>
      <c r="S358" s="17" t="s">
        <v>420</v>
      </c>
      <c r="T358" s="17" t="s">
        <v>421</v>
      </c>
      <c r="U358" s="17" t="s">
        <v>423</v>
      </c>
      <c r="V358" s="17" t="s">
        <v>759</v>
      </c>
      <c r="W358" s="17" t="s">
        <v>403</v>
      </c>
      <c r="X358" s="17" t="s">
        <v>619</v>
      </c>
      <c r="Y358" s="17" t="s">
        <v>438</v>
      </c>
      <c r="Z358" s="17" t="s">
        <v>1353</v>
      </c>
      <c r="AA358" s="17" t="s">
        <v>440</v>
      </c>
      <c r="AB358" s="17" t="s">
        <v>2076</v>
      </c>
      <c r="AC358" s="17" t="s">
        <v>428</v>
      </c>
      <c r="AD358" s="17" t="s">
        <v>1354</v>
      </c>
      <c r="AE358" s="26">
        <v>650.0</v>
      </c>
      <c r="AF358" s="36">
        <v>89.548</v>
      </c>
      <c r="AG358" s="36">
        <v>99.089</v>
      </c>
      <c r="AH358" s="26" t="s">
        <v>2089</v>
      </c>
      <c r="AI358" s="26">
        <v>93522.0</v>
      </c>
      <c r="AJ358" s="26">
        <v>93522.0</v>
      </c>
      <c r="AK358" s="26" t="s">
        <v>777</v>
      </c>
      <c r="AL358" s="26">
        <v>250.0</v>
      </c>
      <c r="AM358" s="26">
        <v>2047.0</v>
      </c>
      <c r="AN358" s="32"/>
      <c r="AO358" s="17" t="s">
        <v>422</v>
      </c>
      <c r="AP358" s="32"/>
      <c r="AQ358" s="32"/>
      <c r="AR358" s="32"/>
      <c r="AS358" s="32"/>
      <c r="AT358" s="26">
        <v>208.0</v>
      </c>
      <c r="AU358" s="26" t="s">
        <v>2078</v>
      </c>
      <c r="AV358" s="35">
        <v>215.0</v>
      </c>
      <c r="AW358" s="26">
        <v>210.0</v>
      </c>
      <c r="AX358" s="26" t="s">
        <v>1314</v>
      </c>
      <c r="AY358" s="26">
        <v>435.0</v>
      </c>
      <c r="AZ358" s="37">
        <v>45449.0</v>
      </c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  <c r="CD358" s="32"/>
      <c r="CE358" s="32"/>
      <c r="CF358" s="32"/>
      <c r="CG358" s="32"/>
    </row>
    <row r="359">
      <c r="A359" s="20" t="s">
        <v>2090</v>
      </c>
      <c r="B359" s="20" t="s">
        <v>2091</v>
      </c>
      <c r="C359" s="17" t="s">
        <v>2092</v>
      </c>
      <c r="D359" s="17" t="s">
        <v>770</v>
      </c>
      <c r="E359" s="34" t="s">
        <v>477</v>
      </c>
      <c r="F359" s="26">
        <v>100.0</v>
      </c>
      <c r="G359" s="35">
        <v>138.0</v>
      </c>
      <c r="H359" s="17" t="s">
        <v>413</v>
      </c>
      <c r="I359" s="17" t="s">
        <v>414</v>
      </c>
      <c r="J359" s="17" t="s">
        <v>415</v>
      </c>
      <c r="L359" s="26">
        <v>5.0</v>
      </c>
      <c r="M359" s="32"/>
      <c r="N359" s="17" t="s">
        <v>418</v>
      </c>
      <c r="O359" s="26">
        <v>2000.0</v>
      </c>
      <c r="P359" s="26">
        <v>-1.0</v>
      </c>
      <c r="Q359" s="17" t="s">
        <v>419</v>
      </c>
      <c r="R359" s="17" t="s">
        <v>420</v>
      </c>
      <c r="S359" s="17" t="s">
        <v>421</v>
      </c>
      <c r="T359" s="17" t="s">
        <v>422</v>
      </c>
      <c r="U359" s="17" t="s">
        <v>423</v>
      </c>
      <c r="V359" s="17" t="s">
        <v>448</v>
      </c>
      <c r="W359" s="17" t="s">
        <v>403</v>
      </c>
      <c r="X359" s="17" t="s">
        <v>782</v>
      </c>
      <c r="Y359" s="17" t="s">
        <v>438</v>
      </c>
      <c r="Z359" s="17" t="s">
        <v>733</v>
      </c>
      <c r="AA359" s="17" t="s">
        <v>440</v>
      </c>
      <c r="AB359" s="17" t="s">
        <v>2076</v>
      </c>
      <c r="AC359" s="17" t="s">
        <v>520</v>
      </c>
      <c r="AD359" s="17" t="s">
        <v>606</v>
      </c>
      <c r="AE359" s="26">
        <v>360.0</v>
      </c>
      <c r="AF359" s="17" t="s">
        <v>463</v>
      </c>
      <c r="AG359" s="36">
        <v>66.19</v>
      </c>
      <c r="AH359" s="17" t="s">
        <v>463</v>
      </c>
      <c r="AI359" s="26">
        <v>66190.0</v>
      </c>
      <c r="AJ359" s="26">
        <v>66190.0</v>
      </c>
      <c r="AK359" s="26" t="s">
        <v>777</v>
      </c>
      <c r="AL359" s="26">
        <v>424.0</v>
      </c>
      <c r="AM359" s="26">
        <v>2049.0</v>
      </c>
      <c r="AN359" s="32"/>
      <c r="AO359" s="32"/>
      <c r="AP359" s="32"/>
      <c r="AQ359" s="32"/>
      <c r="AR359" s="32"/>
      <c r="AS359" s="32"/>
      <c r="AT359" s="26">
        <v>208.0</v>
      </c>
      <c r="AU359" s="26" t="s">
        <v>2078</v>
      </c>
      <c r="AV359" s="35">
        <v>138.0</v>
      </c>
      <c r="AW359" s="26">
        <v>200.0</v>
      </c>
      <c r="AX359" s="26">
        <v>100.0</v>
      </c>
      <c r="AY359" s="26">
        <v>480.0</v>
      </c>
      <c r="AZ359" s="37">
        <v>45386.0</v>
      </c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  <c r="CD359" s="32"/>
      <c r="CE359" s="32"/>
      <c r="CF359" s="32"/>
      <c r="CG359" s="32"/>
    </row>
    <row r="360">
      <c r="A360" s="20" t="s">
        <v>2093</v>
      </c>
      <c r="B360" s="20" t="s">
        <v>1848</v>
      </c>
      <c r="C360" s="17" t="s">
        <v>2094</v>
      </c>
      <c r="D360" s="17" t="s">
        <v>781</v>
      </c>
      <c r="E360" s="34" t="s">
        <v>477</v>
      </c>
      <c r="F360" s="26">
        <v>79.0</v>
      </c>
      <c r="G360" s="35">
        <v>161.0</v>
      </c>
      <c r="H360" s="17" t="s">
        <v>413</v>
      </c>
      <c r="I360" s="17" t="s">
        <v>414</v>
      </c>
      <c r="J360" s="17" t="s">
        <v>415</v>
      </c>
      <c r="L360" s="26">
        <v>5.0</v>
      </c>
      <c r="M360" s="17" t="s">
        <v>417</v>
      </c>
      <c r="N360" s="17" t="s">
        <v>418</v>
      </c>
      <c r="O360" s="26">
        <v>1800.0</v>
      </c>
      <c r="P360" s="26">
        <v>-1.0</v>
      </c>
      <c r="Q360" s="17" t="s">
        <v>419</v>
      </c>
      <c r="R360" s="17" t="s">
        <v>420</v>
      </c>
      <c r="S360" s="17" t="s">
        <v>421</v>
      </c>
      <c r="T360" s="17" t="s">
        <v>422</v>
      </c>
      <c r="U360" s="17" t="s">
        <v>423</v>
      </c>
      <c r="V360" s="17" t="s">
        <v>1020</v>
      </c>
      <c r="W360" s="17" t="s">
        <v>403</v>
      </c>
      <c r="X360" s="17" t="s">
        <v>493</v>
      </c>
      <c r="Y360" s="17" t="s">
        <v>438</v>
      </c>
      <c r="Z360" s="17" t="s">
        <v>661</v>
      </c>
      <c r="AA360" s="17" t="s">
        <v>440</v>
      </c>
      <c r="AB360" s="17" t="s">
        <v>2076</v>
      </c>
      <c r="AC360" s="17" t="s">
        <v>428</v>
      </c>
      <c r="AD360" s="17" t="s">
        <v>981</v>
      </c>
      <c r="AE360" s="26">
        <v>570.0</v>
      </c>
      <c r="AF360" s="36">
        <v>62.89</v>
      </c>
      <c r="AG360" s="36">
        <v>59.495</v>
      </c>
      <c r="AH360" s="17" t="s">
        <v>463</v>
      </c>
      <c r="AI360" s="26">
        <v>61192.0</v>
      </c>
      <c r="AJ360" s="26">
        <v>61192.0</v>
      </c>
      <c r="AK360" s="26" t="s">
        <v>495</v>
      </c>
      <c r="AL360" s="26">
        <v>138.0</v>
      </c>
      <c r="AM360" s="26">
        <v>2122.0</v>
      </c>
      <c r="AN360" s="32"/>
      <c r="AO360" s="32"/>
      <c r="AP360" s="17" t="s">
        <v>483</v>
      </c>
      <c r="AQ360" s="32"/>
      <c r="AR360" s="32"/>
      <c r="AS360" s="32"/>
      <c r="AT360" s="26">
        <v>208.0</v>
      </c>
      <c r="AU360" s="26" t="s">
        <v>2078</v>
      </c>
      <c r="AV360" s="35">
        <v>161.0</v>
      </c>
      <c r="AW360" s="26">
        <v>180.0</v>
      </c>
      <c r="AX360" s="26">
        <v>79.0</v>
      </c>
      <c r="AY360" s="26">
        <v>380.0</v>
      </c>
      <c r="AZ360" s="37">
        <v>45447.0</v>
      </c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  <c r="CD360" s="32"/>
      <c r="CE360" s="32"/>
      <c r="CF360" s="32"/>
      <c r="CG360" s="32"/>
    </row>
    <row r="361">
      <c r="A361" s="20" t="s">
        <v>2095</v>
      </c>
      <c r="B361" s="20" t="s">
        <v>2059</v>
      </c>
      <c r="C361" s="17" t="s">
        <v>2096</v>
      </c>
      <c r="D361" s="17" t="s">
        <v>1012</v>
      </c>
      <c r="E361" s="34" t="s">
        <v>436</v>
      </c>
      <c r="F361" s="26">
        <v>81.0</v>
      </c>
      <c r="G361" s="35">
        <v>118.0</v>
      </c>
      <c r="H361" s="17" t="s">
        <v>413</v>
      </c>
      <c r="I361" s="17" t="s">
        <v>414</v>
      </c>
      <c r="J361" s="17" t="s">
        <v>415</v>
      </c>
      <c r="L361" s="26">
        <v>5.0</v>
      </c>
      <c r="M361" s="32"/>
      <c r="N361" s="32"/>
      <c r="O361" s="32"/>
      <c r="P361" s="26">
        <v>-1.0</v>
      </c>
      <c r="Q361" s="17" t="s">
        <v>419</v>
      </c>
      <c r="R361" s="17" t="s">
        <v>420</v>
      </c>
      <c r="S361" s="17" t="s">
        <v>421</v>
      </c>
      <c r="T361" s="17" t="s">
        <v>422</v>
      </c>
      <c r="U361" s="17" t="s">
        <v>423</v>
      </c>
      <c r="V361" s="17" t="s">
        <v>1965</v>
      </c>
      <c r="W361" s="17" t="s">
        <v>403</v>
      </c>
      <c r="X361" s="17" t="s">
        <v>480</v>
      </c>
      <c r="Y361" s="17" t="s">
        <v>438</v>
      </c>
      <c r="Z361" s="17" t="s">
        <v>900</v>
      </c>
      <c r="AA361" s="17" t="s">
        <v>440</v>
      </c>
      <c r="AB361" s="17" t="s">
        <v>2076</v>
      </c>
      <c r="AC361" s="17" t="s">
        <v>428</v>
      </c>
      <c r="AD361" s="17" t="s">
        <v>1652</v>
      </c>
      <c r="AE361" s="26">
        <v>220.0</v>
      </c>
      <c r="AF361" s="17" t="s">
        <v>463</v>
      </c>
      <c r="AG361" s="17" t="s">
        <v>463</v>
      </c>
      <c r="AH361" s="26" t="s">
        <v>806</v>
      </c>
      <c r="AI361" s="26">
        <v>45994.0</v>
      </c>
      <c r="AJ361" s="26">
        <v>45994.0</v>
      </c>
      <c r="AK361" s="26" t="s">
        <v>567</v>
      </c>
      <c r="AL361" s="26">
        <v>362.0</v>
      </c>
      <c r="AM361" s="26">
        <v>3065.0</v>
      </c>
      <c r="AN361" s="32"/>
      <c r="AO361" s="32"/>
      <c r="AP361" s="32"/>
      <c r="AQ361" s="32"/>
      <c r="AR361" s="32"/>
      <c r="AS361" s="32"/>
      <c r="AT361" s="26">
        <v>208.0</v>
      </c>
      <c r="AU361" s="26" t="s">
        <v>2078</v>
      </c>
      <c r="AV361" s="35">
        <v>118.0</v>
      </c>
      <c r="AW361" s="26">
        <v>150.0</v>
      </c>
      <c r="AX361" s="26">
        <v>81.0</v>
      </c>
      <c r="AY361" s="26">
        <v>390.0</v>
      </c>
      <c r="AZ361" s="37">
        <v>45452.0</v>
      </c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  <c r="CD361" s="32"/>
      <c r="CE361" s="32"/>
      <c r="CF361" s="32"/>
      <c r="CG361" s="32"/>
    </row>
    <row r="362">
      <c r="A362" s="20" t="s">
        <v>2097</v>
      </c>
      <c r="B362" s="20" t="s">
        <v>2098</v>
      </c>
      <c r="C362" s="17" t="s">
        <v>2099</v>
      </c>
      <c r="D362" s="17" t="s">
        <v>469</v>
      </c>
      <c r="E362" s="34" t="s">
        <v>477</v>
      </c>
      <c r="F362" s="26">
        <v>89.0</v>
      </c>
      <c r="G362" s="35">
        <v>185.0</v>
      </c>
      <c r="H362" s="17" t="s">
        <v>413</v>
      </c>
      <c r="I362" s="17" t="s">
        <v>414</v>
      </c>
      <c r="J362" s="17" t="s">
        <v>415</v>
      </c>
      <c r="L362" s="26">
        <v>5.0</v>
      </c>
      <c r="M362" s="17" t="s">
        <v>417</v>
      </c>
      <c r="N362" s="17" t="s">
        <v>418</v>
      </c>
      <c r="O362" s="26">
        <v>1800.0</v>
      </c>
      <c r="P362" s="26">
        <v>-1.0</v>
      </c>
      <c r="Q362" s="17" t="s">
        <v>419</v>
      </c>
      <c r="R362" s="17" t="s">
        <v>420</v>
      </c>
      <c r="S362" s="17" t="s">
        <v>421</v>
      </c>
      <c r="T362" s="17" t="s">
        <v>422</v>
      </c>
      <c r="U362" s="17" t="s">
        <v>423</v>
      </c>
      <c r="V362" s="17" t="s">
        <v>596</v>
      </c>
      <c r="W362" s="17" t="s">
        <v>403</v>
      </c>
      <c r="X362" s="17" t="s">
        <v>782</v>
      </c>
      <c r="Y362" s="17" t="s">
        <v>438</v>
      </c>
      <c r="Z362" s="17" t="s">
        <v>1273</v>
      </c>
      <c r="AA362" s="17" t="s">
        <v>440</v>
      </c>
      <c r="AB362" s="17" t="s">
        <v>2100</v>
      </c>
      <c r="AC362" s="17" t="s">
        <v>428</v>
      </c>
      <c r="AD362" s="17" t="s">
        <v>1114</v>
      </c>
      <c r="AE362" s="26">
        <v>660.0</v>
      </c>
      <c r="AF362" s="36">
        <v>75.9</v>
      </c>
      <c r="AG362" s="17" t="s">
        <v>463</v>
      </c>
      <c r="AH362" s="26" t="s">
        <v>2101</v>
      </c>
      <c r="AI362" s="26">
        <v>78611.0</v>
      </c>
      <c r="AJ362" s="26">
        <v>78611.0</v>
      </c>
      <c r="AK362" s="26" t="s">
        <v>464</v>
      </c>
      <c r="AL362" s="26">
        <v>314.0</v>
      </c>
      <c r="AM362" s="26">
        <v>1769.0</v>
      </c>
      <c r="AN362" s="32"/>
      <c r="AO362" s="32"/>
      <c r="AP362" s="32"/>
      <c r="AQ362" s="32"/>
      <c r="AR362" s="32"/>
      <c r="AS362" s="32"/>
      <c r="AT362" s="26">
        <v>209.0</v>
      </c>
      <c r="AU362" s="26" t="s">
        <v>2102</v>
      </c>
      <c r="AV362" s="35">
        <v>185.0</v>
      </c>
      <c r="AW362" s="26">
        <v>200.0</v>
      </c>
      <c r="AX362" s="26">
        <v>89.0</v>
      </c>
      <c r="AY362" s="26">
        <v>425.0</v>
      </c>
      <c r="AZ362" s="26">
        <v>6.0</v>
      </c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  <c r="CD362" s="32"/>
      <c r="CE362" s="32"/>
      <c r="CF362" s="32"/>
      <c r="CG362" s="32"/>
    </row>
    <row r="363">
      <c r="A363" s="20" t="s">
        <v>2103</v>
      </c>
      <c r="B363" s="20" t="s">
        <v>2062</v>
      </c>
      <c r="C363" s="17" t="s">
        <v>2104</v>
      </c>
      <c r="D363" s="17" t="s">
        <v>469</v>
      </c>
      <c r="E363" s="34" t="s">
        <v>477</v>
      </c>
      <c r="F363" s="26">
        <v>90.0</v>
      </c>
      <c r="G363" s="35">
        <v>224.0</v>
      </c>
      <c r="H363" s="17" t="s">
        <v>413</v>
      </c>
      <c r="I363" s="17" t="s">
        <v>414</v>
      </c>
      <c r="J363" s="17" t="s">
        <v>415</v>
      </c>
      <c r="L363" s="26">
        <v>5.0</v>
      </c>
      <c r="M363" s="17" t="s">
        <v>417</v>
      </c>
      <c r="N363" s="17" t="s">
        <v>418</v>
      </c>
      <c r="O363" s="26">
        <v>2000.0</v>
      </c>
      <c r="P363" s="26">
        <v>5.0</v>
      </c>
      <c r="Q363" s="26">
        <v>5.0</v>
      </c>
      <c r="R363" s="17" t="s">
        <v>419</v>
      </c>
      <c r="S363" s="17" t="s">
        <v>420</v>
      </c>
      <c r="T363" s="17" t="s">
        <v>421</v>
      </c>
      <c r="U363" s="17" t="s">
        <v>423</v>
      </c>
      <c r="V363" s="17" t="s">
        <v>1243</v>
      </c>
      <c r="W363" s="17" t="s">
        <v>403</v>
      </c>
      <c r="X363" s="17" t="s">
        <v>782</v>
      </c>
      <c r="Y363" s="17" t="s">
        <v>438</v>
      </c>
      <c r="Z363" s="17" t="s">
        <v>598</v>
      </c>
      <c r="AA363" s="17" t="s">
        <v>440</v>
      </c>
      <c r="AB363" s="17" t="s">
        <v>2100</v>
      </c>
      <c r="AC363" s="17" t="s">
        <v>428</v>
      </c>
      <c r="AD363" s="17" t="s">
        <v>1039</v>
      </c>
      <c r="AE363" s="26">
        <v>450.0</v>
      </c>
      <c r="AF363" s="36">
        <v>94.9</v>
      </c>
      <c r="AG363" s="36">
        <v>97.9</v>
      </c>
      <c r="AH363" s="17" t="s">
        <v>463</v>
      </c>
      <c r="AI363" s="26">
        <v>96400.0</v>
      </c>
      <c r="AJ363" s="26">
        <v>96400.0</v>
      </c>
      <c r="AK363" s="26" t="s">
        <v>464</v>
      </c>
      <c r="AL363" s="26">
        <v>217.0</v>
      </c>
      <c r="AM363" s="26">
        <v>1789.0</v>
      </c>
      <c r="AN363" s="32"/>
      <c r="AO363" s="17" t="s">
        <v>422</v>
      </c>
      <c r="AP363" s="32"/>
      <c r="AQ363" s="32"/>
      <c r="AR363" s="32"/>
      <c r="AS363" s="32"/>
      <c r="AT363" s="26">
        <v>209.0</v>
      </c>
      <c r="AU363" s="26" t="s">
        <v>2102</v>
      </c>
      <c r="AV363" s="35">
        <v>224.0</v>
      </c>
      <c r="AW363" s="26">
        <v>200.0</v>
      </c>
      <c r="AX363" s="26">
        <v>90.0</v>
      </c>
      <c r="AY363" s="26">
        <v>430.0</v>
      </c>
      <c r="AZ363" s="37">
        <v>45538.0</v>
      </c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  <c r="CD363" s="32"/>
      <c r="CE363" s="32"/>
      <c r="CF363" s="32"/>
      <c r="CG363" s="32"/>
    </row>
    <row r="364">
      <c r="A364" s="20" t="s">
        <v>2105</v>
      </c>
      <c r="B364" s="20" t="s">
        <v>2098</v>
      </c>
      <c r="C364" s="17" t="s">
        <v>2106</v>
      </c>
      <c r="D364" s="17" t="s">
        <v>469</v>
      </c>
      <c r="E364" s="34" t="s">
        <v>550</v>
      </c>
      <c r="F364" s="26">
        <v>106.0</v>
      </c>
      <c r="G364" s="35">
        <v>171.0</v>
      </c>
      <c r="H364" s="17" t="s">
        <v>413</v>
      </c>
      <c r="I364" s="17" t="s">
        <v>414</v>
      </c>
      <c r="J364" s="17" t="s">
        <v>415</v>
      </c>
      <c r="L364" s="26">
        <v>5.0</v>
      </c>
      <c r="M364" s="17" t="s">
        <v>417</v>
      </c>
      <c r="N364" s="17" t="s">
        <v>418</v>
      </c>
      <c r="O364" s="26">
        <v>1800.0</v>
      </c>
      <c r="P364" s="26">
        <v>-1.0</v>
      </c>
      <c r="Q364" s="17" t="s">
        <v>419</v>
      </c>
      <c r="R364" s="17" t="s">
        <v>420</v>
      </c>
      <c r="S364" s="17" t="s">
        <v>421</v>
      </c>
      <c r="T364" s="17" t="s">
        <v>422</v>
      </c>
      <c r="U364" s="17" t="s">
        <v>423</v>
      </c>
      <c r="V364" s="17" t="s">
        <v>678</v>
      </c>
      <c r="W364" s="17" t="s">
        <v>403</v>
      </c>
      <c r="X364" s="17" t="s">
        <v>782</v>
      </c>
      <c r="Y364" s="17" t="s">
        <v>404</v>
      </c>
      <c r="Z364" s="17" t="s">
        <v>1380</v>
      </c>
      <c r="AA364" s="17" t="s">
        <v>401</v>
      </c>
      <c r="AB364" s="17" t="s">
        <v>2107</v>
      </c>
      <c r="AC364" s="17" t="s">
        <v>428</v>
      </c>
      <c r="AD364" s="17" t="s">
        <v>861</v>
      </c>
      <c r="AE364" s="26">
        <v>640.0</v>
      </c>
      <c r="AF364" s="36">
        <v>87.3</v>
      </c>
      <c r="AG364" s="36">
        <v>78.99</v>
      </c>
      <c r="AH364" s="26" t="s">
        <v>2108</v>
      </c>
      <c r="AI364" s="26">
        <v>86370.0</v>
      </c>
      <c r="AJ364" s="26">
        <v>86370.0</v>
      </c>
      <c r="AK364" s="26" t="s">
        <v>464</v>
      </c>
      <c r="AL364" s="26">
        <v>1058.0</v>
      </c>
      <c r="AM364" s="26">
        <v>1770.0</v>
      </c>
      <c r="AN364" s="32"/>
      <c r="AO364" s="32"/>
      <c r="AP364" s="32"/>
      <c r="AQ364" s="32"/>
      <c r="AR364" s="32"/>
      <c r="AS364" s="32"/>
      <c r="AT364" s="26">
        <v>210.0</v>
      </c>
      <c r="AU364" s="26" t="s">
        <v>2109</v>
      </c>
      <c r="AV364" s="35">
        <v>171.0</v>
      </c>
      <c r="AW364" s="26">
        <v>200.0</v>
      </c>
      <c r="AX364" s="26">
        <v>106.0</v>
      </c>
      <c r="AY364" s="26">
        <v>505.0</v>
      </c>
      <c r="AZ364" s="37">
        <v>45448.0</v>
      </c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  <c r="CD364" s="32"/>
      <c r="CE364" s="32"/>
      <c r="CF364" s="32"/>
      <c r="CG364" s="32"/>
    </row>
    <row r="365">
      <c r="A365" s="20" t="s">
        <v>2110</v>
      </c>
      <c r="B365" s="20" t="s">
        <v>2111</v>
      </c>
      <c r="C365" s="17" t="s">
        <v>2112</v>
      </c>
      <c r="D365" s="17" t="s">
        <v>435</v>
      </c>
      <c r="E365" s="34" t="s">
        <v>477</v>
      </c>
      <c r="F365" s="26">
        <v>83.0</v>
      </c>
      <c r="G365" s="35">
        <v>530.0</v>
      </c>
      <c r="H365" s="32"/>
      <c r="I365" s="17" t="s">
        <v>414</v>
      </c>
      <c r="J365" s="17" t="s">
        <v>415</v>
      </c>
      <c r="L365" s="26">
        <v>4.0</v>
      </c>
      <c r="M365" s="32"/>
      <c r="N365" s="32"/>
      <c r="O365" s="32"/>
      <c r="P365" s="26">
        <v>-1.0</v>
      </c>
      <c r="Q365" s="17" t="s">
        <v>419</v>
      </c>
      <c r="R365" s="17" t="s">
        <v>420</v>
      </c>
      <c r="S365" s="17" t="s">
        <v>421</v>
      </c>
      <c r="T365" s="17" t="s">
        <v>422</v>
      </c>
      <c r="U365" s="17" t="s">
        <v>423</v>
      </c>
      <c r="V365" s="17" t="s">
        <v>1623</v>
      </c>
      <c r="W365" s="17" t="s">
        <v>403</v>
      </c>
      <c r="X365" s="17" t="s">
        <v>1262</v>
      </c>
      <c r="Y365" s="17" t="s">
        <v>438</v>
      </c>
      <c r="Z365" s="17" t="s">
        <v>838</v>
      </c>
      <c r="AA365" s="17" t="s">
        <v>440</v>
      </c>
      <c r="AB365" s="17" t="s">
        <v>2107</v>
      </c>
      <c r="AC365" s="17" t="s">
        <v>428</v>
      </c>
      <c r="AD365" s="17" t="s">
        <v>1150</v>
      </c>
      <c r="AE365" s="26">
        <v>870.0</v>
      </c>
      <c r="AF365" s="36">
        <v>206.713</v>
      </c>
      <c r="AG365" s="36">
        <v>208.25</v>
      </c>
      <c r="AH365" s="26" t="s">
        <v>2113</v>
      </c>
      <c r="AI365" s="26">
        <v>100000.0</v>
      </c>
      <c r="AJ365" s="26">
        <v>209471.0</v>
      </c>
      <c r="AK365" s="26" t="s">
        <v>444</v>
      </c>
      <c r="AL365" s="26">
        <v>84.0</v>
      </c>
      <c r="AM365" s="26">
        <v>2187.0</v>
      </c>
      <c r="AN365" s="32"/>
      <c r="AO365" s="32"/>
      <c r="AP365" s="32"/>
      <c r="AQ365" s="32"/>
      <c r="AR365" s="32"/>
      <c r="AS365" s="32"/>
      <c r="AT365" s="26">
        <v>210.0</v>
      </c>
      <c r="AU365" s="26" t="s">
        <v>2109</v>
      </c>
      <c r="AV365" s="35">
        <v>530.0</v>
      </c>
      <c r="AW365" s="26">
        <v>290.0</v>
      </c>
      <c r="AX365" s="26">
        <v>83.0</v>
      </c>
      <c r="AY365" s="26">
        <v>395.0</v>
      </c>
      <c r="AZ365" s="37">
        <v>45506.0</v>
      </c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  <c r="CD365" s="32"/>
      <c r="CE365" s="32"/>
      <c r="CF365" s="32"/>
      <c r="CG365" s="32"/>
    </row>
    <row r="366">
      <c r="A366" s="20" t="s">
        <v>2114</v>
      </c>
      <c r="B366" s="20" t="s">
        <v>2115</v>
      </c>
      <c r="C366" s="17" t="s">
        <v>2116</v>
      </c>
      <c r="D366" s="17" t="s">
        <v>1032</v>
      </c>
      <c r="E366" s="34" t="s">
        <v>436</v>
      </c>
      <c r="F366" s="26">
        <v>74.0</v>
      </c>
      <c r="G366" s="35">
        <v>203.0</v>
      </c>
      <c r="H366" s="17" t="s">
        <v>413</v>
      </c>
      <c r="I366" s="17" t="s">
        <v>414</v>
      </c>
      <c r="J366" s="17" t="s">
        <v>415</v>
      </c>
      <c r="L366" s="26">
        <v>5.0</v>
      </c>
      <c r="M366" s="32"/>
      <c r="N366" s="17" t="s">
        <v>418</v>
      </c>
      <c r="O366" s="26">
        <v>1800.0</v>
      </c>
      <c r="P366" s="26">
        <v>-1.0</v>
      </c>
      <c r="Q366" s="17" t="s">
        <v>419</v>
      </c>
      <c r="R366" s="17" t="s">
        <v>420</v>
      </c>
      <c r="S366" s="17" t="s">
        <v>421</v>
      </c>
      <c r="T366" s="17" t="s">
        <v>422</v>
      </c>
      <c r="U366" s="17" t="s">
        <v>423</v>
      </c>
      <c r="V366" s="17" t="s">
        <v>1324</v>
      </c>
      <c r="W366" s="17" t="s">
        <v>403</v>
      </c>
      <c r="X366" s="17" t="s">
        <v>2013</v>
      </c>
      <c r="Y366" s="17" t="s">
        <v>438</v>
      </c>
      <c r="Z366" s="17" t="s">
        <v>799</v>
      </c>
      <c r="AA366" s="17" t="s">
        <v>440</v>
      </c>
      <c r="AB366" s="17" t="s">
        <v>2117</v>
      </c>
      <c r="AC366" s="17" t="s">
        <v>428</v>
      </c>
      <c r="AD366" s="17" t="s">
        <v>2118</v>
      </c>
      <c r="AE366" s="26">
        <v>860.0</v>
      </c>
      <c r="AF366" s="36">
        <v>67.3</v>
      </c>
      <c r="AG366" s="17" t="s">
        <v>463</v>
      </c>
      <c r="AH366" s="26" t="s">
        <v>2119</v>
      </c>
      <c r="AI366" s="26">
        <v>71085.0</v>
      </c>
      <c r="AJ366" s="26">
        <v>71085.0</v>
      </c>
      <c r="AK366" s="26" t="s">
        <v>671</v>
      </c>
      <c r="AL366" s="26">
        <v>148.0</v>
      </c>
      <c r="AM366" s="26">
        <v>1725.0</v>
      </c>
      <c r="AN366" s="32"/>
      <c r="AO366" s="32"/>
      <c r="AP366" s="32"/>
      <c r="AQ366" s="32"/>
      <c r="AR366" s="32"/>
      <c r="AS366" s="32"/>
      <c r="AT366" s="26">
        <v>211.0</v>
      </c>
      <c r="AU366" s="26" t="s">
        <v>2120</v>
      </c>
      <c r="AV366" s="35">
        <v>203.0</v>
      </c>
      <c r="AW366" s="26">
        <v>235.0</v>
      </c>
      <c r="AX366" s="26">
        <v>74.0</v>
      </c>
      <c r="AY366" s="26">
        <v>350.0</v>
      </c>
      <c r="AZ366" s="37">
        <v>45326.0</v>
      </c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  <c r="CD366" s="32"/>
      <c r="CE366" s="32"/>
      <c r="CF366" s="32"/>
      <c r="CG366" s="32"/>
    </row>
    <row r="367">
      <c r="A367" s="20" t="s">
        <v>2121</v>
      </c>
      <c r="B367" s="20" t="s">
        <v>1979</v>
      </c>
      <c r="C367" s="17" t="s">
        <v>2122</v>
      </c>
      <c r="D367" s="17" t="s">
        <v>804</v>
      </c>
      <c r="E367" s="34" t="s">
        <v>477</v>
      </c>
      <c r="F367" s="26">
        <v>96.0</v>
      </c>
      <c r="G367" s="35">
        <v>235.0</v>
      </c>
      <c r="H367" s="17" t="s">
        <v>413</v>
      </c>
      <c r="I367" s="17" t="s">
        <v>414</v>
      </c>
      <c r="J367" s="17" t="s">
        <v>415</v>
      </c>
      <c r="L367" s="26">
        <v>5.0</v>
      </c>
      <c r="M367" s="17" t="s">
        <v>417</v>
      </c>
      <c r="N367" s="17" t="s">
        <v>418</v>
      </c>
      <c r="O367" s="26">
        <v>1800.0</v>
      </c>
      <c r="P367" s="26">
        <v>5.0</v>
      </c>
      <c r="Q367" s="26">
        <v>5.0</v>
      </c>
      <c r="R367" s="17" t="s">
        <v>419</v>
      </c>
      <c r="S367" s="17" t="s">
        <v>420</v>
      </c>
      <c r="T367" s="17" t="s">
        <v>421</v>
      </c>
      <c r="U367" s="17" t="s">
        <v>423</v>
      </c>
      <c r="V367" s="17" t="s">
        <v>1556</v>
      </c>
      <c r="W367" s="17" t="s">
        <v>403</v>
      </c>
      <c r="X367" s="17" t="s">
        <v>619</v>
      </c>
      <c r="Y367" s="17" t="s">
        <v>438</v>
      </c>
      <c r="Z367" s="17" t="s">
        <v>881</v>
      </c>
      <c r="AA367" s="17" t="s">
        <v>440</v>
      </c>
      <c r="AB367" s="17" t="s">
        <v>2117</v>
      </c>
      <c r="AC367" s="17" t="s">
        <v>428</v>
      </c>
      <c r="AD367" s="17" t="s">
        <v>866</v>
      </c>
      <c r="AE367" s="26">
        <v>630.0</v>
      </c>
      <c r="AF367" s="36">
        <v>99.841</v>
      </c>
      <c r="AG367" s="36">
        <v>116.755</v>
      </c>
      <c r="AH367" s="26" t="s">
        <v>2123</v>
      </c>
      <c r="AI367" s="26">
        <v>100000.0</v>
      </c>
      <c r="AJ367" s="26">
        <v>106892.0</v>
      </c>
      <c r="AK367" s="26" t="s">
        <v>777</v>
      </c>
      <c r="AL367" s="26">
        <v>203.0</v>
      </c>
      <c r="AM367" s="26">
        <v>2048.0</v>
      </c>
      <c r="AN367" s="32"/>
      <c r="AO367" s="17" t="s">
        <v>422</v>
      </c>
      <c r="AP367" s="32"/>
      <c r="AQ367" s="32"/>
      <c r="AR367" s="32"/>
      <c r="AS367" s="32"/>
      <c r="AT367" s="26">
        <v>211.0</v>
      </c>
      <c r="AU367" s="26" t="s">
        <v>2120</v>
      </c>
      <c r="AV367" s="35">
        <v>235.0</v>
      </c>
      <c r="AW367" s="26">
        <v>210.0</v>
      </c>
      <c r="AX367" s="26">
        <v>96.0</v>
      </c>
      <c r="AY367" s="26">
        <v>455.0</v>
      </c>
      <c r="AZ367" s="37">
        <v>45539.0</v>
      </c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  <c r="CD367" s="32"/>
      <c r="CE367" s="32"/>
      <c r="CF367" s="32"/>
      <c r="CG367" s="32"/>
    </row>
    <row r="368">
      <c r="A368" s="20" t="s">
        <v>2124</v>
      </c>
      <c r="B368" s="20" t="s">
        <v>2125</v>
      </c>
      <c r="C368" s="17" t="s">
        <v>2126</v>
      </c>
      <c r="D368" s="17" t="s">
        <v>469</v>
      </c>
      <c r="E368" s="34" t="s">
        <v>477</v>
      </c>
      <c r="F368" s="26" t="s">
        <v>1314</v>
      </c>
      <c r="G368" s="35">
        <v>301.0</v>
      </c>
      <c r="H368" s="17" t="s">
        <v>413</v>
      </c>
      <c r="I368" s="17" t="s">
        <v>414</v>
      </c>
      <c r="J368" s="17" t="s">
        <v>415</v>
      </c>
      <c r="L368" s="26">
        <v>5.0</v>
      </c>
      <c r="M368" s="17" t="s">
        <v>417</v>
      </c>
      <c r="N368" s="17" t="s">
        <v>418</v>
      </c>
      <c r="O368" s="26">
        <v>1800.0</v>
      </c>
      <c r="P368" s="26">
        <v>-1.0</v>
      </c>
      <c r="Q368" s="17" t="s">
        <v>419</v>
      </c>
      <c r="R368" s="17" t="s">
        <v>420</v>
      </c>
      <c r="S368" s="17" t="s">
        <v>421</v>
      </c>
      <c r="T368" s="17" t="s">
        <v>422</v>
      </c>
      <c r="U368" s="17" t="s">
        <v>423</v>
      </c>
      <c r="V368" s="17" t="s">
        <v>1804</v>
      </c>
      <c r="W368" s="17" t="s">
        <v>403</v>
      </c>
      <c r="X368" s="17" t="s">
        <v>619</v>
      </c>
      <c r="Y368" s="17" t="s">
        <v>438</v>
      </c>
      <c r="Z368" s="17" t="s">
        <v>1273</v>
      </c>
      <c r="AA368" s="17" t="s">
        <v>440</v>
      </c>
      <c r="AB368" s="17" t="s">
        <v>2127</v>
      </c>
      <c r="AC368" s="17" t="s">
        <v>428</v>
      </c>
      <c r="AD368" s="17" t="s">
        <v>866</v>
      </c>
      <c r="AE368" s="26">
        <v>630.0</v>
      </c>
      <c r="AF368" s="36">
        <v>124.92</v>
      </c>
      <c r="AG368" s="36">
        <v>130.791</v>
      </c>
      <c r="AH368" s="17" t="s">
        <v>463</v>
      </c>
      <c r="AI368" s="26">
        <v>100000.0</v>
      </c>
      <c r="AJ368" s="26">
        <v>127855.0</v>
      </c>
      <c r="AK368" s="26" t="s">
        <v>464</v>
      </c>
      <c r="AL368" s="26">
        <v>135.0</v>
      </c>
      <c r="AM368" s="26">
        <v>1763.0</v>
      </c>
      <c r="AN368" s="32"/>
      <c r="AO368" s="32"/>
      <c r="AP368" s="32"/>
      <c r="AQ368" s="32"/>
      <c r="AR368" s="32"/>
      <c r="AS368" s="32"/>
      <c r="AT368" s="26">
        <v>213.0</v>
      </c>
      <c r="AU368" s="26" t="s">
        <v>2128</v>
      </c>
      <c r="AV368" s="35">
        <v>301.0</v>
      </c>
      <c r="AW368" s="26">
        <v>210.0</v>
      </c>
      <c r="AX368" s="26" t="s">
        <v>1314</v>
      </c>
      <c r="AY368" s="26">
        <v>425.0</v>
      </c>
      <c r="AZ368" s="37">
        <v>45355.0</v>
      </c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  <c r="CD368" s="32"/>
      <c r="CE368" s="32"/>
      <c r="CF368" s="32"/>
      <c r="CG368" s="32"/>
    </row>
    <row r="369">
      <c r="A369" s="20" t="s">
        <v>2129</v>
      </c>
      <c r="B369" s="20" t="s">
        <v>2056</v>
      </c>
      <c r="C369" s="17" t="s">
        <v>2130</v>
      </c>
      <c r="D369" s="17" t="s">
        <v>541</v>
      </c>
      <c r="E369" s="34" t="s">
        <v>436</v>
      </c>
      <c r="F369" s="26">
        <v>96.0</v>
      </c>
      <c r="G369" s="35">
        <v>159.0</v>
      </c>
      <c r="H369" s="17" t="s">
        <v>413</v>
      </c>
      <c r="I369" s="17" t="s">
        <v>414</v>
      </c>
      <c r="J369" s="17" t="s">
        <v>415</v>
      </c>
      <c r="L369" s="26">
        <v>7.0</v>
      </c>
      <c r="M369" s="17" t="s">
        <v>417</v>
      </c>
      <c r="N369" s="17" t="s">
        <v>418</v>
      </c>
      <c r="O369" s="26">
        <v>900.0</v>
      </c>
      <c r="P369" s="26">
        <v>5.0</v>
      </c>
      <c r="Q369" s="26">
        <v>5.0</v>
      </c>
      <c r="R369" s="17" t="s">
        <v>419</v>
      </c>
      <c r="S369" s="17" t="s">
        <v>420</v>
      </c>
      <c r="T369" s="17" t="s">
        <v>421</v>
      </c>
      <c r="U369" s="17" t="s">
        <v>423</v>
      </c>
      <c r="V369" s="17" t="s">
        <v>2131</v>
      </c>
      <c r="W369" s="17" t="s">
        <v>403</v>
      </c>
      <c r="X369" s="17" t="s">
        <v>459</v>
      </c>
      <c r="Y369" s="17" t="s">
        <v>438</v>
      </c>
      <c r="Z369" s="17" t="s">
        <v>1143</v>
      </c>
      <c r="AA369" s="17" t="s">
        <v>440</v>
      </c>
      <c r="AB369" s="17" t="s">
        <v>2127</v>
      </c>
      <c r="AC369" s="17" t="s">
        <v>428</v>
      </c>
      <c r="AD369" s="17" t="s">
        <v>2132</v>
      </c>
      <c r="AE369" s="26">
        <v>850.0</v>
      </c>
      <c r="AF369" s="36">
        <v>72.49</v>
      </c>
      <c r="AG369" s="36">
        <v>67.995</v>
      </c>
      <c r="AH369" s="26" t="s">
        <v>2133</v>
      </c>
      <c r="AI369" s="26">
        <v>71743.0</v>
      </c>
      <c r="AJ369" s="26">
        <v>71743.0</v>
      </c>
      <c r="AK369" s="26" t="s">
        <v>431</v>
      </c>
      <c r="AL369" s="26">
        <v>399.0</v>
      </c>
      <c r="AM369" s="26">
        <v>1834.0</v>
      </c>
      <c r="AN369" s="17" t="s">
        <v>465</v>
      </c>
      <c r="AO369" s="17" t="s">
        <v>422</v>
      </c>
      <c r="AP369" s="32"/>
      <c r="AQ369" s="32"/>
      <c r="AR369" s="32"/>
      <c r="AS369" s="32"/>
      <c r="AT369" s="26">
        <v>213.0</v>
      </c>
      <c r="AU369" s="26" t="s">
        <v>2128</v>
      </c>
      <c r="AV369" s="35">
        <v>159.0</v>
      </c>
      <c r="AW369" s="26">
        <v>185.0</v>
      </c>
      <c r="AX369" s="26">
        <v>96.0</v>
      </c>
      <c r="AY369" s="26">
        <v>450.0</v>
      </c>
      <c r="AZ369" s="37">
        <v>45391.0</v>
      </c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  <c r="CD369" s="32"/>
      <c r="CE369" s="32"/>
      <c r="CF369" s="32"/>
      <c r="CG369" s="32"/>
    </row>
    <row r="370">
      <c r="A370" s="20" t="s">
        <v>2134</v>
      </c>
      <c r="B370" s="20" t="s">
        <v>1744</v>
      </c>
      <c r="C370" s="17" t="s">
        <v>2135</v>
      </c>
      <c r="D370" s="17" t="s">
        <v>843</v>
      </c>
      <c r="E370" s="34" t="s">
        <v>477</v>
      </c>
      <c r="F370" s="26" t="s">
        <v>1746</v>
      </c>
      <c r="G370" s="35">
        <v>328.0</v>
      </c>
      <c r="H370" s="32"/>
      <c r="I370" s="17" t="s">
        <v>414</v>
      </c>
      <c r="J370" s="17" t="s">
        <v>415</v>
      </c>
      <c r="K370" s="17" t="s">
        <v>595</v>
      </c>
      <c r="L370" s="26">
        <v>5.0</v>
      </c>
      <c r="M370" s="17" t="s">
        <v>417</v>
      </c>
      <c r="N370" s="17" t="s">
        <v>418</v>
      </c>
      <c r="O370" s="26">
        <v>1225.0</v>
      </c>
      <c r="P370" s="26">
        <v>-1.0</v>
      </c>
      <c r="Q370" s="17" t="s">
        <v>419</v>
      </c>
      <c r="R370" s="17" t="s">
        <v>420</v>
      </c>
      <c r="S370" s="17" t="s">
        <v>421</v>
      </c>
      <c r="T370" s="17" t="s">
        <v>422</v>
      </c>
      <c r="U370" s="17" t="s">
        <v>423</v>
      </c>
      <c r="V370" s="17" t="s">
        <v>1623</v>
      </c>
      <c r="W370" s="17" t="s">
        <v>403</v>
      </c>
      <c r="X370" s="17" t="s">
        <v>2136</v>
      </c>
      <c r="Y370" s="17" t="s">
        <v>438</v>
      </c>
      <c r="Z370" s="17" t="s">
        <v>1104</v>
      </c>
      <c r="AA370" s="17" t="s">
        <v>440</v>
      </c>
      <c r="AB370" s="17" t="s">
        <v>2127</v>
      </c>
      <c r="AC370" s="17" t="s">
        <v>428</v>
      </c>
      <c r="AD370" s="17" t="s">
        <v>992</v>
      </c>
      <c r="AE370" s="26">
        <v>1080.0</v>
      </c>
      <c r="AF370" s="36">
        <v>150.99</v>
      </c>
      <c r="AG370" s="36">
        <v>155.025</v>
      </c>
      <c r="AH370" s="26" t="s">
        <v>2137</v>
      </c>
      <c r="AI370" s="26">
        <v>100000.0</v>
      </c>
      <c r="AJ370" s="26">
        <v>152319.0</v>
      </c>
      <c r="AK370" s="26" t="s">
        <v>495</v>
      </c>
      <c r="AL370" s="26">
        <v>171.0</v>
      </c>
      <c r="AM370" s="26">
        <v>2143.0</v>
      </c>
      <c r="AN370" s="32"/>
      <c r="AO370" s="32"/>
      <c r="AP370" s="32"/>
      <c r="AQ370" s="32"/>
      <c r="AR370" s="32"/>
      <c r="AS370" s="32"/>
      <c r="AT370" s="26">
        <v>213.0</v>
      </c>
      <c r="AU370" s="26" t="s">
        <v>2128</v>
      </c>
      <c r="AV370" s="35">
        <v>328.0</v>
      </c>
      <c r="AW370" s="26">
        <v>256.0</v>
      </c>
      <c r="AX370" s="26" t="s">
        <v>1746</v>
      </c>
      <c r="AY370" s="26">
        <v>465.0</v>
      </c>
      <c r="AZ370" s="37">
        <v>45506.0</v>
      </c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  <c r="CD370" s="32"/>
      <c r="CE370" s="32"/>
      <c r="CF370" s="32"/>
      <c r="CG370" s="32"/>
    </row>
    <row r="371">
      <c r="A371" s="20" t="s">
        <v>2138</v>
      </c>
      <c r="B371" s="20" t="s">
        <v>2139</v>
      </c>
      <c r="C371" s="17" t="s">
        <v>2140</v>
      </c>
      <c r="D371" s="17" t="s">
        <v>843</v>
      </c>
      <c r="E371" s="34" t="s">
        <v>477</v>
      </c>
      <c r="F371" s="26">
        <v>50.0</v>
      </c>
      <c r="G371" s="35">
        <v>162.0</v>
      </c>
      <c r="H371" s="17" t="s">
        <v>413</v>
      </c>
      <c r="I371" s="17" t="s">
        <v>414</v>
      </c>
      <c r="J371" s="17" t="s">
        <v>415</v>
      </c>
      <c r="L371" s="26">
        <v>5.0</v>
      </c>
      <c r="M371" s="17" t="s">
        <v>417</v>
      </c>
      <c r="N371" s="17" t="s">
        <v>418</v>
      </c>
      <c r="O371" s="26">
        <v>750.0</v>
      </c>
      <c r="P371" s="26">
        <v>-1.0</v>
      </c>
      <c r="Q371" s="17" t="s">
        <v>419</v>
      </c>
      <c r="R371" s="17" t="s">
        <v>420</v>
      </c>
      <c r="S371" s="17" t="s">
        <v>421</v>
      </c>
      <c r="T371" s="17" t="s">
        <v>422</v>
      </c>
      <c r="U371" s="17" t="s">
        <v>423</v>
      </c>
      <c r="V371" s="17" t="s">
        <v>604</v>
      </c>
      <c r="W371" s="17" t="s">
        <v>403</v>
      </c>
      <c r="X371" s="17" t="s">
        <v>1008</v>
      </c>
      <c r="Y371" s="17" t="s">
        <v>438</v>
      </c>
      <c r="Z371" s="17" t="s">
        <v>692</v>
      </c>
      <c r="AA371" s="17" t="s">
        <v>440</v>
      </c>
      <c r="AB371" s="17" t="s">
        <v>2127</v>
      </c>
      <c r="AC371" s="17" t="s">
        <v>428</v>
      </c>
      <c r="AD371" s="17" t="s">
        <v>775</v>
      </c>
      <c r="AE371" s="26">
        <v>350.0</v>
      </c>
      <c r="AF371" s="36">
        <v>36.94</v>
      </c>
      <c r="AG371" s="36">
        <v>41.358</v>
      </c>
      <c r="AH371" s="26" t="s">
        <v>2141</v>
      </c>
      <c r="AI371" s="26">
        <v>37978.0</v>
      </c>
      <c r="AJ371" s="26">
        <v>37978.0</v>
      </c>
      <c r="AK371" s="26" t="s">
        <v>495</v>
      </c>
      <c r="AL371" s="26">
        <v>203.0</v>
      </c>
      <c r="AM371" s="26">
        <v>2159.0</v>
      </c>
      <c r="AN371" s="32"/>
      <c r="AO371" s="32"/>
      <c r="AP371" s="32"/>
      <c r="AQ371" s="32"/>
      <c r="AR371" s="32"/>
      <c r="AS371" s="32"/>
      <c r="AT371" s="26">
        <v>213.0</v>
      </c>
      <c r="AU371" s="26" t="s">
        <v>2128</v>
      </c>
      <c r="AV371" s="35">
        <v>162.0</v>
      </c>
      <c r="AW371" s="26">
        <v>132.0</v>
      </c>
      <c r="AX371" s="26">
        <v>50.0</v>
      </c>
      <c r="AY371" s="26">
        <v>235.0</v>
      </c>
      <c r="AZ371" s="37">
        <v>45484.0</v>
      </c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  <c r="CD371" s="32"/>
      <c r="CE371" s="32"/>
      <c r="CF371" s="32"/>
      <c r="CG371" s="32"/>
    </row>
    <row r="372">
      <c r="A372" s="20" t="s">
        <v>2142</v>
      </c>
      <c r="B372" s="20" t="s">
        <v>2143</v>
      </c>
      <c r="C372" s="17" t="s">
        <v>2144</v>
      </c>
      <c r="D372" s="17" t="s">
        <v>843</v>
      </c>
      <c r="E372" s="34" t="s">
        <v>477</v>
      </c>
      <c r="F372" s="26">
        <v>50.0</v>
      </c>
      <c r="G372" s="35">
        <v>161.0</v>
      </c>
      <c r="H372" s="17" t="s">
        <v>413</v>
      </c>
      <c r="I372" s="17" t="s">
        <v>414</v>
      </c>
      <c r="J372" s="17" t="s">
        <v>415</v>
      </c>
      <c r="L372" s="26">
        <v>5.0</v>
      </c>
      <c r="M372" s="17" t="s">
        <v>417</v>
      </c>
      <c r="N372" s="17" t="s">
        <v>418</v>
      </c>
      <c r="O372" s="26">
        <v>750.0</v>
      </c>
      <c r="P372" s="26">
        <v>-1.0</v>
      </c>
      <c r="Q372" s="17" t="s">
        <v>419</v>
      </c>
      <c r="R372" s="17" t="s">
        <v>420</v>
      </c>
      <c r="S372" s="17" t="s">
        <v>421</v>
      </c>
      <c r="T372" s="17" t="s">
        <v>422</v>
      </c>
      <c r="U372" s="17" t="s">
        <v>423</v>
      </c>
      <c r="V372" s="17" t="s">
        <v>2145</v>
      </c>
      <c r="W372" s="17" t="s">
        <v>403</v>
      </c>
      <c r="X372" s="17" t="s">
        <v>652</v>
      </c>
      <c r="Y372" s="17" t="s">
        <v>438</v>
      </c>
      <c r="Z372" s="17" t="s">
        <v>692</v>
      </c>
      <c r="AA372" s="17" t="s">
        <v>440</v>
      </c>
      <c r="AB372" s="17" t="s">
        <v>2127</v>
      </c>
      <c r="AC372" s="17" t="s">
        <v>428</v>
      </c>
      <c r="AD372" s="17" t="s">
        <v>775</v>
      </c>
      <c r="AE372" s="26">
        <v>350.0</v>
      </c>
      <c r="AF372" s="36">
        <v>38.6</v>
      </c>
      <c r="AG372" s="17" t="s">
        <v>463</v>
      </c>
      <c r="AH372" s="26" t="s">
        <v>2146</v>
      </c>
      <c r="AI372" s="26">
        <v>37803.0</v>
      </c>
      <c r="AJ372" s="26">
        <v>37803.0</v>
      </c>
      <c r="AK372" s="26" t="s">
        <v>495</v>
      </c>
      <c r="AL372" s="26">
        <v>98.0</v>
      </c>
      <c r="AM372" s="26">
        <v>2161.0</v>
      </c>
      <c r="AN372" s="32"/>
      <c r="AO372" s="32"/>
      <c r="AP372" s="32"/>
      <c r="AQ372" s="32"/>
      <c r="AR372" s="32"/>
      <c r="AS372" s="32"/>
      <c r="AT372" s="26">
        <v>213.0</v>
      </c>
      <c r="AU372" s="26" t="s">
        <v>2128</v>
      </c>
      <c r="AV372" s="35">
        <v>161.0</v>
      </c>
      <c r="AW372" s="26">
        <v>135.0</v>
      </c>
      <c r="AX372" s="26">
        <v>50.0</v>
      </c>
      <c r="AY372" s="26">
        <v>235.0</v>
      </c>
      <c r="AZ372" s="37">
        <v>45362.0</v>
      </c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32"/>
      <c r="CD372" s="32"/>
      <c r="CE372" s="32"/>
      <c r="CF372" s="32"/>
      <c r="CG372" s="32"/>
    </row>
    <row r="373">
      <c r="A373" s="20" t="s">
        <v>2147</v>
      </c>
      <c r="B373" s="20" t="s">
        <v>2148</v>
      </c>
      <c r="C373" s="17" t="s">
        <v>2149</v>
      </c>
      <c r="D373" s="17" t="s">
        <v>843</v>
      </c>
      <c r="E373" s="34" t="s">
        <v>477</v>
      </c>
      <c r="F373" s="26">
        <v>50.0</v>
      </c>
      <c r="G373" s="35">
        <v>168.0</v>
      </c>
      <c r="H373" s="17" t="s">
        <v>413</v>
      </c>
      <c r="I373" s="17" t="s">
        <v>414</v>
      </c>
      <c r="J373" s="17" t="s">
        <v>415</v>
      </c>
      <c r="L373" s="26">
        <v>5.0</v>
      </c>
      <c r="M373" s="17" t="s">
        <v>417</v>
      </c>
      <c r="N373" s="17" t="s">
        <v>418</v>
      </c>
      <c r="O373" s="26">
        <v>750.0</v>
      </c>
      <c r="P373" s="26">
        <v>-1.0</v>
      </c>
      <c r="Q373" s="17" t="s">
        <v>419</v>
      </c>
      <c r="R373" s="17" t="s">
        <v>420</v>
      </c>
      <c r="S373" s="17" t="s">
        <v>421</v>
      </c>
      <c r="T373" s="17" t="s">
        <v>422</v>
      </c>
      <c r="U373" s="17" t="s">
        <v>423</v>
      </c>
      <c r="V373" s="17" t="s">
        <v>604</v>
      </c>
      <c r="W373" s="17" t="s">
        <v>403</v>
      </c>
      <c r="X373" s="17" t="s">
        <v>1008</v>
      </c>
      <c r="Y373" s="17" t="s">
        <v>438</v>
      </c>
      <c r="Z373" s="17" t="s">
        <v>692</v>
      </c>
      <c r="AA373" s="17" t="s">
        <v>440</v>
      </c>
      <c r="AB373" s="17" t="s">
        <v>2127</v>
      </c>
      <c r="AC373" s="17" t="s">
        <v>428</v>
      </c>
      <c r="AD373" s="17" t="s">
        <v>775</v>
      </c>
      <c r="AE373" s="26">
        <v>350.0</v>
      </c>
      <c r="AF373" s="36">
        <v>38.44</v>
      </c>
      <c r="AG373" s="36">
        <v>42.918</v>
      </c>
      <c r="AH373" s="26" t="s">
        <v>2150</v>
      </c>
      <c r="AI373" s="26">
        <v>39474.0</v>
      </c>
      <c r="AJ373" s="26">
        <v>39474.0</v>
      </c>
      <c r="AK373" s="26" t="s">
        <v>495</v>
      </c>
      <c r="AL373" s="26">
        <v>98.0</v>
      </c>
      <c r="AM373" s="26">
        <v>2163.0</v>
      </c>
      <c r="AN373" s="32"/>
      <c r="AO373" s="32"/>
      <c r="AP373" s="32"/>
      <c r="AQ373" s="32"/>
      <c r="AR373" s="32"/>
      <c r="AS373" s="32"/>
      <c r="AT373" s="26">
        <v>213.0</v>
      </c>
      <c r="AU373" s="26" t="s">
        <v>2128</v>
      </c>
      <c r="AV373" s="35">
        <v>168.0</v>
      </c>
      <c r="AW373" s="26">
        <v>132.0</v>
      </c>
      <c r="AX373" s="26">
        <v>50.0</v>
      </c>
      <c r="AY373" s="26">
        <v>235.0</v>
      </c>
      <c r="AZ373" s="37">
        <v>45484.0</v>
      </c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  <c r="CD373" s="32"/>
      <c r="CE373" s="32"/>
      <c r="CF373" s="32"/>
      <c r="CG373" s="32"/>
    </row>
    <row r="374">
      <c r="A374" s="20" t="s">
        <v>2151</v>
      </c>
      <c r="B374" s="20" t="s">
        <v>2152</v>
      </c>
      <c r="C374" s="17" t="s">
        <v>2153</v>
      </c>
      <c r="D374" s="17" t="s">
        <v>565</v>
      </c>
      <c r="E374" s="34" t="s">
        <v>477</v>
      </c>
      <c r="F374" s="26">
        <v>50.0</v>
      </c>
      <c r="G374" s="35">
        <v>170.0</v>
      </c>
      <c r="H374" s="17" t="s">
        <v>413</v>
      </c>
      <c r="I374" s="17" t="s">
        <v>414</v>
      </c>
      <c r="J374" s="17" t="s">
        <v>415</v>
      </c>
      <c r="L374" s="26">
        <v>5.0</v>
      </c>
      <c r="M374" s="17" t="s">
        <v>417</v>
      </c>
      <c r="N374" s="17" t="s">
        <v>418</v>
      </c>
      <c r="O374" s="26">
        <v>750.0</v>
      </c>
      <c r="P374" s="26">
        <v>-1.0</v>
      </c>
      <c r="Q374" s="17" t="s">
        <v>419</v>
      </c>
      <c r="R374" s="17" t="s">
        <v>420</v>
      </c>
      <c r="S374" s="17" t="s">
        <v>421</v>
      </c>
      <c r="T374" s="17" t="s">
        <v>422</v>
      </c>
      <c r="U374" s="17" t="s">
        <v>423</v>
      </c>
      <c r="V374" s="17" t="s">
        <v>604</v>
      </c>
      <c r="W374" s="17" t="s">
        <v>403</v>
      </c>
      <c r="X374" s="17" t="s">
        <v>1008</v>
      </c>
      <c r="Y374" s="17" t="s">
        <v>438</v>
      </c>
      <c r="Z374" s="17" t="s">
        <v>692</v>
      </c>
      <c r="AA374" s="17" t="s">
        <v>440</v>
      </c>
      <c r="AB374" s="17" t="s">
        <v>2127</v>
      </c>
      <c r="AC374" s="17" t="s">
        <v>428</v>
      </c>
      <c r="AD374" s="17" t="s">
        <v>775</v>
      </c>
      <c r="AE374" s="26">
        <v>350.0</v>
      </c>
      <c r="AF374" s="36">
        <v>40.96</v>
      </c>
      <c r="AG374" s="36">
        <v>41.995</v>
      </c>
      <c r="AH374" s="26" t="s">
        <v>2154</v>
      </c>
      <c r="AI374" s="26">
        <v>39860.0</v>
      </c>
      <c r="AJ374" s="26">
        <v>39860.0</v>
      </c>
      <c r="AK374" s="26" t="s">
        <v>567</v>
      </c>
      <c r="AL374" s="26">
        <v>106.0</v>
      </c>
      <c r="AM374" s="26">
        <v>2165.0</v>
      </c>
      <c r="AN374" s="32"/>
      <c r="AO374" s="32"/>
      <c r="AP374" s="32"/>
      <c r="AQ374" s="32"/>
      <c r="AR374" s="32"/>
      <c r="AS374" s="32"/>
      <c r="AT374" s="26">
        <v>213.0</v>
      </c>
      <c r="AU374" s="26" t="s">
        <v>2128</v>
      </c>
      <c r="AV374" s="35">
        <v>170.0</v>
      </c>
      <c r="AW374" s="26">
        <v>132.0</v>
      </c>
      <c r="AX374" s="26">
        <v>50.0</v>
      </c>
      <c r="AY374" s="26">
        <v>235.0</v>
      </c>
      <c r="AZ374" s="37">
        <v>45484.0</v>
      </c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  <c r="CD374" s="32"/>
      <c r="CE374" s="32"/>
      <c r="CF374" s="32"/>
      <c r="CG374" s="32"/>
    </row>
    <row r="375">
      <c r="A375" s="20" t="s">
        <v>2155</v>
      </c>
      <c r="B375" s="20" t="s">
        <v>2156</v>
      </c>
      <c r="C375" s="17" t="s">
        <v>2157</v>
      </c>
      <c r="D375" s="17" t="s">
        <v>565</v>
      </c>
      <c r="E375" s="34" t="s">
        <v>477</v>
      </c>
      <c r="F375" s="26">
        <v>107.0</v>
      </c>
      <c r="G375" s="35">
        <v>159.0</v>
      </c>
      <c r="H375" s="17" t="s">
        <v>413</v>
      </c>
      <c r="I375" s="17" t="s">
        <v>414</v>
      </c>
      <c r="J375" s="17" t="s">
        <v>415</v>
      </c>
      <c r="L375" s="26">
        <v>5.0</v>
      </c>
      <c r="M375" s="17" t="s">
        <v>417</v>
      </c>
      <c r="N375" s="17" t="s">
        <v>418</v>
      </c>
      <c r="O375" s="26">
        <v>1500.0</v>
      </c>
      <c r="P375" s="26">
        <v>-1.0</v>
      </c>
      <c r="Q375" s="17" t="s">
        <v>419</v>
      </c>
      <c r="R375" s="17" t="s">
        <v>420</v>
      </c>
      <c r="S375" s="17" t="s">
        <v>421</v>
      </c>
      <c r="T375" s="17" t="s">
        <v>422</v>
      </c>
      <c r="U375" s="17" t="s">
        <v>423</v>
      </c>
      <c r="V375" s="17" t="s">
        <v>953</v>
      </c>
      <c r="W375" s="17" t="s">
        <v>403</v>
      </c>
      <c r="X375" s="17" t="s">
        <v>493</v>
      </c>
      <c r="Y375" s="17" t="s">
        <v>438</v>
      </c>
      <c r="Z375" s="17" t="s">
        <v>1465</v>
      </c>
      <c r="AA375" s="17" t="s">
        <v>440</v>
      </c>
      <c r="AB375" s="17" t="s">
        <v>2158</v>
      </c>
      <c r="AC375" s="17" t="s">
        <v>428</v>
      </c>
      <c r="AD375" s="17" t="s">
        <v>1354</v>
      </c>
      <c r="AE375" s="26">
        <v>650.0</v>
      </c>
      <c r="AF375" s="36">
        <v>78.59</v>
      </c>
      <c r="AG375" s="36">
        <v>79.95</v>
      </c>
      <c r="AH375" s="26" t="s">
        <v>689</v>
      </c>
      <c r="AI375" s="26">
        <v>79641.0</v>
      </c>
      <c r="AJ375" s="26">
        <v>79641.0</v>
      </c>
      <c r="AK375" s="26" t="s">
        <v>567</v>
      </c>
      <c r="AL375" s="26">
        <v>316.0</v>
      </c>
      <c r="AM375" s="26">
        <v>2229.0</v>
      </c>
      <c r="AN375" s="17" t="s">
        <v>465</v>
      </c>
      <c r="AO375" s="32"/>
      <c r="AP375" s="32"/>
      <c r="AQ375" s="32"/>
      <c r="AR375" s="32"/>
      <c r="AS375" s="32"/>
      <c r="AT375" s="26">
        <v>214.0</v>
      </c>
      <c r="AU375" s="26" t="s">
        <v>2159</v>
      </c>
      <c r="AV375" s="35">
        <v>159.0</v>
      </c>
      <c r="AW375" s="26">
        <v>180.0</v>
      </c>
      <c r="AX375" s="26">
        <v>107.0</v>
      </c>
      <c r="AY375" s="26">
        <v>500.0</v>
      </c>
      <c r="AZ375" s="37">
        <v>45511.0</v>
      </c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32"/>
      <c r="CD375" s="32"/>
      <c r="CE375" s="32"/>
      <c r="CF375" s="32"/>
      <c r="CG375" s="32"/>
    </row>
    <row r="376">
      <c r="A376" s="20" t="s">
        <v>2160</v>
      </c>
      <c r="B376" s="20" t="s">
        <v>1706</v>
      </c>
      <c r="C376" s="17" t="s">
        <v>2161</v>
      </c>
      <c r="D376" s="17" t="s">
        <v>1012</v>
      </c>
      <c r="E376" s="34" t="s">
        <v>477</v>
      </c>
      <c r="F376" s="26">
        <v>91.0</v>
      </c>
      <c r="G376" s="35">
        <v>182.0</v>
      </c>
      <c r="H376" s="32"/>
      <c r="I376" s="17" t="s">
        <v>414</v>
      </c>
      <c r="J376" s="17" t="s">
        <v>415</v>
      </c>
      <c r="L376" s="26">
        <v>5.0</v>
      </c>
      <c r="M376" s="32"/>
      <c r="N376" s="17" t="s">
        <v>418</v>
      </c>
      <c r="O376" s="26">
        <v>750.0</v>
      </c>
      <c r="P376" s="26">
        <v>5.0</v>
      </c>
      <c r="Q376" s="26">
        <v>5.0</v>
      </c>
      <c r="R376" s="17" t="s">
        <v>419</v>
      </c>
      <c r="S376" s="17" t="s">
        <v>420</v>
      </c>
      <c r="T376" s="17" t="s">
        <v>421</v>
      </c>
      <c r="U376" s="17" t="s">
        <v>423</v>
      </c>
      <c r="V376" s="17" t="s">
        <v>1987</v>
      </c>
      <c r="W376" s="17" t="s">
        <v>403</v>
      </c>
      <c r="X376" s="17" t="s">
        <v>782</v>
      </c>
      <c r="Y376" s="17" t="s">
        <v>438</v>
      </c>
      <c r="Z376" s="17" t="s">
        <v>1273</v>
      </c>
      <c r="AA376" s="17" t="s">
        <v>440</v>
      </c>
      <c r="AB376" s="17" t="s">
        <v>2158</v>
      </c>
      <c r="AC376" s="17" t="s">
        <v>428</v>
      </c>
      <c r="AD376" s="17" t="s">
        <v>746</v>
      </c>
      <c r="AE376" s="26">
        <v>380.0</v>
      </c>
      <c r="AF376" s="36">
        <v>77.3</v>
      </c>
      <c r="AG376" s="36">
        <v>68.4</v>
      </c>
      <c r="AH376" s="26" t="s">
        <v>2162</v>
      </c>
      <c r="AI376" s="26">
        <v>77140.0</v>
      </c>
      <c r="AJ376" s="26">
        <v>77140.0</v>
      </c>
      <c r="AK376" s="26" t="s">
        <v>567</v>
      </c>
      <c r="AL376" s="26">
        <v>166.0</v>
      </c>
      <c r="AM376" s="26">
        <v>2280.0</v>
      </c>
      <c r="AN376" s="32"/>
      <c r="AO376" s="17" t="s">
        <v>422</v>
      </c>
      <c r="AP376" s="32"/>
      <c r="AQ376" s="32"/>
      <c r="AR376" s="32"/>
      <c r="AS376" s="32"/>
      <c r="AT376" s="26">
        <v>214.0</v>
      </c>
      <c r="AU376" s="26" t="s">
        <v>2159</v>
      </c>
      <c r="AV376" s="35">
        <v>182.0</v>
      </c>
      <c r="AW376" s="26">
        <v>200.0</v>
      </c>
      <c r="AX376" s="26">
        <v>91.0</v>
      </c>
      <c r="AY376" s="26">
        <v>425.0</v>
      </c>
      <c r="AZ376" s="37">
        <v>45415.0</v>
      </c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  <c r="CE376" s="32"/>
      <c r="CF376" s="32"/>
      <c r="CG376" s="32"/>
    </row>
    <row r="377">
      <c r="A377" s="20" t="s">
        <v>2163</v>
      </c>
      <c r="B377" s="20" t="s">
        <v>2164</v>
      </c>
      <c r="C377" s="17" t="s">
        <v>2165</v>
      </c>
      <c r="E377" s="34" t="s">
        <v>436</v>
      </c>
      <c r="F377" s="26">
        <v>106.0</v>
      </c>
      <c r="G377" s="35">
        <v>139.0</v>
      </c>
      <c r="H377" s="32"/>
      <c r="I377" s="17" t="s">
        <v>414</v>
      </c>
      <c r="J377" s="17" t="s">
        <v>415</v>
      </c>
      <c r="L377" s="26">
        <v>7.0</v>
      </c>
      <c r="M377" s="17" t="s">
        <v>417</v>
      </c>
      <c r="N377" s="17" t="s">
        <v>418</v>
      </c>
      <c r="O377" s="26">
        <v>2500.0</v>
      </c>
      <c r="P377" s="26">
        <v>-1.0</v>
      </c>
      <c r="Q377" s="17" t="s">
        <v>419</v>
      </c>
      <c r="R377" s="17" t="s">
        <v>420</v>
      </c>
      <c r="S377" s="17" t="s">
        <v>421</v>
      </c>
      <c r="T377" s="17" t="s">
        <v>422</v>
      </c>
      <c r="U377" s="17" t="s">
        <v>423</v>
      </c>
      <c r="V377" s="17" t="s">
        <v>2131</v>
      </c>
      <c r="W377" s="17" t="s">
        <v>403</v>
      </c>
      <c r="X377" s="17" t="s">
        <v>459</v>
      </c>
      <c r="Y377" s="17" t="s">
        <v>438</v>
      </c>
      <c r="Z377" s="17" t="s">
        <v>471</v>
      </c>
      <c r="AA377" s="17" t="s">
        <v>440</v>
      </c>
      <c r="AB377" s="17" t="s">
        <v>2158</v>
      </c>
      <c r="AC377" s="17" t="s">
        <v>520</v>
      </c>
      <c r="AD377" s="17" t="s">
        <v>2118</v>
      </c>
      <c r="AE377" s="26">
        <v>860.0</v>
      </c>
      <c r="AF377" s="17" t="s">
        <v>2166</v>
      </c>
      <c r="AG377" s="17" t="s">
        <v>2167</v>
      </c>
      <c r="AH377" s="17" t="s">
        <v>2168</v>
      </c>
      <c r="AI377" s="26">
        <v>68716.0</v>
      </c>
      <c r="AJ377" s="26">
        <v>68716.0</v>
      </c>
      <c r="AK377" s="26" t="s">
        <v>2169</v>
      </c>
      <c r="AL377" s="26">
        <v>472.0</v>
      </c>
      <c r="AM377" s="26">
        <v>3067.0</v>
      </c>
      <c r="AN377" s="17" t="s">
        <v>465</v>
      </c>
      <c r="AO377" s="32"/>
      <c r="AP377" s="32"/>
      <c r="AQ377" s="32"/>
      <c r="AR377" s="32"/>
      <c r="AS377" s="32"/>
      <c r="AT377" s="26">
        <v>214.0</v>
      </c>
      <c r="AU377" s="26" t="s">
        <v>2159</v>
      </c>
      <c r="AV377" s="35">
        <v>139.0</v>
      </c>
      <c r="AW377" s="26">
        <v>185.0</v>
      </c>
      <c r="AX377" s="26">
        <v>106.0</v>
      </c>
      <c r="AY377" s="26">
        <v>495.0</v>
      </c>
      <c r="AZ377" s="37">
        <v>45391.0</v>
      </c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32"/>
      <c r="CD377" s="32"/>
      <c r="CE377" s="32"/>
      <c r="CF377" s="32"/>
      <c r="CG377" s="32"/>
    </row>
    <row r="378">
      <c r="A378" s="20" t="s">
        <v>2170</v>
      </c>
      <c r="B378" s="20" t="s">
        <v>1677</v>
      </c>
      <c r="C378" s="17" t="s">
        <v>2171</v>
      </c>
      <c r="D378" s="17" t="s">
        <v>670</v>
      </c>
      <c r="E378" s="34" t="s">
        <v>550</v>
      </c>
      <c r="F378" s="26">
        <v>87.0</v>
      </c>
      <c r="G378" s="35">
        <v>144.0</v>
      </c>
      <c r="H378" s="32"/>
      <c r="I378" s="17" t="s">
        <v>414</v>
      </c>
      <c r="J378" s="17" t="s">
        <v>415</v>
      </c>
      <c r="L378" s="26">
        <v>5.0</v>
      </c>
      <c r="M378" s="17" t="s">
        <v>417</v>
      </c>
      <c r="N378" s="17" t="s">
        <v>418</v>
      </c>
      <c r="O378" s="26">
        <v>1500.0</v>
      </c>
      <c r="P378" s="26">
        <v>5.0</v>
      </c>
      <c r="Q378" s="26">
        <v>5.0</v>
      </c>
      <c r="R378" s="17" t="s">
        <v>419</v>
      </c>
      <c r="S378" s="17" t="s">
        <v>420</v>
      </c>
      <c r="T378" s="17" t="s">
        <v>421</v>
      </c>
      <c r="U378" s="17" t="s">
        <v>423</v>
      </c>
      <c r="V378" s="17" t="s">
        <v>1386</v>
      </c>
      <c r="W378" s="17" t="s">
        <v>403</v>
      </c>
      <c r="X378" s="17" t="s">
        <v>782</v>
      </c>
      <c r="Y378" s="17" t="s">
        <v>404</v>
      </c>
      <c r="Z378" s="17" t="s">
        <v>2172</v>
      </c>
      <c r="AA378" s="17" t="s">
        <v>401</v>
      </c>
      <c r="AB378" s="17" t="s">
        <v>2173</v>
      </c>
      <c r="AC378" s="17" t="s">
        <v>428</v>
      </c>
      <c r="AD378" s="17" t="s">
        <v>502</v>
      </c>
      <c r="AE378" s="26">
        <v>480.0</v>
      </c>
      <c r="AF378" s="36">
        <v>61.99</v>
      </c>
      <c r="AG378" s="36">
        <v>54.99</v>
      </c>
      <c r="AH378" s="26" t="s">
        <v>2174</v>
      </c>
      <c r="AI378" s="26">
        <v>58483.0</v>
      </c>
      <c r="AJ378" s="26">
        <v>58483.0</v>
      </c>
      <c r="AK378" s="26" t="s">
        <v>671</v>
      </c>
      <c r="AL378" s="26">
        <v>195.0</v>
      </c>
      <c r="AM378" s="26">
        <v>1304.0</v>
      </c>
      <c r="AN378" s="32"/>
      <c r="AO378" s="17" t="s">
        <v>422</v>
      </c>
      <c r="AP378" s="17" t="s">
        <v>483</v>
      </c>
      <c r="AQ378" s="32"/>
      <c r="AR378" s="32"/>
      <c r="AS378" s="32"/>
      <c r="AT378" s="26">
        <v>215.0</v>
      </c>
      <c r="AU378" s="26" t="s">
        <v>2175</v>
      </c>
      <c r="AV378" s="35">
        <v>144.0</v>
      </c>
      <c r="AW378" s="26">
        <v>200.0</v>
      </c>
      <c r="AX378" s="26">
        <v>87.0</v>
      </c>
      <c r="AY378" s="26">
        <v>405.0</v>
      </c>
      <c r="AZ378" s="37">
        <v>45478.0</v>
      </c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  <c r="CD378" s="32"/>
      <c r="CE378" s="32"/>
      <c r="CF378" s="32"/>
      <c r="CG378" s="32"/>
    </row>
    <row r="379">
      <c r="A379" s="20" t="s">
        <v>2176</v>
      </c>
      <c r="B379" s="20" t="s">
        <v>1677</v>
      </c>
      <c r="C379" s="17" t="s">
        <v>2177</v>
      </c>
      <c r="D379" s="17" t="s">
        <v>1037</v>
      </c>
      <c r="E379" s="34" t="s">
        <v>550</v>
      </c>
      <c r="F379" s="26">
        <v>87.0</v>
      </c>
      <c r="G379" s="35">
        <v>168.0</v>
      </c>
      <c r="H379" s="32"/>
      <c r="I379" s="17" t="s">
        <v>414</v>
      </c>
      <c r="J379" s="17" t="s">
        <v>415</v>
      </c>
      <c r="L379" s="26">
        <v>5.0</v>
      </c>
      <c r="M379" s="17" t="s">
        <v>417</v>
      </c>
      <c r="N379" s="17" t="s">
        <v>418</v>
      </c>
      <c r="O379" s="26">
        <v>1500.0</v>
      </c>
      <c r="P379" s="26">
        <v>5.0</v>
      </c>
      <c r="Q379" s="26">
        <v>5.0</v>
      </c>
      <c r="R379" s="17" t="s">
        <v>419</v>
      </c>
      <c r="S379" s="17" t="s">
        <v>420</v>
      </c>
      <c r="T379" s="17" t="s">
        <v>421</v>
      </c>
      <c r="U379" s="17" t="s">
        <v>423</v>
      </c>
      <c r="V379" s="17" t="s">
        <v>912</v>
      </c>
      <c r="W379" s="17" t="s">
        <v>403</v>
      </c>
      <c r="X379" s="17" t="s">
        <v>782</v>
      </c>
      <c r="Y379" s="17" t="s">
        <v>404</v>
      </c>
      <c r="Z379" s="17" t="s">
        <v>2172</v>
      </c>
      <c r="AA379" s="17" t="s">
        <v>401</v>
      </c>
      <c r="AB379" s="17" t="s">
        <v>2173</v>
      </c>
      <c r="AC379" s="17" t="s">
        <v>428</v>
      </c>
      <c r="AD379" s="17" t="s">
        <v>502</v>
      </c>
      <c r="AE379" s="26">
        <v>480.0</v>
      </c>
      <c r="AF379" s="36">
        <v>71.49</v>
      </c>
      <c r="AG379" s="36">
        <v>64.99</v>
      </c>
      <c r="AH379" s="26" t="s">
        <v>2178</v>
      </c>
      <c r="AI379" s="26">
        <v>68119.0</v>
      </c>
      <c r="AJ379" s="26">
        <v>68119.0</v>
      </c>
      <c r="AK379" s="26" t="s">
        <v>552</v>
      </c>
      <c r="AL379" s="26">
        <v>158.0</v>
      </c>
      <c r="AM379" s="26">
        <v>1305.0</v>
      </c>
      <c r="AN379" s="32"/>
      <c r="AO379" s="17" t="s">
        <v>422</v>
      </c>
      <c r="AP379" s="17" t="s">
        <v>483</v>
      </c>
      <c r="AQ379" s="32"/>
      <c r="AR379" s="32"/>
      <c r="AS379" s="32"/>
      <c r="AT379" s="26">
        <v>215.0</v>
      </c>
      <c r="AU379" s="26" t="s">
        <v>2175</v>
      </c>
      <c r="AV379" s="35">
        <v>168.0</v>
      </c>
      <c r="AW379" s="26">
        <v>200.0</v>
      </c>
      <c r="AX379" s="26">
        <v>87.0</v>
      </c>
      <c r="AY379" s="26">
        <v>405.0</v>
      </c>
      <c r="AZ379" s="37">
        <v>45296.0</v>
      </c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  <c r="CD379" s="32"/>
      <c r="CE379" s="32"/>
      <c r="CF379" s="32"/>
      <c r="CG379" s="32"/>
    </row>
    <row r="380">
      <c r="A380" s="20" t="s">
        <v>2179</v>
      </c>
      <c r="B380" s="20" t="s">
        <v>2125</v>
      </c>
      <c r="C380" s="17" t="s">
        <v>2180</v>
      </c>
      <c r="D380" s="17" t="s">
        <v>700</v>
      </c>
      <c r="E380" s="34" t="s">
        <v>550</v>
      </c>
      <c r="F380" s="26" t="s">
        <v>1314</v>
      </c>
      <c r="G380" s="35">
        <v>334.0</v>
      </c>
      <c r="H380" s="17" t="s">
        <v>413</v>
      </c>
      <c r="I380" s="17" t="s">
        <v>414</v>
      </c>
      <c r="J380" s="17" t="s">
        <v>415</v>
      </c>
      <c r="L380" s="26">
        <v>5.0</v>
      </c>
      <c r="M380" s="17" t="s">
        <v>417</v>
      </c>
      <c r="N380" s="17" t="s">
        <v>418</v>
      </c>
      <c r="O380" s="26">
        <v>1800.0</v>
      </c>
      <c r="P380" s="26">
        <v>-1.0</v>
      </c>
      <c r="Q380" s="17" t="s">
        <v>419</v>
      </c>
      <c r="R380" s="17" t="s">
        <v>420</v>
      </c>
      <c r="S380" s="17" t="s">
        <v>421</v>
      </c>
      <c r="T380" s="17" t="s">
        <v>422</v>
      </c>
      <c r="U380" s="17" t="s">
        <v>423</v>
      </c>
      <c r="V380" s="17" t="s">
        <v>1987</v>
      </c>
      <c r="W380" s="17" t="s">
        <v>403</v>
      </c>
      <c r="X380" s="17" t="s">
        <v>644</v>
      </c>
      <c r="Y380" s="17" t="s">
        <v>404</v>
      </c>
      <c r="Z380" s="17" t="s">
        <v>426</v>
      </c>
      <c r="AA380" s="17" t="s">
        <v>401</v>
      </c>
      <c r="AB380" s="17" t="s">
        <v>2181</v>
      </c>
      <c r="AC380" s="17" t="s">
        <v>428</v>
      </c>
      <c r="AD380" s="17" t="s">
        <v>866</v>
      </c>
      <c r="AE380" s="26">
        <v>630.0</v>
      </c>
      <c r="AF380" s="36">
        <v>139.438</v>
      </c>
      <c r="AG380" s="36">
        <v>149.788</v>
      </c>
      <c r="AH380" s="26" t="s">
        <v>2182</v>
      </c>
      <c r="AI380" s="26">
        <v>100000.0</v>
      </c>
      <c r="AJ380" s="26">
        <v>140490.0</v>
      </c>
      <c r="AK380" s="26" t="s">
        <v>552</v>
      </c>
      <c r="AL380" s="26">
        <v>116.0</v>
      </c>
      <c r="AM380" s="26">
        <v>1764.0</v>
      </c>
      <c r="AN380" s="32"/>
      <c r="AO380" s="32"/>
      <c r="AP380" s="32"/>
      <c r="AQ380" s="32"/>
      <c r="AR380" s="32"/>
      <c r="AS380" s="32"/>
      <c r="AT380" s="26">
        <v>216.0</v>
      </c>
      <c r="AU380" s="26" t="s">
        <v>2183</v>
      </c>
      <c r="AV380" s="35">
        <v>334.0</v>
      </c>
      <c r="AW380" s="26">
        <v>240.0</v>
      </c>
      <c r="AX380" s="26" t="s">
        <v>1314</v>
      </c>
      <c r="AY380" s="26">
        <v>420.0</v>
      </c>
      <c r="AZ380" s="37">
        <v>45415.0</v>
      </c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  <c r="CD380" s="32"/>
      <c r="CE380" s="32"/>
      <c r="CF380" s="32"/>
      <c r="CG380" s="32"/>
    </row>
    <row r="381">
      <c r="A381" s="20" t="s">
        <v>2184</v>
      </c>
      <c r="B381" s="20" t="s">
        <v>1899</v>
      </c>
      <c r="C381" s="17" t="s">
        <v>2185</v>
      </c>
      <c r="D381" s="17" t="s">
        <v>533</v>
      </c>
      <c r="E381" s="34" t="s">
        <v>477</v>
      </c>
      <c r="F381" s="26" t="s">
        <v>2075</v>
      </c>
      <c r="G381" s="35">
        <v>285.0</v>
      </c>
      <c r="H381" s="17" t="s">
        <v>413</v>
      </c>
      <c r="I381" s="17" t="s">
        <v>414</v>
      </c>
      <c r="J381" s="17" t="s">
        <v>415</v>
      </c>
      <c r="L381" s="26">
        <v>5.0</v>
      </c>
      <c r="M381" s="17" t="s">
        <v>417</v>
      </c>
      <c r="N381" s="17" t="s">
        <v>418</v>
      </c>
      <c r="O381" s="26">
        <v>2500.0</v>
      </c>
      <c r="P381" s="26">
        <v>5.0</v>
      </c>
      <c r="Q381" s="26">
        <v>5.0</v>
      </c>
      <c r="R381" s="17" t="s">
        <v>419</v>
      </c>
      <c r="S381" s="17" t="s">
        <v>420</v>
      </c>
      <c r="T381" s="17" t="s">
        <v>421</v>
      </c>
      <c r="U381" s="17" t="s">
        <v>423</v>
      </c>
      <c r="V381" s="17" t="s">
        <v>1249</v>
      </c>
      <c r="W381" s="17" t="s">
        <v>403</v>
      </c>
      <c r="X381" s="17" t="s">
        <v>701</v>
      </c>
      <c r="Y381" s="17" t="s">
        <v>438</v>
      </c>
      <c r="Z381" s="17" t="s">
        <v>620</v>
      </c>
      <c r="AA381" s="17" t="s">
        <v>440</v>
      </c>
      <c r="AB381" s="17" t="s">
        <v>2186</v>
      </c>
      <c r="AC381" s="17" t="s">
        <v>428</v>
      </c>
      <c r="AD381" s="17" t="s">
        <v>1354</v>
      </c>
      <c r="AE381" s="26">
        <v>650.0</v>
      </c>
      <c r="AF381" s="36">
        <v>136.1</v>
      </c>
      <c r="AG381" s="36">
        <v>137.041</v>
      </c>
      <c r="AH381" s="26" t="s">
        <v>2187</v>
      </c>
      <c r="AI381" s="26">
        <v>100000.0</v>
      </c>
      <c r="AJ381" s="26">
        <v>138110.0</v>
      </c>
      <c r="AK381" s="26" t="s">
        <v>537</v>
      </c>
      <c r="AL381" s="26">
        <v>374.0</v>
      </c>
      <c r="AM381" s="26">
        <v>1590.0</v>
      </c>
      <c r="AN381" s="32"/>
      <c r="AO381" s="17" t="s">
        <v>422</v>
      </c>
      <c r="AP381" s="32"/>
      <c r="AQ381" s="32"/>
      <c r="AR381" s="32"/>
      <c r="AS381" s="32"/>
      <c r="AT381" s="26">
        <v>217.0</v>
      </c>
      <c r="AU381" s="26" t="s">
        <v>2188</v>
      </c>
      <c r="AV381" s="35">
        <v>285.0</v>
      </c>
      <c r="AW381" s="26">
        <v>250.0</v>
      </c>
      <c r="AX381" s="26" t="s">
        <v>2075</v>
      </c>
      <c r="AY381" s="26">
        <v>485.0</v>
      </c>
      <c r="AZ381" s="37">
        <v>45507.0</v>
      </c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  <c r="CC381" s="32"/>
      <c r="CD381" s="32"/>
      <c r="CE381" s="32"/>
      <c r="CF381" s="32"/>
      <c r="CG381" s="32"/>
    </row>
    <row r="382">
      <c r="A382" s="20" t="s">
        <v>2189</v>
      </c>
      <c r="B382" s="20" t="s">
        <v>2190</v>
      </c>
      <c r="C382" s="17" t="s">
        <v>2191</v>
      </c>
      <c r="D382" s="17" t="s">
        <v>827</v>
      </c>
      <c r="E382" s="34" t="s">
        <v>477</v>
      </c>
      <c r="F382" s="26" t="s">
        <v>2192</v>
      </c>
      <c r="G382" s="35">
        <v>128.0</v>
      </c>
      <c r="H382" s="32"/>
      <c r="I382" s="17" t="s">
        <v>414</v>
      </c>
      <c r="J382" s="17" t="s">
        <v>415</v>
      </c>
      <c r="L382" s="26">
        <v>5.0</v>
      </c>
      <c r="M382" s="17" t="s">
        <v>417</v>
      </c>
      <c r="N382" s="17" t="s">
        <v>418</v>
      </c>
      <c r="O382" s="26">
        <v>1800.0</v>
      </c>
      <c r="P382" s="26">
        <v>5.0</v>
      </c>
      <c r="Q382" s="26">
        <v>5.0</v>
      </c>
      <c r="R382" s="17" t="s">
        <v>419</v>
      </c>
      <c r="S382" s="17" t="s">
        <v>420</v>
      </c>
      <c r="T382" s="17" t="s">
        <v>421</v>
      </c>
      <c r="U382" s="17" t="s">
        <v>423</v>
      </c>
      <c r="V382" s="17" t="s">
        <v>880</v>
      </c>
      <c r="W382" s="17" t="s">
        <v>403</v>
      </c>
      <c r="X382" s="17" t="s">
        <v>782</v>
      </c>
      <c r="Y382" s="17" t="s">
        <v>438</v>
      </c>
      <c r="Z382" s="17" t="s">
        <v>2172</v>
      </c>
      <c r="AA382" s="17" t="s">
        <v>440</v>
      </c>
      <c r="AB382" s="17" t="s">
        <v>2186</v>
      </c>
      <c r="AC382" s="17" t="s">
        <v>520</v>
      </c>
      <c r="AD382" s="17" t="s">
        <v>662</v>
      </c>
      <c r="AE382" s="26">
        <v>530.0</v>
      </c>
      <c r="AF382" s="36">
        <v>52.99</v>
      </c>
      <c r="AG382" s="36">
        <v>50.69</v>
      </c>
      <c r="AH382" s="17" t="s">
        <v>463</v>
      </c>
      <c r="AI382" s="26">
        <v>51840.0</v>
      </c>
      <c r="AJ382" s="26">
        <v>51840.0</v>
      </c>
      <c r="AK382" s="26" t="s">
        <v>777</v>
      </c>
      <c r="AL382" s="26">
        <v>159.0</v>
      </c>
      <c r="AM382" s="26">
        <v>1807.0</v>
      </c>
      <c r="AN382" s="32"/>
      <c r="AO382" s="17" t="s">
        <v>422</v>
      </c>
      <c r="AP382" s="32"/>
      <c r="AQ382" s="32"/>
      <c r="AR382" s="32"/>
      <c r="AS382" s="32"/>
      <c r="AT382" s="26">
        <v>217.0</v>
      </c>
      <c r="AU382" s="26" t="s">
        <v>2188</v>
      </c>
      <c r="AV382" s="35">
        <v>128.0</v>
      </c>
      <c r="AW382" s="26">
        <v>200.0</v>
      </c>
      <c r="AX382" s="26" t="s">
        <v>2192</v>
      </c>
      <c r="AY382" s="26">
        <v>405.0</v>
      </c>
      <c r="AZ382" s="37">
        <v>45540.0</v>
      </c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32"/>
      <c r="CD382" s="32"/>
      <c r="CE382" s="32"/>
      <c r="CF382" s="32"/>
      <c r="CG382" s="32"/>
    </row>
    <row r="383">
      <c r="A383" s="20" t="s">
        <v>2193</v>
      </c>
      <c r="B383" s="20" t="s">
        <v>2139</v>
      </c>
      <c r="C383" s="17" t="s">
        <v>2194</v>
      </c>
      <c r="D383" s="17" t="s">
        <v>843</v>
      </c>
      <c r="E383" s="34" t="s">
        <v>477</v>
      </c>
      <c r="F383" s="26">
        <v>50.0</v>
      </c>
      <c r="G383" s="35">
        <v>171.0</v>
      </c>
      <c r="H383" s="17" t="s">
        <v>413</v>
      </c>
      <c r="I383" s="17" t="s">
        <v>414</v>
      </c>
      <c r="J383" s="17" t="s">
        <v>415</v>
      </c>
      <c r="L383" s="26">
        <v>7.0</v>
      </c>
      <c r="M383" s="17" t="s">
        <v>417</v>
      </c>
      <c r="N383" s="17" t="s">
        <v>418</v>
      </c>
      <c r="O383" s="26">
        <v>750.0</v>
      </c>
      <c r="P383" s="26">
        <v>-1.0</v>
      </c>
      <c r="Q383" s="17" t="s">
        <v>419</v>
      </c>
      <c r="R383" s="17" t="s">
        <v>420</v>
      </c>
      <c r="S383" s="17" t="s">
        <v>421</v>
      </c>
      <c r="T383" s="17" t="s">
        <v>422</v>
      </c>
      <c r="U383" s="17" t="s">
        <v>423</v>
      </c>
      <c r="V383" s="17" t="s">
        <v>604</v>
      </c>
      <c r="W383" s="17" t="s">
        <v>403</v>
      </c>
      <c r="X383" s="17" t="s">
        <v>1008</v>
      </c>
      <c r="Y383" s="17" t="s">
        <v>438</v>
      </c>
      <c r="Z383" s="17" t="s">
        <v>744</v>
      </c>
      <c r="AA383" s="17" t="s">
        <v>440</v>
      </c>
      <c r="AB383" s="17" t="s">
        <v>2186</v>
      </c>
      <c r="AC383" s="17" t="s">
        <v>428</v>
      </c>
      <c r="AD383" s="17" t="s">
        <v>536</v>
      </c>
      <c r="AE383" s="26">
        <v>340.0</v>
      </c>
      <c r="AF383" s="36">
        <v>37.94</v>
      </c>
      <c r="AG383" s="36">
        <v>43.178</v>
      </c>
      <c r="AH383" s="26" t="s">
        <v>2195</v>
      </c>
      <c r="AI383" s="26">
        <v>39263.0</v>
      </c>
      <c r="AJ383" s="26">
        <v>39263.0</v>
      </c>
      <c r="AK383" s="26" t="s">
        <v>495</v>
      </c>
      <c r="AL383" s="26">
        <v>112.0</v>
      </c>
      <c r="AM383" s="26">
        <v>2160.0</v>
      </c>
      <c r="AN383" s="32"/>
      <c r="AO383" s="32"/>
      <c r="AP383" s="32"/>
      <c r="AQ383" s="32"/>
      <c r="AR383" s="32"/>
      <c r="AS383" s="32"/>
      <c r="AT383" s="26">
        <v>217.0</v>
      </c>
      <c r="AU383" s="26" t="s">
        <v>2188</v>
      </c>
      <c r="AV383" s="35">
        <v>171.0</v>
      </c>
      <c r="AW383" s="26">
        <v>132.0</v>
      </c>
      <c r="AX383" s="26">
        <v>50.0</v>
      </c>
      <c r="AY383" s="26">
        <v>230.0</v>
      </c>
      <c r="AZ383" s="37">
        <v>45484.0</v>
      </c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  <c r="CC383" s="32"/>
      <c r="CD383" s="32"/>
      <c r="CE383" s="32"/>
      <c r="CF383" s="32"/>
      <c r="CG383" s="32"/>
    </row>
    <row r="384">
      <c r="A384" s="20" t="s">
        <v>2196</v>
      </c>
      <c r="B384" s="20" t="s">
        <v>2143</v>
      </c>
      <c r="C384" s="17" t="s">
        <v>2197</v>
      </c>
      <c r="D384" s="17" t="s">
        <v>843</v>
      </c>
      <c r="E384" s="34" t="s">
        <v>477</v>
      </c>
      <c r="F384" s="26">
        <v>50.0</v>
      </c>
      <c r="G384" s="35">
        <v>169.0</v>
      </c>
      <c r="H384" s="17" t="s">
        <v>413</v>
      </c>
      <c r="I384" s="17" t="s">
        <v>414</v>
      </c>
      <c r="J384" s="17" t="s">
        <v>415</v>
      </c>
      <c r="L384" s="26">
        <v>7.0</v>
      </c>
      <c r="M384" s="17" t="s">
        <v>417</v>
      </c>
      <c r="N384" s="17" t="s">
        <v>418</v>
      </c>
      <c r="O384" s="26">
        <v>750.0</v>
      </c>
      <c r="P384" s="26">
        <v>-1.0</v>
      </c>
      <c r="Q384" s="17" t="s">
        <v>419</v>
      </c>
      <c r="R384" s="17" t="s">
        <v>420</v>
      </c>
      <c r="S384" s="17" t="s">
        <v>421</v>
      </c>
      <c r="T384" s="17" t="s">
        <v>422</v>
      </c>
      <c r="U384" s="17" t="s">
        <v>423</v>
      </c>
      <c r="V384" s="17" t="s">
        <v>2145</v>
      </c>
      <c r="W384" s="17" t="s">
        <v>403</v>
      </c>
      <c r="X384" s="17" t="s">
        <v>652</v>
      </c>
      <c r="Y384" s="17" t="s">
        <v>438</v>
      </c>
      <c r="Z384" s="17" t="s">
        <v>744</v>
      </c>
      <c r="AA384" s="17" t="s">
        <v>440</v>
      </c>
      <c r="AB384" s="17" t="s">
        <v>2186</v>
      </c>
      <c r="AC384" s="17" t="s">
        <v>428</v>
      </c>
      <c r="AD384" s="17" t="s">
        <v>536</v>
      </c>
      <c r="AE384" s="26">
        <v>340.0</v>
      </c>
      <c r="AF384" s="36">
        <v>39.6</v>
      </c>
      <c r="AG384" s="17" t="s">
        <v>463</v>
      </c>
      <c r="AH384" s="26" t="s">
        <v>2198</v>
      </c>
      <c r="AI384" s="26">
        <v>38821.0</v>
      </c>
      <c r="AJ384" s="26">
        <v>38821.0</v>
      </c>
      <c r="AK384" s="26" t="s">
        <v>495</v>
      </c>
      <c r="AL384" s="26">
        <v>67.0</v>
      </c>
      <c r="AM384" s="26">
        <v>2162.0</v>
      </c>
      <c r="AN384" s="32"/>
      <c r="AO384" s="32"/>
      <c r="AP384" s="32"/>
      <c r="AQ384" s="32"/>
      <c r="AR384" s="32"/>
      <c r="AS384" s="32"/>
      <c r="AT384" s="26">
        <v>217.0</v>
      </c>
      <c r="AU384" s="26" t="s">
        <v>2188</v>
      </c>
      <c r="AV384" s="35">
        <v>169.0</v>
      </c>
      <c r="AW384" s="26">
        <v>135.0</v>
      </c>
      <c r="AX384" s="26">
        <v>50.0</v>
      </c>
      <c r="AY384" s="26">
        <v>230.0</v>
      </c>
      <c r="AZ384" s="37">
        <v>45362.0</v>
      </c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32"/>
      <c r="CD384" s="32"/>
      <c r="CE384" s="32"/>
      <c r="CF384" s="32"/>
      <c r="CG384" s="32"/>
    </row>
    <row r="385">
      <c r="A385" s="20" t="s">
        <v>2199</v>
      </c>
      <c r="B385" s="20" t="s">
        <v>2148</v>
      </c>
      <c r="C385" s="17" t="s">
        <v>2200</v>
      </c>
      <c r="D385" s="17" t="s">
        <v>843</v>
      </c>
      <c r="E385" s="34" t="s">
        <v>477</v>
      </c>
      <c r="F385" s="26">
        <v>50.0</v>
      </c>
      <c r="G385" s="35">
        <v>177.0</v>
      </c>
      <c r="H385" s="17" t="s">
        <v>413</v>
      </c>
      <c r="I385" s="17" t="s">
        <v>414</v>
      </c>
      <c r="J385" s="17" t="s">
        <v>415</v>
      </c>
      <c r="L385" s="26">
        <v>7.0</v>
      </c>
      <c r="M385" s="17" t="s">
        <v>417</v>
      </c>
      <c r="N385" s="17" t="s">
        <v>418</v>
      </c>
      <c r="O385" s="26">
        <v>750.0</v>
      </c>
      <c r="P385" s="26">
        <v>-1.0</v>
      </c>
      <c r="Q385" s="17" t="s">
        <v>419</v>
      </c>
      <c r="R385" s="17" t="s">
        <v>420</v>
      </c>
      <c r="S385" s="17" t="s">
        <v>421</v>
      </c>
      <c r="T385" s="17" t="s">
        <v>422</v>
      </c>
      <c r="U385" s="17" t="s">
        <v>423</v>
      </c>
      <c r="V385" s="17" t="s">
        <v>604</v>
      </c>
      <c r="W385" s="17" t="s">
        <v>403</v>
      </c>
      <c r="X385" s="17" t="s">
        <v>1008</v>
      </c>
      <c r="Y385" s="17" t="s">
        <v>438</v>
      </c>
      <c r="Z385" s="17" t="s">
        <v>744</v>
      </c>
      <c r="AA385" s="17" t="s">
        <v>440</v>
      </c>
      <c r="AB385" s="17" t="s">
        <v>2186</v>
      </c>
      <c r="AC385" s="17" t="s">
        <v>428</v>
      </c>
      <c r="AD385" s="17" t="s">
        <v>536</v>
      </c>
      <c r="AE385" s="26">
        <v>340.0</v>
      </c>
      <c r="AF385" s="36">
        <v>39.44</v>
      </c>
      <c r="AG385" s="36">
        <v>44.739</v>
      </c>
      <c r="AH385" s="26" t="s">
        <v>2201</v>
      </c>
      <c r="AI385" s="26">
        <v>40759.0</v>
      </c>
      <c r="AJ385" s="26">
        <v>40759.0</v>
      </c>
      <c r="AK385" s="26" t="s">
        <v>495</v>
      </c>
      <c r="AL385" s="26">
        <v>85.0</v>
      </c>
      <c r="AM385" s="26">
        <v>2164.0</v>
      </c>
      <c r="AN385" s="32"/>
      <c r="AO385" s="32"/>
      <c r="AP385" s="32"/>
      <c r="AQ385" s="32"/>
      <c r="AR385" s="32"/>
      <c r="AS385" s="32"/>
      <c r="AT385" s="26">
        <v>217.0</v>
      </c>
      <c r="AU385" s="26" t="s">
        <v>2188</v>
      </c>
      <c r="AV385" s="35">
        <v>177.0</v>
      </c>
      <c r="AW385" s="26">
        <v>132.0</v>
      </c>
      <c r="AX385" s="26">
        <v>50.0</v>
      </c>
      <c r="AY385" s="26">
        <v>230.0</v>
      </c>
      <c r="AZ385" s="37">
        <v>45484.0</v>
      </c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  <c r="CC385" s="32"/>
      <c r="CD385" s="32"/>
      <c r="CE385" s="32"/>
      <c r="CF385" s="32"/>
      <c r="CG385" s="32"/>
    </row>
    <row r="386">
      <c r="A386" s="20" t="s">
        <v>2202</v>
      </c>
      <c r="B386" s="20" t="s">
        <v>2152</v>
      </c>
      <c r="C386" s="17" t="s">
        <v>2203</v>
      </c>
      <c r="D386" s="17" t="s">
        <v>565</v>
      </c>
      <c r="E386" s="34" t="s">
        <v>477</v>
      </c>
      <c r="F386" s="26">
        <v>50.0</v>
      </c>
      <c r="G386" s="35">
        <v>182.0</v>
      </c>
      <c r="H386" s="17" t="s">
        <v>413</v>
      </c>
      <c r="I386" s="17" t="s">
        <v>414</v>
      </c>
      <c r="J386" s="17" t="s">
        <v>415</v>
      </c>
      <c r="L386" s="26">
        <v>7.0</v>
      </c>
      <c r="M386" s="17" t="s">
        <v>417</v>
      </c>
      <c r="N386" s="17" t="s">
        <v>418</v>
      </c>
      <c r="O386" s="26">
        <v>750.0</v>
      </c>
      <c r="P386" s="26">
        <v>-1.0</v>
      </c>
      <c r="Q386" s="17" t="s">
        <v>419</v>
      </c>
      <c r="R386" s="17" t="s">
        <v>420</v>
      </c>
      <c r="S386" s="17" t="s">
        <v>421</v>
      </c>
      <c r="T386" s="17" t="s">
        <v>422</v>
      </c>
      <c r="U386" s="17" t="s">
        <v>423</v>
      </c>
      <c r="V386" s="17" t="s">
        <v>604</v>
      </c>
      <c r="W386" s="17" t="s">
        <v>403</v>
      </c>
      <c r="X386" s="17" t="s">
        <v>1008</v>
      </c>
      <c r="Y386" s="17" t="s">
        <v>438</v>
      </c>
      <c r="Z386" s="17" t="s">
        <v>744</v>
      </c>
      <c r="AA386" s="17" t="s">
        <v>440</v>
      </c>
      <c r="AB386" s="17" t="s">
        <v>2186</v>
      </c>
      <c r="AC386" s="17" t="s">
        <v>428</v>
      </c>
      <c r="AD386" s="17" t="s">
        <v>536</v>
      </c>
      <c r="AE386" s="26">
        <v>340.0</v>
      </c>
      <c r="AF386" s="36">
        <v>42.38</v>
      </c>
      <c r="AG386" s="36">
        <v>45.225</v>
      </c>
      <c r="AH386" s="26" t="s">
        <v>2204</v>
      </c>
      <c r="AI386" s="26">
        <v>41901.0</v>
      </c>
      <c r="AJ386" s="26">
        <v>41901.0</v>
      </c>
      <c r="AK386" s="26" t="s">
        <v>567</v>
      </c>
      <c r="AL386" s="26">
        <v>63.0</v>
      </c>
      <c r="AM386" s="26">
        <v>2166.0</v>
      </c>
      <c r="AN386" s="32"/>
      <c r="AO386" s="32"/>
      <c r="AP386" s="32"/>
      <c r="AQ386" s="32"/>
      <c r="AR386" s="32"/>
      <c r="AS386" s="32"/>
      <c r="AT386" s="26">
        <v>217.0</v>
      </c>
      <c r="AU386" s="26" t="s">
        <v>2188</v>
      </c>
      <c r="AV386" s="35">
        <v>182.0</v>
      </c>
      <c r="AW386" s="26">
        <v>132.0</v>
      </c>
      <c r="AX386" s="26">
        <v>50.0</v>
      </c>
      <c r="AY386" s="26">
        <v>230.0</v>
      </c>
      <c r="AZ386" s="37">
        <v>45484.0</v>
      </c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32"/>
      <c r="CD386" s="32"/>
      <c r="CE386" s="32"/>
      <c r="CF386" s="32"/>
      <c r="CG386" s="32"/>
    </row>
    <row r="387">
      <c r="A387" s="20" t="s">
        <v>2205</v>
      </c>
      <c r="B387" s="20" t="s">
        <v>2206</v>
      </c>
      <c r="C387" s="17" t="s">
        <v>2207</v>
      </c>
      <c r="D387" s="17" t="s">
        <v>804</v>
      </c>
      <c r="E387" s="34" t="s">
        <v>477</v>
      </c>
      <c r="F387" s="26">
        <v>102.0</v>
      </c>
      <c r="G387" s="35">
        <v>828.0</v>
      </c>
      <c r="H387" s="32"/>
      <c r="I387" s="17" t="s">
        <v>414</v>
      </c>
      <c r="J387" s="17" t="s">
        <v>415</v>
      </c>
      <c r="L387" s="26">
        <v>4.0</v>
      </c>
      <c r="M387" s="17" t="s">
        <v>417</v>
      </c>
      <c r="N387" s="32"/>
      <c r="O387" s="32"/>
      <c r="P387" s="26">
        <v>-1.0</v>
      </c>
      <c r="Q387" s="17" t="s">
        <v>419</v>
      </c>
      <c r="R387" s="17" t="s">
        <v>420</v>
      </c>
      <c r="S387" s="17" t="s">
        <v>421</v>
      </c>
      <c r="T387" s="17" t="s">
        <v>422</v>
      </c>
      <c r="U387" s="17" t="s">
        <v>423</v>
      </c>
      <c r="V387" s="17" t="s">
        <v>1265</v>
      </c>
      <c r="W387" s="17" t="s">
        <v>543</v>
      </c>
      <c r="X387" s="17" t="s">
        <v>701</v>
      </c>
      <c r="Y387" s="17" t="s">
        <v>438</v>
      </c>
      <c r="Z387" s="17" t="s">
        <v>1104</v>
      </c>
      <c r="AA387" s="17" t="s">
        <v>440</v>
      </c>
      <c r="AB387" s="17" t="s">
        <v>2208</v>
      </c>
      <c r="AC387" s="17" t="s">
        <v>428</v>
      </c>
      <c r="AD387" s="17" t="s">
        <v>1299</v>
      </c>
      <c r="AE387" s="26">
        <v>540.0</v>
      </c>
      <c r="AF387" s="36">
        <v>379.015</v>
      </c>
      <c r="AG387" s="36">
        <v>396.275</v>
      </c>
      <c r="AH387" s="26" t="s">
        <v>2209</v>
      </c>
      <c r="AI387" s="26">
        <v>100000.0</v>
      </c>
      <c r="AJ387" s="26">
        <v>384930.0</v>
      </c>
      <c r="AK387" s="26" t="s">
        <v>777</v>
      </c>
      <c r="AL387" s="26">
        <v>1184.0</v>
      </c>
      <c r="AM387" s="26">
        <v>1765.0</v>
      </c>
      <c r="AN387" s="32"/>
      <c r="AO387" s="32"/>
      <c r="AP387" s="32"/>
      <c r="AQ387" s="32"/>
      <c r="AR387" s="32"/>
      <c r="AS387" s="32"/>
      <c r="AT387" s="26">
        <v>219.0</v>
      </c>
      <c r="AU387" s="26" t="s">
        <v>2210</v>
      </c>
      <c r="AV387" s="35">
        <v>828.0</v>
      </c>
      <c r="AW387" s="26">
        <v>250.0</v>
      </c>
      <c r="AX387" s="26">
        <v>102.0</v>
      </c>
      <c r="AY387" s="26">
        <v>465.0</v>
      </c>
      <c r="AZ387" s="37">
        <v>45416.0</v>
      </c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32"/>
      <c r="CD387" s="32"/>
      <c r="CE387" s="32"/>
      <c r="CF387" s="32"/>
      <c r="CG387" s="32"/>
    </row>
    <row r="388">
      <c r="A388" s="20" t="s">
        <v>2211</v>
      </c>
      <c r="B388" s="20" t="s">
        <v>2190</v>
      </c>
      <c r="C388" s="17" t="s">
        <v>2212</v>
      </c>
      <c r="D388" s="17" t="s">
        <v>827</v>
      </c>
      <c r="E388" s="34" t="s">
        <v>477</v>
      </c>
      <c r="F388" s="26" t="s">
        <v>2192</v>
      </c>
      <c r="G388" s="35">
        <v>144.0</v>
      </c>
      <c r="H388" s="32"/>
      <c r="I388" s="17" t="s">
        <v>414</v>
      </c>
      <c r="J388" s="17" t="s">
        <v>415</v>
      </c>
      <c r="L388" s="26">
        <v>5.0</v>
      </c>
      <c r="M388" s="17" t="s">
        <v>417</v>
      </c>
      <c r="N388" s="17" t="s">
        <v>418</v>
      </c>
      <c r="O388" s="26">
        <v>1800.0</v>
      </c>
      <c r="P388" s="26">
        <v>5.0</v>
      </c>
      <c r="Q388" s="26">
        <v>5.0</v>
      </c>
      <c r="R388" s="17" t="s">
        <v>419</v>
      </c>
      <c r="S388" s="17" t="s">
        <v>420</v>
      </c>
      <c r="T388" s="17" t="s">
        <v>421</v>
      </c>
      <c r="U388" s="17" t="s">
        <v>423</v>
      </c>
      <c r="V388" s="17" t="s">
        <v>927</v>
      </c>
      <c r="W388" s="17" t="s">
        <v>403</v>
      </c>
      <c r="X388" s="17" t="s">
        <v>782</v>
      </c>
      <c r="Y388" s="17" t="s">
        <v>438</v>
      </c>
      <c r="Z388" s="17" t="s">
        <v>1562</v>
      </c>
      <c r="AA388" s="17" t="s">
        <v>440</v>
      </c>
      <c r="AB388" s="17" t="s">
        <v>2208</v>
      </c>
      <c r="AC388" s="17" t="s">
        <v>520</v>
      </c>
      <c r="AD388" s="17" t="s">
        <v>901</v>
      </c>
      <c r="AE388" s="26">
        <v>520.0</v>
      </c>
      <c r="AF388" s="36">
        <v>58.89</v>
      </c>
      <c r="AG388" s="36">
        <v>56.69</v>
      </c>
      <c r="AH388" s="17" t="s">
        <v>463</v>
      </c>
      <c r="AI388" s="26">
        <v>57790.0</v>
      </c>
      <c r="AJ388" s="26">
        <v>57790.0</v>
      </c>
      <c r="AK388" s="26" t="s">
        <v>777</v>
      </c>
      <c r="AL388" s="26">
        <v>184.0</v>
      </c>
      <c r="AM388" s="26">
        <v>1809.0</v>
      </c>
      <c r="AN388" s="32"/>
      <c r="AO388" s="17" t="s">
        <v>422</v>
      </c>
      <c r="AP388" s="32"/>
      <c r="AQ388" s="32"/>
      <c r="AR388" s="32"/>
      <c r="AS388" s="32"/>
      <c r="AT388" s="26">
        <v>219.0</v>
      </c>
      <c r="AU388" s="26" t="s">
        <v>2210</v>
      </c>
      <c r="AV388" s="35">
        <v>144.0</v>
      </c>
      <c r="AW388" s="26">
        <v>200.0</v>
      </c>
      <c r="AX388" s="26" t="s">
        <v>2192</v>
      </c>
      <c r="AY388" s="26">
        <v>400.0</v>
      </c>
      <c r="AZ388" s="37">
        <v>45417.0</v>
      </c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  <c r="CD388" s="32"/>
      <c r="CE388" s="32"/>
      <c r="CF388" s="32"/>
      <c r="CG388" s="32"/>
    </row>
    <row r="389">
      <c r="A389" s="20" t="s">
        <v>2213</v>
      </c>
      <c r="B389" s="20" t="s">
        <v>2214</v>
      </c>
      <c r="C389" s="17" t="s">
        <v>2215</v>
      </c>
      <c r="D389" s="17" t="s">
        <v>804</v>
      </c>
      <c r="E389" s="34" t="s">
        <v>477</v>
      </c>
      <c r="F389" s="26">
        <v>118.0</v>
      </c>
      <c r="G389" s="35">
        <v>219.0</v>
      </c>
      <c r="H389" s="17" t="s">
        <v>413</v>
      </c>
      <c r="I389" s="17" t="s">
        <v>414</v>
      </c>
      <c r="J389" s="17" t="s">
        <v>415</v>
      </c>
      <c r="L389" s="26">
        <v>7.0</v>
      </c>
      <c r="M389" s="17" t="s">
        <v>417</v>
      </c>
      <c r="N389" s="17" t="s">
        <v>418</v>
      </c>
      <c r="O389" s="26">
        <v>750.0</v>
      </c>
      <c r="P389" s="26">
        <v>-1.0</v>
      </c>
      <c r="Q389" s="17" t="s">
        <v>419</v>
      </c>
      <c r="R389" s="17" t="s">
        <v>420</v>
      </c>
      <c r="S389" s="17" t="s">
        <v>421</v>
      </c>
      <c r="T389" s="17" t="s">
        <v>422</v>
      </c>
      <c r="U389" s="17" t="s">
        <v>423</v>
      </c>
      <c r="V389" s="17" t="s">
        <v>1215</v>
      </c>
      <c r="W389" s="17" t="s">
        <v>403</v>
      </c>
      <c r="X389" s="17" t="s">
        <v>619</v>
      </c>
      <c r="Y389" s="17" t="s">
        <v>438</v>
      </c>
      <c r="Z389" s="17" t="s">
        <v>2216</v>
      </c>
      <c r="AA389" s="17" t="s">
        <v>440</v>
      </c>
      <c r="AB389" s="17" t="s">
        <v>2208</v>
      </c>
      <c r="AC389" s="17" t="s">
        <v>428</v>
      </c>
      <c r="AD389" s="17" t="s">
        <v>1064</v>
      </c>
      <c r="AE389" s="26">
        <v>680.0</v>
      </c>
      <c r="AF389" s="36">
        <v>110.801</v>
      </c>
      <c r="AG389" s="36">
        <v>125.425</v>
      </c>
      <c r="AH389" s="17" t="s">
        <v>463</v>
      </c>
      <c r="AI389" s="26">
        <v>100000.0</v>
      </c>
      <c r="AJ389" s="26">
        <v>118113.0</v>
      </c>
      <c r="AK389" s="26" t="s">
        <v>777</v>
      </c>
      <c r="AL389" s="26">
        <v>214.0</v>
      </c>
      <c r="AM389" s="26">
        <v>2087.0</v>
      </c>
      <c r="AN389" s="32"/>
      <c r="AO389" s="32"/>
      <c r="AP389" s="32"/>
      <c r="AQ389" s="32"/>
      <c r="AR389" s="32"/>
      <c r="AS389" s="32"/>
      <c r="AT389" s="26">
        <v>219.0</v>
      </c>
      <c r="AU389" s="26" t="s">
        <v>2210</v>
      </c>
      <c r="AV389" s="35">
        <v>219.0</v>
      </c>
      <c r="AW389" s="26">
        <v>210.0</v>
      </c>
      <c r="AX389" s="26">
        <v>118.0</v>
      </c>
      <c r="AY389" s="26">
        <v>540.0</v>
      </c>
      <c r="AZ389" s="37">
        <v>45510.0</v>
      </c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32"/>
      <c r="CD389" s="32"/>
      <c r="CE389" s="32"/>
      <c r="CF389" s="32"/>
      <c r="CG389" s="32"/>
    </row>
    <row r="390">
      <c r="A390" s="20" t="s">
        <v>2217</v>
      </c>
      <c r="B390" s="20" t="s">
        <v>2218</v>
      </c>
      <c r="C390" s="17" t="s">
        <v>2219</v>
      </c>
      <c r="D390" s="17" t="s">
        <v>565</v>
      </c>
      <c r="E390" s="34" t="s">
        <v>477</v>
      </c>
      <c r="F390" s="26">
        <v>79.0</v>
      </c>
      <c r="G390" s="35">
        <v>169.0</v>
      </c>
      <c r="H390" s="32"/>
      <c r="I390" s="17" t="s">
        <v>414</v>
      </c>
      <c r="J390" s="17" t="s">
        <v>415</v>
      </c>
      <c r="L390" s="26">
        <v>5.0</v>
      </c>
      <c r="M390" s="17" t="s">
        <v>417</v>
      </c>
      <c r="N390" s="17" t="s">
        <v>418</v>
      </c>
      <c r="O390" s="26">
        <v>1200.0</v>
      </c>
      <c r="P390" s="26">
        <v>5.0</v>
      </c>
      <c r="Q390" s="26">
        <v>5.0</v>
      </c>
      <c r="R390" s="17" t="s">
        <v>419</v>
      </c>
      <c r="S390" s="17" t="s">
        <v>420</v>
      </c>
      <c r="T390" s="17" t="s">
        <v>421</v>
      </c>
      <c r="U390" s="17" t="s">
        <v>423</v>
      </c>
      <c r="V390" s="17" t="s">
        <v>851</v>
      </c>
      <c r="W390" s="17" t="s">
        <v>403</v>
      </c>
      <c r="X390" s="17" t="s">
        <v>581</v>
      </c>
      <c r="Y390" s="17" t="s">
        <v>438</v>
      </c>
      <c r="Z390" s="17" t="s">
        <v>852</v>
      </c>
      <c r="AA390" s="17" t="s">
        <v>440</v>
      </c>
      <c r="AB390" s="17" t="s">
        <v>2208</v>
      </c>
      <c r="AC390" s="17" t="s">
        <v>428</v>
      </c>
      <c r="AD390" s="17" t="s">
        <v>599</v>
      </c>
      <c r="AE390" s="26">
        <v>580.0</v>
      </c>
      <c r="AF390" s="36">
        <v>60.892</v>
      </c>
      <c r="AG390" s="36">
        <v>53.99</v>
      </c>
      <c r="AH390" s="26" t="s">
        <v>2220</v>
      </c>
      <c r="AI390" s="26">
        <v>60924.0</v>
      </c>
      <c r="AJ390" s="26">
        <v>60924.0</v>
      </c>
      <c r="AK390" s="26" t="s">
        <v>567</v>
      </c>
      <c r="AL390" s="26">
        <v>514.0</v>
      </c>
      <c r="AM390" s="26">
        <v>2232.0</v>
      </c>
      <c r="AN390" s="32"/>
      <c r="AO390" s="17" t="s">
        <v>422</v>
      </c>
      <c r="AP390" s="32"/>
      <c r="AQ390" s="32"/>
      <c r="AR390" s="32"/>
      <c r="AS390" s="32"/>
      <c r="AT390" s="26">
        <v>219.0</v>
      </c>
      <c r="AU390" s="26" t="s">
        <v>2210</v>
      </c>
      <c r="AV390" s="35">
        <v>169.0</v>
      </c>
      <c r="AW390" s="26">
        <v>160.0</v>
      </c>
      <c r="AX390" s="26">
        <v>79.0</v>
      </c>
      <c r="AY390" s="26">
        <v>360.0</v>
      </c>
      <c r="AZ390" s="37">
        <v>45450.0</v>
      </c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  <c r="CC390" s="32"/>
      <c r="CD390" s="32"/>
      <c r="CE390" s="32"/>
      <c r="CF390" s="32"/>
      <c r="CG390" s="32"/>
    </row>
    <row r="391">
      <c r="A391" s="20" t="s">
        <v>2221</v>
      </c>
      <c r="B391" s="20" t="s">
        <v>2222</v>
      </c>
      <c r="C391" s="17" t="s">
        <v>2223</v>
      </c>
      <c r="D391" s="17" t="s">
        <v>1461</v>
      </c>
      <c r="E391" s="34" t="s">
        <v>477</v>
      </c>
      <c r="F391" s="26">
        <v>109.0</v>
      </c>
      <c r="G391" s="35">
        <v>202.0</v>
      </c>
      <c r="H391" s="17" t="s">
        <v>413</v>
      </c>
      <c r="I391" s="17" t="s">
        <v>414</v>
      </c>
      <c r="J391" s="17" t="s">
        <v>415</v>
      </c>
      <c r="L391" s="26">
        <v>5.0</v>
      </c>
      <c r="M391" s="17" t="s">
        <v>417</v>
      </c>
      <c r="N391" s="17" t="s">
        <v>418</v>
      </c>
      <c r="O391" s="26">
        <v>2250.0</v>
      </c>
      <c r="P391" s="26">
        <v>-1.0</v>
      </c>
      <c r="Q391" s="17" t="s">
        <v>419</v>
      </c>
      <c r="R391" s="17" t="s">
        <v>420</v>
      </c>
      <c r="S391" s="17" t="s">
        <v>421</v>
      </c>
      <c r="T391" s="17" t="s">
        <v>422</v>
      </c>
      <c r="U391" s="17" t="s">
        <v>423</v>
      </c>
      <c r="V391" s="17" t="s">
        <v>1265</v>
      </c>
      <c r="W391" s="17" t="s">
        <v>403</v>
      </c>
      <c r="X391" s="17" t="s">
        <v>701</v>
      </c>
      <c r="Y391" s="17" t="s">
        <v>438</v>
      </c>
      <c r="Z391" s="17" t="s">
        <v>471</v>
      </c>
      <c r="AA391" s="17" t="s">
        <v>440</v>
      </c>
      <c r="AB391" s="17" t="s">
        <v>2224</v>
      </c>
      <c r="AC391" s="17" t="s">
        <v>428</v>
      </c>
      <c r="AD391" s="17" t="s">
        <v>908</v>
      </c>
      <c r="AE391" s="26">
        <v>1090.0</v>
      </c>
      <c r="AF391" s="36">
        <v>96.99</v>
      </c>
      <c r="AG391" s="36">
        <v>98.69</v>
      </c>
      <c r="AH391" s="26" t="s">
        <v>2225</v>
      </c>
      <c r="AI391" s="26">
        <v>100000.0</v>
      </c>
      <c r="AJ391" s="26">
        <v>100035.0</v>
      </c>
      <c r="AK391" s="26" t="s">
        <v>552</v>
      </c>
      <c r="AL391" s="26">
        <v>457.0</v>
      </c>
      <c r="AM391" s="26">
        <v>1767.0</v>
      </c>
      <c r="AN391" s="32"/>
      <c r="AO391" s="32"/>
      <c r="AP391" s="32"/>
      <c r="AQ391" s="32"/>
      <c r="AR391" s="32"/>
      <c r="AS391" s="32"/>
      <c r="AT391" s="26">
        <v>220.0</v>
      </c>
      <c r="AU391" s="26" t="s">
        <v>2226</v>
      </c>
      <c r="AV391" s="35">
        <v>202.0</v>
      </c>
      <c r="AW391" s="26">
        <v>250.0</v>
      </c>
      <c r="AX391" s="26">
        <v>109.0</v>
      </c>
      <c r="AY391" s="26">
        <v>495.0</v>
      </c>
      <c r="AZ391" s="37">
        <v>45416.0</v>
      </c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  <c r="CC391" s="32"/>
      <c r="CD391" s="32"/>
      <c r="CE391" s="32"/>
      <c r="CF391" s="32"/>
      <c r="CG391" s="32"/>
    </row>
    <row r="392">
      <c r="A392" s="20" t="s">
        <v>2227</v>
      </c>
      <c r="B392" s="20" t="s">
        <v>2228</v>
      </c>
      <c r="C392" s="17" t="s">
        <v>2229</v>
      </c>
      <c r="D392" s="17" t="s">
        <v>506</v>
      </c>
      <c r="E392" s="34" t="s">
        <v>477</v>
      </c>
      <c r="F392" s="26">
        <v>101.0</v>
      </c>
      <c r="G392" s="35">
        <v>182.0</v>
      </c>
      <c r="H392" s="17" t="s">
        <v>413</v>
      </c>
      <c r="I392" s="17" t="s">
        <v>414</v>
      </c>
      <c r="J392" s="17" t="s">
        <v>415</v>
      </c>
      <c r="L392" s="26">
        <v>7.0</v>
      </c>
      <c r="M392" s="17" t="s">
        <v>417</v>
      </c>
      <c r="N392" s="17" t="s">
        <v>418</v>
      </c>
      <c r="O392" s="26">
        <v>1200.0</v>
      </c>
      <c r="P392" s="26">
        <v>-1.0</v>
      </c>
      <c r="Q392" s="17" t="s">
        <v>419</v>
      </c>
      <c r="R392" s="17" t="s">
        <v>420</v>
      </c>
      <c r="S392" s="17" t="s">
        <v>421</v>
      </c>
      <c r="T392" s="17" t="s">
        <v>422</v>
      </c>
      <c r="U392" s="17" t="s">
        <v>423</v>
      </c>
      <c r="V392" s="17" t="s">
        <v>1593</v>
      </c>
      <c r="W392" s="17" t="s">
        <v>403</v>
      </c>
      <c r="X392" s="17" t="s">
        <v>493</v>
      </c>
      <c r="Y392" s="17" t="s">
        <v>438</v>
      </c>
      <c r="Z392" s="17" t="s">
        <v>928</v>
      </c>
      <c r="AA392" s="17" t="s">
        <v>440</v>
      </c>
      <c r="AB392" s="17" t="s">
        <v>2224</v>
      </c>
      <c r="AC392" s="17" t="s">
        <v>428</v>
      </c>
      <c r="AD392" s="17" t="s">
        <v>853</v>
      </c>
      <c r="AE392" s="26">
        <v>600.0</v>
      </c>
      <c r="AF392" s="36">
        <v>83.7</v>
      </c>
      <c r="AG392" s="36">
        <v>83.495</v>
      </c>
      <c r="AH392" s="17" t="s">
        <v>463</v>
      </c>
      <c r="AI392" s="26">
        <v>83597.0</v>
      </c>
      <c r="AJ392" s="26">
        <v>83597.0</v>
      </c>
      <c r="AK392" s="26" t="s">
        <v>431</v>
      </c>
      <c r="AL392" s="26">
        <v>168.0</v>
      </c>
      <c r="AM392" s="26">
        <v>1950.0</v>
      </c>
      <c r="AN392" s="17" t="s">
        <v>465</v>
      </c>
      <c r="AO392" s="32"/>
      <c r="AP392" s="32"/>
      <c r="AQ392" s="32"/>
      <c r="AR392" s="32"/>
      <c r="AS392" s="32"/>
      <c r="AT392" s="26">
        <v>220.0</v>
      </c>
      <c r="AU392" s="26" t="s">
        <v>2226</v>
      </c>
      <c r="AV392" s="35">
        <v>182.0</v>
      </c>
      <c r="AW392" s="26">
        <v>180.0</v>
      </c>
      <c r="AX392" s="26">
        <v>101.0</v>
      </c>
      <c r="AY392" s="26">
        <v>460.0</v>
      </c>
      <c r="AZ392" s="37">
        <v>45390.0</v>
      </c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  <c r="CC392" s="32"/>
      <c r="CD392" s="32"/>
      <c r="CE392" s="32"/>
      <c r="CF392" s="32"/>
      <c r="CG392" s="32"/>
    </row>
    <row r="393">
      <c r="A393" s="20" t="s">
        <v>2230</v>
      </c>
      <c r="B393" s="20" t="s">
        <v>2156</v>
      </c>
      <c r="C393" s="17" t="s">
        <v>2231</v>
      </c>
      <c r="D393" s="17" t="s">
        <v>750</v>
      </c>
      <c r="E393" s="34" t="s">
        <v>477</v>
      </c>
      <c r="F393" s="26">
        <v>107.0</v>
      </c>
      <c r="G393" s="35">
        <v>179.0</v>
      </c>
      <c r="H393" s="17" t="s">
        <v>413</v>
      </c>
      <c r="I393" s="17" t="s">
        <v>414</v>
      </c>
      <c r="J393" s="17" t="s">
        <v>415</v>
      </c>
      <c r="L393" s="26">
        <v>5.0</v>
      </c>
      <c r="M393" s="17" t="s">
        <v>417</v>
      </c>
      <c r="N393" s="17" t="s">
        <v>418</v>
      </c>
      <c r="O393" s="26">
        <v>2200.0</v>
      </c>
      <c r="P393" s="26">
        <v>-1.0</v>
      </c>
      <c r="Q393" s="17" t="s">
        <v>419</v>
      </c>
      <c r="R393" s="17" t="s">
        <v>420</v>
      </c>
      <c r="S393" s="17" t="s">
        <v>421</v>
      </c>
      <c r="T393" s="17" t="s">
        <v>422</v>
      </c>
      <c r="U393" s="17" t="s">
        <v>423</v>
      </c>
      <c r="V393" s="17" t="s">
        <v>1024</v>
      </c>
      <c r="W393" s="17" t="s">
        <v>403</v>
      </c>
      <c r="X393" s="17" t="s">
        <v>619</v>
      </c>
      <c r="Y393" s="17" t="s">
        <v>438</v>
      </c>
      <c r="Z393" s="17" t="s">
        <v>620</v>
      </c>
      <c r="AA393" s="17" t="s">
        <v>440</v>
      </c>
      <c r="AB393" s="17" t="s">
        <v>2232</v>
      </c>
      <c r="AC393" s="17" t="s">
        <v>428</v>
      </c>
      <c r="AD393" s="17" t="s">
        <v>866</v>
      </c>
      <c r="AE393" s="26">
        <v>630.0</v>
      </c>
      <c r="AF393" s="36">
        <v>85.59</v>
      </c>
      <c r="AG393" s="36">
        <v>86.95</v>
      </c>
      <c r="AH393" s="26" t="s">
        <v>2233</v>
      </c>
      <c r="AI393" s="26">
        <v>86608.0</v>
      </c>
      <c r="AJ393" s="26">
        <v>86608.0</v>
      </c>
      <c r="AK393" s="26" t="s">
        <v>464</v>
      </c>
      <c r="AL393" s="26">
        <v>360.0</v>
      </c>
      <c r="AM393" s="26">
        <v>1758.0</v>
      </c>
      <c r="AN393" s="17" t="s">
        <v>465</v>
      </c>
      <c r="AO393" s="32"/>
      <c r="AP393" s="32"/>
      <c r="AQ393" s="32"/>
      <c r="AR393" s="32"/>
      <c r="AS393" s="32"/>
      <c r="AT393" s="26">
        <v>221.0</v>
      </c>
      <c r="AU393" s="26" t="s">
        <v>2234</v>
      </c>
      <c r="AV393" s="35">
        <v>179.0</v>
      </c>
      <c r="AW393" s="26">
        <v>210.0</v>
      </c>
      <c r="AX393" s="26">
        <v>107.0</v>
      </c>
      <c r="AY393" s="26">
        <v>485.0</v>
      </c>
      <c r="AZ393" s="26">
        <v>5.0</v>
      </c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  <c r="CC393" s="32"/>
      <c r="CD393" s="32"/>
      <c r="CE393" s="32"/>
      <c r="CF393" s="32"/>
      <c r="CG393" s="32"/>
    </row>
    <row r="394">
      <c r="A394" s="20" t="s">
        <v>2235</v>
      </c>
      <c r="B394" s="20" t="s">
        <v>2236</v>
      </c>
      <c r="C394" s="17" t="s">
        <v>2237</v>
      </c>
      <c r="D394" s="17" t="s">
        <v>700</v>
      </c>
      <c r="E394" s="34" t="s">
        <v>477</v>
      </c>
      <c r="F394" s="26">
        <v>106.0</v>
      </c>
      <c r="G394" s="35">
        <v>221.0</v>
      </c>
      <c r="H394" s="17" t="s">
        <v>413</v>
      </c>
      <c r="I394" s="17" t="s">
        <v>414</v>
      </c>
      <c r="J394" s="17" t="s">
        <v>415</v>
      </c>
      <c r="L394" s="26">
        <v>5.0</v>
      </c>
      <c r="M394" s="17" t="s">
        <v>417</v>
      </c>
      <c r="N394" s="17" t="s">
        <v>418</v>
      </c>
      <c r="O394" s="26">
        <v>1800.0</v>
      </c>
      <c r="P394" s="26">
        <v>-1.0</v>
      </c>
      <c r="Q394" s="17" t="s">
        <v>419</v>
      </c>
      <c r="R394" s="17" t="s">
        <v>420</v>
      </c>
      <c r="S394" s="17" t="s">
        <v>421</v>
      </c>
      <c r="T394" s="17" t="s">
        <v>422</v>
      </c>
      <c r="U394" s="17" t="s">
        <v>423</v>
      </c>
      <c r="V394" s="17" t="s">
        <v>1265</v>
      </c>
      <c r="W394" s="17" t="s">
        <v>403</v>
      </c>
      <c r="X394" s="17" t="s">
        <v>619</v>
      </c>
      <c r="Y394" s="17" t="s">
        <v>438</v>
      </c>
      <c r="Z394" s="17" t="s">
        <v>733</v>
      </c>
      <c r="AA394" s="17" t="s">
        <v>440</v>
      </c>
      <c r="AB394" s="17" t="s">
        <v>2232</v>
      </c>
      <c r="AC394" s="17" t="s">
        <v>428</v>
      </c>
      <c r="AD394" s="17" t="s">
        <v>1695</v>
      </c>
      <c r="AE394" s="26">
        <v>610.0</v>
      </c>
      <c r="AF394" s="36">
        <v>100.35</v>
      </c>
      <c r="AG394" s="36">
        <v>101.99</v>
      </c>
      <c r="AH394" s="26" t="s">
        <v>2238</v>
      </c>
      <c r="AI394" s="26">
        <v>100000.0</v>
      </c>
      <c r="AJ394" s="26">
        <v>106284.0</v>
      </c>
      <c r="AK394" s="26" t="s">
        <v>552</v>
      </c>
      <c r="AL394" s="26">
        <v>85.0</v>
      </c>
      <c r="AM394" s="26">
        <v>1774.0</v>
      </c>
      <c r="AN394" s="32"/>
      <c r="AO394" s="32"/>
      <c r="AP394" s="32"/>
      <c r="AQ394" s="32"/>
      <c r="AR394" s="32"/>
      <c r="AS394" s="32"/>
      <c r="AT394" s="26">
        <v>221.0</v>
      </c>
      <c r="AU394" s="26" t="s">
        <v>2234</v>
      </c>
      <c r="AV394" s="35">
        <v>221.0</v>
      </c>
      <c r="AW394" s="26">
        <v>210.0</v>
      </c>
      <c r="AX394" s="26">
        <v>106.0</v>
      </c>
      <c r="AY394" s="26">
        <v>480.0</v>
      </c>
      <c r="AZ394" s="37">
        <v>45416.0</v>
      </c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  <c r="CC394" s="32"/>
      <c r="CD394" s="32"/>
      <c r="CE394" s="32"/>
      <c r="CF394" s="32"/>
      <c r="CG394" s="32"/>
    </row>
    <row r="395">
      <c r="A395" s="20" t="s">
        <v>2239</v>
      </c>
      <c r="B395" s="20" t="s">
        <v>2056</v>
      </c>
      <c r="C395" s="17" t="s">
        <v>2240</v>
      </c>
      <c r="D395" s="17" t="s">
        <v>410</v>
      </c>
      <c r="E395" s="34" t="s">
        <v>436</v>
      </c>
      <c r="F395" s="26">
        <v>96.0</v>
      </c>
      <c r="G395" s="35">
        <v>170.0</v>
      </c>
      <c r="H395" s="17" t="s">
        <v>413</v>
      </c>
      <c r="I395" s="17" t="s">
        <v>414</v>
      </c>
      <c r="J395" s="17" t="s">
        <v>415</v>
      </c>
      <c r="L395" s="26">
        <v>7.0</v>
      </c>
      <c r="M395" s="17" t="s">
        <v>417</v>
      </c>
      <c r="N395" s="17" t="s">
        <v>418</v>
      </c>
      <c r="O395" s="26">
        <v>2500.0</v>
      </c>
      <c r="P395" s="26">
        <v>5.0</v>
      </c>
      <c r="Q395" s="26">
        <v>5.0</v>
      </c>
      <c r="R395" s="17" t="s">
        <v>419</v>
      </c>
      <c r="S395" s="17" t="s">
        <v>420</v>
      </c>
      <c r="T395" s="17" t="s">
        <v>421</v>
      </c>
      <c r="U395" s="17" t="s">
        <v>423</v>
      </c>
      <c r="V395" s="17" t="s">
        <v>596</v>
      </c>
      <c r="W395" s="17" t="s">
        <v>403</v>
      </c>
      <c r="X395" s="17" t="s">
        <v>782</v>
      </c>
      <c r="Y395" s="17" t="s">
        <v>438</v>
      </c>
      <c r="Z395" s="17" t="s">
        <v>1353</v>
      </c>
      <c r="AA395" s="17" t="s">
        <v>440</v>
      </c>
      <c r="AB395" s="17" t="s">
        <v>2232</v>
      </c>
      <c r="AC395" s="17" t="s">
        <v>428</v>
      </c>
      <c r="AD395" s="17" t="s">
        <v>1780</v>
      </c>
      <c r="AE395" s="26">
        <v>830.0</v>
      </c>
      <c r="AF395" s="36">
        <v>76.49</v>
      </c>
      <c r="AG395" s="36">
        <v>71.495</v>
      </c>
      <c r="AH395" s="17" t="s">
        <v>463</v>
      </c>
      <c r="AI395" s="26">
        <v>73992.0</v>
      </c>
      <c r="AJ395" s="26">
        <v>73992.0</v>
      </c>
      <c r="AK395" s="26" t="s">
        <v>431</v>
      </c>
      <c r="AL395" s="26">
        <v>1171.0</v>
      </c>
      <c r="AM395" s="26">
        <v>1835.0</v>
      </c>
      <c r="AN395" s="17" t="s">
        <v>465</v>
      </c>
      <c r="AO395" s="17" t="s">
        <v>422</v>
      </c>
      <c r="AP395" s="32"/>
      <c r="AQ395" s="32"/>
      <c r="AR395" s="32"/>
      <c r="AS395" s="32"/>
      <c r="AT395" s="26">
        <v>221.0</v>
      </c>
      <c r="AU395" s="26" t="s">
        <v>2234</v>
      </c>
      <c r="AV395" s="35">
        <v>170.0</v>
      </c>
      <c r="AW395" s="26">
        <v>200.0</v>
      </c>
      <c r="AX395" s="26">
        <v>96.0</v>
      </c>
      <c r="AY395" s="26">
        <v>435.0</v>
      </c>
      <c r="AZ395" s="26">
        <v>6.0</v>
      </c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  <c r="CC395" s="32"/>
      <c r="CD395" s="32"/>
      <c r="CE395" s="32"/>
      <c r="CF395" s="32"/>
      <c r="CG395" s="32"/>
    </row>
    <row r="396">
      <c r="A396" s="20" t="s">
        <v>2241</v>
      </c>
      <c r="B396" s="20" t="s">
        <v>2164</v>
      </c>
      <c r="C396" s="17" t="s">
        <v>2242</v>
      </c>
      <c r="E396" s="34" t="s">
        <v>436</v>
      </c>
      <c r="F396" s="26">
        <v>106.0</v>
      </c>
      <c r="G396" s="35">
        <v>151.0</v>
      </c>
      <c r="H396" s="32"/>
      <c r="I396" s="17" t="s">
        <v>414</v>
      </c>
      <c r="J396" s="17" t="s">
        <v>415</v>
      </c>
      <c r="L396" s="26">
        <v>7.0</v>
      </c>
      <c r="M396" s="17" t="s">
        <v>417</v>
      </c>
      <c r="N396" s="17" t="s">
        <v>418</v>
      </c>
      <c r="O396" s="26">
        <v>2500.0</v>
      </c>
      <c r="P396" s="26">
        <v>-1.0</v>
      </c>
      <c r="Q396" s="17" t="s">
        <v>419</v>
      </c>
      <c r="R396" s="17" t="s">
        <v>420</v>
      </c>
      <c r="S396" s="17" t="s">
        <v>421</v>
      </c>
      <c r="T396" s="17" t="s">
        <v>422</v>
      </c>
      <c r="U396" s="17" t="s">
        <v>423</v>
      </c>
      <c r="V396" s="17" t="s">
        <v>732</v>
      </c>
      <c r="W396" s="17" t="s">
        <v>543</v>
      </c>
      <c r="X396" s="17" t="s">
        <v>782</v>
      </c>
      <c r="Y396" s="17" t="s">
        <v>438</v>
      </c>
      <c r="Z396" s="17" t="s">
        <v>733</v>
      </c>
      <c r="AA396" s="17" t="s">
        <v>440</v>
      </c>
      <c r="AB396" s="17" t="s">
        <v>2232</v>
      </c>
      <c r="AC396" s="17" t="s">
        <v>520</v>
      </c>
      <c r="AD396" s="17" t="s">
        <v>442</v>
      </c>
      <c r="AE396" s="26">
        <v>840.0</v>
      </c>
      <c r="AF396" s="17" t="s">
        <v>2243</v>
      </c>
      <c r="AG396" s="17" t="s">
        <v>1662</v>
      </c>
      <c r="AH396" s="17" t="s">
        <v>2244</v>
      </c>
      <c r="AI396" s="26">
        <v>72583.0</v>
      </c>
      <c r="AJ396" s="26">
        <v>72583.0</v>
      </c>
      <c r="AK396" s="26" t="s">
        <v>2169</v>
      </c>
      <c r="AL396" s="26">
        <v>387.0</v>
      </c>
      <c r="AM396" s="26">
        <v>3068.0</v>
      </c>
      <c r="AN396" s="17" t="s">
        <v>465</v>
      </c>
      <c r="AO396" s="32"/>
      <c r="AP396" s="32"/>
      <c r="AQ396" s="32"/>
      <c r="AR396" s="32"/>
      <c r="AS396" s="32"/>
      <c r="AT396" s="26">
        <v>221.0</v>
      </c>
      <c r="AU396" s="26" t="s">
        <v>2234</v>
      </c>
      <c r="AV396" s="35">
        <v>151.0</v>
      </c>
      <c r="AW396" s="26">
        <v>200.0</v>
      </c>
      <c r="AX396" s="26">
        <v>106.0</v>
      </c>
      <c r="AY396" s="26">
        <v>480.0</v>
      </c>
      <c r="AZ396" s="37">
        <v>45479.0</v>
      </c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  <c r="CC396" s="32"/>
      <c r="CD396" s="32"/>
      <c r="CE396" s="32"/>
      <c r="CF396" s="32"/>
      <c r="CG396" s="32"/>
    </row>
    <row r="397">
      <c r="A397" s="20" t="s">
        <v>2245</v>
      </c>
      <c r="B397" s="20" t="s">
        <v>2246</v>
      </c>
      <c r="C397" s="17" t="s">
        <v>2247</v>
      </c>
      <c r="D397" s="17" t="s">
        <v>565</v>
      </c>
      <c r="E397" s="34" t="s">
        <v>477</v>
      </c>
      <c r="F397" s="26">
        <v>102.0</v>
      </c>
      <c r="G397" s="35">
        <v>175.0</v>
      </c>
      <c r="H397" s="32"/>
      <c r="I397" s="17" t="s">
        <v>414</v>
      </c>
      <c r="J397" s="17" t="s">
        <v>415</v>
      </c>
      <c r="L397" s="26">
        <v>5.0</v>
      </c>
      <c r="M397" s="17" t="s">
        <v>417</v>
      </c>
      <c r="N397" s="17" t="s">
        <v>418</v>
      </c>
      <c r="O397" s="26">
        <v>1587.0</v>
      </c>
      <c r="P397" s="26">
        <v>-1.0</v>
      </c>
      <c r="Q397" s="17" t="s">
        <v>419</v>
      </c>
      <c r="R397" s="17" t="s">
        <v>420</v>
      </c>
      <c r="S397" s="17" t="s">
        <v>421</v>
      </c>
      <c r="T397" s="17" t="s">
        <v>422</v>
      </c>
      <c r="U397" s="17" t="s">
        <v>423</v>
      </c>
      <c r="V397" s="17" t="s">
        <v>1391</v>
      </c>
      <c r="W397" s="17" t="s">
        <v>403</v>
      </c>
      <c r="X397" s="17" t="s">
        <v>619</v>
      </c>
      <c r="Y397" s="17" t="s">
        <v>438</v>
      </c>
      <c r="Z397" s="17" t="s">
        <v>928</v>
      </c>
      <c r="AA397" s="17" t="s">
        <v>440</v>
      </c>
      <c r="AB397" s="17" t="s">
        <v>2248</v>
      </c>
      <c r="AC397" s="17" t="s">
        <v>428</v>
      </c>
      <c r="AD397" s="17" t="s">
        <v>760</v>
      </c>
      <c r="AE397" s="26">
        <v>710.0</v>
      </c>
      <c r="AF397" s="36">
        <v>80.5</v>
      </c>
      <c r="AG397" s="17" t="s">
        <v>463</v>
      </c>
      <c r="AH397" s="17" t="s">
        <v>463</v>
      </c>
      <c r="AI397" s="26">
        <v>80500.0</v>
      </c>
      <c r="AJ397" s="26">
        <v>80500.0</v>
      </c>
      <c r="AK397" s="26" t="s">
        <v>567</v>
      </c>
      <c r="AL397" s="26">
        <v>309.0</v>
      </c>
      <c r="AM397" s="26">
        <v>2243.0</v>
      </c>
      <c r="AN397" s="32"/>
      <c r="AO397" s="32"/>
      <c r="AP397" s="32"/>
      <c r="AQ397" s="32"/>
      <c r="AR397" s="32"/>
      <c r="AS397" s="32"/>
      <c r="AT397" s="26">
        <v>222.0</v>
      </c>
      <c r="AU397" s="26" t="s">
        <v>2249</v>
      </c>
      <c r="AV397" s="35">
        <v>175.0</v>
      </c>
      <c r="AW397" s="26">
        <v>210.0</v>
      </c>
      <c r="AX397" s="26">
        <v>102.0</v>
      </c>
      <c r="AY397" s="26">
        <v>460.0</v>
      </c>
      <c r="AZ397" s="37">
        <v>45356.0</v>
      </c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32"/>
      <c r="CD397" s="32"/>
      <c r="CE397" s="32"/>
      <c r="CF397" s="32"/>
      <c r="CG397" s="32"/>
    </row>
    <row r="398">
      <c r="A398" s="20" t="s">
        <v>2250</v>
      </c>
      <c r="B398" s="20" t="s">
        <v>2251</v>
      </c>
      <c r="C398" s="17" t="s">
        <v>2252</v>
      </c>
      <c r="D398" s="17" t="s">
        <v>793</v>
      </c>
      <c r="E398" s="34" t="s">
        <v>477</v>
      </c>
      <c r="F398" s="26">
        <v>91.0</v>
      </c>
      <c r="G398" s="35">
        <v>195.0</v>
      </c>
      <c r="H398" s="32"/>
      <c r="I398" s="17" t="s">
        <v>414</v>
      </c>
      <c r="J398" s="17" t="s">
        <v>415</v>
      </c>
      <c r="L398" s="26">
        <v>5.0</v>
      </c>
      <c r="M398" s="32"/>
      <c r="N398" s="17" t="s">
        <v>418</v>
      </c>
      <c r="O398" s="26">
        <v>750.0</v>
      </c>
      <c r="P398" s="26">
        <v>5.0</v>
      </c>
      <c r="Q398" s="26">
        <v>5.0</v>
      </c>
      <c r="R398" s="17" t="s">
        <v>419</v>
      </c>
      <c r="S398" s="17" t="s">
        <v>420</v>
      </c>
      <c r="T398" s="17" t="s">
        <v>421</v>
      </c>
      <c r="U398" s="17" t="s">
        <v>423</v>
      </c>
      <c r="V398" s="17" t="s">
        <v>1768</v>
      </c>
      <c r="W398" s="17" t="s">
        <v>403</v>
      </c>
      <c r="X398" s="17" t="s">
        <v>782</v>
      </c>
      <c r="Y398" s="17" t="s">
        <v>438</v>
      </c>
      <c r="Z398" s="17" t="s">
        <v>1425</v>
      </c>
      <c r="AA398" s="17" t="s">
        <v>440</v>
      </c>
      <c r="AB398" s="17" t="s">
        <v>2248</v>
      </c>
      <c r="AC398" s="17" t="s">
        <v>428</v>
      </c>
      <c r="AD398" s="17" t="s">
        <v>606</v>
      </c>
      <c r="AE398" s="26">
        <v>360.0</v>
      </c>
      <c r="AF398" s="36">
        <v>80.3</v>
      </c>
      <c r="AG398" s="36">
        <v>71.4</v>
      </c>
      <c r="AH398" s="26" t="s">
        <v>2253</v>
      </c>
      <c r="AI398" s="26">
        <v>80002.0</v>
      </c>
      <c r="AJ398" s="26">
        <v>80002.0</v>
      </c>
      <c r="AK398" s="26" t="s">
        <v>495</v>
      </c>
      <c r="AL398" s="26">
        <v>96.0</v>
      </c>
      <c r="AM398" s="26">
        <v>2275.0</v>
      </c>
      <c r="AN398" s="32"/>
      <c r="AO398" s="17" t="s">
        <v>422</v>
      </c>
      <c r="AP398" s="32"/>
      <c r="AQ398" s="32"/>
      <c r="AR398" s="32"/>
      <c r="AS398" s="32"/>
      <c r="AT398" s="26">
        <v>222.0</v>
      </c>
      <c r="AU398" s="26" t="s">
        <v>2249</v>
      </c>
      <c r="AV398" s="35">
        <v>195.0</v>
      </c>
      <c r="AW398" s="26">
        <v>200.0</v>
      </c>
      <c r="AX398" s="26">
        <v>91.0</v>
      </c>
      <c r="AY398" s="26">
        <v>410.0</v>
      </c>
      <c r="AZ398" s="37">
        <v>45446.0</v>
      </c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  <c r="CC398" s="32"/>
      <c r="CD398" s="32"/>
      <c r="CE398" s="32"/>
      <c r="CF398" s="32"/>
      <c r="CG398" s="32"/>
    </row>
    <row r="399">
      <c r="A399" s="20" t="s">
        <v>2254</v>
      </c>
      <c r="B399" s="20" t="s">
        <v>2255</v>
      </c>
      <c r="C399" s="17" t="s">
        <v>2256</v>
      </c>
      <c r="D399" s="17" t="s">
        <v>457</v>
      </c>
      <c r="E399" s="34" t="s">
        <v>477</v>
      </c>
      <c r="F399" s="26" t="s">
        <v>2257</v>
      </c>
      <c r="G399" s="35">
        <v>235.0</v>
      </c>
      <c r="H399" s="17" t="s">
        <v>413</v>
      </c>
      <c r="I399" s="17" t="s">
        <v>414</v>
      </c>
      <c r="J399" s="17" t="s">
        <v>415</v>
      </c>
      <c r="L399" s="26">
        <v>5.0</v>
      </c>
      <c r="M399" s="17" t="s">
        <v>417</v>
      </c>
      <c r="N399" s="17" t="s">
        <v>418</v>
      </c>
      <c r="O399" s="26">
        <v>750.0</v>
      </c>
      <c r="P399" s="26">
        <v>5.0</v>
      </c>
      <c r="Q399" s="26">
        <v>5.0</v>
      </c>
      <c r="R399" s="17" t="s">
        <v>419</v>
      </c>
      <c r="S399" s="17" t="s">
        <v>420</v>
      </c>
      <c r="T399" s="17" t="s">
        <v>421</v>
      </c>
      <c r="U399" s="17" t="s">
        <v>423</v>
      </c>
      <c r="V399" s="17" t="s">
        <v>907</v>
      </c>
      <c r="W399" s="17" t="s">
        <v>403</v>
      </c>
      <c r="X399" s="17" t="s">
        <v>782</v>
      </c>
      <c r="Y399" s="17" t="s">
        <v>438</v>
      </c>
      <c r="Z399" s="17" t="s">
        <v>661</v>
      </c>
      <c r="AA399" s="17" t="s">
        <v>440</v>
      </c>
      <c r="AB399" s="17" t="s">
        <v>2258</v>
      </c>
      <c r="AC399" s="17" t="s">
        <v>428</v>
      </c>
      <c r="AD399" s="17" t="s">
        <v>606</v>
      </c>
      <c r="AE399" s="26">
        <v>360.0</v>
      </c>
      <c r="AF399" s="36">
        <v>92.4</v>
      </c>
      <c r="AG399" s="36">
        <v>95.45</v>
      </c>
      <c r="AH399" s="26" t="s">
        <v>2259</v>
      </c>
      <c r="AI399" s="26">
        <v>89448.0</v>
      </c>
      <c r="AJ399" s="26">
        <v>89448.0</v>
      </c>
      <c r="AK399" s="26" t="s">
        <v>464</v>
      </c>
      <c r="AL399" s="26">
        <v>343.0</v>
      </c>
      <c r="AM399" s="26">
        <v>1812.0</v>
      </c>
      <c r="AN399" s="32"/>
      <c r="AO399" s="17" t="s">
        <v>422</v>
      </c>
      <c r="AP399" s="32"/>
      <c r="AQ399" s="32"/>
      <c r="AR399" s="32"/>
      <c r="AS399" s="32"/>
      <c r="AT399" s="26">
        <v>223.0</v>
      </c>
      <c r="AU399" s="26" t="s">
        <v>2260</v>
      </c>
      <c r="AV399" s="35">
        <v>235.0</v>
      </c>
      <c r="AW399" s="26">
        <v>200.0</v>
      </c>
      <c r="AX399" s="26" t="s">
        <v>2257</v>
      </c>
      <c r="AY399" s="26">
        <v>380.0</v>
      </c>
      <c r="AZ399" s="37">
        <v>45508.0</v>
      </c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  <c r="CC399" s="32"/>
      <c r="CD399" s="32"/>
      <c r="CE399" s="32"/>
      <c r="CF399" s="32"/>
      <c r="CG399" s="32"/>
    </row>
    <row r="400">
      <c r="A400" s="20" t="s">
        <v>2261</v>
      </c>
      <c r="B400" s="20" t="s">
        <v>2214</v>
      </c>
      <c r="C400" s="17" t="s">
        <v>2262</v>
      </c>
      <c r="D400" s="17" t="s">
        <v>804</v>
      </c>
      <c r="E400" s="34" t="s">
        <v>477</v>
      </c>
      <c r="F400" s="26">
        <v>118.0</v>
      </c>
      <c r="G400" s="35">
        <v>247.0</v>
      </c>
      <c r="H400" s="17" t="s">
        <v>413</v>
      </c>
      <c r="I400" s="17" t="s">
        <v>414</v>
      </c>
      <c r="J400" s="17" t="s">
        <v>415</v>
      </c>
      <c r="L400" s="26">
        <v>7.0</v>
      </c>
      <c r="M400" s="17" t="s">
        <v>417</v>
      </c>
      <c r="N400" s="17" t="s">
        <v>418</v>
      </c>
      <c r="O400" s="26">
        <v>1800.0</v>
      </c>
      <c r="P400" s="26">
        <v>-1.0</v>
      </c>
      <c r="Q400" s="17" t="s">
        <v>419</v>
      </c>
      <c r="R400" s="17" t="s">
        <v>420</v>
      </c>
      <c r="S400" s="17" t="s">
        <v>421</v>
      </c>
      <c r="T400" s="17" t="s">
        <v>422</v>
      </c>
      <c r="U400" s="17" t="s">
        <v>423</v>
      </c>
      <c r="V400" s="17" t="s">
        <v>424</v>
      </c>
      <c r="W400" s="17" t="s">
        <v>403</v>
      </c>
      <c r="X400" s="17" t="s">
        <v>619</v>
      </c>
      <c r="Y400" s="17" t="s">
        <v>438</v>
      </c>
      <c r="Z400" s="17" t="s">
        <v>1551</v>
      </c>
      <c r="AA400" s="17" t="s">
        <v>440</v>
      </c>
      <c r="AB400" s="17" t="s">
        <v>2258</v>
      </c>
      <c r="AC400" s="17" t="s">
        <v>428</v>
      </c>
      <c r="AD400" s="17" t="s">
        <v>1144</v>
      </c>
      <c r="AE400" s="26">
        <v>670.0</v>
      </c>
      <c r="AF400" s="36">
        <v>114.609</v>
      </c>
      <c r="AG400" s="36">
        <v>129.66</v>
      </c>
      <c r="AH400" s="26" t="s">
        <v>2263</v>
      </c>
      <c r="AI400" s="26">
        <v>100000.0</v>
      </c>
      <c r="AJ400" s="26">
        <v>131053.0</v>
      </c>
      <c r="AK400" s="26" t="s">
        <v>777</v>
      </c>
      <c r="AL400" s="26">
        <v>241.0</v>
      </c>
      <c r="AM400" s="26">
        <v>2088.0</v>
      </c>
      <c r="AN400" s="32"/>
      <c r="AO400" s="32"/>
      <c r="AP400" s="32"/>
      <c r="AQ400" s="32"/>
      <c r="AR400" s="32"/>
      <c r="AS400" s="32"/>
      <c r="AT400" s="26">
        <v>223.0</v>
      </c>
      <c r="AU400" s="26" t="s">
        <v>2260</v>
      </c>
      <c r="AV400" s="35">
        <v>247.0</v>
      </c>
      <c r="AW400" s="26">
        <v>210.0</v>
      </c>
      <c r="AX400" s="26">
        <v>118.0</v>
      </c>
      <c r="AY400" s="26">
        <v>530.0</v>
      </c>
      <c r="AZ400" s="37">
        <v>45297.0</v>
      </c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  <c r="CC400" s="32"/>
      <c r="CD400" s="32"/>
      <c r="CE400" s="32"/>
      <c r="CF400" s="32"/>
      <c r="CG400" s="32"/>
    </row>
    <row r="401">
      <c r="A401" s="20" t="s">
        <v>2264</v>
      </c>
      <c r="B401" s="20" t="s">
        <v>2214</v>
      </c>
      <c r="C401" s="17" t="s">
        <v>2265</v>
      </c>
      <c r="D401" s="17" t="s">
        <v>804</v>
      </c>
      <c r="E401" s="34" t="s">
        <v>477</v>
      </c>
      <c r="F401" s="26">
        <v>118.0</v>
      </c>
      <c r="G401" s="35">
        <v>257.0</v>
      </c>
      <c r="H401" s="17" t="s">
        <v>413</v>
      </c>
      <c r="I401" s="17" t="s">
        <v>414</v>
      </c>
      <c r="J401" s="17" t="s">
        <v>415</v>
      </c>
      <c r="L401" s="26">
        <v>7.0</v>
      </c>
      <c r="M401" s="17" t="s">
        <v>417</v>
      </c>
      <c r="N401" s="17" t="s">
        <v>418</v>
      </c>
      <c r="O401" s="26">
        <v>1800.0</v>
      </c>
      <c r="P401" s="26">
        <v>-1.0</v>
      </c>
      <c r="Q401" s="17" t="s">
        <v>419</v>
      </c>
      <c r="R401" s="17" t="s">
        <v>420</v>
      </c>
      <c r="S401" s="17" t="s">
        <v>421</v>
      </c>
      <c r="T401" s="17" t="s">
        <v>422</v>
      </c>
      <c r="U401" s="17" t="s">
        <v>423</v>
      </c>
      <c r="V401" s="17" t="s">
        <v>1391</v>
      </c>
      <c r="W401" s="17" t="s">
        <v>403</v>
      </c>
      <c r="X401" s="17" t="s">
        <v>619</v>
      </c>
      <c r="Y401" s="17" t="s">
        <v>438</v>
      </c>
      <c r="Z401" s="17" t="s">
        <v>1551</v>
      </c>
      <c r="AA401" s="17" t="s">
        <v>440</v>
      </c>
      <c r="AB401" s="17" t="s">
        <v>2258</v>
      </c>
      <c r="AC401" s="17" t="s">
        <v>428</v>
      </c>
      <c r="AD401" s="17" t="s">
        <v>1144</v>
      </c>
      <c r="AE401" s="26">
        <v>670.0</v>
      </c>
      <c r="AF401" s="36">
        <v>124.545</v>
      </c>
      <c r="AG401" s="36">
        <v>148.173</v>
      </c>
      <c r="AH401" s="17" t="s">
        <v>463</v>
      </c>
      <c r="AI401" s="26">
        <v>100000.0</v>
      </c>
      <c r="AJ401" s="26">
        <v>136359.0</v>
      </c>
      <c r="AK401" s="26" t="s">
        <v>777</v>
      </c>
      <c r="AL401" s="26">
        <v>137.0</v>
      </c>
      <c r="AM401" s="26">
        <v>2089.0</v>
      </c>
      <c r="AN401" s="32"/>
      <c r="AO401" s="32"/>
      <c r="AP401" s="32"/>
      <c r="AQ401" s="32"/>
      <c r="AR401" s="32"/>
      <c r="AS401" s="32"/>
      <c r="AT401" s="26">
        <v>223.0</v>
      </c>
      <c r="AU401" s="26" t="s">
        <v>2260</v>
      </c>
      <c r="AV401" s="35">
        <v>257.0</v>
      </c>
      <c r="AW401" s="26">
        <v>210.0</v>
      </c>
      <c r="AX401" s="26">
        <v>118.0</v>
      </c>
      <c r="AY401" s="26">
        <v>530.0</v>
      </c>
      <c r="AZ401" s="37">
        <v>45356.0</v>
      </c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  <c r="CC401" s="32"/>
      <c r="CD401" s="32"/>
      <c r="CE401" s="32"/>
      <c r="CF401" s="32"/>
      <c r="CG401" s="32"/>
    </row>
    <row r="402">
      <c r="A402" s="20" t="s">
        <v>2266</v>
      </c>
      <c r="B402" s="20" t="s">
        <v>2214</v>
      </c>
      <c r="C402" s="17" t="s">
        <v>2267</v>
      </c>
      <c r="D402" s="17" t="s">
        <v>804</v>
      </c>
      <c r="E402" s="34" t="s">
        <v>477</v>
      </c>
      <c r="F402" s="26">
        <v>118.0</v>
      </c>
      <c r="G402" s="35">
        <v>303.0</v>
      </c>
      <c r="H402" s="17" t="s">
        <v>413</v>
      </c>
      <c r="I402" s="17" t="s">
        <v>414</v>
      </c>
      <c r="J402" s="17" t="s">
        <v>415</v>
      </c>
      <c r="L402" s="26">
        <v>7.0</v>
      </c>
      <c r="M402" s="17" t="s">
        <v>417</v>
      </c>
      <c r="N402" s="17" t="s">
        <v>418</v>
      </c>
      <c r="O402" s="26">
        <v>1800.0</v>
      </c>
      <c r="P402" s="26">
        <v>-1.0</v>
      </c>
      <c r="Q402" s="17" t="s">
        <v>419</v>
      </c>
      <c r="R402" s="17" t="s">
        <v>420</v>
      </c>
      <c r="S402" s="17" t="s">
        <v>421</v>
      </c>
      <c r="T402" s="17" t="s">
        <v>422</v>
      </c>
      <c r="U402" s="17" t="s">
        <v>423</v>
      </c>
      <c r="V402" s="17" t="s">
        <v>764</v>
      </c>
      <c r="W402" s="17" t="s">
        <v>403</v>
      </c>
      <c r="X402" s="17" t="s">
        <v>619</v>
      </c>
      <c r="Y402" s="17" t="s">
        <v>438</v>
      </c>
      <c r="Z402" s="17" t="s">
        <v>1551</v>
      </c>
      <c r="AA402" s="17" t="s">
        <v>440</v>
      </c>
      <c r="AB402" s="17" t="s">
        <v>2258</v>
      </c>
      <c r="AC402" s="17" t="s">
        <v>428</v>
      </c>
      <c r="AD402" s="17" t="s">
        <v>1144</v>
      </c>
      <c r="AE402" s="26">
        <v>670.0</v>
      </c>
      <c r="AF402" s="36">
        <v>147.923</v>
      </c>
      <c r="AG402" s="36">
        <v>173.825</v>
      </c>
      <c r="AH402" s="26" t="s">
        <v>2268</v>
      </c>
      <c r="AI402" s="26">
        <v>100000.0</v>
      </c>
      <c r="AJ402" s="26">
        <v>160712.0</v>
      </c>
      <c r="AK402" s="26" t="s">
        <v>777</v>
      </c>
      <c r="AL402" s="26">
        <v>291.0</v>
      </c>
      <c r="AM402" s="26">
        <v>2090.0</v>
      </c>
      <c r="AN402" s="32"/>
      <c r="AO402" s="32"/>
      <c r="AP402" s="32"/>
      <c r="AQ402" s="32"/>
      <c r="AR402" s="32"/>
      <c r="AS402" s="32"/>
      <c r="AT402" s="26">
        <v>223.0</v>
      </c>
      <c r="AU402" s="26" t="s">
        <v>2260</v>
      </c>
      <c r="AV402" s="35">
        <v>303.0</v>
      </c>
      <c r="AW402" s="26">
        <v>210.0</v>
      </c>
      <c r="AX402" s="26">
        <v>118.0</v>
      </c>
      <c r="AY402" s="26">
        <v>530.0</v>
      </c>
      <c r="AZ402" s="37">
        <v>45477.0</v>
      </c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  <c r="CC402" s="32"/>
      <c r="CD402" s="32"/>
      <c r="CE402" s="32"/>
      <c r="CF402" s="32"/>
      <c r="CG402" s="32"/>
    </row>
    <row r="403">
      <c r="A403" s="20" t="s">
        <v>2269</v>
      </c>
      <c r="B403" s="20" t="s">
        <v>2270</v>
      </c>
      <c r="C403" s="17" t="s">
        <v>2271</v>
      </c>
      <c r="D403" s="17" t="s">
        <v>541</v>
      </c>
      <c r="E403" s="34" t="s">
        <v>411</v>
      </c>
      <c r="F403" s="26">
        <v>96.0</v>
      </c>
      <c r="G403" s="35">
        <v>193.0</v>
      </c>
      <c r="H403" s="17" t="s">
        <v>413</v>
      </c>
      <c r="I403" s="17" t="s">
        <v>414</v>
      </c>
      <c r="J403" s="17" t="s">
        <v>415</v>
      </c>
      <c r="L403" s="26">
        <v>7.0</v>
      </c>
      <c r="M403" s="17" t="s">
        <v>417</v>
      </c>
      <c r="N403" s="17" t="s">
        <v>418</v>
      </c>
      <c r="O403" s="26">
        <v>2500.0</v>
      </c>
      <c r="P403" s="26">
        <v>5.0</v>
      </c>
      <c r="Q403" s="26">
        <v>5.0</v>
      </c>
      <c r="R403" s="17" t="s">
        <v>419</v>
      </c>
      <c r="S403" s="17" t="s">
        <v>420</v>
      </c>
      <c r="T403" s="17" t="s">
        <v>421</v>
      </c>
      <c r="U403" s="17" t="s">
        <v>423</v>
      </c>
      <c r="V403" s="17" t="s">
        <v>1391</v>
      </c>
      <c r="W403" s="17" t="s">
        <v>403</v>
      </c>
      <c r="X403" s="17" t="s">
        <v>782</v>
      </c>
      <c r="Y403" s="17" t="s">
        <v>404</v>
      </c>
      <c r="Z403" s="17" t="s">
        <v>1273</v>
      </c>
      <c r="AA403" s="17" t="s">
        <v>401</v>
      </c>
      <c r="AB403" s="17" t="s">
        <v>2272</v>
      </c>
      <c r="AC403" s="17" t="s">
        <v>428</v>
      </c>
      <c r="AD403" s="17" t="s">
        <v>451</v>
      </c>
      <c r="AE403" s="26">
        <v>810.0</v>
      </c>
      <c r="AF403" s="36">
        <v>82.38</v>
      </c>
      <c r="AG403" s="36">
        <v>78.895</v>
      </c>
      <c r="AH403" s="26" t="s">
        <v>2273</v>
      </c>
      <c r="AI403" s="26">
        <v>81835.0</v>
      </c>
      <c r="AJ403" s="26">
        <v>81835.0</v>
      </c>
      <c r="AK403" s="26" t="s">
        <v>431</v>
      </c>
      <c r="AL403" s="26">
        <v>380.0</v>
      </c>
      <c r="AM403" s="26">
        <v>1993.0</v>
      </c>
      <c r="AN403" s="17" t="s">
        <v>465</v>
      </c>
      <c r="AO403" s="17" t="s">
        <v>422</v>
      </c>
      <c r="AP403" s="32"/>
      <c r="AQ403" s="32"/>
      <c r="AR403" s="32"/>
      <c r="AS403" s="32"/>
      <c r="AT403" s="26">
        <v>226.0</v>
      </c>
      <c r="AU403" s="26" t="s">
        <v>2274</v>
      </c>
      <c r="AV403" s="35">
        <v>193.0</v>
      </c>
      <c r="AW403" s="26">
        <v>200.0</v>
      </c>
      <c r="AX403" s="26">
        <v>96.0</v>
      </c>
      <c r="AY403" s="26">
        <v>425.0</v>
      </c>
      <c r="AZ403" s="37">
        <v>45356.0</v>
      </c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  <c r="CC403" s="32"/>
      <c r="CD403" s="32"/>
      <c r="CE403" s="32"/>
      <c r="CF403" s="32"/>
      <c r="CG403" s="32"/>
    </row>
    <row r="404">
      <c r="A404" s="20" t="s">
        <v>2275</v>
      </c>
      <c r="B404" s="20" t="s">
        <v>2164</v>
      </c>
      <c r="C404" s="17" t="s">
        <v>2276</v>
      </c>
      <c r="E404" s="34" t="s">
        <v>436</v>
      </c>
      <c r="F404" s="26">
        <v>106.0</v>
      </c>
      <c r="G404" s="35">
        <v>166.0</v>
      </c>
      <c r="H404" s="32"/>
      <c r="I404" s="17" t="s">
        <v>414</v>
      </c>
      <c r="J404" s="17" t="s">
        <v>415</v>
      </c>
      <c r="L404" s="26">
        <v>7.0</v>
      </c>
      <c r="M404" s="17" t="s">
        <v>417</v>
      </c>
      <c r="N404" s="17" t="s">
        <v>418</v>
      </c>
      <c r="O404" s="26">
        <v>2500.0</v>
      </c>
      <c r="P404" s="26">
        <v>-1.0</v>
      </c>
      <c r="Q404" s="17" t="s">
        <v>419</v>
      </c>
      <c r="R404" s="17" t="s">
        <v>420</v>
      </c>
      <c r="S404" s="17" t="s">
        <v>421</v>
      </c>
      <c r="T404" s="17" t="s">
        <v>422</v>
      </c>
      <c r="U404" s="17" t="s">
        <v>423</v>
      </c>
      <c r="V404" s="17" t="s">
        <v>437</v>
      </c>
      <c r="W404" s="17" t="s">
        <v>543</v>
      </c>
      <c r="X404" s="17" t="s">
        <v>782</v>
      </c>
      <c r="Y404" s="17" t="s">
        <v>438</v>
      </c>
      <c r="Z404" s="17" t="s">
        <v>844</v>
      </c>
      <c r="AA404" s="17" t="s">
        <v>440</v>
      </c>
      <c r="AB404" s="17" t="s">
        <v>2272</v>
      </c>
      <c r="AC404" s="17" t="s">
        <v>520</v>
      </c>
      <c r="AD404" s="17" t="s">
        <v>1558</v>
      </c>
      <c r="AE404" s="26">
        <v>820.0</v>
      </c>
      <c r="AF404" s="17" t="s">
        <v>2277</v>
      </c>
      <c r="AG404" s="17" t="s">
        <v>2278</v>
      </c>
      <c r="AH404" s="17" t="s">
        <v>2279</v>
      </c>
      <c r="AI404" s="26">
        <v>78166.0</v>
      </c>
      <c r="AJ404" s="26">
        <v>78166.0</v>
      </c>
      <c r="AK404" s="26" t="s">
        <v>2169</v>
      </c>
      <c r="AL404" s="26">
        <v>386.0</v>
      </c>
      <c r="AM404" s="26">
        <v>3069.0</v>
      </c>
      <c r="AN404" s="17" t="s">
        <v>465</v>
      </c>
      <c r="AO404" s="32"/>
      <c r="AP404" s="32"/>
      <c r="AQ404" s="32"/>
      <c r="AR404" s="32"/>
      <c r="AS404" s="32"/>
      <c r="AT404" s="26">
        <v>226.0</v>
      </c>
      <c r="AU404" s="26" t="s">
        <v>2274</v>
      </c>
      <c r="AV404" s="35">
        <v>166.0</v>
      </c>
      <c r="AW404" s="26">
        <v>200.0</v>
      </c>
      <c r="AX404" s="26">
        <v>106.0</v>
      </c>
      <c r="AY404" s="26">
        <v>470.0</v>
      </c>
      <c r="AZ404" s="37">
        <v>45327.0</v>
      </c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  <c r="CC404" s="32"/>
      <c r="CD404" s="32"/>
      <c r="CE404" s="32"/>
      <c r="CF404" s="32"/>
      <c r="CG404" s="32"/>
    </row>
    <row r="405">
      <c r="A405" s="20" t="s">
        <v>2280</v>
      </c>
      <c r="B405" s="20" t="s">
        <v>2222</v>
      </c>
      <c r="C405" s="17" t="s">
        <v>2281</v>
      </c>
      <c r="D405" s="17" t="s">
        <v>1461</v>
      </c>
      <c r="E405" s="34" t="s">
        <v>477</v>
      </c>
      <c r="F405" s="26">
        <v>109.0</v>
      </c>
      <c r="G405" s="35">
        <v>255.0</v>
      </c>
      <c r="H405" s="17" t="s">
        <v>413</v>
      </c>
      <c r="I405" s="17" t="s">
        <v>414</v>
      </c>
      <c r="J405" s="17" t="s">
        <v>415</v>
      </c>
      <c r="L405" s="26">
        <v>5.0</v>
      </c>
      <c r="M405" s="17" t="s">
        <v>417</v>
      </c>
      <c r="N405" s="17" t="s">
        <v>418</v>
      </c>
      <c r="O405" s="26">
        <v>2250.0</v>
      </c>
      <c r="P405" s="26">
        <v>-1.0</v>
      </c>
      <c r="Q405" s="17" t="s">
        <v>419</v>
      </c>
      <c r="R405" s="17" t="s">
        <v>420</v>
      </c>
      <c r="S405" s="17" t="s">
        <v>421</v>
      </c>
      <c r="T405" s="17" t="s">
        <v>422</v>
      </c>
      <c r="U405" s="17" t="s">
        <v>423</v>
      </c>
      <c r="V405" s="17" t="s">
        <v>1265</v>
      </c>
      <c r="W405" s="17" t="s">
        <v>403</v>
      </c>
      <c r="X405" s="17" t="s">
        <v>701</v>
      </c>
      <c r="Y405" s="17" t="s">
        <v>438</v>
      </c>
      <c r="Z405" s="17" t="s">
        <v>733</v>
      </c>
      <c r="AA405" s="17" t="s">
        <v>440</v>
      </c>
      <c r="AB405" s="17" t="s">
        <v>2282</v>
      </c>
      <c r="AC405" s="17" t="s">
        <v>428</v>
      </c>
      <c r="AD405" s="17" t="s">
        <v>1665</v>
      </c>
      <c r="AE405" s="26">
        <v>1060.0</v>
      </c>
      <c r="AF405" s="36">
        <v>121.99</v>
      </c>
      <c r="AG405" s="36">
        <v>124.09</v>
      </c>
      <c r="AH405" s="26" t="s">
        <v>2283</v>
      </c>
      <c r="AI405" s="26">
        <v>100000.0</v>
      </c>
      <c r="AJ405" s="26">
        <v>122585.0</v>
      </c>
      <c r="AK405" s="26" t="s">
        <v>552</v>
      </c>
      <c r="AL405" s="26">
        <v>147.0</v>
      </c>
      <c r="AM405" s="26">
        <v>2066.0</v>
      </c>
      <c r="AN405" s="32"/>
      <c r="AO405" s="32"/>
      <c r="AP405" s="32"/>
      <c r="AQ405" s="32"/>
      <c r="AR405" s="32"/>
      <c r="AS405" s="32"/>
      <c r="AT405" s="26">
        <v>227.0</v>
      </c>
      <c r="AU405" s="26" t="s">
        <v>2284</v>
      </c>
      <c r="AV405" s="35">
        <v>255.0</v>
      </c>
      <c r="AW405" s="26">
        <v>250.0</v>
      </c>
      <c r="AX405" s="26">
        <v>109.0</v>
      </c>
      <c r="AY405" s="26">
        <v>480.0</v>
      </c>
      <c r="AZ405" s="37">
        <v>45416.0</v>
      </c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32"/>
      <c r="CD405" s="32"/>
      <c r="CE405" s="32"/>
      <c r="CF405" s="32"/>
      <c r="CG405" s="32"/>
    </row>
    <row r="406">
      <c r="A406" s="20" t="s">
        <v>2285</v>
      </c>
      <c r="B406" s="20" t="s">
        <v>2156</v>
      </c>
      <c r="C406" s="17" t="s">
        <v>2286</v>
      </c>
      <c r="D406" s="17" t="s">
        <v>750</v>
      </c>
      <c r="E406" s="34" t="s">
        <v>477</v>
      </c>
      <c r="F406" s="26">
        <v>107.0</v>
      </c>
      <c r="G406" s="35">
        <v>198.0</v>
      </c>
      <c r="H406" s="17" t="s">
        <v>413</v>
      </c>
      <c r="I406" s="17" t="s">
        <v>414</v>
      </c>
      <c r="J406" s="17" t="s">
        <v>415</v>
      </c>
      <c r="L406" s="26">
        <v>5.0</v>
      </c>
      <c r="M406" s="17" t="s">
        <v>417</v>
      </c>
      <c r="N406" s="17" t="s">
        <v>418</v>
      </c>
      <c r="O406" s="26">
        <v>2200.0</v>
      </c>
      <c r="P406" s="26">
        <v>-1.0</v>
      </c>
      <c r="Q406" s="17" t="s">
        <v>419</v>
      </c>
      <c r="R406" s="17" t="s">
        <v>420</v>
      </c>
      <c r="S406" s="17" t="s">
        <v>421</v>
      </c>
      <c r="T406" s="17" t="s">
        <v>422</v>
      </c>
      <c r="U406" s="17" t="s">
        <v>423</v>
      </c>
      <c r="V406" s="17" t="s">
        <v>764</v>
      </c>
      <c r="W406" s="17" t="s">
        <v>403</v>
      </c>
      <c r="X406" s="17" t="s">
        <v>619</v>
      </c>
      <c r="Y406" s="17" t="s">
        <v>438</v>
      </c>
      <c r="Z406" s="17" t="s">
        <v>844</v>
      </c>
      <c r="AA406" s="17" t="s">
        <v>440</v>
      </c>
      <c r="AB406" s="17" t="s">
        <v>2287</v>
      </c>
      <c r="AC406" s="17" t="s">
        <v>428</v>
      </c>
      <c r="AD406" s="17" t="s">
        <v>1695</v>
      </c>
      <c r="AE406" s="26">
        <v>610.0</v>
      </c>
      <c r="AF406" s="36">
        <v>92.19</v>
      </c>
      <c r="AG406" s="36">
        <v>93.55</v>
      </c>
      <c r="AH406" s="26" t="s">
        <v>2288</v>
      </c>
      <c r="AI406" s="26">
        <v>93155.0</v>
      </c>
      <c r="AJ406" s="26">
        <v>93155.0</v>
      </c>
      <c r="AK406" s="26" t="s">
        <v>464</v>
      </c>
      <c r="AL406" s="26">
        <v>300.0</v>
      </c>
      <c r="AM406" s="26">
        <v>1759.0</v>
      </c>
      <c r="AN406" s="17" t="s">
        <v>465</v>
      </c>
      <c r="AO406" s="32"/>
      <c r="AP406" s="32"/>
      <c r="AQ406" s="32"/>
      <c r="AR406" s="32"/>
      <c r="AS406" s="32"/>
      <c r="AT406" s="26">
        <v>228.0</v>
      </c>
      <c r="AU406" s="26" t="s">
        <v>2289</v>
      </c>
      <c r="AV406" s="35">
        <v>198.0</v>
      </c>
      <c r="AW406" s="26">
        <v>210.0</v>
      </c>
      <c r="AX406" s="26">
        <v>107.0</v>
      </c>
      <c r="AY406" s="26">
        <v>470.0</v>
      </c>
      <c r="AZ406" s="37">
        <v>45477.0</v>
      </c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  <c r="CC406" s="32"/>
      <c r="CD406" s="32"/>
      <c r="CE406" s="32"/>
      <c r="CF406" s="32"/>
      <c r="CG406" s="32"/>
    </row>
    <row r="407">
      <c r="A407" s="20" t="s">
        <v>2290</v>
      </c>
      <c r="B407" s="20" t="s">
        <v>2228</v>
      </c>
      <c r="C407" s="17" t="s">
        <v>2291</v>
      </c>
      <c r="D407" s="17" t="s">
        <v>469</v>
      </c>
      <c r="E407" s="34" t="s">
        <v>477</v>
      </c>
      <c r="F407" s="26">
        <v>107.0</v>
      </c>
      <c r="G407" s="35">
        <v>209.0</v>
      </c>
      <c r="H407" s="17" t="s">
        <v>413</v>
      </c>
      <c r="I407" s="17" t="s">
        <v>414</v>
      </c>
      <c r="J407" s="17" t="s">
        <v>415</v>
      </c>
      <c r="L407" s="26">
        <v>7.0</v>
      </c>
      <c r="M407" s="17" t="s">
        <v>417</v>
      </c>
      <c r="N407" s="17" t="s">
        <v>418</v>
      </c>
      <c r="O407" s="26">
        <v>2200.0</v>
      </c>
      <c r="P407" s="26">
        <v>-1.0</v>
      </c>
      <c r="Q407" s="17" t="s">
        <v>419</v>
      </c>
      <c r="R407" s="17" t="s">
        <v>420</v>
      </c>
      <c r="S407" s="17" t="s">
        <v>421</v>
      </c>
      <c r="T407" s="17" t="s">
        <v>422</v>
      </c>
      <c r="U407" s="17" t="s">
        <v>423</v>
      </c>
      <c r="V407" s="17" t="s">
        <v>880</v>
      </c>
      <c r="W407" s="17" t="s">
        <v>403</v>
      </c>
      <c r="X407" s="17" t="s">
        <v>493</v>
      </c>
      <c r="Y407" s="17" t="s">
        <v>438</v>
      </c>
      <c r="Z407" s="17" t="s">
        <v>1104</v>
      </c>
      <c r="AA407" s="17" t="s">
        <v>440</v>
      </c>
      <c r="AB407" s="17" t="s">
        <v>2292</v>
      </c>
      <c r="AC407" s="17" t="s">
        <v>428</v>
      </c>
      <c r="AD407" s="17" t="s">
        <v>1695</v>
      </c>
      <c r="AE407" s="26">
        <v>610.0</v>
      </c>
      <c r="AF407" s="36">
        <v>91.7</v>
      </c>
      <c r="AG407" s="36">
        <v>88.995</v>
      </c>
      <c r="AH407" s="26" t="s">
        <v>1748</v>
      </c>
      <c r="AI407" s="26">
        <v>97129.0</v>
      </c>
      <c r="AJ407" s="26">
        <v>97129.0</v>
      </c>
      <c r="AK407" s="26" t="s">
        <v>464</v>
      </c>
      <c r="AL407" s="26">
        <v>364.0</v>
      </c>
      <c r="AM407" s="26">
        <v>1775.0</v>
      </c>
      <c r="AN407" s="17" t="s">
        <v>465</v>
      </c>
      <c r="AO407" s="32"/>
      <c r="AP407" s="32"/>
      <c r="AQ407" s="32"/>
      <c r="AR407" s="32"/>
      <c r="AS407" s="32"/>
      <c r="AT407" s="26">
        <v>230.0</v>
      </c>
      <c r="AU407" s="26" t="s">
        <v>2293</v>
      </c>
      <c r="AV407" s="35">
        <v>209.0</v>
      </c>
      <c r="AW407" s="26">
        <v>180.0</v>
      </c>
      <c r="AX407" s="26">
        <v>107.0</v>
      </c>
      <c r="AY407" s="26">
        <v>465.0</v>
      </c>
      <c r="AZ407" s="37">
        <v>45540.0</v>
      </c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  <c r="CC407" s="32"/>
      <c r="CD407" s="32"/>
      <c r="CE407" s="32"/>
      <c r="CF407" s="32"/>
      <c r="CG407" s="32"/>
    </row>
    <row r="408">
      <c r="A408" s="20" t="s">
        <v>2294</v>
      </c>
      <c r="B408" s="20" t="s">
        <v>2295</v>
      </c>
      <c r="C408" s="17" t="s">
        <v>2296</v>
      </c>
      <c r="D408" s="17" t="s">
        <v>549</v>
      </c>
      <c r="E408" s="34" t="s">
        <v>411</v>
      </c>
      <c r="F408" s="26">
        <v>84.0</v>
      </c>
      <c r="G408" s="35">
        <v>197.0</v>
      </c>
      <c r="H408" s="32"/>
      <c r="I408" s="17" t="s">
        <v>414</v>
      </c>
      <c r="J408" s="17" t="s">
        <v>415</v>
      </c>
      <c r="L408" s="26">
        <v>7.0</v>
      </c>
      <c r="M408" s="17" t="s">
        <v>417</v>
      </c>
      <c r="N408" s="17" t="s">
        <v>418</v>
      </c>
      <c r="O408" s="26">
        <v>1000.0</v>
      </c>
      <c r="P408" s="26">
        <v>5.0</v>
      </c>
      <c r="Q408" s="26">
        <v>5.0</v>
      </c>
      <c r="R408" s="17" t="s">
        <v>419</v>
      </c>
      <c r="S408" s="17" t="s">
        <v>420</v>
      </c>
      <c r="T408" s="17" t="s">
        <v>421</v>
      </c>
      <c r="U408" s="17" t="s">
        <v>423</v>
      </c>
      <c r="V408" s="17" t="s">
        <v>542</v>
      </c>
      <c r="W408" s="17" t="s">
        <v>403</v>
      </c>
      <c r="X408" s="17" t="s">
        <v>493</v>
      </c>
      <c r="Y408" s="17" t="s">
        <v>404</v>
      </c>
      <c r="Z408" s="17" t="s">
        <v>1298</v>
      </c>
      <c r="AA408" s="17" t="s">
        <v>401</v>
      </c>
      <c r="AB408" s="17" t="s">
        <v>2292</v>
      </c>
      <c r="AC408" s="17" t="s">
        <v>428</v>
      </c>
      <c r="AD408" s="17" t="s">
        <v>583</v>
      </c>
      <c r="AE408" s="26">
        <v>420.0</v>
      </c>
      <c r="AF408" s="36">
        <v>68.99</v>
      </c>
      <c r="AG408" s="17" t="s">
        <v>463</v>
      </c>
      <c r="AH408" s="26" t="s">
        <v>2297</v>
      </c>
      <c r="AI408" s="26">
        <v>72036.0</v>
      </c>
      <c r="AJ408" s="26">
        <v>72036.0</v>
      </c>
      <c r="AK408" s="26" t="s">
        <v>552</v>
      </c>
      <c r="AL408" s="26">
        <v>518.0</v>
      </c>
      <c r="AM408" s="26">
        <v>1837.0</v>
      </c>
      <c r="AN408" s="32"/>
      <c r="AO408" s="17" t="s">
        <v>422</v>
      </c>
      <c r="AP408" s="32"/>
      <c r="AQ408" s="32"/>
      <c r="AR408" s="32"/>
      <c r="AS408" s="32"/>
      <c r="AT408" s="26">
        <v>230.0</v>
      </c>
      <c r="AU408" s="26" t="s">
        <v>2293</v>
      </c>
      <c r="AV408" s="35">
        <v>197.0</v>
      </c>
      <c r="AW408" s="26">
        <v>180.0</v>
      </c>
      <c r="AX408" s="26">
        <v>84.0</v>
      </c>
      <c r="AY408" s="26">
        <v>365.0</v>
      </c>
      <c r="AZ408" s="37">
        <v>45331.0</v>
      </c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  <c r="CA408" s="32"/>
      <c r="CB408" s="32"/>
      <c r="CC408" s="32"/>
      <c r="CD408" s="32"/>
      <c r="CE408" s="32"/>
      <c r="CF408" s="32"/>
      <c r="CG408" s="32"/>
    </row>
    <row r="409">
      <c r="A409" s="20" t="s">
        <v>2298</v>
      </c>
      <c r="B409" s="20" t="s">
        <v>2299</v>
      </c>
      <c r="C409" s="17" t="s">
        <v>2300</v>
      </c>
      <c r="D409" s="17" t="s">
        <v>565</v>
      </c>
      <c r="E409" s="34" t="s">
        <v>477</v>
      </c>
      <c r="F409" s="26">
        <v>86.0</v>
      </c>
      <c r="G409" s="35">
        <v>168.0</v>
      </c>
      <c r="H409" s="32"/>
      <c r="I409" s="17" t="s">
        <v>414</v>
      </c>
      <c r="J409" s="17" t="s">
        <v>415</v>
      </c>
      <c r="L409" s="26">
        <v>7.0</v>
      </c>
      <c r="M409" s="17" t="s">
        <v>417</v>
      </c>
      <c r="N409" s="17" t="s">
        <v>418</v>
      </c>
      <c r="O409" s="26">
        <v>1000.0</v>
      </c>
      <c r="P409" s="26">
        <v>5.0</v>
      </c>
      <c r="Q409" s="26">
        <v>5.0</v>
      </c>
      <c r="R409" s="17" t="s">
        <v>419</v>
      </c>
      <c r="S409" s="17" t="s">
        <v>420</v>
      </c>
      <c r="T409" s="17" t="s">
        <v>421</v>
      </c>
      <c r="U409" s="17" t="s">
        <v>423</v>
      </c>
      <c r="V409" s="17" t="s">
        <v>892</v>
      </c>
      <c r="W409" s="17" t="s">
        <v>403</v>
      </c>
      <c r="X409" s="17" t="s">
        <v>581</v>
      </c>
      <c r="Y409" s="17" t="s">
        <v>438</v>
      </c>
      <c r="Z409" s="17" t="s">
        <v>1195</v>
      </c>
      <c r="AA409" s="17" t="s">
        <v>440</v>
      </c>
      <c r="AB409" s="17" t="s">
        <v>2301</v>
      </c>
      <c r="AC409" s="17" t="s">
        <v>428</v>
      </c>
      <c r="AD409" s="17" t="s">
        <v>1275</v>
      </c>
      <c r="AE409" s="26">
        <v>590.0</v>
      </c>
      <c r="AF409" s="36">
        <v>62.719</v>
      </c>
      <c r="AG409" s="36">
        <v>54.99</v>
      </c>
      <c r="AH409" s="26" t="s">
        <v>2302</v>
      </c>
      <c r="AI409" s="26">
        <v>62004.0</v>
      </c>
      <c r="AJ409" s="26">
        <v>62004.0</v>
      </c>
      <c r="AK409" s="26" t="s">
        <v>567</v>
      </c>
      <c r="AL409" s="26">
        <v>259.0</v>
      </c>
      <c r="AM409" s="26">
        <v>2154.0</v>
      </c>
      <c r="AN409" s="32"/>
      <c r="AO409" s="17" t="s">
        <v>422</v>
      </c>
      <c r="AP409" s="32"/>
      <c r="AQ409" s="32"/>
      <c r="AR409" s="32"/>
      <c r="AS409" s="32"/>
      <c r="AT409" s="26">
        <v>232.0</v>
      </c>
      <c r="AU409" s="26" t="s">
        <v>2303</v>
      </c>
      <c r="AV409" s="35">
        <v>168.0</v>
      </c>
      <c r="AW409" s="26">
        <v>160.0</v>
      </c>
      <c r="AX409" s="26">
        <v>86.0</v>
      </c>
      <c r="AY409" s="26">
        <v>370.0</v>
      </c>
      <c r="AZ409" s="37">
        <v>45542.0</v>
      </c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  <c r="CC409" s="32"/>
      <c r="CD409" s="32"/>
      <c r="CE409" s="32"/>
      <c r="CF409" s="32"/>
      <c r="CG409" s="32"/>
    </row>
    <row r="410">
      <c r="A410" s="20" t="s">
        <v>2304</v>
      </c>
      <c r="B410" s="20" t="s">
        <v>2305</v>
      </c>
      <c r="C410" s="17" t="s">
        <v>2306</v>
      </c>
      <c r="D410" s="17" t="s">
        <v>700</v>
      </c>
      <c r="E410" s="34" t="s">
        <v>477</v>
      </c>
      <c r="F410" s="26">
        <v>106.0</v>
      </c>
      <c r="G410" s="35">
        <v>228.0</v>
      </c>
      <c r="H410" s="17" t="s">
        <v>413</v>
      </c>
      <c r="I410" s="17" t="s">
        <v>414</v>
      </c>
      <c r="J410" s="17" t="s">
        <v>415</v>
      </c>
      <c r="L410" s="26">
        <v>5.0</v>
      </c>
      <c r="M410" s="17" t="s">
        <v>417</v>
      </c>
      <c r="N410" s="17" t="s">
        <v>418</v>
      </c>
      <c r="O410" s="26">
        <v>1800.0</v>
      </c>
      <c r="P410" s="26">
        <v>-1.0</v>
      </c>
      <c r="Q410" s="17" t="s">
        <v>419</v>
      </c>
      <c r="R410" s="17" t="s">
        <v>420</v>
      </c>
      <c r="S410" s="17" t="s">
        <v>421</v>
      </c>
      <c r="T410" s="17" t="s">
        <v>422</v>
      </c>
      <c r="U410" s="17" t="s">
        <v>423</v>
      </c>
      <c r="V410" s="17" t="s">
        <v>1265</v>
      </c>
      <c r="W410" s="17" t="s">
        <v>403</v>
      </c>
      <c r="X410" s="17" t="s">
        <v>619</v>
      </c>
      <c r="Y410" s="17" t="s">
        <v>438</v>
      </c>
      <c r="Z410" s="17" t="s">
        <v>881</v>
      </c>
      <c r="AA410" s="17" t="s">
        <v>440</v>
      </c>
      <c r="AB410" s="17" t="s">
        <v>2307</v>
      </c>
      <c r="AC410" s="17" t="s">
        <v>428</v>
      </c>
      <c r="AD410" s="17" t="s">
        <v>981</v>
      </c>
      <c r="AE410" s="26">
        <v>570.0</v>
      </c>
      <c r="AF410" s="36">
        <v>98.1</v>
      </c>
      <c r="AG410" s="36">
        <v>99.99</v>
      </c>
      <c r="AH410" s="26" t="s">
        <v>2308</v>
      </c>
      <c r="AI410" s="26">
        <v>100000.0</v>
      </c>
      <c r="AJ410" s="26">
        <v>103909.0</v>
      </c>
      <c r="AK410" s="26" t="s">
        <v>552</v>
      </c>
      <c r="AL410" s="26">
        <v>194.0</v>
      </c>
      <c r="AM410" s="26">
        <v>1773.0</v>
      </c>
      <c r="AN410" s="32"/>
      <c r="AO410" s="32"/>
      <c r="AP410" s="32"/>
      <c r="AQ410" s="32"/>
      <c r="AR410" s="32"/>
      <c r="AS410" s="32"/>
      <c r="AT410" s="26">
        <v>233.0</v>
      </c>
      <c r="AU410" s="26" t="s">
        <v>2309</v>
      </c>
      <c r="AV410" s="35">
        <v>228.0</v>
      </c>
      <c r="AW410" s="26">
        <v>210.0</v>
      </c>
      <c r="AX410" s="26">
        <v>106.0</v>
      </c>
      <c r="AY410" s="26">
        <v>455.0</v>
      </c>
      <c r="AZ410" s="37">
        <v>45416.0</v>
      </c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  <c r="CA410" s="32"/>
      <c r="CB410" s="32"/>
      <c r="CC410" s="32"/>
      <c r="CD410" s="32"/>
      <c r="CE410" s="32"/>
      <c r="CF410" s="32"/>
      <c r="CG410" s="32"/>
    </row>
    <row r="411">
      <c r="A411" s="20" t="s">
        <v>2310</v>
      </c>
      <c r="B411" s="20" t="s">
        <v>2311</v>
      </c>
      <c r="C411" s="17" t="s">
        <v>2312</v>
      </c>
      <c r="D411" s="17" t="s">
        <v>1187</v>
      </c>
      <c r="E411" s="34" t="s">
        <v>477</v>
      </c>
      <c r="F411" s="26">
        <v>79.0</v>
      </c>
      <c r="G411" s="35">
        <v>220.0</v>
      </c>
      <c r="H411" s="32"/>
      <c r="I411" s="17" t="s">
        <v>414</v>
      </c>
      <c r="J411" s="17" t="s">
        <v>415</v>
      </c>
      <c r="L411" s="26">
        <v>5.0</v>
      </c>
      <c r="M411" s="17" t="s">
        <v>417</v>
      </c>
      <c r="N411" s="17" t="s">
        <v>418</v>
      </c>
      <c r="O411" s="26">
        <v>1800.0</v>
      </c>
      <c r="P411" s="26">
        <v>5.0</v>
      </c>
      <c r="Q411" s="26">
        <v>5.0</v>
      </c>
      <c r="R411" s="17" t="s">
        <v>419</v>
      </c>
      <c r="S411" s="17" t="s">
        <v>420</v>
      </c>
      <c r="T411" s="17" t="s">
        <v>421</v>
      </c>
      <c r="U411" s="17" t="s">
        <v>423</v>
      </c>
      <c r="V411" s="17" t="s">
        <v>755</v>
      </c>
      <c r="W411" s="17" t="s">
        <v>403</v>
      </c>
      <c r="X411" s="17" t="s">
        <v>581</v>
      </c>
      <c r="Y411" s="17" t="s">
        <v>438</v>
      </c>
      <c r="Z411" s="17" t="s">
        <v>460</v>
      </c>
      <c r="AA411" s="17" t="s">
        <v>440</v>
      </c>
      <c r="AB411" s="17" t="s">
        <v>2313</v>
      </c>
      <c r="AC411" s="17" t="s">
        <v>428</v>
      </c>
      <c r="AD411" s="17" t="s">
        <v>1299</v>
      </c>
      <c r="AE411" s="26">
        <v>540.0</v>
      </c>
      <c r="AF411" s="36">
        <v>73.102</v>
      </c>
      <c r="AG411" s="36">
        <v>69.99</v>
      </c>
      <c r="AH411" s="26" t="s">
        <v>2314</v>
      </c>
      <c r="AI411" s="26">
        <v>73547.0</v>
      </c>
      <c r="AJ411" s="26">
        <v>73547.0</v>
      </c>
      <c r="AK411" s="26" t="s">
        <v>567</v>
      </c>
      <c r="AL411" s="26">
        <v>123.0</v>
      </c>
      <c r="AM411" s="26">
        <v>2156.0</v>
      </c>
      <c r="AN411" s="32"/>
      <c r="AO411" s="17" t="s">
        <v>422</v>
      </c>
      <c r="AP411" s="32"/>
      <c r="AQ411" s="32"/>
      <c r="AR411" s="32"/>
      <c r="AS411" s="32"/>
      <c r="AT411" s="26">
        <v>236.0</v>
      </c>
      <c r="AU411" s="26" t="s">
        <v>2315</v>
      </c>
      <c r="AV411" s="35">
        <v>220.0</v>
      </c>
      <c r="AW411" s="26">
        <v>160.0</v>
      </c>
      <c r="AX411" s="26">
        <v>79.0</v>
      </c>
      <c r="AY411" s="26">
        <v>335.0</v>
      </c>
      <c r="AZ411" s="37">
        <v>45418.0</v>
      </c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  <c r="CC411" s="32"/>
      <c r="CD411" s="32"/>
      <c r="CE411" s="32"/>
      <c r="CF411" s="32"/>
      <c r="CG411" s="32"/>
    </row>
    <row r="412">
      <c r="A412" s="20" t="s">
        <v>2316</v>
      </c>
      <c r="B412" s="20" t="s">
        <v>2317</v>
      </c>
      <c r="C412" s="17" t="s">
        <v>2318</v>
      </c>
      <c r="E412" s="34" t="s">
        <v>477</v>
      </c>
      <c r="F412" s="26">
        <v>123.0</v>
      </c>
      <c r="G412" s="35">
        <v>174.0</v>
      </c>
      <c r="H412" s="32"/>
      <c r="I412" s="17" t="s">
        <v>414</v>
      </c>
      <c r="J412" s="17" t="s">
        <v>415</v>
      </c>
      <c r="L412" s="26">
        <v>7.0</v>
      </c>
      <c r="M412" s="17" t="s">
        <v>417</v>
      </c>
      <c r="N412" s="32"/>
      <c r="O412" s="32"/>
      <c r="P412" s="26">
        <v>-1.0</v>
      </c>
      <c r="Q412" s="17" t="s">
        <v>419</v>
      </c>
      <c r="R412" s="17" t="s">
        <v>420</v>
      </c>
      <c r="S412" s="17" t="s">
        <v>421</v>
      </c>
      <c r="T412" s="17" t="s">
        <v>422</v>
      </c>
      <c r="U412" s="17" t="s">
        <v>423</v>
      </c>
      <c r="V412" s="17" t="s">
        <v>755</v>
      </c>
      <c r="W412" s="17" t="s">
        <v>403</v>
      </c>
      <c r="X412" s="17" t="s">
        <v>782</v>
      </c>
      <c r="Y412" s="17" t="s">
        <v>438</v>
      </c>
      <c r="Z412" s="17" t="s">
        <v>876</v>
      </c>
      <c r="AA412" s="17" t="s">
        <v>440</v>
      </c>
      <c r="AB412" s="17" t="s">
        <v>2319</v>
      </c>
      <c r="AC412" s="17" t="s">
        <v>520</v>
      </c>
      <c r="AD412" s="17" t="s">
        <v>901</v>
      </c>
      <c r="AE412" s="26">
        <v>520.0</v>
      </c>
      <c r="AF412" s="36">
        <v>89.79</v>
      </c>
      <c r="AG412" s="36">
        <v>91.3</v>
      </c>
      <c r="AH412" s="17" t="s">
        <v>463</v>
      </c>
      <c r="AI412" s="26">
        <v>90545.0</v>
      </c>
      <c r="AJ412" s="26">
        <v>90545.0</v>
      </c>
      <c r="AK412" s="26" t="s">
        <v>1635</v>
      </c>
      <c r="AL412" s="26">
        <v>324.0</v>
      </c>
      <c r="AM412" s="26">
        <v>1811.0</v>
      </c>
      <c r="AN412" s="32"/>
      <c r="AO412" s="32"/>
      <c r="AP412" s="32"/>
      <c r="AQ412" s="32"/>
      <c r="AR412" s="32"/>
      <c r="AS412" s="32"/>
      <c r="AT412" s="26">
        <v>237.0</v>
      </c>
      <c r="AU412" s="26" t="s">
        <v>2320</v>
      </c>
      <c r="AV412" s="35">
        <v>174.0</v>
      </c>
      <c r="AW412" s="26">
        <v>200.0</v>
      </c>
      <c r="AX412" s="26">
        <v>123.0</v>
      </c>
      <c r="AY412" s="26">
        <v>520.0</v>
      </c>
      <c r="AZ412" s="37">
        <v>45418.0</v>
      </c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  <c r="CC412" s="32"/>
      <c r="CD412" s="32"/>
      <c r="CE412" s="32"/>
      <c r="CF412" s="32"/>
      <c r="CG412" s="32"/>
    </row>
    <row r="413">
      <c r="A413" s="20" t="s">
        <v>2321</v>
      </c>
      <c r="B413" s="20" t="s">
        <v>2322</v>
      </c>
      <c r="C413" s="17" t="s">
        <v>2323</v>
      </c>
      <c r="D413" s="17" t="s">
        <v>638</v>
      </c>
      <c r="E413" s="34" t="s">
        <v>477</v>
      </c>
      <c r="F413" s="26" t="s">
        <v>2324</v>
      </c>
      <c r="G413" s="35">
        <v>147.0</v>
      </c>
      <c r="H413" s="17" t="s">
        <v>413</v>
      </c>
      <c r="I413" s="17" t="s">
        <v>414</v>
      </c>
      <c r="J413" s="17" t="s">
        <v>415</v>
      </c>
      <c r="L413" s="26">
        <v>7.0</v>
      </c>
      <c r="M413" s="17" t="s">
        <v>417</v>
      </c>
      <c r="N413" s="17" t="s">
        <v>418</v>
      </c>
      <c r="O413" s="26">
        <v>1500.0</v>
      </c>
      <c r="P413" s="26">
        <v>5.0</v>
      </c>
      <c r="Q413" s="26">
        <v>5.0</v>
      </c>
      <c r="R413" s="17" t="s">
        <v>419</v>
      </c>
      <c r="S413" s="17" t="s">
        <v>420</v>
      </c>
      <c r="T413" s="17" t="s">
        <v>421</v>
      </c>
      <c r="U413" s="17" t="s">
        <v>423</v>
      </c>
      <c r="V413" s="17" t="s">
        <v>1556</v>
      </c>
      <c r="W413" s="17" t="s">
        <v>403</v>
      </c>
      <c r="X413" s="17" t="s">
        <v>597</v>
      </c>
      <c r="Y413" s="17" t="s">
        <v>438</v>
      </c>
      <c r="Z413" s="17" t="s">
        <v>928</v>
      </c>
      <c r="AA413" s="17" t="s">
        <v>440</v>
      </c>
      <c r="AB413" s="17" t="s">
        <v>2319</v>
      </c>
      <c r="AC413" s="17" t="s">
        <v>428</v>
      </c>
      <c r="AD413" s="17" t="s">
        <v>788</v>
      </c>
      <c r="AE413" s="26">
        <v>400.0</v>
      </c>
      <c r="AF413" s="17" t="s">
        <v>2325</v>
      </c>
      <c r="AG413" s="36">
        <v>67.39</v>
      </c>
      <c r="AH413" s="17" t="s">
        <v>463</v>
      </c>
      <c r="AI413" s="26">
        <v>67695.0</v>
      </c>
      <c r="AJ413" s="26">
        <v>67695.0</v>
      </c>
      <c r="AK413" s="26" t="s">
        <v>444</v>
      </c>
      <c r="AL413" s="26">
        <v>308.0</v>
      </c>
      <c r="AM413" s="26">
        <v>2095.0</v>
      </c>
      <c r="AN413" s="17" t="s">
        <v>465</v>
      </c>
      <c r="AO413" s="17" t="s">
        <v>422</v>
      </c>
      <c r="AP413" s="32"/>
      <c r="AQ413" s="32"/>
      <c r="AR413" s="32"/>
      <c r="AS413" s="32"/>
      <c r="AT413" s="26">
        <v>237.0</v>
      </c>
      <c r="AU413" s="26" t="s">
        <v>2320</v>
      </c>
      <c r="AV413" s="35">
        <v>147.0</v>
      </c>
      <c r="AW413" s="26">
        <v>190.0</v>
      </c>
      <c r="AX413" s="26" t="s">
        <v>2324</v>
      </c>
      <c r="AY413" s="26">
        <v>460.0</v>
      </c>
      <c r="AZ413" s="37">
        <v>45539.0</v>
      </c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  <c r="CA413" s="32"/>
      <c r="CB413" s="32"/>
      <c r="CC413" s="32"/>
      <c r="CD413" s="32"/>
      <c r="CE413" s="32"/>
      <c r="CF413" s="32"/>
      <c r="CG413" s="32"/>
    </row>
    <row r="414">
      <c r="A414" s="20" t="s">
        <v>2326</v>
      </c>
      <c r="B414" s="20" t="s">
        <v>2228</v>
      </c>
      <c r="C414" s="17" t="s">
        <v>2327</v>
      </c>
      <c r="D414" s="17" t="s">
        <v>469</v>
      </c>
      <c r="E414" s="34" t="s">
        <v>477</v>
      </c>
      <c r="F414" s="26">
        <v>107.0</v>
      </c>
      <c r="G414" s="35">
        <v>230.0</v>
      </c>
      <c r="H414" s="17" t="s">
        <v>413</v>
      </c>
      <c r="I414" s="17" t="s">
        <v>414</v>
      </c>
      <c r="J414" s="17" t="s">
        <v>415</v>
      </c>
      <c r="L414" s="26">
        <v>7.0</v>
      </c>
      <c r="M414" s="17" t="s">
        <v>417</v>
      </c>
      <c r="N414" s="17" t="s">
        <v>418</v>
      </c>
      <c r="O414" s="26">
        <v>2200.0</v>
      </c>
      <c r="P414" s="26">
        <v>-1.0</v>
      </c>
      <c r="Q414" s="17" t="s">
        <v>419</v>
      </c>
      <c r="R414" s="17" t="s">
        <v>420</v>
      </c>
      <c r="S414" s="17" t="s">
        <v>421</v>
      </c>
      <c r="T414" s="17" t="s">
        <v>422</v>
      </c>
      <c r="U414" s="17" t="s">
        <v>423</v>
      </c>
      <c r="V414" s="17" t="s">
        <v>1556</v>
      </c>
      <c r="W414" s="17" t="s">
        <v>403</v>
      </c>
      <c r="X414" s="17" t="s">
        <v>493</v>
      </c>
      <c r="Y414" s="17" t="s">
        <v>438</v>
      </c>
      <c r="Z414" s="17" t="s">
        <v>1143</v>
      </c>
      <c r="AA414" s="17" t="s">
        <v>440</v>
      </c>
      <c r="AB414" s="17" t="s">
        <v>2328</v>
      </c>
      <c r="AC414" s="17" t="s">
        <v>428</v>
      </c>
      <c r="AD414" s="17" t="s">
        <v>1275</v>
      </c>
      <c r="AE414" s="26">
        <v>590.0</v>
      </c>
      <c r="AF414" s="36">
        <v>96.8</v>
      </c>
      <c r="AG414" s="36">
        <v>98.495</v>
      </c>
      <c r="AH414" s="26" t="s">
        <v>2329</v>
      </c>
      <c r="AI414" s="26">
        <v>100000.0</v>
      </c>
      <c r="AJ414" s="26">
        <v>103644.0</v>
      </c>
      <c r="AK414" s="26" t="s">
        <v>464</v>
      </c>
      <c r="AL414" s="26">
        <v>287.0</v>
      </c>
      <c r="AM414" s="26">
        <v>1776.0</v>
      </c>
      <c r="AN414" s="17" t="s">
        <v>465</v>
      </c>
      <c r="AO414" s="32"/>
      <c r="AP414" s="32"/>
      <c r="AQ414" s="32"/>
      <c r="AR414" s="32"/>
      <c r="AS414" s="32"/>
      <c r="AT414" s="26">
        <v>238.0</v>
      </c>
      <c r="AU414" s="26" t="s">
        <v>2330</v>
      </c>
      <c r="AV414" s="35">
        <v>230.0</v>
      </c>
      <c r="AW414" s="26">
        <v>180.0</v>
      </c>
      <c r="AX414" s="26">
        <v>107.0</v>
      </c>
      <c r="AY414" s="26">
        <v>450.0</v>
      </c>
      <c r="AZ414" s="37">
        <v>45539.0</v>
      </c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  <c r="CC414" s="32"/>
      <c r="CD414" s="32"/>
      <c r="CE414" s="32"/>
      <c r="CF414" s="32"/>
      <c r="CG414" s="32"/>
    </row>
    <row r="415">
      <c r="A415" s="20" t="s">
        <v>2331</v>
      </c>
      <c r="B415" s="20" t="s">
        <v>2332</v>
      </c>
      <c r="C415" s="17" t="s">
        <v>2333</v>
      </c>
      <c r="D415" s="17" t="s">
        <v>835</v>
      </c>
      <c r="E415" s="34" t="s">
        <v>436</v>
      </c>
      <c r="F415" s="26">
        <v>95.0</v>
      </c>
      <c r="G415" s="35">
        <v>313.0</v>
      </c>
      <c r="H415" s="32"/>
      <c r="I415" s="17" t="s">
        <v>414</v>
      </c>
      <c r="J415" s="17" t="s">
        <v>415</v>
      </c>
      <c r="L415" s="26">
        <v>5.0</v>
      </c>
      <c r="M415" s="32"/>
      <c r="N415" s="17" t="s">
        <v>418</v>
      </c>
      <c r="O415" s="26">
        <v>1800.0</v>
      </c>
      <c r="P415" s="26">
        <v>-1.0</v>
      </c>
      <c r="Q415" s="17" t="s">
        <v>419</v>
      </c>
      <c r="R415" s="17" t="s">
        <v>420</v>
      </c>
      <c r="S415" s="17" t="s">
        <v>421</v>
      </c>
      <c r="T415" s="17" t="s">
        <v>422</v>
      </c>
      <c r="U415" s="17" t="s">
        <v>423</v>
      </c>
      <c r="V415" s="17" t="s">
        <v>1468</v>
      </c>
      <c r="W415" s="17" t="s">
        <v>403</v>
      </c>
      <c r="X415" s="17" t="s">
        <v>1652</v>
      </c>
      <c r="Y415" s="17" t="s">
        <v>438</v>
      </c>
      <c r="Z415" s="17" t="s">
        <v>1562</v>
      </c>
      <c r="AA415" s="17" t="s">
        <v>440</v>
      </c>
      <c r="AB415" s="17" t="s">
        <v>2328</v>
      </c>
      <c r="AC415" s="17" t="s">
        <v>428</v>
      </c>
      <c r="AD415" s="17" t="s">
        <v>1784</v>
      </c>
      <c r="AE415" s="26">
        <v>440.0</v>
      </c>
      <c r="AF415" s="36">
        <v>124.301</v>
      </c>
      <c r="AG415" s="36">
        <v>124.6</v>
      </c>
      <c r="AH415" s="26" t="s">
        <v>2334</v>
      </c>
      <c r="AI415" s="26">
        <v>100000.0</v>
      </c>
      <c r="AJ415" s="26">
        <v>125097.0</v>
      </c>
      <c r="AK415" s="26" t="s">
        <v>777</v>
      </c>
      <c r="AL415" s="26">
        <v>233.0</v>
      </c>
      <c r="AM415" s="26">
        <v>1843.0</v>
      </c>
      <c r="AN415" s="32"/>
      <c r="AO415" s="32"/>
      <c r="AP415" s="32"/>
      <c r="AQ415" s="32"/>
      <c r="AR415" s="32"/>
      <c r="AS415" s="32"/>
      <c r="AT415" s="26">
        <v>238.0</v>
      </c>
      <c r="AU415" s="26" t="s">
        <v>2330</v>
      </c>
      <c r="AV415" s="35">
        <v>313.0</v>
      </c>
      <c r="AW415" s="26">
        <v>220.0</v>
      </c>
      <c r="AX415" s="26">
        <v>95.0</v>
      </c>
      <c r="AY415" s="26">
        <v>400.0</v>
      </c>
      <c r="AZ415" s="37">
        <v>45295.0</v>
      </c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</row>
    <row r="416">
      <c r="A416" s="20" t="s">
        <v>2335</v>
      </c>
      <c r="B416" s="20" t="s">
        <v>2336</v>
      </c>
      <c r="C416" s="17" t="s">
        <v>2337</v>
      </c>
      <c r="D416" s="17" t="s">
        <v>469</v>
      </c>
      <c r="E416" s="34" t="s">
        <v>477</v>
      </c>
      <c r="F416" s="26" t="s">
        <v>2338</v>
      </c>
      <c r="G416" s="35">
        <v>219.0</v>
      </c>
      <c r="H416" s="17" t="s">
        <v>413</v>
      </c>
      <c r="I416" s="17" t="s">
        <v>414</v>
      </c>
      <c r="J416" s="17" t="s">
        <v>415</v>
      </c>
      <c r="L416" s="26">
        <v>5.0</v>
      </c>
      <c r="M416" s="32"/>
      <c r="N416" s="17" t="s">
        <v>418</v>
      </c>
      <c r="O416" s="26">
        <v>1500.0</v>
      </c>
      <c r="P416" s="26">
        <v>-1.0</v>
      </c>
      <c r="Q416" s="17" t="s">
        <v>419</v>
      </c>
      <c r="R416" s="17" t="s">
        <v>420</v>
      </c>
      <c r="S416" s="17" t="s">
        <v>421</v>
      </c>
      <c r="T416" s="17" t="s">
        <v>422</v>
      </c>
      <c r="U416" s="17" t="s">
        <v>423</v>
      </c>
      <c r="V416" s="17" t="s">
        <v>755</v>
      </c>
      <c r="W416" s="17" t="s">
        <v>403</v>
      </c>
      <c r="X416" s="17" t="s">
        <v>782</v>
      </c>
      <c r="Y416" s="17" t="s">
        <v>438</v>
      </c>
      <c r="Z416" s="17" t="s">
        <v>709</v>
      </c>
      <c r="AA416" s="17" t="s">
        <v>440</v>
      </c>
      <c r="AB416" s="17" t="s">
        <v>2339</v>
      </c>
      <c r="AC416" s="17" t="s">
        <v>428</v>
      </c>
      <c r="AD416" s="17" t="s">
        <v>1784</v>
      </c>
      <c r="AE416" s="26">
        <v>440.0</v>
      </c>
      <c r="AF416" s="17" t="s">
        <v>463</v>
      </c>
      <c r="AG416" s="36">
        <v>69.995</v>
      </c>
      <c r="AH416" s="17" t="s">
        <v>463</v>
      </c>
      <c r="AI416" s="26">
        <v>69995.0</v>
      </c>
      <c r="AJ416" s="26">
        <v>69995.0</v>
      </c>
      <c r="AK416" s="26" t="s">
        <v>464</v>
      </c>
      <c r="AL416" s="26">
        <v>191.0</v>
      </c>
      <c r="AM416" s="26">
        <v>1746.0</v>
      </c>
      <c r="AN416" s="32"/>
      <c r="AO416" s="32"/>
      <c r="AP416" s="32"/>
      <c r="AQ416" s="32"/>
      <c r="AR416" s="32"/>
      <c r="AS416" s="32"/>
      <c r="AT416" s="26">
        <v>239.0</v>
      </c>
      <c r="AU416" s="26" t="s">
        <v>2340</v>
      </c>
      <c r="AV416" s="35">
        <v>219.0</v>
      </c>
      <c r="AW416" s="26">
        <v>200.0</v>
      </c>
      <c r="AX416" s="26" t="s">
        <v>2338</v>
      </c>
      <c r="AY416" s="26">
        <v>320.0</v>
      </c>
      <c r="AZ416" s="37">
        <v>45418.0</v>
      </c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  <c r="CC416" s="32"/>
      <c r="CD416" s="32"/>
      <c r="CE416" s="32"/>
      <c r="CF416" s="32"/>
      <c r="CG416" s="32"/>
    </row>
    <row r="417">
      <c r="A417" s="20" t="s">
        <v>2341</v>
      </c>
      <c r="B417" s="20" t="s">
        <v>2222</v>
      </c>
      <c r="C417" s="17" t="s">
        <v>2342</v>
      </c>
      <c r="D417" s="17" t="s">
        <v>1461</v>
      </c>
      <c r="E417" s="34" t="s">
        <v>477</v>
      </c>
      <c r="F417" s="26">
        <v>109.0</v>
      </c>
      <c r="G417" s="35">
        <v>326.0</v>
      </c>
      <c r="H417" s="17" t="s">
        <v>413</v>
      </c>
      <c r="I417" s="17" t="s">
        <v>414</v>
      </c>
      <c r="J417" s="17" t="s">
        <v>415</v>
      </c>
      <c r="L417" s="26">
        <v>5.0</v>
      </c>
      <c r="M417" s="17" t="s">
        <v>417</v>
      </c>
      <c r="N417" s="17" t="s">
        <v>418</v>
      </c>
      <c r="O417" s="26">
        <v>2250.0</v>
      </c>
      <c r="P417" s="26">
        <v>-1.0</v>
      </c>
      <c r="Q417" s="17" t="s">
        <v>419</v>
      </c>
      <c r="R417" s="17" t="s">
        <v>420</v>
      </c>
      <c r="S417" s="17" t="s">
        <v>421</v>
      </c>
      <c r="T417" s="17" t="s">
        <v>422</v>
      </c>
      <c r="U417" s="17" t="s">
        <v>423</v>
      </c>
      <c r="V417" s="17" t="s">
        <v>2343</v>
      </c>
      <c r="W417" s="17" t="s">
        <v>403</v>
      </c>
      <c r="X417" s="17" t="s">
        <v>1483</v>
      </c>
      <c r="Y417" s="17" t="s">
        <v>438</v>
      </c>
      <c r="Z417" s="17" t="s">
        <v>881</v>
      </c>
      <c r="AA417" s="17" t="s">
        <v>440</v>
      </c>
      <c r="AB417" s="17" t="s">
        <v>2344</v>
      </c>
      <c r="AC417" s="17" t="s">
        <v>428</v>
      </c>
      <c r="AD417" s="17" t="s">
        <v>1757</v>
      </c>
      <c r="AE417" s="26">
        <v>1000.0</v>
      </c>
      <c r="AF417" s="36">
        <v>151.99</v>
      </c>
      <c r="AG417" s="36">
        <v>154.09</v>
      </c>
      <c r="AH417" s="26" t="s">
        <v>2345</v>
      </c>
      <c r="AI417" s="26">
        <v>100000.0</v>
      </c>
      <c r="AJ417" s="26">
        <v>148526.0</v>
      </c>
      <c r="AK417" s="26" t="s">
        <v>552</v>
      </c>
      <c r="AL417" s="26">
        <v>399.0</v>
      </c>
      <c r="AM417" s="26">
        <v>1768.0</v>
      </c>
      <c r="AN417" s="32"/>
      <c r="AO417" s="32"/>
      <c r="AP417" s="32"/>
      <c r="AQ417" s="32"/>
      <c r="AR417" s="32"/>
      <c r="AS417" s="32"/>
      <c r="AT417" s="26">
        <v>240.0</v>
      </c>
      <c r="AU417" s="26" t="s">
        <v>2346</v>
      </c>
      <c r="AV417" s="35">
        <v>326.0</v>
      </c>
      <c r="AW417" s="26">
        <v>260.0</v>
      </c>
      <c r="AX417" s="26">
        <v>109.0</v>
      </c>
      <c r="AY417" s="26">
        <v>455.0</v>
      </c>
      <c r="AZ417" s="37">
        <v>45537.0</v>
      </c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  <c r="CC417" s="32"/>
      <c r="CD417" s="32"/>
      <c r="CE417" s="32"/>
      <c r="CF417" s="32"/>
      <c r="CG417" s="32"/>
    </row>
    <row r="418">
      <c r="A418" s="20" t="s">
        <v>2347</v>
      </c>
      <c r="B418" s="20" t="s">
        <v>2348</v>
      </c>
      <c r="C418" s="17" t="s">
        <v>2349</v>
      </c>
      <c r="D418" s="17" t="s">
        <v>835</v>
      </c>
      <c r="E418" s="34" t="s">
        <v>477</v>
      </c>
      <c r="F418" s="26">
        <v>118.0</v>
      </c>
      <c r="G418" s="35">
        <v>441.0</v>
      </c>
      <c r="H418" s="17" t="s">
        <v>413</v>
      </c>
      <c r="I418" s="17" t="s">
        <v>414</v>
      </c>
      <c r="J418" s="17" t="s">
        <v>415</v>
      </c>
      <c r="L418" s="26">
        <v>4.0</v>
      </c>
      <c r="M418" s="17" t="s">
        <v>417</v>
      </c>
      <c r="N418" s="17" t="s">
        <v>418</v>
      </c>
      <c r="O418" s="26">
        <v>1800.0</v>
      </c>
      <c r="P418" s="26">
        <v>-1.0</v>
      </c>
      <c r="Q418" s="17" t="s">
        <v>419</v>
      </c>
      <c r="R418" s="17" t="s">
        <v>420</v>
      </c>
      <c r="S418" s="17" t="s">
        <v>421</v>
      </c>
      <c r="T418" s="17" t="s">
        <v>422</v>
      </c>
      <c r="U418" s="17" t="s">
        <v>423</v>
      </c>
      <c r="V418" s="17" t="s">
        <v>448</v>
      </c>
      <c r="W418" s="17" t="s">
        <v>403</v>
      </c>
      <c r="X418" s="17" t="s">
        <v>619</v>
      </c>
      <c r="Y418" s="17" t="s">
        <v>438</v>
      </c>
      <c r="Z418" s="17" t="s">
        <v>519</v>
      </c>
      <c r="AA418" s="17" t="s">
        <v>440</v>
      </c>
      <c r="AB418" s="17" t="s">
        <v>2350</v>
      </c>
      <c r="AC418" s="17" t="s">
        <v>428</v>
      </c>
      <c r="AD418" s="17" t="s">
        <v>1647</v>
      </c>
      <c r="AE418" s="26">
        <v>620.0</v>
      </c>
      <c r="AF418" s="36">
        <v>200.634</v>
      </c>
      <c r="AG418" s="36">
        <v>216.78</v>
      </c>
      <c r="AH418" s="26" t="s">
        <v>2351</v>
      </c>
      <c r="AI418" s="26">
        <v>100000.0</v>
      </c>
      <c r="AJ418" s="26">
        <v>216134.0</v>
      </c>
      <c r="AK418" s="26" t="s">
        <v>777</v>
      </c>
      <c r="AL418" s="26">
        <v>279.0</v>
      </c>
      <c r="AM418" s="26">
        <v>2086.0</v>
      </c>
      <c r="AN418" s="32"/>
      <c r="AO418" s="32"/>
      <c r="AP418" s="32"/>
      <c r="AQ418" s="32"/>
      <c r="AR418" s="32"/>
      <c r="AS418" s="32"/>
      <c r="AT418" s="26">
        <v>241.0</v>
      </c>
      <c r="AU418" s="26" t="s">
        <v>2352</v>
      </c>
      <c r="AV418" s="35">
        <v>441.0</v>
      </c>
      <c r="AW418" s="26">
        <v>210.0</v>
      </c>
      <c r="AX418" s="26">
        <v>118.0</v>
      </c>
      <c r="AY418" s="26">
        <v>490.0</v>
      </c>
      <c r="AZ418" s="37">
        <v>45386.0</v>
      </c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  <c r="CC418" s="32"/>
      <c r="CD418" s="32"/>
      <c r="CE418" s="32"/>
      <c r="CF418" s="32"/>
      <c r="CG418" s="32"/>
    </row>
    <row r="419">
      <c r="A419" s="20" t="s">
        <v>2353</v>
      </c>
      <c r="B419" s="20" t="s">
        <v>2311</v>
      </c>
      <c r="C419" s="17" t="s">
        <v>2354</v>
      </c>
      <c r="D419" s="17" t="s">
        <v>1187</v>
      </c>
      <c r="E419" s="34" t="s">
        <v>477</v>
      </c>
      <c r="F419" s="26">
        <v>86.0</v>
      </c>
      <c r="G419" s="35">
        <v>210.0</v>
      </c>
      <c r="H419" s="32"/>
      <c r="I419" s="17" t="s">
        <v>414</v>
      </c>
      <c r="J419" s="17" t="s">
        <v>415</v>
      </c>
      <c r="L419" s="26">
        <v>7.0</v>
      </c>
      <c r="M419" s="17" t="s">
        <v>417</v>
      </c>
      <c r="N419" s="17" t="s">
        <v>418</v>
      </c>
      <c r="O419" s="26">
        <v>1600.0</v>
      </c>
      <c r="P419" s="26">
        <v>5.0</v>
      </c>
      <c r="Q419" s="26">
        <v>5.0</v>
      </c>
      <c r="R419" s="17" t="s">
        <v>419</v>
      </c>
      <c r="S419" s="17" t="s">
        <v>420</v>
      </c>
      <c r="T419" s="17" t="s">
        <v>421</v>
      </c>
      <c r="U419" s="17" t="s">
        <v>423</v>
      </c>
      <c r="V419" s="17" t="s">
        <v>755</v>
      </c>
      <c r="W419" s="17" t="s">
        <v>403</v>
      </c>
      <c r="X419" s="17" t="s">
        <v>581</v>
      </c>
      <c r="Y419" s="17" t="s">
        <v>438</v>
      </c>
      <c r="Z419" s="17" t="s">
        <v>1282</v>
      </c>
      <c r="AA419" s="17" t="s">
        <v>440</v>
      </c>
      <c r="AB419" s="17" t="s">
        <v>2355</v>
      </c>
      <c r="AC419" s="17" t="s">
        <v>428</v>
      </c>
      <c r="AD419" s="17" t="s">
        <v>981</v>
      </c>
      <c r="AE419" s="26">
        <v>570.0</v>
      </c>
      <c r="AF419" s="36">
        <v>74.928</v>
      </c>
      <c r="AG419" s="36">
        <v>70.99</v>
      </c>
      <c r="AH419" s="26" t="s">
        <v>2356</v>
      </c>
      <c r="AI419" s="26">
        <v>74627.0</v>
      </c>
      <c r="AJ419" s="26">
        <v>74627.0</v>
      </c>
      <c r="AK419" s="26" t="s">
        <v>567</v>
      </c>
      <c r="AL419" s="26">
        <v>281.0</v>
      </c>
      <c r="AM419" s="26">
        <v>2157.0</v>
      </c>
      <c r="AN419" s="32"/>
      <c r="AO419" s="17" t="s">
        <v>422</v>
      </c>
      <c r="AP419" s="32"/>
      <c r="AQ419" s="32"/>
      <c r="AR419" s="32"/>
      <c r="AS419" s="32"/>
      <c r="AT419" s="26">
        <v>242.0</v>
      </c>
      <c r="AU419" s="26" t="s">
        <v>2357</v>
      </c>
      <c r="AV419" s="35">
        <v>210.0</v>
      </c>
      <c r="AW419" s="26">
        <v>160.0</v>
      </c>
      <c r="AX419" s="26">
        <v>86.0</v>
      </c>
      <c r="AY419" s="26">
        <v>355.0</v>
      </c>
      <c r="AZ419" s="37">
        <v>45418.0</v>
      </c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  <c r="CC419" s="32"/>
      <c r="CD419" s="32"/>
      <c r="CE419" s="32"/>
      <c r="CF419" s="32"/>
      <c r="CG419" s="32"/>
    </row>
    <row r="420">
      <c r="A420" s="20" t="s">
        <v>2358</v>
      </c>
      <c r="B420" s="20" t="s">
        <v>2336</v>
      </c>
      <c r="C420" s="17" t="s">
        <v>2359</v>
      </c>
      <c r="D420" s="17" t="s">
        <v>469</v>
      </c>
      <c r="E420" s="34" t="s">
        <v>550</v>
      </c>
      <c r="F420" s="26">
        <v>90.0</v>
      </c>
      <c r="G420" s="35">
        <v>216.0</v>
      </c>
      <c r="H420" s="17" t="s">
        <v>413</v>
      </c>
      <c r="I420" s="17" t="s">
        <v>414</v>
      </c>
      <c r="J420" s="17" t="s">
        <v>415</v>
      </c>
      <c r="L420" s="26">
        <v>5.0</v>
      </c>
      <c r="M420" s="32"/>
      <c r="N420" s="17" t="s">
        <v>418</v>
      </c>
      <c r="O420" s="26">
        <v>1500.0</v>
      </c>
      <c r="P420" s="26">
        <v>-1.0</v>
      </c>
      <c r="Q420" s="17" t="s">
        <v>419</v>
      </c>
      <c r="R420" s="17" t="s">
        <v>420</v>
      </c>
      <c r="S420" s="17" t="s">
        <v>421</v>
      </c>
      <c r="T420" s="17" t="s">
        <v>422</v>
      </c>
      <c r="U420" s="17" t="s">
        <v>423</v>
      </c>
      <c r="V420" s="17" t="s">
        <v>1556</v>
      </c>
      <c r="W420" s="17" t="s">
        <v>403</v>
      </c>
      <c r="X420" s="17" t="s">
        <v>782</v>
      </c>
      <c r="Y420" s="17" t="s">
        <v>404</v>
      </c>
      <c r="Z420" s="17" t="s">
        <v>1195</v>
      </c>
      <c r="AA420" s="17" t="s">
        <v>401</v>
      </c>
      <c r="AB420" s="17" t="s">
        <v>2360</v>
      </c>
      <c r="AC420" s="17" t="s">
        <v>428</v>
      </c>
      <c r="AD420" s="17" t="s">
        <v>830</v>
      </c>
      <c r="AE420" s="26">
        <v>430.0</v>
      </c>
      <c r="AF420" s="17" t="s">
        <v>463</v>
      </c>
      <c r="AG420" s="36">
        <v>79.995</v>
      </c>
      <c r="AH420" s="17" t="s">
        <v>463</v>
      </c>
      <c r="AI420" s="26">
        <v>79995.0</v>
      </c>
      <c r="AJ420" s="26">
        <v>79995.0</v>
      </c>
      <c r="AK420" s="26" t="s">
        <v>464</v>
      </c>
      <c r="AL420" s="26">
        <v>1003.0</v>
      </c>
      <c r="AM420" s="26">
        <v>1747.0</v>
      </c>
      <c r="AN420" s="32"/>
      <c r="AO420" s="32"/>
      <c r="AP420" s="32"/>
      <c r="AQ420" s="32"/>
      <c r="AR420" s="32"/>
      <c r="AS420" s="32"/>
      <c r="AT420" s="26">
        <v>243.0</v>
      </c>
      <c r="AU420" s="37">
        <v>45630.0</v>
      </c>
      <c r="AV420" s="35">
        <v>216.0</v>
      </c>
      <c r="AW420" s="26">
        <v>200.0</v>
      </c>
      <c r="AX420" s="26">
        <v>90.0</v>
      </c>
      <c r="AY420" s="26">
        <v>370.0</v>
      </c>
      <c r="AZ420" s="37">
        <v>45539.0</v>
      </c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  <c r="CA420" s="32"/>
      <c r="CB420" s="32"/>
      <c r="CC420" s="32"/>
      <c r="CD420" s="32"/>
      <c r="CE420" s="32"/>
      <c r="CF420" s="32"/>
      <c r="CG420" s="32"/>
    </row>
    <row r="421">
      <c r="A421" s="20" t="s">
        <v>2361</v>
      </c>
      <c r="B421" s="20" t="s">
        <v>2336</v>
      </c>
      <c r="C421" s="17" t="s">
        <v>2362</v>
      </c>
      <c r="D421" s="17" t="s">
        <v>410</v>
      </c>
      <c r="E421" s="34" t="s">
        <v>477</v>
      </c>
      <c r="F421" s="26">
        <v>112.0</v>
      </c>
      <c r="G421" s="35">
        <v>224.0</v>
      </c>
      <c r="H421" s="17" t="s">
        <v>413</v>
      </c>
      <c r="I421" s="17" t="s">
        <v>414</v>
      </c>
      <c r="J421" s="17" t="s">
        <v>415</v>
      </c>
      <c r="L421" s="26">
        <v>5.0</v>
      </c>
      <c r="M421" s="32"/>
      <c r="N421" s="17" t="s">
        <v>418</v>
      </c>
      <c r="O421" s="26">
        <v>1500.0</v>
      </c>
      <c r="P421" s="26">
        <v>-1.0</v>
      </c>
      <c r="Q421" s="17" t="s">
        <v>419</v>
      </c>
      <c r="R421" s="17" t="s">
        <v>420</v>
      </c>
      <c r="S421" s="17" t="s">
        <v>421</v>
      </c>
      <c r="T421" s="17" t="s">
        <v>422</v>
      </c>
      <c r="U421" s="17" t="s">
        <v>423</v>
      </c>
      <c r="V421" s="17" t="s">
        <v>1556</v>
      </c>
      <c r="W421" s="17" t="s">
        <v>403</v>
      </c>
      <c r="X421" s="17" t="s">
        <v>782</v>
      </c>
      <c r="Y421" s="17" t="s">
        <v>438</v>
      </c>
      <c r="Z421" s="17" t="s">
        <v>928</v>
      </c>
      <c r="AA421" s="17" t="s">
        <v>440</v>
      </c>
      <c r="AB421" s="17" t="s">
        <v>2360</v>
      </c>
      <c r="AC421" s="17" t="s">
        <v>520</v>
      </c>
      <c r="AD421" s="17" t="s">
        <v>583</v>
      </c>
      <c r="AE421" s="26">
        <v>420.0</v>
      </c>
      <c r="AF421" s="17" t="s">
        <v>463</v>
      </c>
      <c r="AG421" s="36">
        <v>102.995</v>
      </c>
      <c r="AH421" s="17" t="s">
        <v>463</v>
      </c>
      <c r="AI421" s="26">
        <v>100000.0</v>
      </c>
      <c r="AJ421" s="26">
        <v>102995.0</v>
      </c>
      <c r="AK421" s="26" t="s">
        <v>431</v>
      </c>
      <c r="AL421" s="26">
        <v>143.0</v>
      </c>
      <c r="AM421" s="26">
        <v>2050.0</v>
      </c>
      <c r="AN421" s="32"/>
      <c r="AO421" s="32"/>
      <c r="AP421" s="32"/>
      <c r="AQ421" s="32"/>
      <c r="AR421" s="32"/>
      <c r="AS421" s="32"/>
      <c r="AT421" s="26">
        <v>243.0</v>
      </c>
      <c r="AU421" s="37">
        <v>45630.0</v>
      </c>
      <c r="AV421" s="35">
        <v>224.0</v>
      </c>
      <c r="AW421" s="26">
        <v>200.0</v>
      </c>
      <c r="AX421" s="26">
        <v>112.0</v>
      </c>
      <c r="AY421" s="26">
        <v>460.0</v>
      </c>
      <c r="AZ421" s="37">
        <v>45539.0</v>
      </c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</row>
    <row r="422">
      <c r="A422" s="20" t="s">
        <v>2363</v>
      </c>
      <c r="B422" s="20" t="s">
        <v>2364</v>
      </c>
      <c r="C422" s="17" t="s">
        <v>2365</v>
      </c>
      <c r="D422" s="17" t="s">
        <v>793</v>
      </c>
      <c r="E422" s="34" t="s">
        <v>477</v>
      </c>
      <c r="F422" s="26" t="s">
        <v>624</v>
      </c>
      <c r="G422" s="35">
        <v>250.0</v>
      </c>
      <c r="H422" s="17" t="s">
        <v>413</v>
      </c>
      <c r="I422" s="17" t="s">
        <v>414</v>
      </c>
      <c r="J422" s="17" t="s">
        <v>415</v>
      </c>
      <c r="L422" s="26">
        <v>9.0</v>
      </c>
      <c r="M422" s="17" t="s">
        <v>417</v>
      </c>
      <c r="N422" s="17" t="s">
        <v>418</v>
      </c>
      <c r="O422" s="26">
        <v>1000.0</v>
      </c>
      <c r="P422" s="26">
        <v>-1.0</v>
      </c>
      <c r="Q422" s="17" t="s">
        <v>419</v>
      </c>
      <c r="R422" s="17" t="s">
        <v>420</v>
      </c>
      <c r="S422" s="17" t="s">
        <v>421</v>
      </c>
      <c r="T422" s="17" t="s">
        <v>422</v>
      </c>
      <c r="U422" s="17" t="s">
        <v>423</v>
      </c>
      <c r="V422" s="17" t="s">
        <v>2049</v>
      </c>
      <c r="W422" s="17" t="s">
        <v>403</v>
      </c>
      <c r="X422" s="17" t="s">
        <v>573</v>
      </c>
      <c r="Y422" s="17" t="s">
        <v>438</v>
      </c>
      <c r="Z422" s="17" t="s">
        <v>2366</v>
      </c>
      <c r="AA422" s="17" t="s">
        <v>440</v>
      </c>
      <c r="AB422" s="17" t="s">
        <v>2367</v>
      </c>
      <c r="AC422" s="17" t="s">
        <v>428</v>
      </c>
      <c r="AD422" s="17" t="s">
        <v>1262</v>
      </c>
      <c r="AE422" s="26">
        <v>290.0</v>
      </c>
      <c r="AF422" s="36">
        <v>46.23</v>
      </c>
      <c r="AG422" s="17" t="s">
        <v>463</v>
      </c>
      <c r="AH422" s="26" t="s">
        <v>2368</v>
      </c>
      <c r="AI422" s="26">
        <v>45042.0</v>
      </c>
      <c r="AJ422" s="26">
        <v>45042.0</v>
      </c>
      <c r="AK422" s="26" t="s">
        <v>495</v>
      </c>
      <c r="AL422" s="26">
        <v>57.0</v>
      </c>
      <c r="AM422" s="26">
        <v>2252.0</v>
      </c>
      <c r="AN422" s="32"/>
      <c r="AO422" s="32"/>
      <c r="AP422" s="32"/>
      <c r="AQ422" s="32"/>
      <c r="AR422" s="32"/>
      <c r="AS422" s="32"/>
      <c r="AT422" s="26">
        <v>257.0</v>
      </c>
      <c r="AU422" s="26" t="s">
        <v>2369</v>
      </c>
      <c r="AV422" s="35">
        <v>250.0</v>
      </c>
      <c r="AW422" s="26">
        <v>130.0</v>
      </c>
      <c r="AX422" s="26" t="s">
        <v>624</v>
      </c>
      <c r="AY422" s="26">
        <v>180.0</v>
      </c>
      <c r="AZ422" s="37">
        <v>45364.0</v>
      </c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  <c r="CC422" s="32"/>
      <c r="CD422" s="32"/>
      <c r="CE422" s="32"/>
      <c r="CF422" s="32"/>
      <c r="CG422" s="32"/>
    </row>
    <row r="423">
      <c r="A423" s="20" t="s">
        <v>2370</v>
      </c>
      <c r="B423" s="20" t="s">
        <v>2364</v>
      </c>
      <c r="C423" s="17" t="s">
        <v>2371</v>
      </c>
      <c r="D423" s="17" t="s">
        <v>793</v>
      </c>
      <c r="E423" s="34" t="s">
        <v>477</v>
      </c>
      <c r="F423" s="26" t="s">
        <v>624</v>
      </c>
      <c r="G423" s="35">
        <v>256.0</v>
      </c>
      <c r="H423" s="17" t="s">
        <v>413</v>
      </c>
      <c r="I423" s="17" t="s">
        <v>414</v>
      </c>
      <c r="J423" s="17" t="s">
        <v>415</v>
      </c>
      <c r="L423" s="26">
        <v>9.0</v>
      </c>
      <c r="M423" s="17" t="s">
        <v>417</v>
      </c>
      <c r="N423" s="17" t="s">
        <v>418</v>
      </c>
      <c r="O423" s="26">
        <v>1000.0</v>
      </c>
      <c r="P423" s="26">
        <v>-1.0</v>
      </c>
      <c r="Q423" s="17" t="s">
        <v>419</v>
      </c>
      <c r="R423" s="17" t="s">
        <v>420</v>
      </c>
      <c r="S423" s="17" t="s">
        <v>421</v>
      </c>
      <c r="T423" s="17" t="s">
        <v>422</v>
      </c>
      <c r="U423" s="17" t="s">
        <v>423</v>
      </c>
      <c r="V423" s="17" t="s">
        <v>2049</v>
      </c>
      <c r="W423" s="17" t="s">
        <v>403</v>
      </c>
      <c r="X423" s="17" t="s">
        <v>573</v>
      </c>
      <c r="Y423" s="17" t="s">
        <v>438</v>
      </c>
      <c r="Z423" s="17" t="s">
        <v>2366</v>
      </c>
      <c r="AA423" s="17" t="s">
        <v>440</v>
      </c>
      <c r="AB423" s="17" t="s">
        <v>2367</v>
      </c>
      <c r="AC423" s="17" t="s">
        <v>428</v>
      </c>
      <c r="AD423" s="17" t="s">
        <v>1262</v>
      </c>
      <c r="AE423" s="26">
        <v>290.0</v>
      </c>
      <c r="AF423" s="36">
        <v>47.23</v>
      </c>
      <c r="AG423" s="17" t="s">
        <v>463</v>
      </c>
      <c r="AH423" s="26" t="s">
        <v>2372</v>
      </c>
      <c r="AI423" s="26">
        <v>46060.0</v>
      </c>
      <c r="AJ423" s="26">
        <v>46060.0</v>
      </c>
      <c r="AK423" s="26" t="s">
        <v>495</v>
      </c>
      <c r="AL423" s="26">
        <v>50.0</v>
      </c>
      <c r="AM423" s="26">
        <v>2253.0</v>
      </c>
      <c r="AN423" s="32"/>
      <c r="AO423" s="32"/>
      <c r="AP423" s="32"/>
      <c r="AQ423" s="32"/>
      <c r="AR423" s="32"/>
      <c r="AS423" s="32"/>
      <c r="AT423" s="26">
        <v>257.0</v>
      </c>
      <c r="AU423" s="26" t="s">
        <v>2369</v>
      </c>
      <c r="AV423" s="35">
        <v>256.0</v>
      </c>
      <c r="AW423" s="26">
        <v>130.0</v>
      </c>
      <c r="AX423" s="26" t="s">
        <v>624</v>
      </c>
      <c r="AY423" s="26">
        <v>180.0</v>
      </c>
      <c r="AZ423" s="37">
        <v>45364.0</v>
      </c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  <c r="CA423" s="32"/>
      <c r="CB423" s="32"/>
      <c r="CC423" s="32"/>
      <c r="CD423" s="32"/>
      <c r="CE423" s="32"/>
      <c r="CF423" s="32"/>
      <c r="CG423" s="32"/>
    </row>
    <row r="424">
      <c r="A424" s="20" t="s">
        <v>2373</v>
      </c>
      <c r="B424" s="20" t="s">
        <v>2374</v>
      </c>
      <c r="C424" s="17" t="s">
        <v>2375</v>
      </c>
      <c r="D424" s="17" t="s">
        <v>1012</v>
      </c>
      <c r="E424" s="34" t="s">
        <v>477</v>
      </c>
      <c r="F424" s="26" t="s">
        <v>624</v>
      </c>
      <c r="G424" s="35">
        <v>288.0</v>
      </c>
      <c r="H424" s="17" t="s">
        <v>413</v>
      </c>
      <c r="I424" s="17" t="s">
        <v>414</v>
      </c>
      <c r="J424" s="17" t="s">
        <v>415</v>
      </c>
      <c r="L424" s="26">
        <v>9.0</v>
      </c>
      <c r="M424" s="17" t="s">
        <v>417</v>
      </c>
      <c r="N424" s="17" t="s">
        <v>418</v>
      </c>
      <c r="O424" s="26">
        <v>1000.0</v>
      </c>
      <c r="P424" s="26">
        <v>-1.0</v>
      </c>
      <c r="Q424" s="17" t="s">
        <v>419</v>
      </c>
      <c r="R424" s="17" t="s">
        <v>420</v>
      </c>
      <c r="S424" s="17" t="s">
        <v>421</v>
      </c>
      <c r="T424" s="17" t="s">
        <v>422</v>
      </c>
      <c r="U424" s="17" t="s">
        <v>423</v>
      </c>
      <c r="V424" s="17" t="s">
        <v>2049</v>
      </c>
      <c r="W424" s="17" t="s">
        <v>403</v>
      </c>
      <c r="X424" s="17" t="s">
        <v>573</v>
      </c>
      <c r="Y424" s="17" t="s">
        <v>438</v>
      </c>
      <c r="Z424" s="17" t="s">
        <v>2366</v>
      </c>
      <c r="AA424" s="17" t="s">
        <v>440</v>
      </c>
      <c r="AB424" s="17" t="s">
        <v>2367</v>
      </c>
      <c r="AC424" s="17" t="s">
        <v>428</v>
      </c>
      <c r="AD424" s="17" t="s">
        <v>1262</v>
      </c>
      <c r="AE424" s="26">
        <v>290.0</v>
      </c>
      <c r="AF424" s="36">
        <v>46.23</v>
      </c>
      <c r="AG424" s="36">
        <v>57.609</v>
      </c>
      <c r="AH424" s="17" t="s">
        <v>463</v>
      </c>
      <c r="AI424" s="26">
        <v>51919.0</v>
      </c>
      <c r="AJ424" s="26">
        <v>51919.0</v>
      </c>
      <c r="AK424" s="26" t="s">
        <v>567</v>
      </c>
      <c r="AL424" s="26">
        <v>45.0</v>
      </c>
      <c r="AM424" s="26">
        <v>2256.0</v>
      </c>
      <c r="AN424" s="32"/>
      <c r="AO424" s="32"/>
      <c r="AP424" s="32"/>
      <c r="AQ424" s="32"/>
      <c r="AR424" s="32"/>
      <c r="AS424" s="32"/>
      <c r="AT424" s="26">
        <v>257.0</v>
      </c>
      <c r="AU424" s="26" t="s">
        <v>2369</v>
      </c>
      <c r="AV424" s="35">
        <v>288.0</v>
      </c>
      <c r="AW424" s="26">
        <v>130.0</v>
      </c>
      <c r="AX424" s="26" t="s">
        <v>624</v>
      </c>
      <c r="AY424" s="26">
        <v>180.0</v>
      </c>
      <c r="AZ424" s="37">
        <v>45364.0</v>
      </c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  <c r="CA424" s="32"/>
      <c r="CB424" s="32"/>
      <c r="CC424" s="32"/>
      <c r="CD424" s="32"/>
      <c r="CE424" s="32"/>
      <c r="CF424" s="32"/>
      <c r="CG424" s="32"/>
    </row>
    <row r="425">
      <c r="A425" s="20" t="s">
        <v>2376</v>
      </c>
      <c r="B425" s="20" t="s">
        <v>2374</v>
      </c>
      <c r="C425" s="17" t="s">
        <v>2377</v>
      </c>
      <c r="D425" s="17" t="s">
        <v>1012</v>
      </c>
      <c r="E425" s="34" t="s">
        <v>477</v>
      </c>
      <c r="F425" s="26" t="s">
        <v>624</v>
      </c>
      <c r="G425" s="35">
        <v>262.0</v>
      </c>
      <c r="H425" s="17" t="s">
        <v>413</v>
      </c>
      <c r="I425" s="17" t="s">
        <v>414</v>
      </c>
      <c r="J425" s="17" t="s">
        <v>415</v>
      </c>
      <c r="L425" s="26">
        <v>9.0</v>
      </c>
      <c r="M425" s="17" t="s">
        <v>417</v>
      </c>
      <c r="N425" s="17" t="s">
        <v>418</v>
      </c>
      <c r="O425" s="26">
        <v>1000.0</v>
      </c>
      <c r="P425" s="26">
        <v>-1.0</v>
      </c>
      <c r="Q425" s="17" t="s">
        <v>419</v>
      </c>
      <c r="R425" s="17" t="s">
        <v>420</v>
      </c>
      <c r="S425" s="17" t="s">
        <v>421</v>
      </c>
      <c r="T425" s="17" t="s">
        <v>422</v>
      </c>
      <c r="U425" s="17" t="s">
        <v>423</v>
      </c>
      <c r="V425" s="17" t="s">
        <v>2049</v>
      </c>
      <c r="W425" s="17" t="s">
        <v>403</v>
      </c>
      <c r="X425" s="17" t="s">
        <v>573</v>
      </c>
      <c r="Y425" s="17" t="s">
        <v>438</v>
      </c>
      <c r="Z425" s="17" t="s">
        <v>2366</v>
      </c>
      <c r="AA425" s="17" t="s">
        <v>440</v>
      </c>
      <c r="AB425" s="17" t="s">
        <v>2367</v>
      </c>
      <c r="AC425" s="17" t="s">
        <v>428</v>
      </c>
      <c r="AD425" s="17" t="s">
        <v>1262</v>
      </c>
      <c r="AE425" s="26">
        <v>290.0</v>
      </c>
      <c r="AF425" s="36">
        <v>47.23</v>
      </c>
      <c r="AG425" s="17" t="s">
        <v>463</v>
      </c>
      <c r="AH425" s="17" t="s">
        <v>463</v>
      </c>
      <c r="AI425" s="26">
        <v>47230.0</v>
      </c>
      <c r="AJ425" s="26">
        <v>47230.0</v>
      </c>
      <c r="AK425" s="26" t="s">
        <v>567</v>
      </c>
      <c r="AL425" s="26">
        <v>55.0</v>
      </c>
      <c r="AM425" s="26">
        <v>2257.0</v>
      </c>
      <c r="AN425" s="32"/>
      <c r="AO425" s="32"/>
      <c r="AP425" s="32"/>
      <c r="AQ425" s="32"/>
      <c r="AR425" s="32"/>
      <c r="AS425" s="32"/>
      <c r="AT425" s="26">
        <v>257.0</v>
      </c>
      <c r="AU425" s="26" t="s">
        <v>2369</v>
      </c>
      <c r="AV425" s="35">
        <v>262.0</v>
      </c>
      <c r="AW425" s="26">
        <v>130.0</v>
      </c>
      <c r="AX425" s="26" t="s">
        <v>624</v>
      </c>
      <c r="AY425" s="26">
        <v>180.0</v>
      </c>
      <c r="AZ425" s="37">
        <v>45364.0</v>
      </c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  <c r="CA425" s="32"/>
      <c r="CB425" s="32"/>
      <c r="CC425" s="32"/>
      <c r="CD425" s="32"/>
      <c r="CE425" s="32"/>
      <c r="CF425" s="32"/>
      <c r="CG425" s="32"/>
    </row>
    <row r="426">
      <c r="A426" s="20" t="s">
        <v>2378</v>
      </c>
      <c r="B426" s="20" t="s">
        <v>2379</v>
      </c>
      <c r="C426" s="17" t="s">
        <v>2380</v>
      </c>
      <c r="D426" s="17" t="s">
        <v>835</v>
      </c>
      <c r="E426" s="34" t="s">
        <v>477</v>
      </c>
      <c r="F426" s="26" t="s">
        <v>624</v>
      </c>
      <c r="G426" s="35">
        <v>268.0</v>
      </c>
      <c r="H426" s="17" t="s">
        <v>413</v>
      </c>
      <c r="I426" s="17" t="s">
        <v>414</v>
      </c>
      <c r="J426" s="17" t="s">
        <v>415</v>
      </c>
      <c r="L426" s="26">
        <v>9.0</v>
      </c>
      <c r="M426" s="17" t="s">
        <v>417</v>
      </c>
      <c r="N426" s="17" t="s">
        <v>418</v>
      </c>
      <c r="O426" s="26">
        <v>1000.0</v>
      </c>
      <c r="P426" s="26">
        <v>-1.0</v>
      </c>
      <c r="Q426" s="17" t="s">
        <v>419</v>
      </c>
      <c r="R426" s="17" t="s">
        <v>420</v>
      </c>
      <c r="S426" s="17" t="s">
        <v>421</v>
      </c>
      <c r="T426" s="17" t="s">
        <v>422</v>
      </c>
      <c r="U426" s="17" t="s">
        <v>423</v>
      </c>
      <c r="V426" s="17" t="s">
        <v>2049</v>
      </c>
      <c r="W426" s="17" t="s">
        <v>403</v>
      </c>
      <c r="X426" s="17" t="s">
        <v>573</v>
      </c>
      <c r="Y426" s="17" t="s">
        <v>438</v>
      </c>
      <c r="Z426" s="17" t="s">
        <v>2366</v>
      </c>
      <c r="AA426" s="17" t="s">
        <v>440</v>
      </c>
      <c r="AB426" s="17" t="s">
        <v>2367</v>
      </c>
      <c r="AC426" s="17" t="s">
        <v>428</v>
      </c>
      <c r="AD426" s="17" t="s">
        <v>1262</v>
      </c>
      <c r="AE426" s="26">
        <v>290.0</v>
      </c>
      <c r="AF426" s="36">
        <v>47.55</v>
      </c>
      <c r="AG426" s="36">
        <v>48.753</v>
      </c>
      <c r="AH426" s="17" t="s">
        <v>463</v>
      </c>
      <c r="AI426" s="26">
        <v>48151.0</v>
      </c>
      <c r="AJ426" s="26">
        <v>48151.0</v>
      </c>
      <c r="AK426" s="26" t="s">
        <v>777</v>
      </c>
      <c r="AL426" s="26">
        <v>53.0</v>
      </c>
      <c r="AM426" s="26">
        <v>2260.0</v>
      </c>
      <c r="AN426" s="32"/>
      <c r="AO426" s="32"/>
      <c r="AP426" s="32"/>
      <c r="AQ426" s="32"/>
      <c r="AR426" s="32"/>
      <c r="AS426" s="32"/>
      <c r="AT426" s="26">
        <v>257.0</v>
      </c>
      <c r="AU426" s="26" t="s">
        <v>2369</v>
      </c>
      <c r="AV426" s="35">
        <v>268.0</v>
      </c>
      <c r="AW426" s="26">
        <v>130.0</v>
      </c>
      <c r="AX426" s="26" t="s">
        <v>624</v>
      </c>
      <c r="AY426" s="26">
        <v>180.0</v>
      </c>
      <c r="AZ426" s="37">
        <v>45364.0</v>
      </c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  <c r="CA426" s="32"/>
      <c r="CB426" s="32"/>
      <c r="CC426" s="32"/>
      <c r="CD426" s="32"/>
      <c r="CE426" s="32"/>
      <c r="CF426" s="32"/>
      <c r="CG426" s="32"/>
    </row>
    <row r="427">
      <c r="A427" s="20" t="s">
        <v>2381</v>
      </c>
      <c r="B427" s="20" t="s">
        <v>2379</v>
      </c>
      <c r="C427" s="17" t="s">
        <v>2382</v>
      </c>
      <c r="D427" s="17" t="s">
        <v>835</v>
      </c>
      <c r="E427" s="34" t="s">
        <v>477</v>
      </c>
      <c r="F427" s="26" t="s">
        <v>624</v>
      </c>
      <c r="G427" s="35">
        <v>274.0</v>
      </c>
      <c r="H427" s="17" t="s">
        <v>413</v>
      </c>
      <c r="I427" s="17" t="s">
        <v>414</v>
      </c>
      <c r="J427" s="17" t="s">
        <v>415</v>
      </c>
      <c r="L427" s="26">
        <v>9.0</v>
      </c>
      <c r="M427" s="17" t="s">
        <v>417</v>
      </c>
      <c r="N427" s="17" t="s">
        <v>418</v>
      </c>
      <c r="O427" s="26">
        <v>1000.0</v>
      </c>
      <c r="P427" s="26">
        <v>-1.0</v>
      </c>
      <c r="Q427" s="17" t="s">
        <v>419</v>
      </c>
      <c r="R427" s="17" t="s">
        <v>420</v>
      </c>
      <c r="S427" s="17" t="s">
        <v>421</v>
      </c>
      <c r="T427" s="17" t="s">
        <v>422</v>
      </c>
      <c r="U427" s="17" t="s">
        <v>423</v>
      </c>
      <c r="V427" s="17" t="s">
        <v>2049</v>
      </c>
      <c r="W427" s="17" t="s">
        <v>403</v>
      </c>
      <c r="X427" s="17" t="s">
        <v>573</v>
      </c>
      <c r="Y427" s="17" t="s">
        <v>438</v>
      </c>
      <c r="Z427" s="17" t="s">
        <v>2366</v>
      </c>
      <c r="AA427" s="17" t="s">
        <v>440</v>
      </c>
      <c r="AB427" s="17" t="s">
        <v>2367</v>
      </c>
      <c r="AC427" s="17" t="s">
        <v>428</v>
      </c>
      <c r="AD427" s="17" t="s">
        <v>1262</v>
      </c>
      <c r="AE427" s="26">
        <v>290.0</v>
      </c>
      <c r="AF427" s="36">
        <v>48.55</v>
      </c>
      <c r="AG427" s="36">
        <v>49.963</v>
      </c>
      <c r="AH427" s="17" t="s">
        <v>463</v>
      </c>
      <c r="AI427" s="26">
        <v>49256.0</v>
      </c>
      <c r="AJ427" s="26">
        <v>49256.0</v>
      </c>
      <c r="AK427" s="26" t="s">
        <v>777</v>
      </c>
      <c r="AL427" s="26">
        <v>48.0</v>
      </c>
      <c r="AM427" s="26">
        <v>2261.0</v>
      </c>
      <c r="AN427" s="32"/>
      <c r="AO427" s="32"/>
      <c r="AP427" s="32"/>
      <c r="AQ427" s="32"/>
      <c r="AR427" s="32"/>
      <c r="AS427" s="32"/>
      <c r="AT427" s="26">
        <v>257.0</v>
      </c>
      <c r="AU427" s="26" t="s">
        <v>2369</v>
      </c>
      <c r="AV427" s="35">
        <v>274.0</v>
      </c>
      <c r="AW427" s="26">
        <v>130.0</v>
      </c>
      <c r="AX427" s="26" t="s">
        <v>624</v>
      </c>
      <c r="AY427" s="26">
        <v>180.0</v>
      </c>
      <c r="AZ427" s="37">
        <v>45364.0</v>
      </c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  <c r="CA427" s="32"/>
      <c r="CB427" s="32"/>
      <c r="CC427" s="32"/>
      <c r="CD427" s="32"/>
      <c r="CE427" s="32"/>
      <c r="CF427" s="32"/>
      <c r="CG427" s="32"/>
    </row>
    <row r="428">
      <c r="A428" s="20" t="s">
        <v>2383</v>
      </c>
      <c r="B428" s="20" t="s">
        <v>2384</v>
      </c>
      <c r="C428" s="17" t="s">
        <v>2385</v>
      </c>
      <c r="D428" s="17" t="s">
        <v>793</v>
      </c>
      <c r="E428" s="34" t="s">
        <v>477</v>
      </c>
      <c r="F428" s="26" t="s">
        <v>624</v>
      </c>
      <c r="G428" s="35">
        <v>313.0</v>
      </c>
      <c r="H428" s="17" t="s">
        <v>413</v>
      </c>
      <c r="I428" s="17" t="s">
        <v>414</v>
      </c>
      <c r="J428" s="17" t="s">
        <v>415</v>
      </c>
      <c r="L428" s="26">
        <v>9.0</v>
      </c>
      <c r="M428" s="17" t="s">
        <v>417</v>
      </c>
      <c r="N428" s="17" t="s">
        <v>418</v>
      </c>
      <c r="O428" s="26">
        <v>1000.0</v>
      </c>
      <c r="P428" s="26">
        <v>-1.0</v>
      </c>
      <c r="Q428" s="17" t="s">
        <v>419</v>
      </c>
      <c r="R428" s="17" t="s">
        <v>420</v>
      </c>
      <c r="S428" s="17" t="s">
        <v>421</v>
      </c>
      <c r="T428" s="17" t="s">
        <v>422</v>
      </c>
      <c r="U428" s="17" t="s">
        <v>423</v>
      </c>
      <c r="V428" s="17" t="s">
        <v>1329</v>
      </c>
      <c r="W428" s="17" t="s">
        <v>403</v>
      </c>
      <c r="X428" s="17" t="s">
        <v>573</v>
      </c>
      <c r="Y428" s="17" t="s">
        <v>438</v>
      </c>
      <c r="Z428" s="17" t="s">
        <v>2366</v>
      </c>
      <c r="AA428" s="17" t="s">
        <v>440</v>
      </c>
      <c r="AB428" s="17" t="s">
        <v>2367</v>
      </c>
      <c r="AC428" s="17" t="s">
        <v>428</v>
      </c>
      <c r="AD428" s="17" t="s">
        <v>1262</v>
      </c>
      <c r="AE428" s="26">
        <v>290.0</v>
      </c>
      <c r="AF428" s="36">
        <v>58.04</v>
      </c>
      <c r="AG428" s="36">
        <v>54.54</v>
      </c>
      <c r="AH428" s="17" t="s">
        <v>463</v>
      </c>
      <c r="AI428" s="26">
        <v>56290.0</v>
      </c>
      <c r="AJ428" s="26">
        <v>56290.0</v>
      </c>
      <c r="AK428" s="26" t="s">
        <v>495</v>
      </c>
      <c r="AL428" s="26">
        <v>79.0</v>
      </c>
      <c r="AM428" s="26">
        <v>2264.0</v>
      </c>
      <c r="AN428" s="32"/>
      <c r="AO428" s="32"/>
      <c r="AP428" s="32"/>
      <c r="AQ428" s="32"/>
      <c r="AR428" s="32"/>
      <c r="AS428" s="32"/>
      <c r="AT428" s="26">
        <v>257.0</v>
      </c>
      <c r="AU428" s="26" t="s">
        <v>2369</v>
      </c>
      <c r="AV428" s="35">
        <v>313.0</v>
      </c>
      <c r="AW428" s="26">
        <v>130.0</v>
      </c>
      <c r="AX428" s="26" t="s">
        <v>624</v>
      </c>
      <c r="AY428" s="26">
        <v>180.0</v>
      </c>
      <c r="AZ428" s="37">
        <v>45303.0</v>
      </c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</row>
    <row r="429">
      <c r="A429" s="20" t="s">
        <v>2386</v>
      </c>
      <c r="B429" s="20" t="s">
        <v>2364</v>
      </c>
      <c r="C429" s="17" t="s">
        <v>2387</v>
      </c>
      <c r="D429" s="17" t="s">
        <v>793</v>
      </c>
      <c r="E429" s="34" t="s">
        <v>436</v>
      </c>
      <c r="F429" s="26">
        <v>68.0</v>
      </c>
      <c r="G429" s="35">
        <v>197.0</v>
      </c>
      <c r="H429" s="17" t="s">
        <v>413</v>
      </c>
      <c r="I429" s="17" t="s">
        <v>414</v>
      </c>
      <c r="J429" s="17" t="s">
        <v>415</v>
      </c>
      <c r="L429" s="26">
        <v>9.0</v>
      </c>
      <c r="M429" s="17" t="s">
        <v>417</v>
      </c>
      <c r="N429" s="17" t="s">
        <v>418</v>
      </c>
      <c r="O429" s="26">
        <v>1000.0</v>
      </c>
      <c r="P429" s="26">
        <v>-1.0</v>
      </c>
      <c r="Q429" s="17" t="s">
        <v>419</v>
      </c>
      <c r="R429" s="17" t="s">
        <v>420</v>
      </c>
      <c r="S429" s="17" t="s">
        <v>421</v>
      </c>
      <c r="T429" s="17" t="s">
        <v>422</v>
      </c>
      <c r="U429" s="17" t="s">
        <v>423</v>
      </c>
      <c r="V429" s="17" t="s">
        <v>2388</v>
      </c>
      <c r="W429" s="17" t="s">
        <v>403</v>
      </c>
      <c r="X429" s="17" t="s">
        <v>573</v>
      </c>
      <c r="Y429" s="17" t="s">
        <v>438</v>
      </c>
      <c r="Z429" s="17" t="s">
        <v>534</v>
      </c>
      <c r="AA429" s="17" t="s">
        <v>440</v>
      </c>
      <c r="AB429" s="17" t="s">
        <v>2389</v>
      </c>
      <c r="AC429" s="17" t="s">
        <v>428</v>
      </c>
      <c r="AD429" s="17" t="s">
        <v>815</v>
      </c>
      <c r="AE429" s="26">
        <v>280.0</v>
      </c>
      <c r="AF429" s="36">
        <v>52.23</v>
      </c>
      <c r="AG429" s="17" t="s">
        <v>463</v>
      </c>
      <c r="AH429" s="26" t="s">
        <v>2390</v>
      </c>
      <c r="AI429" s="26">
        <v>51147.0</v>
      </c>
      <c r="AJ429" s="26">
        <v>51147.0</v>
      </c>
      <c r="AK429" s="26" t="s">
        <v>495</v>
      </c>
      <c r="AL429" s="26">
        <v>54.0</v>
      </c>
      <c r="AM429" s="26">
        <v>2254.0</v>
      </c>
      <c r="AN429" s="32"/>
      <c r="AO429" s="32"/>
      <c r="AP429" s="32"/>
      <c r="AQ429" s="32"/>
      <c r="AR429" s="32"/>
      <c r="AS429" s="32"/>
      <c r="AT429" s="26">
        <v>262.0</v>
      </c>
      <c r="AU429" s="26" t="s">
        <v>2391</v>
      </c>
      <c r="AV429" s="35">
        <v>197.0</v>
      </c>
      <c r="AW429" s="26">
        <v>130.0</v>
      </c>
      <c r="AX429" s="26">
        <v>68.0</v>
      </c>
      <c r="AY429" s="26">
        <v>260.0</v>
      </c>
      <c r="AZ429" s="37">
        <v>45336.0</v>
      </c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  <c r="CA429" s="32"/>
      <c r="CB429" s="32"/>
      <c r="CC429" s="32"/>
      <c r="CD429" s="32"/>
      <c r="CE429" s="32"/>
      <c r="CF429" s="32"/>
      <c r="CG429" s="32"/>
    </row>
    <row r="430">
      <c r="A430" s="20" t="s">
        <v>2392</v>
      </c>
      <c r="B430" s="20" t="s">
        <v>2364</v>
      </c>
      <c r="C430" s="17" t="s">
        <v>2393</v>
      </c>
      <c r="D430" s="17" t="s">
        <v>793</v>
      </c>
      <c r="E430" s="34" t="s">
        <v>436</v>
      </c>
      <c r="F430" s="26">
        <v>68.0</v>
      </c>
      <c r="G430" s="35">
        <v>201.0</v>
      </c>
      <c r="H430" s="17" t="s">
        <v>413</v>
      </c>
      <c r="I430" s="17" t="s">
        <v>414</v>
      </c>
      <c r="J430" s="17" t="s">
        <v>415</v>
      </c>
      <c r="L430" s="26">
        <v>9.0</v>
      </c>
      <c r="M430" s="17" t="s">
        <v>417</v>
      </c>
      <c r="N430" s="17" t="s">
        <v>418</v>
      </c>
      <c r="O430" s="26">
        <v>1000.0</v>
      </c>
      <c r="P430" s="26">
        <v>-1.0</v>
      </c>
      <c r="Q430" s="17" t="s">
        <v>419</v>
      </c>
      <c r="R430" s="17" t="s">
        <v>420</v>
      </c>
      <c r="S430" s="17" t="s">
        <v>421</v>
      </c>
      <c r="T430" s="17" t="s">
        <v>422</v>
      </c>
      <c r="U430" s="17" t="s">
        <v>423</v>
      </c>
      <c r="V430" s="17" t="s">
        <v>2388</v>
      </c>
      <c r="W430" s="17" t="s">
        <v>403</v>
      </c>
      <c r="X430" s="17" t="s">
        <v>573</v>
      </c>
      <c r="Y430" s="17" t="s">
        <v>438</v>
      </c>
      <c r="Z430" s="17" t="s">
        <v>534</v>
      </c>
      <c r="AA430" s="17" t="s">
        <v>440</v>
      </c>
      <c r="AB430" s="17" t="s">
        <v>2389</v>
      </c>
      <c r="AC430" s="17" t="s">
        <v>428</v>
      </c>
      <c r="AD430" s="17" t="s">
        <v>815</v>
      </c>
      <c r="AE430" s="26">
        <v>280.0</v>
      </c>
      <c r="AF430" s="36">
        <v>53.23</v>
      </c>
      <c r="AG430" s="17" t="s">
        <v>463</v>
      </c>
      <c r="AH430" s="26" t="s">
        <v>2394</v>
      </c>
      <c r="AI430" s="26">
        <v>52165.0</v>
      </c>
      <c r="AJ430" s="26">
        <v>52165.0</v>
      </c>
      <c r="AK430" s="26" t="s">
        <v>495</v>
      </c>
      <c r="AL430" s="26">
        <v>54.0</v>
      </c>
      <c r="AM430" s="26">
        <v>2255.0</v>
      </c>
      <c r="AN430" s="32"/>
      <c r="AO430" s="32"/>
      <c r="AP430" s="32"/>
      <c r="AQ430" s="32"/>
      <c r="AR430" s="32"/>
      <c r="AS430" s="32"/>
      <c r="AT430" s="26">
        <v>262.0</v>
      </c>
      <c r="AU430" s="26" t="s">
        <v>2391</v>
      </c>
      <c r="AV430" s="35">
        <v>201.0</v>
      </c>
      <c r="AW430" s="26">
        <v>130.0</v>
      </c>
      <c r="AX430" s="26">
        <v>68.0</v>
      </c>
      <c r="AY430" s="26">
        <v>260.0</v>
      </c>
      <c r="AZ430" s="37">
        <v>45336.0</v>
      </c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  <c r="CA430" s="32"/>
      <c r="CB430" s="32"/>
      <c r="CC430" s="32"/>
      <c r="CD430" s="32"/>
      <c r="CE430" s="32"/>
      <c r="CF430" s="32"/>
      <c r="CG430" s="32"/>
    </row>
    <row r="431">
      <c r="A431" s="20" t="s">
        <v>2395</v>
      </c>
      <c r="B431" s="20" t="s">
        <v>2374</v>
      </c>
      <c r="C431" s="17" t="s">
        <v>2396</v>
      </c>
      <c r="D431" s="17" t="s">
        <v>565</v>
      </c>
      <c r="E431" s="34" t="s">
        <v>436</v>
      </c>
      <c r="F431" s="26">
        <v>68.0</v>
      </c>
      <c r="G431" s="35">
        <v>225.0</v>
      </c>
      <c r="H431" s="17" t="s">
        <v>413</v>
      </c>
      <c r="I431" s="17" t="s">
        <v>414</v>
      </c>
      <c r="J431" s="17" t="s">
        <v>415</v>
      </c>
      <c r="L431" s="26">
        <v>9.0</v>
      </c>
      <c r="M431" s="17" t="s">
        <v>417</v>
      </c>
      <c r="N431" s="17" t="s">
        <v>418</v>
      </c>
      <c r="O431" s="26">
        <v>1000.0</v>
      </c>
      <c r="P431" s="26">
        <v>-1.0</v>
      </c>
      <c r="Q431" s="17" t="s">
        <v>419</v>
      </c>
      <c r="R431" s="17" t="s">
        <v>420</v>
      </c>
      <c r="S431" s="17" t="s">
        <v>421</v>
      </c>
      <c r="T431" s="17" t="s">
        <v>422</v>
      </c>
      <c r="U431" s="17" t="s">
        <v>423</v>
      </c>
      <c r="V431" s="17" t="s">
        <v>2388</v>
      </c>
      <c r="W431" s="17" t="s">
        <v>403</v>
      </c>
      <c r="X431" s="17" t="s">
        <v>573</v>
      </c>
      <c r="Y431" s="17" t="s">
        <v>438</v>
      </c>
      <c r="Z431" s="17" t="s">
        <v>534</v>
      </c>
      <c r="AA431" s="17" t="s">
        <v>440</v>
      </c>
      <c r="AB431" s="17" t="s">
        <v>2389</v>
      </c>
      <c r="AC431" s="17" t="s">
        <v>428</v>
      </c>
      <c r="AD431" s="17" t="s">
        <v>815</v>
      </c>
      <c r="AE431" s="26">
        <v>280.0</v>
      </c>
      <c r="AF431" s="36">
        <v>52.23</v>
      </c>
      <c r="AG431" s="36">
        <v>66.609</v>
      </c>
      <c r="AH431" s="26" t="s">
        <v>2397</v>
      </c>
      <c r="AI431" s="26">
        <v>58394.0</v>
      </c>
      <c r="AJ431" s="26">
        <v>58394.0</v>
      </c>
      <c r="AK431" s="26" t="s">
        <v>567</v>
      </c>
      <c r="AL431" s="26">
        <v>64.0</v>
      </c>
      <c r="AM431" s="26">
        <v>2258.0</v>
      </c>
      <c r="AN431" s="32"/>
      <c r="AO431" s="32"/>
      <c r="AP431" s="32"/>
      <c r="AQ431" s="32"/>
      <c r="AR431" s="32"/>
      <c r="AS431" s="32"/>
      <c r="AT431" s="26">
        <v>262.0</v>
      </c>
      <c r="AU431" s="26" t="s">
        <v>2391</v>
      </c>
      <c r="AV431" s="35">
        <v>225.0</v>
      </c>
      <c r="AW431" s="26">
        <v>130.0</v>
      </c>
      <c r="AX431" s="26">
        <v>68.0</v>
      </c>
      <c r="AY431" s="26">
        <v>260.0</v>
      </c>
      <c r="AZ431" s="37">
        <v>45336.0</v>
      </c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  <c r="CA431" s="32"/>
      <c r="CB431" s="32"/>
      <c r="CC431" s="32"/>
      <c r="CD431" s="32"/>
      <c r="CE431" s="32"/>
      <c r="CF431" s="32"/>
      <c r="CG431" s="32"/>
    </row>
    <row r="432">
      <c r="A432" s="20" t="s">
        <v>2398</v>
      </c>
      <c r="B432" s="20" t="s">
        <v>2374</v>
      </c>
      <c r="C432" s="17" t="s">
        <v>2399</v>
      </c>
      <c r="D432" s="17" t="s">
        <v>565</v>
      </c>
      <c r="E432" s="34" t="s">
        <v>436</v>
      </c>
      <c r="F432" s="26">
        <v>68.0</v>
      </c>
      <c r="G432" s="35">
        <v>213.0</v>
      </c>
      <c r="H432" s="17" t="s">
        <v>413</v>
      </c>
      <c r="I432" s="17" t="s">
        <v>414</v>
      </c>
      <c r="J432" s="17" t="s">
        <v>415</v>
      </c>
      <c r="L432" s="26">
        <v>9.0</v>
      </c>
      <c r="M432" s="17" t="s">
        <v>417</v>
      </c>
      <c r="N432" s="17" t="s">
        <v>418</v>
      </c>
      <c r="O432" s="26">
        <v>1000.0</v>
      </c>
      <c r="P432" s="26">
        <v>-1.0</v>
      </c>
      <c r="Q432" s="17" t="s">
        <v>419</v>
      </c>
      <c r="R432" s="17" t="s">
        <v>420</v>
      </c>
      <c r="S432" s="17" t="s">
        <v>421</v>
      </c>
      <c r="T432" s="17" t="s">
        <v>422</v>
      </c>
      <c r="U432" s="17" t="s">
        <v>423</v>
      </c>
      <c r="V432" s="17" t="s">
        <v>2388</v>
      </c>
      <c r="W432" s="17" t="s">
        <v>403</v>
      </c>
      <c r="X432" s="17" t="s">
        <v>573</v>
      </c>
      <c r="Y432" s="17" t="s">
        <v>438</v>
      </c>
      <c r="Z432" s="17" t="s">
        <v>534</v>
      </c>
      <c r="AA432" s="17" t="s">
        <v>440</v>
      </c>
      <c r="AB432" s="17" t="s">
        <v>2389</v>
      </c>
      <c r="AC432" s="17" t="s">
        <v>428</v>
      </c>
      <c r="AD432" s="17" t="s">
        <v>815</v>
      </c>
      <c r="AE432" s="26">
        <v>280.0</v>
      </c>
      <c r="AF432" s="36">
        <v>53.23</v>
      </c>
      <c r="AG432" s="17" t="s">
        <v>463</v>
      </c>
      <c r="AH432" s="26" t="s">
        <v>2400</v>
      </c>
      <c r="AI432" s="26">
        <v>55304.0</v>
      </c>
      <c r="AJ432" s="26">
        <v>55304.0</v>
      </c>
      <c r="AK432" s="26" t="s">
        <v>567</v>
      </c>
      <c r="AL432" s="26">
        <v>70.0</v>
      </c>
      <c r="AM432" s="26">
        <v>2259.0</v>
      </c>
      <c r="AN432" s="32"/>
      <c r="AO432" s="32"/>
      <c r="AP432" s="32"/>
      <c r="AQ432" s="32"/>
      <c r="AR432" s="32"/>
      <c r="AS432" s="32"/>
      <c r="AT432" s="26">
        <v>262.0</v>
      </c>
      <c r="AU432" s="26" t="s">
        <v>2391</v>
      </c>
      <c r="AV432" s="35">
        <v>213.0</v>
      </c>
      <c r="AW432" s="26">
        <v>130.0</v>
      </c>
      <c r="AX432" s="26">
        <v>68.0</v>
      </c>
      <c r="AY432" s="26">
        <v>260.0</v>
      </c>
      <c r="AZ432" s="37">
        <v>45336.0</v>
      </c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  <c r="CA432" s="32"/>
      <c r="CB432" s="32"/>
      <c r="CC432" s="32"/>
      <c r="CD432" s="32"/>
      <c r="CE432" s="32"/>
      <c r="CF432" s="32"/>
      <c r="CG432" s="32"/>
    </row>
    <row r="433">
      <c r="A433" s="20" t="s">
        <v>2401</v>
      </c>
      <c r="B433" s="20" t="s">
        <v>2379</v>
      </c>
      <c r="C433" s="17" t="s">
        <v>2402</v>
      </c>
      <c r="D433" s="17" t="s">
        <v>835</v>
      </c>
      <c r="E433" s="34" t="s">
        <v>436</v>
      </c>
      <c r="F433" s="26">
        <v>68.0</v>
      </c>
      <c r="G433" s="35">
        <v>217.0</v>
      </c>
      <c r="H433" s="17" t="s">
        <v>413</v>
      </c>
      <c r="I433" s="17" t="s">
        <v>414</v>
      </c>
      <c r="J433" s="17" t="s">
        <v>415</v>
      </c>
      <c r="L433" s="26">
        <v>9.0</v>
      </c>
      <c r="M433" s="17" t="s">
        <v>417</v>
      </c>
      <c r="N433" s="17" t="s">
        <v>418</v>
      </c>
      <c r="O433" s="26">
        <v>1000.0</v>
      </c>
      <c r="P433" s="26">
        <v>-1.0</v>
      </c>
      <c r="Q433" s="17" t="s">
        <v>419</v>
      </c>
      <c r="R433" s="17" t="s">
        <v>420</v>
      </c>
      <c r="S433" s="17" t="s">
        <v>421</v>
      </c>
      <c r="T433" s="17" t="s">
        <v>422</v>
      </c>
      <c r="U433" s="17" t="s">
        <v>423</v>
      </c>
      <c r="V433" s="17" t="s">
        <v>2388</v>
      </c>
      <c r="W433" s="17" t="s">
        <v>403</v>
      </c>
      <c r="X433" s="17" t="s">
        <v>573</v>
      </c>
      <c r="Y433" s="17" t="s">
        <v>438</v>
      </c>
      <c r="Z433" s="17" t="s">
        <v>534</v>
      </c>
      <c r="AA433" s="17" t="s">
        <v>440</v>
      </c>
      <c r="AB433" s="17" t="s">
        <v>2389</v>
      </c>
      <c r="AC433" s="17" t="s">
        <v>428</v>
      </c>
      <c r="AD433" s="17" t="s">
        <v>815</v>
      </c>
      <c r="AE433" s="26">
        <v>280.0</v>
      </c>
      <c r="AF433" s="36">
        <v>53.55</v>
      </c>
      <c r="AG433" s="36">
        <v>57.753</v>
      </c>
      <c r="AH433" s="26" t="s">
        <v>2403</v>
      </c>
      <c r="AI433" s="26">
        <v>56342.0</v>
      </c>
      <c r="AJ433" s="26">
        <v>56342.0</v>
      </c>
      <c r="AK433" s="26" t="s">
        <v>777</v>
      </c>
      <c r="AL433" s="26">
        <v>61.0</v>
      </c>
      <c r="AM433" s="26">
        <v>2262.0</v>
      </c>
      <c r="AN433" s="32"/>
      <c r="AO433" s="32"/>
      <c r="AP433" s="32"/>
      <c r="AQ433" s="32"/>
      <c r="AR433" s="32"/>
      <c r="AS433" s="32"/>
      <c r="AT433" s="26">
        <v>262.0</v>
      </c>
      <c r="AU433" s="26" t="s">
        <v>2391</v>
      </c>
      <c r="AV433" s="35">
        <v>217.0</v>
      </c>
      <c r="AW433" s="26">
        <v>130.0</v>
      </c>
      <c r="AX433" s="26">
        <v>68.0</v>
      </c>
      <c r="AY433" s="26">
        <v>260.0</v>
      </c>
      <c r="AZ433" s="37">
        <v>45336.0</v>
      </c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</row>
    <row r="434">
      <c r="A434" s="20" t="s">
        <v>2404</v>
      </c>
      <c r="B434" s="20" t="s">
        <v>2379</v>
      </c>
      <c r="C434" s="17" t="s">
        <v>2405</v>
      </c>
      <c r="D434" s="17" t="s">
        <v>835</v>
      </c>
      <c r="E434" s="34" t="s">
        <v>436</v>
      </c>
      <c r="F434" s="26">
        <v>68.0</v>
      </c>
      <c r="G434" s="35">
        <v>221.0</v>
      </c>
      <c r="H434" s="17" t="s">
        <v>413</v>
      </c>
      <c r="I434" s="17" t="s">
        <v>414</v>
      </c>
      <c r="J434" s="17" t="s">
        <v>415</v>
      </c>
      <c r="L434" s="26">
        <v>9.0</v>
      </c>
      <c r="M434" s="17" t="s">
        <v>417</v>
      </c>
      <c r="N434" s="17" t="s">
        <v>418</v>
      </c>
      <c r="O434" s="26">
        <v>1000.0</v>
      </c>
      <c r="P434" s="26">
        <v>-1.0</v>
      </c>
      <c r="Q434" s="17" t="s">
        <v>419</v>
      </c>
      <c r="R434" s="17" t="s">
        <v>420</v>
      </c>
      <c r="S434" s="17" t="s">
        <v>421</v>
      </c>
      <c r="T434" s="17" t="s">
        <v>422</v>
      </c>
      <c r="U434" s="17" t="s">
        <v>423</v>
      </c>
      <c r="V434" s="17" t="s">
        <v>2388</v>
      </c>
      <c r="W434" s="17" t="s">
        <v>403</v>
      </c>
      <c r="X434" s="17" t="s">
        <v>573</v>
      </c>
      <c r="Y434" s="17" t="s">
        <v>438</v>
      </c>
      <c r="Z434" s="17" t="s">
        <v>534</v>
      </c>
      <c r="AA434" s="17" t="s">
        <v>440</v>
      </c>
      <c r="AB434" s="17" t="s">
        <v>2389</v>
      </c>
      <c r="AC434" s="17" t="s">
        <v>428</v>
      </c>
      <c r="AD434" s="17" t="s">
        <v>815</v>
      </c>
      <c r="AE434" s="26">
        <v>280.0</v>
      </c>
      <c r="AF434" s="36">
        <v>54.55</v>
      </c>
      <c r="AG434" s="36">
        <v>58.963</v>
      </c>
      <c r="AH434" s="26" t="s">
        <v>2406</v>
      </c>
      <c r="AI434" s="26">
        <v>57424.0</v>
      </c>
      <c r="AJ434" s="26">
        <v>57424.0</v>
      </c>
      <c r="AK434" s="26" t="s">
        <v>777</v>
      </c>
      <c r="AL434" s="26">
        <v>98.0</v>
      </c>
      <c r="AM434" s="26">
        <v>2263.0</v>
      </c>
      <c r="AN434" s="32"/>
      <c r="AO434" s="32"/>
      <c r="AP434" s="32"/>
      <c r="AQ434" s="32"/>
      <c r="AR434" s="32"/>
      <c r="AS434" s="32"/>
      <c r="AT434" s="26">
        <v>262.0</v>
      </c>
      <c r="AU434" s="26" t="s">
        <v>2391</v>
      </c>
      <c r="AV434" s="35">
        <v>221.0</v>
      </c>
      <c r="AW434" s="26">
        <v>130.0</v>
      </c>
      <c r="AX434" s="26">
        <v>68.0</v>
      </c>
      <c r="AY434" s="26">
        <v>260.0</v>
      </c>
      <c r="AZ434" s="37">
        <v>45336.0</v>
      </c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  <c r="CA434" s="32"/>
      <c r="CB434" s="32"/>
      <c r="CC434" s="32"/>
      <c r="CD434" s="32"/>
      <c r="CE434" s="32"/>
      <c r="CF434" s="32"/>
      <c r="CG434" s="32"/>
    </row>
    <row r="435">
      <c r="A435" s="20" t="s">
        <v>2407</v>
      </c>
      <c r="B435" s="20" t="s">
        <v>2384</v>
      </c>
      <c r="C435" s="17" t="s">
        <v>2408</v>
      </c>
      <c r="D435" s="17" t="s">
        <v>793</v>
      </c>
      <c r="E435" s="34" t="s">
        <v>436</v>
      </c>
      <c r="F435" s="26">
        <v>68.0</v>
      </c>
      <c r="G435" s="35">
        <v>218.0</v>
      </c>
      <c r="H435" s="17" t="s">
        <v>413</v>
      </c>
      <c r="I435" s="17" t="s">
        <v>414</v>
      </c>
      <c r="J435" s="17" t="s">
        <v>415</v>
      </c>
      <c r="L435" s="26">
        <v>9.0</v>
      </c>
      <c r="M435" s="17" t="s">
        <v>417</v>
      </c>
      <c r="N435" s="17" t="s">
        <v>418</v>
      </c>
      <c r="O435" s="26">
        <v>1000.0</v>
      </c>
      <c r="P435" s="26">
        <v>-1.0</v>
      </c>
      <c r="Q435" s="17" t="s">
        <v>419</v>
      </c>
      <c r="R435" s="17" t="s">
        <v>420</v>
      </c>
      <c r="S435" s="17" t="s">
        <v>421</v>
      </c>
      <c r="T435" s="17" t="s">
        <v>422</v>
      </c>
      <c r="U435" s="17" t="s">
        <v>423</v>
      </c>
      <c r="V435" s="17" t="s">
        <v>2049</v>
      </c>
      <c r="W435" s="17" t="s">
        <v>403</v>
      </c>
      <c r="X435" s="17" t="s">
        <v>573</v>
      </c>
      <c r="Y435" s="17" t="s">
        <v>438</v>
      </c>
      <c r="Z435" s="17" t="s">
        <v>534</v>
      </c>
      <c r="AA435" s="17" t="s">
        <v>440</v>
      </c>
      <c r="AB435" s="17" t="s">
        <v>2389</v>
      </c>
      <c r="AC435" s="17" t="s">
        <v>428</v>
      </c>
      <c r="AD435" s="17" t="s">
        <v>815</v>
      </c>
      <c r="AE435" s="26">
        <v>280.0</v>
      </c>
      <c r="AF435" s="17" t="s">
        <v>463</v>
      </c>
      <c r="AG435" s="36">
        <v>60.59</v>
      </c>
      <c r="AH435" s="26" t="s">
        <v>2409</v>
      </c>
      <c r="AI435" s="26">
        <v>56612.0</v>
      </c>
      <c r="AJ435" s="26">
        <v>56612.0</v>
      </c>
      <c r="AK435" s="26" t="s">
        <v>495</v>
      </c>
      <c r="AL435" s="26">
        <v>93.0</v>
      </c>
      <c r="AM435" s="26">
        <v>2266.0</v>
      </c>
      <c r="AN435" s="32"/>
      <c r="AO435" s="32"/>
      <c r="AP435" s="32"/>
      <c r="AQ435" s="32"/>
      <c r="AR435" s="32"/>
      <c r="AS435" s="32"/>
      <c r="AT435" s="26">
        <v>262.0</v>
      </c>
      <c r="AU435" s="26" t="s">
        <v>2391</v>
      </c>
      <c r="AV435" s="35">
        <v>218.0</v>
      </c>
      <c r="AW435" s="26">
        <v>130.0</v>
      </c>
      <c r="AX435" s="26">
        <v>68.0</v>
      </c>
      <c r="AY435" s="26">
        <v>260.0</v>
      </c>
      <c r="AZ435" s="37">
        <v>45364.0</v>
      </c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  <c r="CA435" s="32"/>
      <c r="CB435" s="32"/>
      <c r="CC435" s="32"/>
      <c r="CD435" s="32"/>
      <c r="CE435" s="32"/>
      <c r="CF435" s="32"/>
      <c r="CG435" s="32"/>
    </row>
    <row r="436">
      <c r="A436" s="20" t="s">
        <v>2410</v>
      </c>
      <c r="B436" s="20" t="s">
        <v>2384</v>
      </c>
      <c r="C436" s="17" t="s">
        <v>2411</v>
      </c>
      <c r="D436" s="17" t="s">
        <v>793</v>
      </c>
      <c r="E436" s="34" t="s">
        <v>436</v>
      </c>
      <c r="F436" s="26">
        <v>68.0</v>
      </c>
      <c r="G436" s="35">
        <v>232.0</v>
      </c>
      <c r="H436" s="17" t="s">
        <v>413</v>
      </c>
      <c r="I436" s="17" t="s">
        <v>414</v>
      </c>
      <c r="J436" s="17" t="s">
        <v>415</v>
      </c>
      <c r="L436" s="26">
        <v>9.0</v>
      </c>
      <c r="M436" s="17" t="s">
        <v>417</v>
      </c>
      <c r="N436" s="17" t="s">
        <v>418</v>
      </c>
      <c r="O436" s="26">
        <v>1000.0</v>
      </c>
      <c r="P436" s="26">
        <v>-1.0</v>
      </c>
      <c r="Q436" s="17" t="s">
        <v>419</v>
      </c>
      <c r="R436" s="17" t="s">
        <v>420</v>
      </c>
      <c r="S436" s="17" t="s">
        <v>421</v>
      </c>
      <c r="T436" s="17" t="s">
        <v>422</v>
      </c>
      <c r="U436" s="17" t="s">
        <v>423</v>
      </c>
      <c r="V436" s="17" t="s">
        <v>2049</v>
      </c>
      <c r="W436" s="17" t="s">
        <v>403</v>
      </c>
      <c r="X436" s="17" t="s">
        <v>573</v>
      </c>
      <c r="Y436" s="17" t="s">
        <v>438</v>
      </c>
      <c r="Z436" s="17" t="s">
        <v>534</v>
      </c>
      <c r="AA436" s="17" t="s">
        <v>440</v>
      </c>
      <c r="AB436" s="17" t="s">
        <v>2389</v>
      </c>
      <c r="AC436" s="17" t="s">
        <v>428</v>
      </c>
      <c r="AD436" s="17" t="s">
        <v>815</v>
      </c>
      <c r="AE436" s="26">
        <v>280.0</v>
      </c>
      <c r="AF436" s="36">
        <v>65.84</v>
      </c>
      <c r="AG436" s="36">
        <v>61.56</v>
      </c>
      <c r="AH436" s="26" t="s">
        <v>2412</v>
      </c>
      <c r="AI436" s="26">
        <v>60282.0</v>
      </c>
      <c r="AJ436" s="26">
        <v>60282.0</v>
      </c>
      <c r="AK436" s="26" t="s">
        <v>495</v>
      </c>
      <c r="AL436" s="26">
        <v>117.0</v>
      </c>
      <c r="AM436" s="26">
        <v>2267.0</v>
      </c>
      <c r="AN436" s="32"/>
      <c r="AO436" s="32"/>
      <c r="AP436" s="32"/>
      <c r="AQ436" s="32"/>
      <c r="AR436" s="32"/>
      <c r="AS436" s="32"/>
      <c r="AT436" s="26">
        <v>262.0</v>
      </c>
      <c r="AU436" s="26" t="s">
        <v>2391</v>
      </c>
      <c r="AV436" s="35">
        <v>232.0</v>
      </c>
      <c r="AW436" s="26">
        <v>130.0</v>
      </c>
      <c r="AX436" s="26">
        <v>68.0</v>
      </c>
      <c r="AY436" s="26">
        <v>260.0</v>
      </c>
      <c r="AZ436" s="37">
        <v>45364.0</v>
      </c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  <c r="CA436" s="32"/>
      <c r="CB436" s="32"/>
      <c r="CC436" s="32"/>
      <c r="CD436" s="32"/>
      <c r="CE436" s="32"/>
      <c r="CF436" s="32"/>
      <c r="CG436" s="32"/>
    </row>
    <row r="437">
      <c r="A437" s="20" t="s">
        <v>2413</v>
      </c>
      <c r="B437" s="20" t="s">
        <v>2414</v>
      </c>
      <c r="C437" s="17" t="s">
        <v>2415</v>
      </c>
      <c r="D437" s="17" t="s">
        <v>781</v>
      </c>
      <c r="E437" s="34" t="s">
        <v>477</v>
      </c>
      <c r="F437" s="26">
        <v>60.0</v>
      </c>
      <c r="G437" s="35">
        <v>311.0</v>
      </c>
      <c r="H437" s="32"/>
      <c r="I437" s="17" t="s">
        <v>414</v>
      </c>
      <c r="J437" s="17" t="s">
        <v>415</v>
      </c>
      <c r="L437" s="26">
        <v>8.0</v>
      </c>
      <c r="M437" s="32"/>
      <c r="N437" s="32"/>
      <c r="O437" s="32"/>
      <c r="P437" s="26">
        <v>-1.0</v>
      </c>
      <c r="Q437" s="17" t="s">
        <v>419</v>
      </c>
      <c r="R437" s="17" t="s">
        <v>420</v>
      </c>
      <c r="S437" s="17" t="s">
        <v>421</v>
      </c>
      <c r="T437" s="17" t="s">
        <v>422</v>
      </c>
      <c r="U437" s="17" t="s">
        <v>423</v>
      </c>
      <c r="V437" s="17" t="s">
        <v>2416</v>
      </c>
      <c r="W437" s="17" t="s">
        <v>403</v>
      </c>
      <c r="X437" s="17" t="s">
        <v>581</v>
      </c>
      <c r="Y437" s="17" t="s">
        <v>438</v>
      </c>
      <c r="Z437" s="17" t="s">
        <v>2034</v>
      </c>
      <c r="AA437" s="17" t="s">
        <v>440</v>
      </c>
      <c r="AB437" s="17" t="s">
        <v>2417</v>
      </c>
      <c r="AC437" s="17" t="s">
        <v>428</v>
      </c>
      <c r="AD437" s="17" t="s">
        <v>619</v>
      </c>
      <c r="AE437" s="26">
        <v>210.0</v>
      </c>
      <c r="AF437" s="36">
        <v>68.398</v>
      </c>
      <c r="AG437" s="17" t="s">
        <v>463</v>
      </c>
      <c r="AH437" s="17" t="s">
        <v>463</v>
      </c>
      <c r="AI437" s="26">
        <v>68398.0</v>
      </c>
      <c r="AJ437" s="26">
        <v>68398.0</v>
      </c>
      <c r="AK437" s="26" t="s">
        <v>495</v>
      </c>
      <c r="AL437" s="26">
        <v>50.0</v>
      </c>
      <c r="AM437" s="26">
        <v>2138.0</v>
      </c>
      <c r="AN437" s="32"/>
      <c r="AO437" s="32"/>
      <c r="AP437" s="32"/>
      <c r="AQ437" s="32"/>
      <c r="AR437" s="32"/>
      <c r="AS437" s="32"/>
      <c r="AT437" s="26">
        <v>273.0</v>
      </c>
      <c r="AU437" s="26" t="s">
        <v>2418</v>
      </c>
      <c r="AV437" s="35">
        <v>311.0</v>
      </c>
      <c r="AW437" s="26">
        <v>160.0</v>
      </c>
      <c r="AX437" s="26">
        <v>60.0</v>
      </c>
      <c r="AY437" s="26">
        <v>220.0</v>
      </c>
      <c r="AZ437" s="26">
        <v>12.0</v>
      </c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  <c r="CA437" s="32"/>
      <c r="CB437" s="32"/>
      <c r="CC437" s="32"/>
      <c r="CD437" s="32"/>
      <c r="CE437" s="32"/>
      <c r="CF437" s="32"/>
      <c r="CG437" s="32"/>
    </row>
    <row r="438">
      <c r="A438" s="20" t="s">
        <v>2419</v>
      </c>
      <c r="B438" s="20" t="s">
        <v>2420</v>
      </c>
      <c r="C438" s="17" t="s">
        <v>2421</v>
      </c>
      <c r="D438" s="17" t="s">
        <v>781</v>
      </c>
      <c r="E438" s="34" t="s">
        <v>477</v>
      </c>
      <c r="F438" s="26">
        <v>60.0</v>
      </c>
      <c r="G438" s="35">
        <v>272.0</v>
      </c>
      <c r="H438" s="32"/>
      <c r="I438" s="17" t="s">
        <v>414</v>
      </c>
      <c r="J438" s="17" t="s">
        <v>415</v>
      </c>
      <c r="L438" s="26">
        <v>7.0</v>
      </c>
      <c r="M438" s="32"/>
      <c r="N438" s="32"/>
      <c r="O438" s="32"/>
      <c r="P438" s="26">
        <v>-1.0</v>
      </c>
      <c r="Q438" s="17" t="s">
        <v>419</v>
      </c>
      <c r="R438" s="17" t="s">
        <v>420</v>
      </c>
      <c r="S438" s="17" t="s">
        <v>421</v>
      </c>
      <c r="T438" s="17" t="s">
        <v>422</v>
      </c>
      <c r="U438" s="17" t="s">
        <v>423</v>
      </c>
      <c r="V438" s="17" t="s">
        <v>2416</v>
      </c>
      <c r="W438" s="17" t="s">
        <v>403</v>
      </c>
      <c r="X438" s="17" t="s">
        <v>581</v>
      </c>
      <c r="Y438" s="17" t="s">
        <v>438</v>
      </c>
      <c r="Z438" s="17" t="s">
        <v>2422</v>
      </c>
      <c r="AA438" s="17" t="s">
        <v>440</v>
      </c>
      <c r="AB438" s="17" t="s">
        <v>2423</v>
      </c>
      <c r="AC438" s="17" t="s">
        <v>428</v>
      </c>
      <c r="AD438" s="17" t="s">
        <v>782</v>
      </c>
      <c r="AE438" s="26">
        <v>200.0</v>
      </c>
      <c r="AF438" s="36">
        <v>58.488</v>
      </c>
      <c r="AG438" s="17" t="s">
        <v>463</v>
      </c>
      <c r="AH438" s="17" t="s">
        <v>463</v>
      </c>
      <c r="AI438" s="26">
        <v>58488.0</v>
      </c>
      <c r="AJ438" s="26">
        <v>58488.0</v>
      </c>
      <c r="AK438" s="26" t="s">
        <v>495</v>
      </c>
      <c r="AL438" s="26">
        <v>50.0</v>
      </c>
      <c r="AM438" s="26">
        <v>2129.0</v>
      </c>
      <c r="AN438" s="32"/>
      <c r="AO438" s="32"/>
      <c r="AP438" s="32"/>
      <c r="AQ438" s="32"/>
      <c r="AR438" s="32"/>
      <c r="AS438" s="32"/>
      <c r="AT438" s="26">
        <v>279.0</v>
      </c>
      <c r="AU438" s="26" t="s">
        <v>2424</v>
      </c>
      <c r="AV438" s="35">
        <v>272.0</v>
      </c>
      <c r="AW438" s="26">
        <v>160.0</v>
      </c>
      <c r="AX438" s="26">
        <v>60.0</v>
      </c>
      <c r="AY438" s="26">
        <v>215.0</v>
      </c>
      <c r="AZ438" s="26">
        <v>12.0</v>
      </c>
      <c r="BA438" s="32"/>
      <c r="BB438" s="32"/>
      <c r="BC438" s="32"/>
      <c r="BD438" s="32"/>
      <c r="BE438" s="32"/>
      <c r="BF438" s="32"/>
      <c r="BG438" s="32"/>
      <c r="BH438" s="32"/>
      <c r="BI438" s="32"/>
      <c r="BJ438" s="32"/>
      <c r="BK438" s="32"/>
      <c r="BL438" s="32"/>
      <c r="BM438" s="32"/>
      <c r="BN438" s="32"/>
      <c r="BO438" s="32"/>
      <c r="BP438" s="32"/>
      <c r="BQ438" s="32"/>
      <c r="BR438" s="32"/>
      <c r="BS438" s="32"/>
      <c r="BT438" s="32"/>
      <c r="BU438" s="32"/>
      <c r="BV438" s="32"/>
      <c r="BW438" s="32"/>
      <c r="BX438" s="32"/>
      <c r="BY438" s="32"/>
      <c r="BZ438" s="32"/>
      <c r="CA438" s="32"/>
      <c r="CB438" s="32"/>
      <c r="CC438" s="32"/>
      <c r="CD438" s="32"/>
      <c r="CE438" s="32"/>
      <c r="CF438" s="32"/>
      <c r="CG438" s="32"/>
    </row>
    <row r="439">
      <c r="A439" s="20" t="s">
        <v>2425</v>
      </c>
      <c r="B439" s="20" t="s">
        <v>2414</v>
      </c>
      <c r="C439" s="17" t="s">
        <v>2426</v>
      </c>
      <c r="D439" s="17" t="s">
        <v>781</v>
      </c>
      <c r="E439" s="34" t="s">
        <v>477</v>
      </c>
      <c r="F439" s="26">
        <v>60.0</v>
      </c>
      <c r="G439" s="35">
        <v>322.0</v>
      </c>
      <c r="H439" s="32"/>
      <c r="I439" s="17" t="s">
        <v>414</v>
      </c>
      <c r="J439" s="17" t="s">
        <v>415</v>
      </c>
      <c r="L439" s="26">
        <v>8.0</v>
      </c>
      <c r="M439" s="32"/>
      <c r="N439" s="32"/>
      <c r="O439" s="32"/>
      <c r="P439" s="26">
        <v>-1.0</v>
      </c>
      <c r="Q439" s="17" t="s">
        <v>419</v>
      </c>
      <c r="R439" s="17" t="s">
        <v>420</v>
      </c>
      <c r="S439" s="17" t="s">
        <v>421</v>
      </c>
      <c r="T439" s="17" t="s">
        <v>422</v>
      </c>
      <c r="U439" s="17" t="s">
        <v>423</v>
      </c>
      <c r="V439" s="17" t="s">
        <v>2416</v>
      </c>
      <c r="W439" s="17" t="s">
        <v>403</v>
      </c>
      <c r="X439" s="17" t="s">
        <v>581</v>
      </c>
      <c r="Y439" s="17" t="s">
        <v>438</v>
      </c>
      <c r="Z439" s="17" t="s">
        <v>2422</v>
      </c>
      <c r="AA439" s="17" t="s">
        <v>440</v>
      </c>
      <c r="AB439" s="17" t="s">
        <v>2423</v>
      </c>
      <c r="AC439" s="17" t="s">
        <v>428</v>
      </c>
      <c r="AD439" s="17" t="s">
        <v>782</v>
      </c>
      <c r="AE439" s="26">
        <v>200.0</v>
      </c>
      <c r="AF439" s="36">
        <v>69.309</v>
      </c>
      <c r="AG439" s="17" t="s">
        <v>463</v>
      </c>
      <c r="AH439" s="17" t="s">
        <v>463</v>
      </c>
      <c r="AI439" s="26">
        <v>69309.0</v>
      </c>
      <c r="AJ439" s="26">
        <v>69309.0</v>
      </c>
      <c r="AK439" s="26" t="s">
        <v>495</v>
      </c>
      <c r="AL439" s="26">
        <v>56.0</v>
      </c>
      <c r="AM439" s="26">
        <v>2139.0</v>
      </c>
      <c r="AN439" s="32"/>
      <c r="AO439" s="32"/>
      <c r="AP439" s="32"/>
      <c r="AQ439" s="32"/>
      <c r="AR439" s="32"/>
      <c r="AS439" s="32"/>
      <c r="AT439" s="26">
        <v>279.0</v>
      </c>
      <c r="AU439" s="26" t="s">
        <v>2424</v>
      </c>
      <c r="AV439" s="35">
        <v>322.0</v>
      </c>
      <c r="AW439" s="26">
        <v>160.0</v>
      </c>
      <c r="AX439" s="26">
        <v>60.0</v>
      </c>
      <c r="AY439" s="26">
        <v>215.0</v>
      </c>
      <c r="AZ439" s="26">
        <v>12.0</v>
      </c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  <c r="CA439" s="32"/>
      <c r="CB439" s="32"/>
      <c r="CC439" s="32"/>
      <c r="CD439" s="32"/>
      <c r="CE439" s="32"/>
      <c r="CF439" s="32"/>
      <c r="CG439" s="32"/>
    </row>
    <row r="440">
      <c r="A440" s="20" t="s">
        <v>2427</v>
      </c>
      <c r="B440" s="20" t="s">
        <v>2414</v>
      </c>
      <c r="C440" s="17" t="s">
        <v>2428</v>
      </c>
      <c r="D440" s="17" t="s">
        <v>781</v>
      </c>
      <c r="E440" s="34" t="s">
        <v>477</v>
      </c>
      <c r="F440" s="26">
        <v>90.0</v>
      </c>
      <c r="G440" s="35">
        <v>245.0</v>
      </c>
      <c r="H440" s="32"/>
      <c r="I440" s="17" t="s">
        <v>414</v>
      </c>
      <c r="J440" s="17" t="s">
        <v>415</v>
      </c>
      <c r="L440" s="26">
        <v>8.0</v>
      </c>
      <c r="M440" s="32"/>
      <c r="N440" s="32"/>
      <c r="O440" s="32"/>
      <c r="P440" s="26">
        <v>-1.0</v>
      </c>
      <c r="Q440" s="17" t="s">
        <v>419</v>
      </c>
      <c r="R440" s="17" t="s">
        <v>420</v>
      </c>
      <c r="S440" s="17" t="s">
        <v>421</v>
      </c>
      <c r="T440" s="17" t="s">
        <v>422</v>
      </c>
      <c r="U440" s="17" t="s">
        <v>423</v>
      </c>
      <c r="V440" s="17" t="s">
        <v>1329</v>
      </c>
      <c r="W440" s="17" t="s">
        <v>403</v>
      </c>
      <c r="X440" s="17" t="s">
        <v>581</v>
      </c>
      <c r="Y440" s="17" t="s">
        <v>438</v>
      </c>
      <c r="Z440" s="17" t="s">
        <v>709</v>
      </c>
      <c r="AA440" s="17" t="s">
        <v>440</v>
      </c>
      <c r="AB440" s="17" t="s">
        <v>2429</v>
      </c>
      <c r="AC440" s="17" t="s">
        <v>428</v>
      </c>
      <c r="AD440" s="17" t="s">
        <v>1254</v>
      </c>
      <c r="AE440" s="26">
        <v>320.0</v>
      </c>
      <c r="AF440" s="36">
        <v>72.043</v>
      </c>
      <c r="AG440" s="36">
        <v>84.773</v>
      </c>
      <c r="AH440" s="17" t="s">
        <v>463</v>
      </c>
      <c r="AI440" s="26">
        <v>78408.0</v>
      </c>
      <c r="AJ440" s="26">
        <v>78408.0</v>
      </c>
      <c r="AK440" s="26" t="s">
        <v>495</v>
      </c>
      <c r="AL440" s="26">
        <v>194.0</v>
      </c>
      <c r="AM440" s="26">
        <v>2140.0</v>
      </c>
      <c r="AN440" s="32"/>
      <c r="AO440" s="32"/>
      <c r="AP440" s="32"/>
      <c r="AQ440" s="32"/>
      <c r="AR440" s="32"/>
      <c r="AS440" s="32"/>
      <c r="AT440" s="26">
        <v>281.0</v>
      </c>
      <c r="AU440" s="26" t="s">
        <v>2430</v>
      </c>
      <c r="AV440" s="35">
        <v>245.0</v>
      </c>
      <c r="AW440" s="26">
        <v>160.0</v>
      </c>
      <c r="AX440" s="26">
        <v>90.0</v>
      </c>
      <c r="AY440" s="26">
        <v>320.0</v>
      </c>
      <c r="AZ440" s="37">
        <v>45303.0</v>
      </c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  <c r="CA440" s="32"/>
      <c r="CB440" s="32"/>
      <c r="CC440" s="32"/>
      <c r="CD440" s="32"/>
      <c r="CE440" s="32"/>
      <c r="CF440" s="32"/>
      <c r="CG440" s="32"/>
    </row>
    <row r="441">
      <c r="A441" s="20" t="s">
        <v>2431</v>
      </c>
      <c r="B441" s="20" t="s">
        <v>2420</v>
      </c>
      <c r="C441" s="17" t="s">
        <v>2432</v>
      </c>
      <c r="D441" s="17" t="s">
        <v>781</v>
      </c>
      <c r="E441" s="34" t="s">
        <v>477</v>
      </c>
      <c r="F441" s="26">
        <v>60.0</v>
      </c>
      <c r="G441" s="35">
        <v>283.0</v>
      </c>
      <c r="H441" s="32"/>
      <c r="I441" s="17" t="s">
        <v>414</v>
      </c>
      <c r="J441" s="17" t="s">
        <v>415</v>
      </c>
      <c r="L441" s="26">
        <v>7.0</v>
      </c>
      <c r="M441" s="32"/>
      <c r="N441" s="32"/>
      <c r="O441" s="32"/>
      <c r="P441" s="26">
        <v>-1.0</v>
      </c>
      <c r="Q441" s="17" t="s">
        <v>419</v>
      </c>
      <c r="R441" s="17" t="s">
        <v>420</v>
      </c>
      <c r="S441" s="17" t="s">
        <v>421</v>
      </c>
      <c r="T441" s="17" t="s">
        <v>422</v>
      </c>
      <c r="U441" s="17" t="s">
        <v>423</v>
      </c>
      <c r="V441" s="17" t="s">
        <v>2416</v>
      </c>
      <c r="W441" s="17" t="s">
        <v>403</v>
      </c>
      <c r="X441" s="17" t="s">
        <v>581</v>
      </c>
      <c r="Y441" s="17" t="s">
        <v>438</v>
      </c>
      <c r="Z441" s="17" t="s">
        <v>2433</v>
      </c>
      <c r="AA441" s="17" t="s">
        <v>440</v>
      </c>
      <c r="AB441" s="17" t="s">
        <v>2434</v>
      </c>
      <c r="AC441" s="17" t="s">
        <v>428</v>
      </c>
      <c r="AD441" s="17" t="s">
        <v>782</v>
      </c>
      <c r="AE441" s="26">
        <v>200.0</v>
      </c>
      <c r="AF441" s="36">
        <v>59.363</v>
      </c>
      <c r="AG441" s="17" t="s">
        <v>463</v>
      </c>
      <c r="AH441" s="17" t="s">
        <v>463</v>
      </c>
      <c r="AI441" s="26">
        <v>59363.0</v>
      </c>
      <c r="AJ441" s="26">
        <v>59363.0</v>
      </c>
      <c r="AK441" s="26" t="s">
        <v>495</v>
      </c>
      <c r="AL441" s="26">
        <v>52.0</v>
      </c>
      <c r="AM441" s="26">
        <v>2130.0</v>
      </c>
      <c r="AN441" s="32"/>
      <c r="AO441" s="32"/>
      <c r="AP441" s="32"/>
      <c r="AQ441" s="32"/>
      <c r="AR441" s="32"/>
      <c r="AS441" s="32"/>
      <c r="AT441" s="26">
        <v>286.0</v>
      </c>
      <c r="AU441" s="26" t="s">
        <v>2435</v>
      </c>
      <c r="AV441" s="35">
        <v>283.0</v>
      </c>
      <c r="AW441" s="26">
        <v>160.0</v>
      </c>
      <c r="AX441" s="26">
        <v>60.0</v>
      </c>
      <c r="AY441" s="26">
        <v>210.0</v>
      </c>
      <c r="AZ441" s="26">
        <v>12.0</v>
      </c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  <c r="CA441" s="32"/>
      <c r="CB441" s="32"/>
      <c r="CC441" s="32"/>
      <c r="CD441" s="32"/>
      <c r="CE441" s="32"/>
      <c r="CF441" s="32"/>
      <c r="CG441" s="32"/>
    </row>
    <row r="442">
      <c r="A442" s="20" t="s">
        <v>2436</v>
      </c>
      <c r="B442" s="20" t="s">
        <v>2420</v>
      </c>
      <c r="C442" s="17" t="s">
        <v>2437</v>
      </c>
      <c r="D442" s="17" t="s">
        <v>781</v>
      </c>
      <c r="E442" s="34" t="s">
        <v>477</v>
      </c>
      <c r="F442" s="26">
        <v>90.0</v>
      </c>
      <c r="G442" s="35">
        <v>272.0</v>
      </c>
      <c r="H442" s="32"/>
      <c r="I442" s="17" t="s">
        <v>414</v>
      </c>
      <c r="J442" s="17" t="s">
        <v>415</v>
      </c>
      <c r="L442" s="26">
        <v>7.0</v>
      </c>
      <c r="M442" s="17" t="s">
        <v>417</v>
      </c>
      <c r="N442" s="32"/>
      <c r="O442" s="32"/>
      <c r="P442" s="26">
        <v>-1.0</v>
      </c>
      <c r="Q442" s="17" t="s">
        <v>419</v>
      </c>
      <c r="R442" s="17" t="s">
        <v>420</v>
      </c>
      <c r="S442" s="17" t="s">
        <v>421</v>
      </c>
      <c r="T442" s="17" t="s">
        <v>422</v>
      </c>
      <c r="U442" s="17" t="s">
        <v>423</v>
      </c>
      <c r="V442" s="17" t="s">
        <v>1329</v>
      </c>
      <c r="W442" s="17" t="s">
        <v>403</v>
      </c>
      <c r="X442" s="17" t="s">
        <v>581</v>
      </c>
      <c r="Y442" s="17" t="s">
        <v>438</v>
      </c>
      <c r="Z442" s="17" t="s">
        <v>509</v>
      </c>
      <c r="AA442" s="17" t="s">
        <v>440</v>
      </c>
      <c r="AB442" s="17" t="s">
        <v>2434</v>
      </c>
      <c r="AC442" s="17" t="s">
        <v>428</v>
      </c>
      <c r="AD442" s="17" t="s">
        <v>1254</v>
      </c>
      <c r="AE442" s="26">
        <v>320.0</v>
      </c>
      <c r="AF442" s="36">
        <v>62.01</v>
      </c>
      <c r="AG442" s="36">
        <v>88.626</v>
      </c>
      <c r="AH442" s="26" t="s">
        <v>2438</v>
      </c>
      <c r="AI442" s="26">
        <v>85576.0</v>
      </c>
      <c r="AJ442" s="26">
        <v>85576.0</v>
      </c>
      <c r="AK442" s="26" t="s">
        <v>495</v>
      </c>
      <c r="AL442" s="26">
        <v>162.0</v>
      </c>
      <c r="AM442" s="26">
        <v>2131.0</v>
      </c>
      <c r="AN442" s="32"/>
      <c r="AO442" s="32"/>
      <c r="AP442" s="32"/>
      <c r="AQ442" s="32"/>
      <c r="AR442" s="32"/>
      <c r="AS442" s="32"/>
      <c r="AT442" s="26">
        <v>286.0</v>
      </c>
      <c r="AU442" s="26" t="s">
        <v>2435</v>
      </c>
      <c r="AV442" s="35">
        <v>272.0</v>
      </c>
      <c r="AW442" s="26">
        <v>160.0</v>
      </c>
      <c r="AX442" s="26">
        <v>90.0</v>
      </c>
      <c r="AY442" s="26">
        <v>315.0</v>
      </c>
      <c r="AZ442" s="37">
        <v>45303.0</v>
      </c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  <c r="CA442" s="32"/>
      <c r="CB442" s="32"/>
      <c r="CC442" s="32"/>
      <c r="CD442" s="32"/>
      <c r="CE442" s="32"/>
      <c r="CF442" s="32"/>
      <c r="CG442" s="32"/>
    </row>
    <row r="443">
      <c r="A443" s="20" t="s">
        <v>2439</v>
      </c>
      <c r="B443" s="20" t="s">
        <v>2420</v>
      </c>
      <c r="C443" s="17" t="s">
        <v>2440</v>
      </c>
      <c r="D443" s="17" t="s">
        <v>1012</v>
      </c>
      <c r="E443" s="34" t="s">
        <v>477</v>
      </c>
      <c r="F443" s="26">
        <v>90.0</v>
      </c>
      <c r="G443" s="35">
        <v>276.0</v>
      </c>
      <c r="H443" s="32"/>
      <c r="I443" s="17" t="s">
        <v>414</v>
      </c>
      <c r="J443" s="17" t="s">
        <v>415</v>
      </c>
      <c r="L443" s="26">
        <v>7.0</v>
      </c>
      <c r="M443" s="17" t="s">
        <v>417</v>
      </c>
      <c r="N443" s="32"/>
      <c r="O443" s="32"/>
      <c r="P443" s="26">
        <v>-1.0</v>
      </c>
      <c r="Q443" s="17" t="s">
        <v>419</v>
      </c>
      <c r="R443" s="17" t="s">
        <v>420</v>
      </c>
      <c r="S443" s="17" t="s">
        <v>421</v>
      </c>
      <c r="T443" s="17" t="s">
        <v>422</v>
      </c>
      <c r="U443" s="17" t="s">
        <v>423</v>
      </c>
      <c r="V443" s="17" t="s">
        <v>2441</v>
      </c>
      <c r="W443" s="17" t="s">
        <v>403</v>
      </c>
      <c r="X443" s="17" t="s">
        <v>527</v>
      </c>
      <c r="Y443" s="17" t="s">
        <v>438</v>
      </c>
      <c r="Z443" s="17" t="s">
        <v>509</v>
      </c>
      <c r="AA443" s="17" t="s">
        <v>440</v>
      </c>
      <c r="AB443" s="17" t="s">
        <v>2434</v>
      </c>
      <c r="AC443" s="17" t="s">
        <v>428</v>
      </c>
      <c r="AD443" s="17" t="s">
        <v>1254</v>
      </c>
      <c r="AE443" s="26">
        <v>320.0</v>
      </c>
      <c r="AF443" s="36">
        <v>62.897</v>
      </c>
      <c r="AG443" s="36">
        <v>89.679</v>
      </c>
      <c r="AH443" s="26" t="s">
        <v>2442</v>
      </c>
      <c r="AI443" s="26">
        <v>86874.0</v>
      </c>
      <c r="AJ443" s="26">
        <v>86874.0</v>
      </c>
      <c r="AK443" s="26" t="s">
        <v>567</v>
      </c>
      <c r="AL443" s="26">
        <v>101.0</v>
      </c>
      <c r="AM443" s="26">
        <v>2274.0</v>
      </c>
      <c r="AN443" s="32"/>
      <c r="AO443" s="32"/>
      <c r="AP443" s="32"/>
      <c r="AQ443" s="32"/>
      <c r="AR443" s="32"/>
      <c r="AS443" s="32"/>
      <c r="AT443" s="26">
        <v>286.0</v>
      </c>
      <c r="AU443" s="26" t="s">
        <v>2435</v>
      </c>
      <c r="AV443" s="35">
        <v>276.0</v>
      </c>
      <c r="AW443" s="26">
        <v>140.0</v>
      </c>
      <c r="AX443" s="26">
        <v>90.0</v>
      </c>
      <c r="AY443" s="26">
        <v>315.0</v>
      </c>
      <c r="AZ443" s="37">
        <v>45334.0</v>
      </c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  <c r="CA443" s="32"/>
      <c r="CB443" s="32"/>
      <c r="CC443" s="32"/>
      <c r="CD443" s="32"/>
      <c r="CE443" s="32"/>
      <c r="CF443" s="32"/>
      <c r="CG443" s="32"/>
    </row>
    <row r="444">
      <c r="A444" s="20" t="s">
        <v>2443</v>
      </c>
      <c r="B444" s="20" t="s">
        <v>2444</v>
      </c>
      <c r="C444" s="17" t="s">
        <v>2445</v>
      </c>
      <c r="D444" s="17" t="s">
        <v>487</v>
      </c>
      <c r="E444" s="34" t="s">
        <v>477</v>
      </c>
      <c r="F444" s="26">
        <v>116.0</v>
      </c>
      <c r="G444" s="35">
        <v>510.0</v>
      </c>
      <c r="H444" s="32"/>
      <c r="I444" s="17" t="s">
        <v>414</v>
      </c>
      <c r="J444" s="17" t="s">
        <v>415</v>
      </c>
      <c r="L444" s="26">
        <v>5.0</v>
      </c>
      <c r="M444" s="32"/>
      <c r="N444" s="32"/>
      <c r="O444" s="32"/>
      <c r="P444" s="26">
        <v>-1.0</v>
      </c>
      <c r="Q444" s="17" t="s">
        <v>419</v>
      </c>
      <c r="R444" s="17" t="s">
        <v>420</v>
      </c>
      <c r="S444" s="17" t="s">
        <v>421</v>
      </c>
      <c r="T444" s="17" t="s">
        <v>422</v>
      </c>
      <c r="U444" s="17" t="s">
        <v>423</v>
      </c>
      <c r="V444" s="17" t="s">
        <v>764</v>
      </c>
      <c r="W444" s="17" t="s">
        <v>403</v>
      </c>
      <c r="X444" s="17" t="s">
        <v>493</v>
      </c>
      <c r="Y444" s="17" t="s">
        <v>438</v>
      </c>
      <c r="Z444" s="17" t="s">
        <v>852</v>
      </c>
      <c r="AA444" s="17" t="s">
        <v>440</v>
      </c>
      <c r="AB444" s="17" t="s">
        <v>2446</v>
      </c>
      <c r="AC444" s="17" t="s">
        <v>428</v>
      </c>
      <c r="AD444" s="17" t="s">
        <v>1784</v>
      </c>
      <c r="AE444" s="26">
        <v>440.0</v>
      </c>
      <c r="AF444" s="36">
        <v>142.622</v>
      </c>
      <c r="AG444" s="36">
        <v>200.303</v>
      </c>
      <c r="AH444" s="26" t="s">
        <v>2447</v>
      </c>
      <c r="AI444" s="26">
        <v>100000.0</v>
      </c>
      <c r="AJ444" s="26">
        <v>183638.0</v>
      </c>
      <c r="AK444" s="26" t="s">
        <v>495</v>
      </c>
      <c r="AL444" s="26">
        <v>579.0</v>
      </c>
      <c r="AM444" s="26">
        <v>2192.0</v>
      </c>
      <c r="AN444" s="32"/>
      <c r="AO444" s="32"/>
      <c r="AP444" s="32"/>
      <c r="AQ444" s="32"/>
      <c r="AR444" s="32"/>
      <c r="AS444" s="32"/>
      <c r="AT444" s="26">
        <v>322.0</v>
      </c>
      <c r="AU444" s="37">
        <v>45599.0</v>
      </c>
      <c r="AV444" s="35">
        <v>510.0</v>
      </c>
      <c r="AW444" s="26">
        <v>180.0</v>
      </c>
      <c r="AX444" s="26">
        <v>116.0</v>
      </c>
      <c r="AY444" s="26">
        <v>360.0</v>
      </c>
      <c r="AZ444" s="37">
        <v>45477.0</v>
      </c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  <c r="CA444" s="32"/>
      <c r="CB444" s="32"/>
      <c r="CC444" s="32"/>
      <c r="CD444" s="32"/>
      <c r="CE444" s="32"/>
      <c r="CF444" s="32"/>
      <c r="CG444" s="32"/>
    </row>
  </sheetData>
  <mergeCells count="405">
    <mergeCell ref="J251:K251"/>
    <mergeCell ref="J255:K255"/>
    <mergeCell ref="J256:K256"/>
    <mergeCell ref="J257:K257"/>
    <mergeCell ref="J258:K258"/>
    <mergeCell ref="J259:K259"/>
    <mergeCell ref="J260:K260"/>
    <mergeCell ref="C279:D279"/>
    <mergeCell ref="J279:K279"/>
    <mergeCell ref="N279:O279"/>
    <mergeCell ref="J261:K261"/>
    <mergeCell ref="J264:K264"/>
    <mergeCell ref="J265:K265"/>
    <mergeCell ref="J266:K266"/>
    <mergeCell ref="J267:K267"/>
    <mergeCell ref="J268:K268"/>
    <mergeCell ref="C272:D272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80:K280"/>
    <mergeCell ref="J281:K281"/>
    <mergeCell ref="J282:K282"/>
    <mergeCell ref="C283:D283"/>
    <mergeCell ref="J283:K283"/>
    <mergeCell ref="J284:K284"/>
    <mergeCell ref="J285:K285"/>
    <mergeCell ref="J286:K286"/>
    <mergeCell ref="J288:K288"/>
    <mergeCell ref="J289:K289"/>
    <mergeCell ref="J290:K290"/>
    <mergeCell ref="J291:K291"/>
    <mergeCell ref="J293:K293"/>
    <mergeCell ref="J294:K294"/>
    <mergeCell ref="J295:K295"/>
    <mergeCell ref="J297:K297"/>
    <mergeCell ref="J298:K298"/>
    <mergeCell ref="J299:K299"/>
    <mergeCell ref="J300:K300"/>
    <mergeCell ref="J301:K301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C324:D324"/>
    <mergeCell ref="J324:K324"/>
    <mergeCell ref="N324:O324"/>
    <mergeCell ref="J325:K325"/>
    <mergeCell ref="J326:K326"/>
    <mergeCell ref="J327:K327"/>
    <mergeCell ref="J328:K328"/>
    <mergeCell ref="J329:K329"/>
    <mergeCell ref="J332:K332"/>
    <mergeCell ref="J333:K333"/>
    <mergeCell ref="J334:K334"/>
    <mergeCell ref="J335:K335"/>
    <mergeCell ref="J336:K336"/>
    <mergeCell ref="J338:K338"/>
    <mergeCell ref="J339:K339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AQ40:AR40"/>
    <mergeCell ref="AQ42:AR42"/>
    <mergeCell ref="AQ55:AR55"/>
    <mergeCell ref="AQ67:AR67"/>
    <mergeCell ref="AQ69:AR69"/>
    <mergeCell ref="AQ74:AR74"/>
    <mergeCell ref="AQ82:AR82"/>
    <mergeCell ref="AQ100:AR100"/>
    <mergeCell ref="AQ101:AR101"/>
    <mergeCell ref="AQ104:AR104"/>
    <mergeCell ref="AQ114:AR114"/>
    <mergeCell ref="AQ120:AR120"/>
    <mergeCell ref="AQ125:AR125"/>
    <mergeCell ref="AQ132:AR132"/>
    <mergeCell ref="AQ210:AR210"/>
    <mergeCell ref="AQ288:AR288"/>
    <mergeCell ref="AQ133:AR133"/>
    <mergeCell ref="AQ137:AR137"/>
    <mergeCell ref="AQ138:AR138"/>
    <mergeCell ref="AQ148:AR148"/>
    <mergeCell ref="AQ149:AR149"/>
    <mergeCell ref="AQ152:AR152"/>
    <mergeCell ref="AQ156:AR156"/>
    <mergeCell ref="AQ9:AR9"/>
    <mergeCell ref="AQ13:AR13"/>
    <mergeCell ref="J8:K8"/>
    <mergeCell ref="J9:K9"/>
    <mergeCell ref="J10:K10"/>
    <mergeCell ref="C12:D12"/>
    <mergeCell ref="J12:K12"/>
    <mergeCell ref="J13:K13"/>
    <mergeCell ref="J14:K14"/>
    <mergeCell ref="J25:K25"/>
    <mergeCell ref="C26:D26"/>
    <mergeCell ref="I26:J26"/>
    <mergeCell ref="J16:K16"/>
    <mergeCell ref="J17:K17"/>
    <mergeCell ref="J18:K18"/>
    <mergeCell ref="J19:K19"/>
    <mergeCell ref="J20:K20"/>
    <mergeCell ref="J22:K22"/>
    <mergeCell ref="J23:K23"/>
    <mergeCell ref="AQ8:AR8"/>
    <mergeCell ref="AQ14:AR14"/>
    <mergeCell ref="AQ18:AR18"/>
    <mergeCell ref="AQ20:AR20"/>
    <mergeCell ref="AQ31:AR31"/>
    <mergeCell ref="AQ32:AR32"/>
    <mergeCell ref="BA36:BI53"/>
    <mergeCell ref="AQ45:AR45"/>
    <mergeCell ref="J47:K47"/>
    <mergeCell ref="J50:K50"/>
    <mergeCell ref="J52:K52"/>
    <mergeCell ref="J27:K27"/>
    <mergeCell ref="J28:K28"/>
    <mergeCell ref="J30:K30"/>
    <mergeCell ref="J31:K31"/>
    <mergeCell ref="J32:K32"/>
    <mergeCell ref="J33:K33"/>
    <mergeCell ref="J34:K34"/>
    <mergeCell ref="J37:K37"/>
    <mergeCell ref="J39:K39"/>
    <mergeCell ref="J40:K40"/>
    <mergeCell ref="J41:K41"/>
    <mergeCell ref="J42:K42"/>
    <mergeCell ref="J43:K43"/>
    <mergeCell ref="J44:K44"/>
    <mergeCell ref="J45:K45"/>
    <mergeCell ref="J46:K46"/>
    <mergeCell ref="J54:K54"/>
    <mergeCell ref="J55:K55"/>
    <mergeCell ref="J56:K56"/>
    <mergeCell ref="J57:K57"/>
    <mergeCell ref="J58:K58"/>
    <mergeCell ref="J59:K59"/>
    <mergeCell ref="J61:K61"/>
    <mergeCell ref="J62:K62"/>
    <mergeCell ref="J63:K63"/>
    <mergeCell ref="J64:K64"/>
    <mergeCell ref="J65:K65"/>
    <mergeCell ref="J66:K66"/>
    <mergeCell ref="J67:K67"/>
    <mergeCell ref="J69:K69"/>
    <mergeCell ref="J71:K71"/>
    <mergeCell ref="J72:K72"/>
    <mergeCell ref="J73:K73"/>
    <mergeCell ref="H74:I74"/>
    <mergeCell ref="J75:K75"/>
    <mergeCell ref="J80:K80"/>
    <mergeCell ref="J81:K81"/>
    <mergeCell ref="J82:K82"/>
    <mergeCell ref="J84:K84"/>
    <mergeCell ref="J86:K86"/>
    <mergeCell ref="J87:K87"/>
    <mergeCell ref="J88:K88"/>
    <mergeCell ref="J89:K89"/>
    <mergeCell ref="J90:K90"/>
    <mergeCell ref="J91:K91"/>
    <mergeCell ref="J94:K94"/>
    <mergeCell ref="J95:K95"/>
    <mergeCell ref="J96:K96"/>
    <mergeCell ref="J97:K97"/>
    <mergeCell ref="J99:K99"/>
    <mergeCell ref="J100:K100"/>
    <mergeCell ref="J101:K101"/>
    <mergeCell ref="J102:K102"/>
    <mergeCell ref="J103:K103"/>
    <mergeCell ref="J104:K104"/>
    <mergeCell ref="J105:K105"/>
    <mergeCell ref="J161:K161"/>
    <mergeCell ref="J163:K163"/>
    <mergeCell ref="J164:K164"/>
    <mergeCell ref="J165:K165"/>
    <mergeCell ref="J166:K166"/>
    <mergeCell ref="J168:K168"/>
    <mergeCell ref="J169:K169"/>
    <mergeCell ref="J170:K170"/>
    <mergeCell ref="J171:K171"/>
    <mergeCell ref="J172:K172"/>
    <mergeCell ref="J174:K174"/>
    <mergeCell ref="J175:K175"/>
    <mergeCell ref="J177:K177"/>
    <mergeCell ref="J178:K178"/>
    <mergeCell ref="N181:O181"/>
    <mergeCell ref="J106:K106"/>
    <mergeCell ref="J107:K107"/>
    <mergeCell ref="J109:K109"/>
    <mergeCell ref="J111:K111"/>
    <mergeCell ref="J112:K112"/>
    <mergeCell ref="J113:K113"/>
    <mergeCell ref="J114:K114"/>
    <mergeCell ref="J115:K115"/>
    <mergeCell ref="J117:K117"/>
    <mergeCell ref="J118:K118"/>
    <mergeCell ref="J119:K119"/>
    <mergeCell ref="J120:K120"/>
    <mergeCell ref="J121:K121"/>
    <mergeCell ref="J122:K122"/>
    <mergeCell ref="J123:K123"/>
    <mergeCell ref="J125:K125"/>
    <mergeCell ref="J126:K126"/>
    <mergeCell ref="J128:K128"/>
    <mergeCell ref="J129:K129"/>
    <mergeCell ref="J132:K132"/>
    <mergeCell ref="J133:K133"/>
    <mergeCell ref="J135:K135"/>
    <mergeCell ref="J137:K137"/>
    <mergeCell ref="J138:K138"/>
    <mergeCell ref="J139:K139"/>
    <mergeCell ref="J140:K140"/>
    <mergeCell ref="J141:K141"/>
    <mergeCell ref="J142:K142"/>
    <mergeCell ref="J144:K144"/>
    <mergeCell ref="J146:K146"/>
    <mergeCell ref="J147:K147"/>
    <mergeCell ref="H148:I148"/>
    <mergeCell ref="J149:K149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80:K180"/>
    <mergeCell ref="J181:K181"/>
    <mergeCell ref="J183:K183"/>
    <mergeCell ref="J185:K185"/>
    <mergeCell ref="J188:K188"/>
    <mergeCell ref="J189:K189"/>
    <mergeCell ref="J190:K190"/>
    <mergeCell ref="J191:K191"/>
    <mergeCell ref="J194:K194"/>
    <mergeCell ref="J195:K195"/>
    <mergeCell ref="J199:K199"/>
    <mergeCell ref="J200:K200"/>
    <mergeCell ref="J201:K201"/>
    <mergeCell ref="J204:K204"/>
    <mergeCell ref="J205:K205"/>
    <mergeCell ref="J206:K206"/>
    <mergeCell ref="J209:K209"/>
    <mergeCell ref="J210:K210"/>
    <mergeCell ref="J211:K211"/>
    <mergeCell ref="N211:O211"/>
    <mergeCell ref="J212:K212"/>
    <mergeCell ref="J220:K220"/>
    <mergeCell ref="J222:K222"/>
    <mergeCell ref="J223:K223"/>
    <mergeCell ref="J224:K224"/>
    <mergeCell ref="N224:O224"/>
    <mergeCell ref="J213:K213"/>
    <mergeCell ref="J214:K214"/>
    <mergeCell ref="J215:K215"/>
    <mergeCell ref="J216:K216"/>
    <mergeCell ref="J217:K217"/>
    <mergeCell ref="J218:K218"/>
    <mergeCell ref="J219:K219"/>
    <mergeCell ref="J228:K228"/>
    <mergeCell ref="J229:K229"/>
    <mergeCell ref="J230:K230"/>
    <mergeCell ref="J231:K231"/>
    <mergeCell ref="J232:K232"/>
    <mergeCell ref="J233:K233"/>
    <mergeCell ref="J235:K235"/>
    <mergeCell ref="J237:K237"/>
    <mergeCell ref="C240:D240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C249:D249"/>
    <mergeCell ref="J249:K249"/>
    <mergeCell ref="J250:K250"/>
    <mergeCell ref="J385:K385"/>
    <mergeCell ref="J386:K386"/>
    <mergeCell ref="J387:K387"/>
    <mergeCell ref="J388:K388"/>
    <mergeCell ref="J389:K389"/>
    <mergeCell ref="J390:K390"/>
    <mergeCell ref="J391:K391"/>
    <mergeCell ref="J404:K404"/>
    <mergeCell ref="J405:K405"/>
    <mergeCell ref="J406:K406"/>
    <mergeCell ref="J407:K407"/>
    <mergeCell ref="J408:K408"/>
    <mergeCell ref="J409:K409"/>
    <mergeCell ref="J410:K410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41:K441"/>
    <mergeCell ref="J442:K442"/>
    <mergeCell ref="J443:K443"/>
    <mergeCell ref="J444:K444"/>
    <mergeCell ref="J434:K434"/>
    <mergeCell ref="J435:K435"/>
    <mergeCell ref="J436:K436"/>
    <mergeCell ref="J437:K437"/>
    <mergeCell ref="J438:K438"/>
    <mergeCell ref="J439:K439"/>
    <mergeCell ref="J440:K440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1:K371"/>
    <mergeCell ref="J372:K372"/>
    <mergeCell ref="J373:K373"/>
    <mergeCell ref="J374:K374"/>
    <mergeCell ref="J375:K375"/>
    <mergeCell ref="J376:K376"/>
    <mergeCell ref="C377:D377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92:K392"/>
    <mergeCell ref="J393:K393"/>
    <mergeCell ref="J394:K394"/>
    <mergeCell ref="J395:K395"/>
    <mergeCell ref="C396:D396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C404:D404"/>
    <mergeCell ref="J411:K411"/>
    <mergeCell ref="C412:D412"/>
    <mergeCell ref="J412:K412"/>
  </mergeCells>
  <hyperlinks>
    <hyperlink r:id="rId1" location="sort:path~type~order=.efficiency~number~asc|rs-price:prev~next=10000~100000|rs-range:prev~next=0~1000|rs-fastcharge:prev~next=0~1500|rs-acceleration:prev~next=2~23|rs-topspeed:prev~next=110~350|rs-battery:prev~next=10~200|rs-towweight:prev~next=0~2500|rs-eff:prev~next=100~350|rs-safety:prev~next=-1~5|paging:currentPage=8|paging:number=50" ref="BB1"/>
    <hyperlink r:id="rId2" ref="A2"/>
    <hyperlink r:id="rId3" ref="B2"/>
    <hyperlink r:id="rId4" ref="A3"/>
    <hyperlink r:id="rId5" ref="B3"/>
    <hyperlink r:id="rId6" ref="A4"/>
    <hyperlink r:id="rId7" ref="B4"/>
    <hyperlink r:id="rId8" ref="A5"/>
    <hyperlink r:id="rId9" ref="B5"/>
    <hyperlink r:id="rId10" ref="A6"/>
    <hyperlink r:id="rId11" ref="B6"/>
    <hyperlink r:id="rId12" ref="A7"/>
    <hyperlink r:id="rId13" ref="B7"/>
    <hyperlink r:id="rId14" ref="A8"/>
    <hyperlink r:id="rId15" ref="B8"/>
    <hyperlink r:id="rId16" ref="A9"/>
    <hyperlink r:id="rId17" ref="B9"/>
    <hyperlink r:id="rId18" ref="A10"/>
    <hyperlink r:id="rId19" ref="B10"/>
    <hyperlink r:id="rId20" ref="A11"/>
    <hyperlink r:id="rId21" ref="B11"/>
    <hyperlink r:id="rId22" ref="A12"/>
    <hyperlink r:id="rId23" ref="B12"/>
    <hyperlink r:id="rId24" ref="A13"/>
    <hyperlink r:id="rId25" ref="B13"/>
    <hyperlink r:id="rId26" ref="A14"/>
    <hyperlink r:id="rId27" ref="B14"/>
    <hyperlink r:id="rId28" ref="A15"/>
    <hyperlink r:id="rId29" ref="B15"/>
    <hyperlink r:id="rId30" ref="A16"/>
    <hyperlink r:id="rId31" ref="B16"/>
    <hyperlink r:id="rId32" ref="A17"/>
    <hyperlink r:id="rId33" ref="B17"/>
    <hyperlink r:id="rId34" ref="A18"/>
    <hyperlink r:id="rId35" ref="B18"/>
    <hyperlink r:id="rId36" ref="A19"/>
    <hyperlink r:id="rId37" ref="B19"/>
    <hyperlink r:id="rId38" ref="A20"/>
    <hyperlink r:id="rId39" ref="B20"/>
    <hyperlink r:id="rId40" ref="A21"/>
    <hyperlink r:id="rId41" ref="B21"/>
    <hyperlink r:id="rId42" ref="A22"/>
    <hyperlink r:id="rId43" ref="B22"/>
    <hyperlink r:id="rId44" ref="A23"/>
    <hyperlink r:id="rId45" ref="B23"/>
    <hyperlink r:id="rId46" ref="A24"/>
    <hyperlink r:id="rId47" ref="B24"/>
    <hyperlink r:id="rId48" ref="A25"/>
    <hyperlink r:id="rId49" ref="B25"/>
    <hyperlink r:id="rId50" ref="A26"/>
    <hyperlink r:id="rId51" ref="B26"/>
    <hyperlink r:id="rId52" ref="A27"/>
    <hyperlink r:id="rId53" ref="B27"/>
    <hyperlink r:id="rId54" ref="A28"/>
    <hyperlink r:id="rId55" ref="B28"/>
    <hyperlink r:id="rId56" ref="A29"/>
    <hyperlink r:id="rId57" ref="B29"/>
    <hyperlink r:id="rId58" ref="A30"/>
    <hyperlink r:id="rId59" ref="B30"/>
    <hyperlink r:id="rId60" ref="A31"/>
    <hyperlink r:id="rId61" ref="B31"/>
    <hyperlink r:id="rId62" ref="A32"/>
    <hyperlink r:id="rId63" ref="B32"/>
    <hyperlink r:id="rId64" ref="A33"/>
    <hyperlink r:id="rId65" ref="B33"/>
    <hyperlink r:id="rId66" ref="A34"/>
    <hyperlink r:id="rId67" ref="B34"/>
    <hyperlink r:id="rId68" ref="A35"/>
    <hyperlink r:id="rId69" ref="B35"/>
    <hyperlink r:id="rId70" ref="A36"/>
    <hyperlink r:id="rId71" ref="B36"/>
    <hyperlink r:id="rId72" ref="A37"/>
    <hyperlink r:id="rId73" ref="B37"/>
    <hyperlink r:id="rId74" ref="A38"/>
    <hyperlink r:id="rId75" ref="B38"/>
    <hyperlink r:id="rId76" ref="A39"/>
    <hyperlink r:id="rId77" ref="B39"/>
    <hyperlink r:id="rId78" ref="A40"/>
    <hyperlink r:id="rId79" ref="B40"/>
    <hyperlink r:id="rId80" ref="A41"/>
    <hyperlink r:id="rId81" ref="B41"/>
    <hyperlink r:id="rId82" ref="A42"/>
    <hyperlink r:id="rId83" ref="B42"/>
    <hyperlink r:id="rId84" ref="A43"/>
    <hyperlink r:id="rId85" ref="B43"/>
    <hyperlink r:id="rId86" ref="A44"/>
    <hyperlink r:id="rId87" ref="B44"/>
    <hyperlink r:id="rId88" ref="A45"/>
    <hyperlink r:id="rId89" ref="B45"/>
    <hyperlink r:id="rId90" ref="A46"/>
    <hyperlink r:id="rId91" ref="B46"/>
    <hyperlink r:id="rId92" ref="A47"/>
    <hyperlink r:id="rId93" ref="B47"/>
    <hyperlink r:id="rId94" ref="A48"/>
    <hyperlink r:id="rId95" ref="B48"/>
    <hyperlink r:id="rId96" ref="A49"/>
    <hyperlink r:id="rId97" ref="B49"/>
    <hyperlink r:id="rId98" ref="A50"/>
    <hyperlink r:id="rId99" ref="B50"/>
    <hyperlink r:id="rId100" ref="A51"/>
    <hyperlink r:id="rId101" ref="B51"/>
    <hyperlink r:id="rId102" ref="A52"/>
    <hyperlink r:id="rId103" ref="B52"/>
    <hyperlink r:id="rId104" ref="A53"/>
    <hyperlink r:id="rId105" ref="B53"/>
    <hyperlink r:id="rId106" ref="A54"/>
    <hyperlink r:id="rId107" ref="B54"/>
    <hyperlink r:id="rId108" ref="A55"/>
    <hyperlink r:id="rId109" ref="B55"/>
    <hyperlink r:id="rId110" ref="A56"/>
    <hyperlink r:id="rId111" ref="B56"/>
    <hyperlink r:id="rId112" ref="A57"/>
    <hyperlink r:id="rId113" ref="B57"/>
    <hyperlink r:id="rId114" ref="A58"/>
    <hyperlink r:id="rId115" ref="B58"/>
    <hyperlink r:id="rId116" ref="A59"/>
    <hyperlink r:id="rId117" ref="B59"/>
    <hyperlink r:id="rId118" ref="A60"/>
    <hyperlink r:id="rId119" ref="B60"/>
    <hyperlink r:id="rId120" ref="A61"/>
    <hyperlink r:id="rId121" ref="B61"/>
    <hyperlink r:id="rId122" ref="A62"/>
    <hyperlink r:id="rId123" ref="B62"/>
    <hyperlink r:id="rId124" ref="A63"/>
    <hyperlink r:id="rId125" ref="B63"/>
    <hyperlink r:id="rId126" ref="A64"/>
    <hyperlink r:id="rId127" ref="B64"/>
    <hyperlink r:id="rId128" ref="A65"/>
    <hyperlink r:id="rId129" ref="B65"/>
    <hyperlink r:id="rId130" ref="A66"/>
    <hyperlink r:id="rId131" ref="B66"/>
    <hyperlink r:id="rId132" ref="A67"/>
    <hyperlink r:id="rId133" ref="B67"/>
    <hyperlink r:id="rId134" ref="A68"/>
    <hyperlink r:id="rId135" ref="B68"/>
    <hyperlink r:id="rId136" ref="A69"/>
    <hyperlink r:id="rId137" ref="B69"/>
    <hyperlink r:id="rId138" ref="A70"/>
    <hyperlink r:id="rId139" ref="B70"/>
    <hyperlink r:id="rId140" ref="A71"/>
    <hyperlink r:id="rId141" ref="B71"/>
    <hyperlink r:id="rId142" ref="A72"/>
    <hyperlink r:id="rId143" ref="B72"/>
    <hyperlink r:id="rId144" ref="A73"/>
    <hyperlink r:id="rId145" ref="B73"/>
    <hyperlink r:id="rId146" ref="A74"/>
    <hyperlink r:id="rId147" ref="B74"/>
    <hyperlink r:id="rId148" ref="A75"/>
    <hyperlink r:id="rId149" ref="B75"/>
    <hyperlink r:id="rId150" ref="A76"/>
    <hyperlink r:id="rId151" ref="B76"/>
    <hyperlink r:id="rId152" ref="A77"/>
    <hyperlink r:id="rId153" ref="B77"/>
    <hyperlink r:id="rId154" ref="A78"/>
    <hyperlink r:id="rId155" ref="B78"/>
    <hyperlink r:id="rId156" ref="A79"/>
    <hyperlink r:id="rId157" ref="B79"/>
    <hyperlink r:id="rId158" ref="A80"/>
    <hyperlink r:id="rId159" ref="B80"/>
    <hyperlink r:id="rId160" ref="A81"/>
    <hyperlink r:id="rId161" ref="B81"/>
    <hyperlink r:id="rId162" ref="A82"/>
    <hyperlink r:id="rId163" ref="B82"/>
    <hyperlink r:id="rId164" ref="A83"/>
    <hyperlink r:id="rId165" ref="B83"/>
    <hyperlink r:id="rId166" ref="A84"/>
    <hyperlink r:id="rId167" ref="B84"/>
    <hyperlink r:id="rId168" ref="A85"/>
    <hyperlink r:id="rId169" ref="B85"/>
    <hyperlink r:id="rId170" ref="A86"/>
    <hyperlink r:id="rId171" ref="B86"/>
    <hyperlink r:id="rId172" ref="A87"/>
    <hyperlink r:id="rId173" ref="B87"/>
    <hyperlink r:id="rId174" ref="A88"/>
    <hyperlink r:id="rId175" ref="B88"/>
    <hyperlink r:id="rId176" ref="A89"/>
    <hyperlink r:id="rId177" ref="B89"/>
    <hyperlink r:id="rId178" ref="A90"/>
    <hyperlink r:id="rId179" ref="B90"/>
    <hyperlink r:id="rId180" ref="A91"/>
    <hyperlink r:id="rId181" ref="B91"/>
    <hyperlink r:id="rId182" ref="A92"/>
    <hyperlink r:id="rId183" ref="B92"/>
    <hyperlink r:id="rId184" ref="A93"/>
    <hyperlink r:id="rId185" ref="B93"/>
    <hyperlink r:id="rId186" ref="A94"/>
    <hyperlink r:id="rId187" ref="B94"/>
    <hyperlink r:id="rId188" ref="A95"/>
    <hyperlink r:id="rId189" ref="B95"/>
    <hyperlink r:id="rId190" ref="A96"/>
    <hyperlink r:id="rId191" ref="B96"/>
    <hyperlink r:id="rId192" ref="A97"/>
    <hyperlink r:id="rId193" ref="B97"/>
    <hyperlink r:id="rId194" ref="A98"/>
    <hyperlink r:id="rId195" ref="B98"/>
    <hyperlink r:id="rId196" ref="A99"/>
    <hyperlink r:id="rId197" ref="B99"/>
    <hyperlink r:id="rId198" ref="A100"/>
    <hyperlink r:id="rId199" ref="B100"/>
    <hyperlink r:id="rId200" ref="A101"/>
    <hyperlink r:id="rId201" ref="B101"/>
    <hyperlink r:id="rId202" ref="A102"/>
    <hyperlink r:id="rId203" ref="B102"/>
    <hyperlink r:id="rId204" ref="A103"/>
    <hyperlink r:id="rId205" ref="B103"/>
    <hyperlink r:id="rId206" ref="A104"/>
    <hyperlink r:id="rId207" ref="B104"/>
    <hyperlink r:id="rId208" ref="A105"/>
    <hyperlink r:id="rId209" ref="B105"/>
    <hyperlink r:id="rId210" ref="A106"/>
    <hyperlink r:id="rId211" ref="B106"/>
    <hyperlink r:id="rId212" ref="A107"/>
    <hyperlink r:id="rId213" ref="B107"/>
    <hyperlink r:id="rId214" ref="A108"/>
    <hyperlink r:id="rId215" ref="B108"/>
    <hyperlink r:id="rId216" ref="A109"/>
    <hyperlink r:id="rId217" ref="B109"/>
    <hyperlink r:id="rId218" ref="A110"/>
    <hyperlink r:id="rId219" ref="B110"/>
    <hyperlink r:id="rId220" ref="A111"/>
    <hyperlink r:id="rId221" ref="B111"/>
    <hyperlink r:id="rId222" ref="A112"/>
    <hyperlink r:id="rId223" ref="B112"/>
    <hyperlink r:id="rId224" ref="A113"/>
    <hyperlink r:id="rId225" ref="B113"/>
    <hyperlink r:id="rId226" ref="A114"/>
    <hyperlink r:id="rId227" ref="B114"/>
    <hyperlink r:id="rId228" ref="A115"/>
    <hyperlink r:id="rId229" ref="B115"/>
    <hyperlink r:id="rId230" ref="A116"/>
    <hyperlink r:id="rId231" ref="B116"/>
    <hyperlink r:id="rId232" ref="A117"/>
    <hyperlink r:id="rId233" ref="B117"/>
    <hyperlink r:id="rId234" ref="A118"/>
    <hyperlink r:id="rId235" ref="B118"/>
    <hyperlink r:id="rId236" ref="A119"/>
    <hyperlink r:id="rId237" ref="B119"/>
    <hyperlink r:id="rId238" ref="A120"/>
    <hyperlink r:id="rId239" ref="B120"/>
    <hyperlink r:id="rId240" ref="A121"/>
    <hyperlink r:id="rId241" ref="B121"/>
    <hyperlink r:id="rId242" ref="A122"/>
    <hyperlink r:id="rId243" ref="B122"/>
    <hyperlink r:id="rId244" ref="A123"/>
    <hyperlink r:id="rId245" ref="B123"/>
    <hyperlink r:id="rId246" ref="A124"/>
    <hyperlink r:id="rId247" ref="B124"/>
    <hyperlink r:id="rId248" ref="A125"/>
    <hyperlink r:id="rId249" ref="B125"/>
    <hyperlink r:id="rId250" ref="A126"/>
    <hyperlink r:id="rId251" ref="B126"/>
    <hyperlink r:id="rId252" ref="A127"/>
    <hyperlink r:id="rId253" ref="B127"/>
    <hyperlink r:id="rId254" ref="A128"/>
    <hyperlink r:id="rId255" ref="B128"/>
    <hyperlink r:id="rId256" ref="A129"/>
    <hyperlink r:id="rId257" ref="B129"/>
    <hyperlink r:id="rId258" ref="A130"/>
    <hyperlink r:id="rId259" ref="B130"/>
    <hyperlink r:id="rId260" ref="A131"/>
    <hyperlink r:id="rId261" ref="B131"/>
    <hyperlink r:id="rId262" ref="A132"/>
    <hyperlink r:id="rId263" ref="B132"/>
    <hyperlink r:id="rId264" ref="A133"/>
    <hyperlink r:id="rId265" ref="B133"/>
    <hyperlink r:id="rId266" ref="A134"/>
    <hyperlink r:id="rId267" ref="B134"/>
    <hyperlink r:id="rId268" ref="A135"/>
    <hyperlink r:id="rId269" ref="B135"/>
    <hyperlink r:id="rId270" ref="A136"/>
    <hyperlink r:id="rId271" ref="B136"/>
    <hyperlink r:id="rId272" ref="A137"/>
    <hyperlink r:id="rId273" ref="B137"/>
    <hyperlink r:id="rId274" ref="A138"/>
    <hyperlink r:id="rId275" ref="B138"/>
    <hyperlink r:id="rId276" ref="A139"/>
    <hyperlink r:id="rId277" ref="B139"/>
    <hyperlink r:id="rId278" ref="A140"/>
    <hyperlink r:id="rId279" ref="B140"/>
    <hyperlink r:id="rId280" ref="A141"/>
    <hyperlink r:id="rId281" ref="B141"/>
    <hyperlink r:id="rId282" ref="A142"/>
    <hyperlink r:id="rId283" ref="B142"/>
    <hyperlink r:id="rId284" ref="A143"/>
    <hyperlink r:id="rId285" ref="B143"/>
    <hyperlink r:id="rId286" ref="A144"/>
    <hyperlink r:id="rId287" ref="B144"/>
    <hyperlink r:id="rId288" ref="A145"/>
    <hyperlink r:id="rId289" ref="B145"/>
    <hyperlink r:id="rId290" ref="A146"/>
    <hyperlink r:id="rId291" ref="B146"/>
    <hyperlink r:id="rId292" ref="A147"/>
    <hyperlink r:id="rId293" ref="B147"/>
    <hyperlink r:id="rId294" ref="A148"/>
    <hyperlink r:id="rId295" ref="B148"/>
    <hyperlink r:id="rId296" ref="A149"/>
    <hyperlink r:id="rId297" ref="B149"/>
    <hyperlink r:id="rId298" ref="A150"/>
    <hyperlink r:id="rId299" ref="B150"/>
    <hyperlink r:id="rId300" ref="A151"/>
    <hyperlink r:id="rId301" ref="B151"/>
    <hyperlink r:id="rId302" ref="A152"/>
    <hyperlink r:id="rId303" ref="B152"/>
    <hyperlink r:id="rId304" ref="A153"/>
    <hyperlink r:id="rId305" ref="B153"/>
    <hyperlink r:id="rId306" ref="A154"/>
    <hyperlink r:id="rId307" ref="B154"/>
    <hyperlink r:id="rId308" ref="A155"/>
    <hyperlink r:id="rId309" ref="B155"/>
    <hyperlink r:id="rId310" ref="A156"/>
    <hyperlink r:id="rId311" ref="B156"/>
    <hyperlink r:id="rId312" ref="A157"/>
    <hyperlink r:id="rId313" ref="B157"/>
    <hyperlink r:id="rId314" ref="A158"/>
    <hyperlink r:id="rId315" ref="B158"/>
    <hyperlink r:id="rId316" ref="A159"/>
    <hyperlink r:id="rId317" ref="B159"/>
    <hyperlink r:id="rId318" ref="A160"/>
    <hyperlink r:id="rId319" ref="B160"/>
    <hyperlink r:id="rId320" ref="A161"/>
    <hyperlink r:id="rId321" ref="B161"/>
    <hyperlink r:id="rId322" ref="A162"/>
    <hyperlink r:id="rId323" ref="B162"/>
    <hyperlink r:id="rId324" ref="A163"/>
    <hyperlink r:id="rId325" ref="B163"/>
    <hyperlink r:id="rId326" ref="A164"/>
    <hyperlink r:id="rId327" ref="B164"/>
    <hyperlink r:id="rId328" ref="A165"/>
    <hyperlink r:id="rId329" ref="B165"/>
    <hyperlink r:id="rId330" ref="A166"/>
    <hyperlink r:id="rId331" ref="B166"/>
    <hyperlink r:id="rId332" ref="A167"/>
    <hyperlink r:id="rId333" ref="B167"/>
    <hyperlink r:id="rId334" ref="A168"/>
    <hyperlink r:id="rId335" ref="B168"/>
    <hyperlink r:id="rId336" ref="A169"/>
    <hyperlink r:id="rId337" ref="B169"/>
    <hyperlink r:id="rId338" ref="A170"/>
    <hyperlink r:id="rId339" ref="B170"/>
    <hyperlink r:id="rId340" ref="A171"/>
    <hyperlink r:id="rId341" ref="B171"/>
    <hyperlink r:id="rId342" ref="A172"/>
    <hyperlink r:id="rId343" ref="B172"/>
    <hyperlink r:id="rId344" ref="A173"/>
    <hyperlink r:id="rId345" ref="B173"/>
    <hyperlink r:id="rId346" ref="A174"/>
    <hyperlink r:id="rId347" ref="B174"/>
    <hyperlink r:id="rId348" ref="A175"/>
    <hyperlink r:id="rId349" ref="B175"/>
    <hyperlink r:id="rId350" ref="A176"/>
    <hyperlink r:id="rId351" ref="B176"/>
    <hyperlink r:id="rId352" ref="A177"/>
    <hyperlink r:id="rId353" ref="B177"/>
    <hyperlink r:id="rId354" ref="A178"/>
    <hyperlink r:id="rId355" ref="B178"/>
    <hyperlink r:id="rId356" ref="A179"/>
    <hyperlink r:id="rId357" ref="B179"/>
    <hyperlink r:id="rId358" ref="A180"/>
    <hyperlink r:id="rId359" ref="B180"/>
    <hyperlink r:id="rId360" ref="A181"/>
    <hyperlink r:id="rId361" ref="B181"/>
    <hyperlink r:id="rId362" ref="A182"/>
    <hyperlink r:id="rId363" ref="B182"/>
    <hyperlink r:id="rId364" ref="A183"/>
    <hyperlink r:id="rId365" ref="B183"/>
    <hyperlink r:id="rId366" ref="A184"/>
    <hyperlink r:id="rId367" ref="B184"/>
    <hyperlink r:id="rId368" ref="A185"/>
    <hyperlink r:id="rId369" ref="B185"/>
    <hyperlink r:id="rId370" ref="A186"/>
    <hyperlink r:id="rId371" ref="B186"/>
    <hyperlink r:id="rId372" ref="A187"/>
    <hyperlink r:id="rId373" ref="B187"/>
    <hyperlink r:id="rId374" ref="A188"/>
    <hyperlink r:id="rId375" ref="B188"/>
    <hyperlink r:id="rId376" ref="A189"/>
    <hyperlink r:id="rId377" ref="B189"/>
    <hyperlink r:id="rId378" ref="A190"/>
    <hyperlink r:id="rId379" ref="B190"/>
    <hyperlink r:id="rId380" ref="A191"/>
    <hyperlink r:id="rId381" ref="B191"/>
    <hyperlink r:id="rId382" ref="A192"/>
    <hyperlink r:id="rId383" ref="B192"/>
    <hyperlink r:id="rId384" ref="A193"/>
    <hyperlink r:id="rId385" ref="B193"/>
    <hyperlink r:id="rId386" ref="A194"/>
    <hyperlink r:id="rId387" ref="B194"/>
    <hyperlink r:id="rId388" ref="A195"/>
    <hyperlink r:id="rId389" ref="B195"/>
    <hyperlink r:id="rId390" ref="A196"/>
    <hyperlink r:id="rId391" ref="B196"/>
    <hyperlink r:id="rId392" ref="A197"/>
    <hyperlink r:id="rId393" ref="B197"/>
    <hyperlink r:id="rId394" ref="A198"/>
    <hyperlink r:id="rId395" ref="B198"/>
    <hyperlink r:id="rId396" ref="A199"/>
    <hyperlink r:id="rId397" ref="B199"/>
    <hyperlink r:id="rId398" ref="A200"/>
    <hyperlink r:id="rId399" ref="B200"/>
    <hyperlink r:id="rId400" ref="A201"/>
    <hyperlink r:id="rId401" ref="B201"/>
    <hyperlink r:id="rId402" ref="A202"/>
    <hyperlink r:id="rId403" ref="B202"/>
    <hyperlink r:id="rId404" ref="A203"/>
    <hyperlink r:id="rId405" ref="B203"/>
    <hyperlink r:id="rId406" ref="A204"/>
    <hyperlink r:id="rId407" ref="B204"/>
    <hyperlink r:id="rId408" ref="A205"/>
    <hyperlink r:id="rId409" ref="B205"/>
    <hyperlink r:id="rId410" ref="A206"/>
    <hyperlink r:id="rId411" ref="B206"/>
    <hyperlink r:id="rId412" ref="A207"/>
    <hyperlink r:id="rId413" ref="B207"/>
    <hyperlink r:id="rId414" ref="A208"/>
    <hyperlink r:id="rId415" ref="B208"/>
    <hyperlink r:id="rId416" ref="A209"/>
    <hyperlink r:id="rId417" ref="B209"/>
    <hyperlink r:id="rId418" ref="A210"/>
    <hyperlink r:id="rId419" ref="B210"/>
    <hyperlink r:id="rId420" ref="A211"/>
    <hyperlink r:id="rId421" ref="B211"/>
    <hyperlink r:id="rId422" ref="A212"/>
    <hyperlink r:id="rId423" ref="B212"/>
    <hyperlink r:id="rId424" ref="A213"/>
    <hyperlink r:id="rId425" ref="B213"/>
    <hyperlink r:id="rId426" ref="A214"/>
    <hyperlink r:id="rId427" ref="B214"/>
    <hyperlink r:id="rId428" ref="A215"/>
    <hyperlink r:id="rId429" ref="B215"/>
    <hyperlink r:id="rId430" ref="A216"/>
    <hyperlink r:id="rId431" ref="B216"/>
    <hyperlink r:id="rId432" ref="A217"/>
    <hyperlink r:id="rId433" ref="B217"/>
    <hyperlink r:id="rId434" ref="A218"/>
    <hyperlink r:id="rId435" ref="B218"/>
    <hyperlink r:id="rId436" ref="A219"/>
    <hyperlink r:id="rId437" ref="B219"/>
    <hyperlink r:id="rId438" ref="A220"/>
    <hyperlink r:id="rId439" ref="B220"/>
    <hyperlink r:id="rId440" ref="A221"/>
    <hyperlink r:id="rId441" ref="B221"/>
    <hyperlink r:id="rId442" ref="A222"/>
    <hyperlink r:id="rId443" ref="B222"/>
    <hyperlink r:id="rId444" ref="A223"/>
    <hyperlink r:id="rId445" ref="B223"/>
    <hyperlink r:id="rId446" ref="A224"/>
    <hyperlink r:id="rId447" ref="B224"/>
    <hyperlink r:id="rId448" ref="A225"/>
    <hyperlink r:id="rId449" ref="B225"/>
    <hyperlink r:id="rId450" ref="A226"/>
    <hyperlink r:id="rId451" ref="B226"/>
    <hyperlink r:id="rId452" ref="A227"/>
    <hyperlink r:id="rId453" ref="B227"/>
    <hyperlink r:id="rId454" ref="A228"/>
    <hyperlink r:id="rId455" ref="B228"/>
    <hyperlink r:id="rId456" ref="A229"/>
    <hyperlink r:id="rId457" ref="B229"/>
    <hyperlink r:id="rId458" ref="A230"/>
    <hyperlink r:id="rId459" ref="B230"/>
    <hyperlink r:id="rId460" ref="A231"/>
    <hyperlink r:id="rId461" ref="B231"/>
    <hyperlink r:id="rId462" ref="A232"/>
    <hyperlink r:id="rId463" ref="B232"/>
    <hyperlink r:id="rId464" ref="A233"/>
    <hyperlink r:id="rId465" ref="B233"/>
    <hyperlink r:id="rId466" ref="A234"/>
    <hyperlink r:id="rId467" ref="B234"/>
    <hyperlink r:id="rId468" ref="A235"/>
    <hyperlink r:id="rId469" ref="B235"/>
    <hyperlink r:id="rId470" ref="A236"/>
    <hyperlink r:id="rId471" ref="B236"/>
    <hyperlink r:id="rId472" ref="A237"/>
    <hyperlink r:id="rId473" ref="B237"/>
    <hyperlink r:id="rId474" ref="A238"/>
    <hyperlink r:id="rId475" ref="B238"/>
    <hyperlink r:id="rId476" ref="A239"/>
    <hyperlink r:id="rId477" ref="B239"/>
    <hyperlink r:id="rId478" ref="A240"/>
    <hyperlink r:id="rId479" ref="B240"/>
    <hyperlink r:id="rId480" ref="A241"/>
    <hyperlink r:id="rId481" ref="B241"/>
    <hyperlink r:id="rId482" ref="A242"/>
    <hyperlink r:id="rId483" ref="B242"/>
    <hyperlink r:id="rId484" ref="A243"/>
    <hyperlink r:id="rId485" ref="B243"/>
    <hyperlink r:id="rId486" ref="A244"/>
    <hyperlink r:id="rId487" ref="B244"/>
    <hyperlink r:id="rId488" ref="A245"/>
    <hyperlink r:id="rId489" ref="B245"/>
    <hyperlink r:id="rId490" ref="A246"/>
    <hyperlink r:id="rId491" ref="B246"/>
    <hyperlink r:id="rId492" ref="A247"/>
    <hyperlink r:id="rId493" ref="B247"/>
    <hyperlink r:id="rId494" ref="A248"/>
    <hyperlink r:id="rId495" ref="B248"/>
    <hyperlink r:id="rId496" ref="A249"/>
    <hyperlink r:id="rId497" ref="B249"/>
    <hyperlink r:id="rId498" ref="A250"/>
    <hyperlink r:id="rId499" ref="B250"/>
    <hyperlink r:id="rId500" ref="A251"/>
    <hyperlink r:id="rId501" ref="B251"/>
    <hyperlink r:id="rId502" ref="A252"/>
    <hyperlink r:id="rId503" ref="B252"/>
    <hyperlink r:id="rId504" ref="A253"/>
    <hyperlink r:id="rId505" ref="B253"/>
    <hyperlink r:id="rId506" ref="A254"/>
    <hyperlink r:id="rId507" ref="B254"/>
    <hyperlink r:id="rId508" ref="A255"/>
    <hyperlink r:id="rId509" ref="B255"/>
    <hyperlink r:id="rId510" ref="A256"/>
    <hyperlink r:id="rId511" ref="B256"/>
    <hyperlink r:id="rId512" ref="A257"/>
    <hyperlink r:id="rId513" ref="B257"/>
    <hyperlink r:id="rId514" ref="A258"/>
    <hyperlink r:id="rId515" ref="B258"/>
    <hyperlink r:id="rId516" ref="A259"/>
    <hyperlink r:id="rId517" ref="B259"/>
    <hyperlink r:id="rId518" ref="A260"/>
    <hyperlink r:id="rId519" ref="B260"/>
    <hyperlink r:id="rId520" ref="A261"/>
    <hyperlink r:id="rId521" ref="B261"/>
    <hyperlink r:id="rId522" ref="A262"/>
    <hyperlink r:id="rId523" ref="B262"/>
    <hyperlink r:id="rId524" ref="A263"/>
    <hyperlink r:id="rId525" ref="B263"/>
    <hyperlink r:id="rId526" ref="A264"/>
    <hyperlink r:id="rId527" ref="B264"/>
    <hyperlink r:id="rId528" ref="A265"/>
    <hyperlink r:id="rId529" ref="B265"/>
    <hyperlink r:id="rId530" ref="A266"/>
    <hyperlink r:id="rId531" ref="B266"/>
    <hyperlink r:id="rId532" ref="A267"/>
    <hyperlink r:id="rId533" ref="B267"/>
    <hyperlink r:id="rId534" ref="A268"/>
    <hyperlink r:id="rId535" ref="B268"/>
    <hyperlink r:id="rId536" ref="A269"/>
    <hyperlink r:id="rId537" ref="B269"/>
    <hyperlink r:id="rId538" ref="A270"/>
    <hyperlink r:id="rId539" ref="B270"/>
    <hyperlink r:id="rId540" ref="A271"/>
    <hyperlink r:id="rId541" ref="B271"/>
    <hyperlink r:id="rId542" ref="A272"/>
    <hyperlink r:id="rId543" ref="B272"/>
    <hyperlink r:id="rId544" ref="A273"/>
    <hyperlink r:id="rId545" ref="B273"/>
    <hyperlink r:id="rId546" ref="A274"/>
    <hyperlink r:id="rId547" ref="B274"/>
    <hyperlink r:id="rId548" ref="A275"/>
    <hyperlink r:id="rId549" ref="B275"/>
    <hyperlink r:id="rId550" ref="A276"/>
    <hyperlink r:id="rId551" ref="B276"/>
    <hyperlink r:id="rId552" ref="A277"/>
    <hyperlink r:id="rId553" ref="B277"/>
    <hyperlink r:id="rId554" ref="A278"/>
    <hyperlink r:id="rId555" ref="B278"/>
    <hyperlink r:id="rId556" ref="A279"/>
    <hyperlink r:id="rId557" ref="B279"/>
    <hyperlink r:id="rId558" ref="A280"/>
    <hyperlink r:id="rId559" ref="B280"/>
    <hyperlink r:id="rId560" ref="A281"/>
    <hyperlink r:id="rId561" ref="B281"/>
    <hyperlink r:id="rId562" ref="A282"/>
    <hyperlink r:id="rId563" ref="B282"/>
    <hyperlink r:id="rId564" ref="A283"/>
    <hyperlink r:id="rId565" ref="B283"/>
    <hyperlink r:id="rId566" ref="A284"/>
    <hyperlink r:id="rId567" ref="B284"/>
    <hyperlink r:id="rId568" ref="A285"/>
    <hyperlink r:id="rId569" ref="B285"/>
    <hyperlink r:id="rId570" ref="A286"/>
    <hyperlink r:id="rId571" ref="B286"/>
    <hyperlink r:id="rId572" ref="A287"/>
    <hyperlink r:id="rId573" ref="B287"/>
    <hyperlink r:id="rId574" ref="A288"/>
    <hyperlink r:id="rId575" ref="B288"/>
    <hyperlink r:id="rId576" ref="A289"/>
    <hyperlink r:id="rId577" ref="B289"/>
    <hyperlink r:id="rId578" ref="A290"/>
    <hyperlink r:id="rId579" ref="B290"/>
    <hyperlink r:id="rId580" ref="A291"/>
    <hyperlink r:id="rId581" ref="B291"/>
    <hyperlink r:id="rId582" ref="A292"/>
    <hyperlink r:id="rId583" ref="B292"/>
    <hyperlink r:id="rId584" ref="A293"/>
    <hyperlink r:id="rId585" ref="B293"/>
    <hyperlink r:id="rId586" ref="A294"/>
    <hyperlink r:id="rId587" ref="B294"/>
    <hyperlink r:id="rId588" ref="A295"/>
    <hyperlink r:id="rId589" ref="B295"/>
    <hyperlink r:id="rId590" ref="A296"/>
    <hyperlink r:id="rId591" ref="B296"/>
    <hyperlink r:id="rId592" ref="A297"/>
    <hyperlink r:id="rId593" ref="B297"/>
    <hyperlink r:id="rId594" ref="A298"/>
    <hyperlink r:id="rId595" ref="B298"/>
    <hyperlink r:id="rId596" ref="A299"/>
    <hyperlink r:id="rId597" ref="B299"/>
    <hyperlink r:id="rId598" ref="A300"/>
    <hyperlink r:id="rId599" ref="B300"/>
    <hyperlink r:id="rId600" ref="A301"/>
    <hyperlink r:id="rId601" ref="B301"/>
    <hyperlink r:id="rId602" ref="A302"/>
    <hyperlink r:id="rId603" ref="B302"/>
    <hyperlink r:id="rId604" ref="A303"/>
    <hyperlink r:id="rId605" ref="B303"/>
    <hyperlink r:id="rId606" ref="A304"/>
    <hyperlink r:id="rId607" ref="B304"/>
    <hyperlink r:id="rId608" ref="A305"/>
    <hyperlink r:id="rId609" ref="B305"/>
    <hyperlink r:id="rId610" ref="A306"/>
    <hyperlink r:id="rId611" ref="B306"/>
    <hyperlink r:id="rId612" ref="A307"/>
    <hyperlink r:id="rId613" ref="B307"/>
    <hyperlink r:id="rId614" ref="A308"/>
    <hyperlink r:id="rId615" ref="B308"/>
    <hyperlink r:id="rId616" ref="A309"/>
    <hyperlink r:id="rId617" ref="B309"/>
    <hyperlink r:id="rId618" ref="A310"/>
    <hyperlink r:id="rId619" ref="B310"/>
    <hyperlink r:id="rId620" ref="A311"/>
    <hyperlink r:id="rId621" ref="B311"/>
    <hyperlink r:id="rId622" ref="A312"/>
    <hyperlink r:id="rId623" ref="B312"/>
    <hyperlink r:id="rId624" ref="A313"/>
    <hyperlink r:id="rId625" ref="B313"/>
    <hyperlink r:id="rId626" ref="A314"/>
    <hyperlink r:id="rId627" ref="B314"/>
    <hyperlink r:id="rId628" ref="A315"/>
    <hyperlink r:id="rId629" ref="B315"/>
    <hyperlink r:id="rId630" ref="A316"/>
    <hyperlink r:id="rId631" ref="B316"/>
    <hyperlink r:id="rId632" ref="A317"/>
    <hyperlink r:id="rId633" ref="B317"/>
    <hyperlink r:id="rId634" ref="A318"/>
    <hyperlink r:id="rId635" ref="B318"/>
    <hyperlink r:id="rId636" ref="A319"/>
    <hyperlink r:id="rId637" ref="B319"/>
    <hyperlink r:id="rId638" ref="A320"/>
    <hyperlink r:id="rId639" ref="B320"/>
    <hyperlink r:id="rId640" ref="A321"/>
    <hyperlink r:id="rId641" ref="B321"/>
    <hyperlink r:id="rId642" ref="A322"/>
    <hyperlink r:id="rId643" ref="B322"/>
    <hyperlink r:id="rId644" ref="A323"/>
    <hyperlink r:id="rId645" ref="B323"/>
    <hyperlink r:id="rId646" ref="A324"/>
    <hyperlink r:id="rId647" ref="B324"/>
    <hyperlink r:id="rId648" ref="A325"/>
    <hyperlink r:id="rId649" ref="B325"/>
    <hyperlink r:id="rId650" ref="A326"/>
    <hyperlink r:id="rId651" ref="B326"/>
    <hyperlink r:id="rId652" ref="A327"/>
    <hyperlink r:id="rId653" ref="B327"/>
    <hyperlink r:id="rId654" ref="A328"/>
    <hyperlink r:id="rId655" ref="B328"/>
    <hyperlink r:id="rId656" ref="A329"/>
    <hyperlink r:id="rId657" ref="B329"/>
    <hyperlink r:id="rId658" ref="A330"/>
    <hyperlink r:id="rId659" ref="B330"/>
    <hyperlink r:id="rId660" ref="A331"/>
    <hyperlink r:id="rId661" ref="B331"/>
    <hyperlink r:id="rId662" ref="A332"/>
    <hyperlink r:id="rId663" ref="B332"/>
    <hyperlink r:id="rId664" ref="A333"/>
    <hyperlink r:id="rId665" ref="B333"/>
    <hyperlink r:id="rId666" ref="A334"/>
    <hyperlink r:id="rId667" ref="B334"/>
    <hyperlink r:id="rId668" ref="A335"/>
    <hyperlink r:id="rId669" ref="B335"/>
    <hyperlink r:id="rId670" ref="A336"/>
    <hyperlink r:id="rId671" ref="B336"/>
    <hyperlink r:id="rId672" ref="A337"/>
    <hyperlink r:id="rId673" ref="B337"/>
    <hyperlink r:id="rId674" ref="A338"/>
    <hyperlink r:id="rId675" ref="B338"/>
    <hyperlink r:id="rId676" ref="A339"/>
    <hyperlink r:id="rId677" ref="B339"/>
    <hyperlink r:id="rId678" ref="A340"/>
    <hyperlink r:id="rId679" ref="B340"/>
    <hyperlink r:id="rId680" ref="A341"/>
    <hyperlink r:id="rId681" ref="B341"/>
    <hyperlink r:id="rId682" ref="A342"/>
    <hyperlink r:id="rId683" ref="B342"/>
    <hyperlink r:id="rId684" ref="A343"/>
    <hyperlink r:id="rId685" ref="B343"/>
    <hyperlink r:id="rId686" ref="A344"/>
    <hyperlink r:id="rId687" ref="B344"/>
    <hyperlink r:id="rId688" ref="A345"/>
    <hyperlink r:id="rId689" ref="B345"/>
    <hyperlink r:id="rId690" ref="A346"/>
    <hyperlink r:id="rId691" ref="B346"/>
    <hyperlink r:id="rId692" ref="A347"/>
    <hyperlink r:id="rId693" ref="B347"/>
    <hyperlink r:id="rId694" ref="A348"/>
    <hyperlink r:id="rId695" ref="B348"/>
    <hyperlink r:id="rId696" ref="A349"/>
    <hyperlink r:id="rId697" ref="B349"/>
    <hyperlink r:id="rId698" ref="A350"/>
    <hyperlink r:id="rId699" ref="B350"/>
    <hyperlink r:id="rId700" ref="A351"/>
    <hyperlink r:id="rId701" ref="B351"/>
    <hyperlink r:id="rId702" ref="A352"/>
    <hyperlink r:id="rId703" ref="B352"/>
    <hyperlink r:id="rId704" ref="A353"/>
    <hyperlink r:id="rId705" ref="B353"/>
    <hyperlink r:id="rId706" ref="A354"/>
    <hyperlink r:id="rId707" ref="B354"/>
    <hyperlink r:id="rId708" ref="A355"/>
    <hyperlink r:id="rId709" ref="B355"/>
    <hyperlink r:id="rId710" ref="A356"/>
    <hyperlink r:id="rId711" ref="B356"/>
    <hyperlink r:id="rId712" ref="A357"/>
    <hyperlink r:id="rId713" ref="B357"/>
    <hyperlink r:id="rId714" ref="A358"/>
    <hyperlink r:id="rId715" ref="B358"/>
    <hyperlink r:id="rId716" ref="A359"/>
    <hyperlink r:id="rId717" ref="B359"/>
    <hyperlink r:id="rId718" ref="A360"/>
    <hyperlink r:id="rId719" ref="B360"/>
    <hyperlink r:id="rId720" ref="A361"/>
    <hyperlink r:id="rId721" ref="B361"/>
    <hyperlink r:id="rId722" ref="A362"/>
    <hyperlink r:id="rId723" ref="B362"/>
    <hyperlink r:id="rId724" ref="A363"/>
    <hyperlink r:id="rId725" ref="B363"/>
    <hyperlink r:id="rId726" ref="A364"/>
    <hyperlink r:id="rId727" ref="B364"/>
    <hyperlink r:id="rId728" ref="A365"/>
    <hyperlink r:id="rId729" ref="B365"/>
    <hyperlink r:id="rId730" ref="A366"/>
    <hyperlink r:id="rId731" ref="B366"/>
    <hyperlink r:id="rId732" ref="A367"/>
    <hyperlink r:id="rId733" ref="B367"/>
    <hyperlink r:id="rId734" ref="A368"/>
    <hyperlink r:id="rId735" ref="B368"/>
    <hyperlink r:id="rId736" ref="A369"/>
    <hyperlink r:id="rId737" ref="B369"/>
    <hyperlink r:id="rId738" ref="A370"/>
    <hyperlink r:id="rId739" ref="B370"/>
    <hyperlink r:id="rId740" ref="A371"/>
    <hyperlink r:id="rId741" ref="B371"/>
    <hyperlink r:id="rId742" ref="A372"/>
    <hyperlink r:id="rId743" ref="B372"/>
    <hyperlink r:id="rId744" ref="A373"/>
    <hyperlink r:id="rId745" ref="B373"/>
    <hyperlink r:id="rId746" ref="A374"/>
    <hyperlink r:id="rId747" ref="B374"/>
    <hyperlink r:id="rId748" ref="A375"/>
    <hyperlink r:id="rId749" ref="B375"/>
    <hyperlink r:id="rId750" ref="A376"/>
    <hyperlink r:id="rId751" ref="B376"/>
    <hyperlink r:id="rId752" ref="A377"/>
    <hyperlink r:id="rId753" ref="B377"/>
    <hyperlink r:id="rId754" ref="A378"/>
    <hyperlink r:id="rId755" ref="B378"/>
    <hyperlink r:id="rId756" ref="A379"/>
    <hyperlink r:id="rId757" ref="B379"/>
    <hyperlink r:id="rId758" ref="A380"/>
    <hyperlink r:id="rId759" ref="B380"/>
    <hyperlink r:id="rId760" ref="A381"/>
    <hyperlink r:id="rId761" ref="B381"/>
    <hyperlink r:id="rId762" ref="A382"/>
    <hyperlink r:id="rId763" ref="B382"/>
    <hyperlink r:id="rId764" ref="A383"/>
    <hyperlink r:id="rId765" ref="B383"/>
    <hyperlink r:id="rId766" ref="A384"/>
    <hyperlink r:id="rId767" ref="B384"/>
    <hyperlink r:id="rId768" ref="A385"/>
    <hyperlink r:id="rId769" ref="B385"/>
    <hyperlink r:id="rId770" ref="A386"/>
    <hyperlink r:id="rId771" ref="B386"/>
    <hyperlink r:id="rId772" ref="A387"/>
    <hyperlink r:id="rId773" ref="B387"/>
    <hyperlink r:id="rId774" ref="A388"/>
    <hyperlink r:id="rId775" ref="B388"/>
    <hyperlink r:id="rId776" ref="A389"/>
    <hyperlink r:id="rId777" ref="B389"/>
    <hyperlink r:id="rId778" ref="A390"/>
    <hyperlink r:id="rId779" ref="B390"/>
    <hyperlink r:id="rId780" ref="A391"/>
    <hyperlink r:id="rId781" ref="B391"/>
    <hyperlink r:id="rId782" ref="A392"/>
    <hyperlink r:id="rId783" ref="B392"/>
    <hyperlink r:id="rId784" ref="A393"/>
    <hyperlink r:id="rId785" ref="B393"/>
    <hyperlink r:id="rId786" ref="A394"/>
    <hyperlink r:id="rId787" ref="B394"/>
    <hyperlink r:id="rId788" ref="A395"/>
    <hyperlink r:id="rId789" ref="B395"/>
    <hyperlink r:id="rId790" ref="A396"/>
    <hyperlink r:id="rId791" ref="B396"/>
    <hyperlink r:id="rId792" ref="A397"/>
    <hyperlink r:id="rId793" ref="B397"/>
    <hyperlink r:id="rId794" ref="A398"/>
    <hyperlink r:id="rId795" ref="B398"/>
    <hyperlink r:id="rId796" ref="A399"/>
    <hyperlink r:id="rId797" ref="B399"/>
    <hyperlink r:id="rId798" ref="A400"/>
    <hyperlink r:id="rId799" ref="B400"/>
    <hyperlink r:id="rId800" ref="A401"/>
    <hyperlink r:id="rId801" ref="B401"/>
    <hyperlink r:id="rId802" ref="A402"/>
    <hyperlink r:id="rId803" ref="B402"/>
    <hyperlink r:id="rId804" ref="A403"/>
    <hyperlink r:id="rId805" ref="B403"/>
    <hyperlink r:id="rId806" ref="A404"/>
    <hyperlink r:id="rId807" ref="B404"/>
    <hyperlink r:id="rId808" ref="A405"/>
    <hyperlink r:id="rId809" ref="B405"/>
    <hyperlink r:id="rId810" ref="A406"/>
    <hyperlink r:id="rId811" ref="B406"/>
    <hyperlink r:id="rId812" ref="A407"/>
    <hyperlink r:id="rId813" ref="B407"/>
    <hyperlink r:id="rId814" ref="A408"/>
    <hyperlink r:id="rId815" ref="B408"/>
    <hyperlink r:id="rId816" ref="A409"/>
    <hyperlink r:id="rId817" ref="B409"/>
    <hyperlink r:id="rId818" ref="A410"/>
    <hyperlink r:id="rId819" ref="B410"/>
    <hyperlink r:id="rId820" ref="A411"/>
    <hyperlink r:id="rId821" ref="B411"/>
    <hyperlink r:id="rId822" ref="A412"/>
    <hyperlink r:id="rId823" ref="B412"/>
    <hyperlink r:id="rId824" ref="A413"/>
    <hyperlink r:id="rId825" ref="B413"/>
    <hyperlink r:id="rId826" ref="A414"/>
    <hyperlink r:id="rId827" ref="B414"/>
    <hyperlink r:id="rId828" ref="A415"/>
    <hyperlink r:id="rId829" ref="B415"/>
    <hyperlink r:id="rId830" ref="A416"/>
    <hyperlink r:id="rId831" ref="B416"/>
    <hyperlink r:id="rId832" ref="A417"/>
    <hyperlink r:id="rId833" ref="B417"/>
    <hyperlink r:id="rId834" ref="A418"/>
    <hyperlink r:id="rId835" ref="B418"/>
    <hyperlink r:id="rId836" ref="A419"/>
    <hyperlink r:id="rId837" ref="B419"/>
    <hyperlink r:id="rId838" ref="A420"/>
    <hyperlink r:id="rId839" ref="B420"/>
    <hyperlink r:id="rId840" ref="A421"/>
    <hyperlink r:id="rId841" ref="B421"/>
    <hyperlink r:id="rId842" ref="A422"/>
    <hyperlink r:id="rId843" ref="B422"/>
    <hyperlink r:id="rId844" ref="A423"/>
    <hyperlink r:id="rId845" ref="B423"/>
    <hyperlink r:id="rId846" ref="A424"/>
    <hyperlink r:id="rId847" ref="B424"/>
    <hyperlink r:id="rId848" ref="A425"/>
    <hyperlink r:id="rId849" ref="B425"/>
    <hyperlink r:id="rId850" ref="A426"/>
    <hyperlink r:id="rId851" ref="B426"/>
    <hyperlink r:id="rId852" ref="A427"/>
    <hyperlink r:id="rId853" ref="B427"/>
    <hyperlink r:id="rId854" ref="A428"/>
    <hyperlink r:id="rId855" ref="B428"/>
    <hyperlink r:id="rId856" ref="A429"/>
    <hyperlink r:id="rId857" ref="B429"/>
    <hyperlink r:id="rId858" ref="A430"/>
    <hyperlink r:id="rId859" ref="B430"/>
    <hyperlink r:id="rId860" ref="A431"/>
    <hyperlink r:id="rId861" ref="B431"/>
    <hyperlink r:id="rId862" ref="A432"/>
    <hyperlink r:id="rId863" ref="B432"/>
    <hyperlink r:id="rId864" ref="A433"/>
    <hyperlink r:id="rId865" ref="B433"/>
    <hyperlink r:id="rId866" ref="A434"/>
    <hyperlink r:id="rId867" ref="B434"/>
    <hyperlink r:id="rId868" ref="A435"/>
    <hyperlink r:id="rId869" ref="B435"/>
    <hyperlink r:id="rId870" ref="A436"/>
    <hyperlink r:id="rId871" ref="B436"/>
    <hyperlink r:id="rId872" ref="A437"/>
    <hyperlink r:id="rId873" ref="B437"/>
    <hyperlink r:id="rId874" ref="A438"/>
    <hyperlink r:id="rId875" ref="B438"/>
    <hyperlink r:id="rId876" ref="A439"/>
    <hyperlink r:id="rId877" ref="B439"/>
    <hyperlink r:id="rId878" ref="A440"/>
    <hyperlink r:id="rId879" ref="B440"/>
    <hyperlink r:id="rId880" ref="A441"/>
    <hyperlink r:id="rId881" ref="B441"/>
    <hyperlink r:id="rId882" ref="A442"/>
    <hyperlink r:id="rId883" ref="B442"/>
    <hyperlink r:id="rId884" ref="A443"/>
    <hyperlink r:id="rId885" ref="B443"/>
    <hyperlink r:id="rId886" ref="A444"/>
    <hyperlink r:id="rId887" ref="B444"/>
  </hyperlinks>
  <drawing r:id="rId88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43"/>
  </cols>
  <sheetData>
    <row r="1">
      <c r="A1" s="39" t="s">
        <v>2448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1"/>
      <c r="T1" s="39" t="s">
        <v>2449</v>
      </c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1"/>
    </row>
    <row r="2">
      <c r="A2" s="42" t="s">
        <v>2450</v>
      </c>
      <c r="B2" s="42" t="s">
        <v>2451</v>
      </c>
      <c r="C2" s="43" t="s">
        <v>2452</v>
      </c>
      <c r="D2" s="44"/>
      <c r="E2" s="44"/>
      <c r="F2" s="44"/>
      <c r="G2" s="44"/>
      <c r="H2" s="44"/>
      <c r="I2" s="44"/>
      <c r="J2" s="45" t="s">
        <v>2453</v>
      </c>
      <c r="K2" s="44"/>
      <c r="L2" s="44"/>
      <c r="M2" s="44"/>
      <c r="N2" s="44"/>
      <c r="O2" s="44"/>
      <c r="P2" s="46"/>
      <c r="Q2" s="42" t="s">
        <v>2454</v>
      </c>
      <c r="T2" s="42" t="s">
        <v>2450</v>
      </c>
      <c r="U2" s="42" t="s">
        <v>2451</v>
      </c>
      <c r="V2" s="42" t="s">
        <v>2455</v>
      </c>
      <c r="W2" s="47" t="s">
        <v>2456</v>
      </c>
      <c r="X2" s="48" t="s">
        <v>2457</v>
      </c>
      <c r="Y2" s="40"/>
      <c r="Z2" s="40"/>
      <c r="AA2" s="40"/>
      <c r="AB2" s="40"/>
      <c r="AC2" s="40"/>
      <c r="AD2" s="40"/>
      <c r="AE2" s="40"/>
      <c r="AF2" s="40"/>
      <c r="AG2" s="40"/>
      <c r="AH2" s="41"/>
    </row>
    <row r="3">
      <c r="A3" s="49"/>
      <c r="B3" s="49"/>
      <c r="C3" s="50" t="s">
        <v>2458</v>
      </c>
      <c r="D3" s="51"/>
      <c r="E3" s="51"/>
      <c r="F3" s="51"/>
      <c r="G3" s="51"/>
      <c r="H3" s="51"/>
      <c r="I3" s="51"/>
      <c r="J3" s="52" t="s">
        <v>2458</v>
      </c>
      <c r="K3" s="51"/>
      <c r="L3" s="51"/>
      <c r="M3" s="51"/>
      <c r="N3" s="51"/>
      <c r="O3" s="51"/>
      <c r="P3" s="53"/>
      <c r="Q3" s="49"/>
      <c r="T3" s="54"/>
      <c r="U3" s="54"/>
      <c r="V3" s="54"/>
      <c r="W3" s="54"/>
      <c r="X3" s="55" t="s">
        <v>2459</v>
      </c>
      <c r="Y3" s="55" t="s">
        <v>2460</v>
      </c>
      <c r="Z3" s="55" t="s">
        <v>2461</v>
      </c>
      <c r="AA3" s="55" t="s">
        <v>2462</v>
      </c>
      <c r="AB3" s="55" t="s">
        <v>2463</v>
      </c>
      <c r="AC3" s="55" t="s">
        <v>2464</v>
      </c>
      <c r="AD3" s="55" t="s">
        <v>2465</v>
      </c>
      <c r="AE3" s="55" t="s">
        <v>2466</v>
      </c>
      <c r="AF3" s="55" t="s">
        <v>2467</v>
      </c>
      <c r="AG3" s="55" t="s">
        <v>2468</v>
      </c>
      <c r="AH3" s="55" t="s">
        <v>2469</v>
      </c>
    </row>
    <row r="4">
      <c r="A4" s="54"/>
      <c r="B4" s="54"/>
      <c r="C4" s="56" t="s">
        <v>2470</v>
      </c>
      <c r="D4" s="56" t="s">
        <v>2471</v>
      </c>
      <c r="E4" s="56" t="s">
        <v>2472</v>
      </c>
      <c r="F4" s="56" t="s">
        <v>2473</v>
      </c>
      <c r="G4" s="56" t="s">
        <v>2474</v>
      </c>
      <c r="H4" s="56" t="s">
        <v>2475</v>
      </c>
      <c r="I4" s="56" t="s">
        <v>2476</v>
      </c>
      <c r="J4" s="57" t="s">
        <v>2470</v>
      </c>
      <c r="K4" s="57" t="s">
        <v>2471</v>
      </c>
      <c r="L4" s="57" t="s">
        <v>2472</v>
      </c>
      <c r="M4" s="57" t="s">
        <v>2473</v>
      </c>
      <c r="N4" s="57" t="s">
        <v>2474</v>
      </c>
      <c r="O4" s="57" t="s">
        <v>2475</v>
      </c>
      <c r="P4" s="57" t="s">
        <v>2476</v>
      </c>
      <c r="Q4" s="54"/>
      <c r="T4" s="58" t="s">
        <v>2477</v>
      </c>
      <c r="U4" s="59" t="s">
        <v>2478</v>
      </c>
      <c r="V4" s="60">
        <v>2.17</v>
      </c>
      <c r="W4" s="60" t="s">
        <v>2479</v>
      </c>
      <c r="X4" s="60" t="s">
        <v>2480</v>
      </c>
      <c r="Y4" s="60" t="s">
        <v>2481</v>
      </c>
      <c r="Z4" s="60" t="s">
        <v>2482</v>
      </c>
      <c r="AA4" s="60" t="s">
        <v>2483</v>
      </c>
      <c r="AB4" s="60" t="s">
        <v>2483</v>
      </c>
      <c r="AC4" s="60" t="s">
        <v>2484</v>
      </c>
      <c r="AD4" s="60" t="s">
        <v>2485</v>
      </c>
      <c r="AE4" s="60" t="s">
        <v>2486</v>
      </c>
      <c r="AF4" s="60" t="s">
        <v>2483</v>
      </c>
      <c r="AG4" s="60" t="s">
        <v>2483</v>
      </c>
      <c r="AH4" s="60" t="s">
        <v>2483</v>
      </c>
    </row>
    <row r="5">
      <c r="A5" s="58" t="s">
        <v>2477</v>
      </c>
      <c r="B5" s="59" t="s">
        <v>2478</v>
      </c>
      <c r="C5" s="60" t="s">
        <v>2487</v>
      </c>
      <c r="D5" s="61">
        <v>88.0</v>
      </c>
      <c r="E5" s="61">
        <v>12.0</v>
      </c>
      <c r="F5" s="60" t="s">
        <v>2488</v>
      </c>
      <c r="G5" s="62">
        <v>45296.0</v>
      </c>
      <c r="H5" s="62">
        <v>45387.0</v>
      </c>
      <c r="I5" s="61">
        <v>423.0</v>
      </c>
      <c r="J5" s="60" t="s">
        <v>2489</v>
      </c>
      <c r="K5" s="61">
        <v>123.0</v>
      </c>
      <c r="L5" s="61">
        <v>17.0</v>
      </c>
      <c r="M5" s="60" t="s">
        <v>2490</v>
      </c>
      <c r="N5" s="60" t="s">
        <v>2491</v>
      </c>
      <c r="O5" s="62">
        <v>45450.0</v>
      </c>
      <c r="P5" s="61">
        <v>583.0</v>
      </c>
      <c r="Q5" s="60" t="s">
        <v>2492</v>
      </c>
      <c r="T5" s="58" t="s">
        <v>2493</v>
      </c>
      <c r="U5" s="59" t="s">
        <v>2494</v>
      </c>
      <c r="V5" s="60">
        <v>920.0</v>
      </c>
      <c r="W5" s="60" t="s">
        <v>2495</v>
      </c>
      <c r="X5" s="60" t="s">
        <v>2483</v>
      </c>
      <c r="Y5" s="60" t="s">
        <v>2496</v>
      </c>
      <c r="Z5" s="60" t="s">
        <v>2497</v>
      </c>
      <c r="AA5" s="60" t="s">
        <v>2483</v>
      </c>
      <c r="AB5" s="60" t="s">
        <v>2483</v>
      </c>
      <c r="AC5" s="60" t="s">
        <v>2498</v>
      </c>
      <c r="AD5" s="60" t="s">
        <v>2483</v>
      </c>
      <c r="AE5" s="60" t="s">
        <v>2499</v>
      </c>
      <c r="AF5" s="60" t="s">
        <v>2483</v>
      </c>
      <c r="AG5" s="60" t="s">
        <v>2483</v>
      </c>
      <c r="AH5" s="60" t="s">
        <v>2483</v>
      </c>
    </row>
    <row r="6">
      <c r="A6" s="58" t="s">
        <v>2493</v>
      </c>
      <c r="B6" s="59" t="s">
        <v>2494</v>
      </c>
      <c r="C6" s="60" t="s">
        <v>2500</v>
      </c>
      <c r="D6" s="61">
        <v>23.0</v>
      </c>
      <c r="E6" s="61">
        <v>4.0</v>
      </c>
      <c r="F6" s="60" t="s">
        <v>2501</v>
      </c>
      <c r="G6" s="62">
        <v>45542.0</v>
      </c>
      <c r="H6" s="62">
        <v>45358.0</v>
      </c>
      <c r="I6" s="61">
        <v>680.0</v>
      </c>
      <c r="J6" s="60" t="s">
        <v>2502</v>
      </c>
      <c r="K6" s="61">
        <v>69.0</v>
      </c>
      <c r="L6" s="61">
        <v>12.0</v>
      </c>
      <c r="M6" s="60" t="s">
        <v>2503</v>
      </c>
      <c r="N6" s="62">
        <v>45407.0</v>
      </c>
      <c r="O6" s="62">
        <v>45467.0</v>
      </c>
      <c r="P6" s="61">
        <v>2185.0</v>
      </c>
      <c r="Q6" s="60" t="s">
        <v>2492</v>
      </c>
      <c r="T6" s="58" t="s">
        <v>2504</v>
      </c>
      <c r="U6" s="59" t="s">
        <v>2505</v>
      </c>
      <c r="V6" s="60">
        <v>52.133</v>
      </c>
      <c r="W6" s="60" t="s">
        <v>2506</v>
      </c>
      <c r="X6" s="60" t="s">
        <v>2507</v>
      </c>
      <c r="Y6" s="60" t="s">
        <v>2483</v>
      </c>
      <c r="Z6" s="60" t="s">
        <v>2508</v>
      </c>
      <c r="AA6" s="60" t="s">
        <v>2483</v>
      </c>
      <c r="AB6" s="60" t="s">
        <v>2509</v>
      </c>
      <c r="AC6" s="60" t="s">
        <v>2510</v>
      </c>
      <c r="AD6" s="60" t="s">
        <v>2511</v>
      </c>
      <c r="AE6" s="60" t="s">
        <v>2512</v>
      </c>
      <c r="AF6" s="60" t="s">
        <v>2513</v>
      </c>
      <c r="AG6" s="60" t="s">
        <v>2514</v>
      </c>
      <c r="AH6" s="60" t="s">
        <v>2483</v>
      </c>
    </row>
    <row r="7">
      <c r="A7" s="58" t="s">
        <v>2504</v>
      </c>
      <c r="B7" s="59" t="s">
        <v>2505</v>
      </c>
      <c r="C7" s="60" t="s">
        <v>2515</v>
      </c>
      <c r="D7" s="61">
        <v>51.0</v>
      </c>
      <c r="E7" s="61">
        <v>7.0</v>
      </c>
      <c r="F7" s="60" t="s">
        <v>2516</v>
      </c>
      <c r="G7" s="60" t="s">
        <v>2517</v>
      </c>
      <c r="H7" s="60" t="s">
        <v>2517</v>
      </c>
      <c r="I7" s="61">
        <v>121.0</v>
      </c>
      <c r="J7" s="60" t="s">
        <v>2518</v>
      </c>
      <c r="K7" s="61">
        <v>65.0</v>
      </c>
      <c r="L7" s="61">
        <v>9.0</v>
      </c>
      <c r="M7" s="60" t="s">
        <v>2519</v>
      </c>
      <c r="N7" s="60" t="s">
        <v>2520</v>
      </c>
      <c r="O7" s="60" t="s">
        <v>2520</v>
      </c>
      <c r="P7" s="61">
        <v>162.0</v>
      </c>
      <c r="Q7" s="60" t="s">
        <v>2521</v>
      </c>
      <c r="T7" s="58" t="s">
        <v>2522</v>
      </c>
      <c r="U7" s="59" t="s">
        <v>2523</v>
      </c>
      <c r="V7" s="60">
        <v>93.348</v>
      </c>
      <c r="W7" s="60" t="s">
        <v>2524</v>
      </c>
      <c r="X7" s="60" t="s">
        <v>2525</v>
      </c>
      <c r="Y7" s="60" t="s">
        <v>2526</v>
      </c>
      <c r="Z7" s="60" t="s">
        <v>2527</v>
      </c>
      <c r="AA7" s="60" t="s">
        <v>2485</v>
      </c>
      <c r="AB7" s="60" t="s">
        <v>2528</v>
      </c>
      <c r="AC7" s="60" t="s">
        <v>2529</v>
      </c>
      <c r="AD7" s="60" t="s">
        <v>2530</v>
      </c>
      <c r="AE7" s="60" t="s">
        <v>2531</v>
      </c>
      <c r="AF7" s="60" t="s">
        <v>2532</v>
      </c>
      <c r="AG7" s="60" t="s">
        <v>2533</v>
      </c>
      <c r="AH7" s="60" t="s">
        <v>2483</v>
      </c>
    </row>
    <row r="8">
      <c r="A8" s="58" t="s">
        <v>2522</v>
      </c>
      <c r="B8" s="59" t="s">
        <v>2523</v>
      </c>
      <c r="C8" s="60" t="s">
        <v>2534</v>
      </c>
      <c r="D8" s="61">
        <v>30.0</v>
      </c>
      <c r="E8" s="61">
        <v>4.0</v>
      </c>
      <c r="F8" s="60" t="s">
        <v>2535</v>
      </c>
      <c r="G8" s="60" t="s">
        <v>2536</v>
      </c>
      <c r="H8" s="60" t="s">
        <v>2517</v>
      </c>
      <c r="I8" s="61">
        <v>30.0</v>
      </c>
      <c r="J8" s="60" t="s">
        <v>2537</v>
      </c>
      <c r="K8" s="61">
        <v>49.0</v>
      </c>
      <c r="L8" s="61">
        <v>6.0</v>
      </c>
      <c r="M8" s="60" t="s">
        <v>2538</v>
      </c>
      <c r="N8" s="60" t="s">
        <v>2539</v>
      </c>
      <c r="O8" s="60" t="s">
        <v>2520</v>
      </c>
      <c r="P8" s="61">
        <v>55.0</v>
      </c>
      <c r="Q8" s="60" t="s">
        <v>2521</v>
      </c>
      <c r="T8" s="58" t="s">
        <v>2540</v>
      </c>
      <c r="U8" s="59" t="s">
        <v>2541</v>
      </c>
      <c r="V8" s="60">
        <v>139.101</v>
      </c>
      <c r="W8" s="60" t="s">
        <v>2542</v>
      </c>
      <c r="X8" s="60" t="s">
        <v>2543</v>
      </c>
      <c r="Y8" s="60" t="s">
        <v>2526</v>
      </c>
      <c r="Z8" s="60" t="s">
        <v>2544</v>
      </c>
      <c r="AA8" s="60" t="s">
        <v>2545</v>
      </c>
      <c r="AB8" s="60" t="s">
        <v>2546</v>
      </c>
      <c r="AC8" s="60" t="s">
        <v>2526</v>
      </c>
      <c r="AD8" s="60" t="s">
        <v>2547</v>
      </c>
      <c r="AE8" s="60" t="s">
        <v>2548</v>
      </c>
      <c r="AF8" s="60" t="s">
        <v>2549</v>
      </c>
      <c r="AG8" s="60" t="s">
        <v>2483</v>
      </c>
      <c r="AH8" s="60" t="s">
        <v>2526</v>
      </c>
    </row>
    <row r="9">
      <c r="A9" s="58" t="s">
        <v>2540</v>
      </c>
      <c r="B9" s="59" t="s">
        <v>2541</v>
      </c>
      <c r="C9" s="60" t="s">
        <v>2550</v>
      </c>
      <c r="D9" s="61">
        <v>49.0</v>
      </c>
      <c r="E9" s="61">
        <v>7.0</v>
      </c>
      <c r="F9" s="60" t="s">
        <v>2551</v>
      </c>
      <c r="G9" s="60" t="s">
        <v>2536</v>
      </c>
      <c r="H9" s="60" t="s">
        <v>2536</v>
      </c>
      <c r="I9" s="61">
        <v>407.0</v>
      </c>
      <c r="J9" s="60" t="s">
        <v>2552</v>
      </c>
      <c r="K9" s="61">
        <v>67.0</v>
      </c>
      <c r="L9" s="61">
        <v>9.0</v>
      </c>
      <c r="M9" s="60" t="s">
        <v>2553</v>
      </c>
      <c r="N9" s="60" t="s">
        <v>2554</v>
      </c>
      <c r="O9" s="60" t="s">
        <v>2554</v>
      </c>
      <c r="P9" s="61">
        <v>665.0</v>
      </c>
      <c r="Q9" s="60" t="s">
        <v>2521</v>
      </c>
      <c r="T9" s="58" t="s">
        <v>2555</v>
      </c>
      <c r="U9" s="59" t="s">
        <v>2556</v>
      </c>
      <c r="V9" s="60">
        <v>70.81</v>
      </c>
      <c r="W9" s="60" t="s">
        <v>2557</v>
      </c>
      <c r="X9" s="60" t="s">
        <v>2558</v>
      </c>
      <c r="Y9" s="60" t="s">
        <v>2559</v>
      </c>
      <c r="Z9" s="60" t="s">
        <v>2560</v>
      </c>
      <c r="AA9" s="60" t="s">
        <v>2561</v>
      </c>
      <c r="AB9" s="60" t="s">
        <v>2562</v>
      </c>
      <c r="AC9" s="60" t="s">
        <v>2526</v>
      </c>
      <c r="AD9" s="60" t="s">
        <v>2563</v>
      </c>
      <c r="AE9" s="60" t="s">
        <v>2483</v>
      </c>
      <c r="AF9" s="60" t="s">
        <v>2564</v>
      </c>
      <c r="AG9" s="60" t="s">
        <v>2483</v>
      </c>
      <c r="AH9" s="60" t="s">
        <v>2511</v>
      </c>
    </row>
    <row r="10">
      <c r="A10" s="58" t="s">
        <v>2555</v>
      </c>
      <c r="B10" s="59" t="s">
        <v>2556</v>
      </c>
      <c r="C10" s="60" t="s">
        <v>2565</v>
      </c>
      <c r="D10" s="61">
        <v>48.0</v>
      </c>
      <c r="E10" s="61">
        <v>6.0</v>
      </c>
      <c r="F10" s="60" t="s">
        <v>2566</v>
      </c>
      <c r="G10" s="60" t="s">
        <v>2567</v>
      </c>
      <c r="H10" s="60" t="s">
        <v>2567</v>
      </c>
      <c r="I10" s="61">
        <v>142.0</v>
      </c>
      <c r="J10" s="60" t="s">
        <v>2568</v>
      </c>
      <c r="K10" s="61">
        <v>56.0</v>
      </c>
      <c r="L10" s="61">
        <v>7.0</v>
      </c>
      <c r="M10" s="60" t="s">
        <v>2569</v>
      </c>
      <c r="N10" s="60" t="s">
        <v>2517</v>
      </c>
      <c r="O10" s="60" t="s">
        <v>2517</v>
      </c>
      <c r="P10" s="61">
        <v>208.0</v>
      </c>
      <c r="Q10" s="60" t="s">
        <v>2521</v>
      </c>
      <c r="T10" s="58" t="s">
        <v>2570</v>
      </c>
      <c r="U10" s="59" t="s">
        <v>2571</v>
      </c>
      <c r="V10" s="60">
        <v>1.045</v>
      </c>
      <c r="W10" s="60" t="s">
        <v>2572</v>
      </c>
      <c r="X10" s="60" t="s">
        <v>2483</v>
      </c>
      <c r="Y10" s="60" t="s">
        <v>2573</v>
      </c>
      <c r="Z10" s="60" t="s">
        <v>2483</v>
      </c>
      <c r="AA10" s="60" t="s">
        <v>2483</v>
      </c>
      <c r="AB10" s="60" t="s">
        <v>2483</v>
      </c>
      <c r="AC10" s="60" t="s">
        <v>2574</v>
      </c>
      <c r="AD10" s="60" t="s">
        <v>2575</v>
      </c>
      <c r="AE10" s="60" t="s">
        <v>2576</v>
      </c>
      <c r="AF10" s="60" t="s">
        <v>2577</v>
      </c>
      <c r="AG10" s="60" t="s">
        <v>2578</v>
      </c>
      <c r="AH10" s="60" t="s">
        <v>2486</v>
      </c>
    </row>
    <row r="11">
      <c r="A11" s="58" t="s">
        <v>2570</v>
      </c>
      <c r="B11" s="59" t="s">
        <v>2571</v>
      </c>
      <c r="C11" s="60" t="s">
        <v>2579</v>
      </c>
      <c r="D11" s="61">
        <v>124.0</v>
      </c>
      <c r="E11" s="61">
        <v>19.0</v>
      </c>
      <c r="F11" s="60" t="s">
        <v>2580</v>
      </c>
      <c r="G11" s="62">
        <v>45329.0</v>
      </c>
      <c r="H11" s="62">
        <v>45358.0</v>
      </c>
      <c r="I11" s="61">
        <v>3069.0</v>
      </c>
      <c r="J11" s="60" t="s">
        <v>2581</v>
      </c>
      <c r="K11" s="61">
        <v>157.0</v>
      </c>
      <c r="L11" s="61">
        <v>25.0</v>
      </c>
      <c r="M11" s="60" t="s">
        <v>2582</v>
      </c>
      <c r="N11" s="62">
        <v>45393.0</v>
      </c>
      <c r="O11" s="62">
        <v>45546.0</v>
      </c>
      <c r="P11" s="61">
        <v>4074.0</v>
      </c>
      <c r="Q11" s="60" t="s">
        <v>2583</v>
      </c>
      <c r="T11" s="58" t="s">
        <v>2584</v>
      </c>
      <c r="U11" s="59" t="s">
        <v>2585</v>
      </c>
      <c r="V11" s="60">
        <v>2.298</v>
      </c>
      <c r="W11" s="60" t="s">
        <v>2586</v>
      </c>
      <c r="X11" s="60" t="s">
        <v>2587</v>
      </c>
      <c r="Y11" s="60" t="s">
        <v>2588</v>
      </c>
      <c r="Z11" s="60" t="s">
        <v>2483</v>
      </c>
      <c r="AA11" s="60" t="s">
        <v>2510</v>
      </c>
      <c r="AB11" s="60" t="s">
        <v>2483</v>
      </c>
      <c r="AC11" s="60" t="s">
        <v>2483</v>
      </c>
      <c r="AD11" s="60" t="s">
        <v>2525</v>
      </c>
      <c r="AE11" s="60" t="s">
        <v>2589</v>
      </c>
      <c r="AF11" s="60" t="s">
        <v>2558</v>
      </c>
      <c r="AG11" s="60" t="s">
        <v>2483</v>
      </c>
      <c r="AH11" s="60" t="s">
        <v>2483</v>
      </c>
    </row>
    <row r="12">
      <c r="A12" s="58" t="s">
        <v>2584</v>
      </c>
      <c r="B12" s="59" t="s">
        <v>2585</v>
      </c>
      <c r="C12" s="60" t="s">
        <v>2590</v>
      </c>
      <c r="D12" s="61">
        <v>163.0</v>
      </c>
      <c r="E12" s="61">
        <v>25.0</v>
      </c>
      <c r="F12" s="60" t="s">
        <v>2591</v>
      </c>
      <c r="G12" s="62">
        <v>45538.0</v>
      </c>
      <c r="H12" s="62">
        <v>45476.0</v>
      </c>
      <c r="I12" s="61">
        <v>6353.0</v>
      </c>
      <c r="J12" s="60" t="s">
        <v>2592</v>
      </c>
      <c r="K12" s="61">
        <v>177.0</v>
      </c>
      <c r="L12" s="61">
        <v>28.0</v>
      </c>
      <c r="M12" s="60" t="s">
        <v>2593</v>
      </c>
      <c r="N12" s="62">
        <v>45386.0</v>
      </c>
      <c r="O12" s="62">
        <v>45326.0</v>
      </c>
      <c r="P12" s="61">
        <v>7330.0</v>
      </c>
      <c r="Q12" s="60" t="s">
        <v>2583</v>
      </c>
      <c r="T12" s="58" t="s">
        <v>2594</v>
      </c>
      <c r="U12" s="59" t="s">
        <v>2595</v>
      </c>
      <c r="V12" s="60">
        <v>8.453</v>
      </c>
      <c r="W12" s="60" t="s">
        <v>2596</v>
      </c>
      <c r="X12" s="60" t="s">
        <v>2597</v>
      </c>
      <c r="Y12" s="60" t="s">
        <v>2598</v>
      </c>
      <c r="Z12" s="60" t="s">
        <v>2599</v>
      </c>
      <c r="AA12" s="60" t="s">
        <v>2526</v>
      </c>
      <c r="AB12" s="60" t="s">
        <v>2483</v>
      </c>
      <c r="AC12" s="60" t="s">
        <v>2600</v>
      </c>
      <c r="AD12" s="60" t="s">
        <v>2601</v>
      </c>
      <c r="AE12" s="60" t="s">
        <v>2589</v>
      </c>
      <c r="AF12" s="60" t="s">
        <v>2602</v>
      </c>
      <c r="AG12" s="60" t="s">
        <v>2483</v>
      </c>
      <c r="AH12" s="60" t="s">
        <v>2483</v>
      </c>
    </row>
    <row r="13">
      <c r="A13" s="58" t="s">
        <v>2594</v>
      </c>
      <c r="B13" s="59" t="s">
        <v>2595</v>
      </c>
      <c r="C13" s="60" t="s">
        <v>2603</v>
      </c>
      <c r="D13" s="61">
        <v>133.0</v>
      </c>
      <c r="E13" s="61">
        <v>19.0</v>
      </c>
      <c r="F13" s="60" t="s">
        <v>2604</v>
      </c>
      <c r="G13" s="60" t="s">
        <v>2605</v>
      </c>
      <c r="H13" s="60" t="s">
        <v>2605</v>
      </c>
      <c r="I13" s="61">
        <v>306.0</v>
      </c>
      <c r="J13" s="60" t="s">
        <v>2606</v>
      </c>
      <c r="K13" s="61">
        <v>147.0</v>
      </c>
      <c r="L13" s="61">
        <v>21.0</v>
      </c>
      <c r="M13" s="60" t="s">
        <v>2607</v>
      </c>
      <c r="N13" s="62">
        <v>45292.0</v>
      </c>
      <c r="O13" s="62">
        <v>45323.0</v>
      </c>
      <c r="P13" s="61">
        <v>334.0</v>
      </c>
      <c r="Q13" s="60" t="s">
        <v>2521</v>
      </c>
      <c r="T13" s="58" t="s">
        <v>2608</v>
      </c>
      <c r="U13" s="59" t="s">
        <v>2609</v>
      </c>
      <c r="V13" s="60">
        <v>76.84</v>
      </c>
      <c r="W13" s="60" t="s">
        <v>2610</v>
      </c>
      <c r="X13" s="60" t="s">
        <v>2611</v>
      </c>
      <c r="Y13" s="60" t="s">
        <v>2526</v>
      </c>
      <c r="Z13" s="60" t="s">
        <v>2612</v>
      </c>
      <c r="AA13" s="60" t="s">
        <v>2526</v>
      </c>
      <c r="AB13" s="60" t="s">
        <v>2613</v>
      </c>
      <c r="AC13" s="60" t="s">
        <v>2533</v>
      </c>
      <c r="AD13" s="60" t="s">
        <v>2598</v>
      </c>
      <c r="AE13" s="60" t="s">
        <v>2614</v>
      </c>
      <c r="AF13" s="60" t="s">
        <v>2615</v>
      </c>
      <c r="AG13" s="60" t="s">
        <v>2483</v>
      </c>
      <c r="AH13" s="60" t="s">
        <v>2526</v>
      </c>
    </row>
    <row r="14">
      <c r="A14" s="58" t="s">
        <v>2608</v>
      </c>
      <c r="B14" s="59" t="s">
        <v>2609</v>
      </c>
      <c r="C14" s="60" t="s">
        <v>2616</v>
      </c>
      <c r="D14" s="61">
        <v>102.0</v>
      </c>
      <c r="E14" s="61">
        <v>15.0</v>
      </c>
      <c r="F14" s="60" t="s">
        <v>2617</v>
      </c>
      <c r="G14" s="60" t="s">
        <v>2539</v>
      </c>
      <c r="H14" s="60" t="s">
        <v>2554</v>
      </c>
      <c r="I14" s="61">
        <v>907.0</v>
      </c>
      <c r="J14" s="60" t="s">
        <v>2618</v>
      </c>
      <c r="K14" s="61">
        <v>183.0</v>
      </c>
      <c r="L14" s="61">
        <v>26.0</v>
      </c>
      <c r="M14" s="60" t="s">
        <v>2619</v>
      </c>
      <c r="N14" s="62">
        <v>45444.0</v>
      </c>
      <c r="O14" s="62">
        <v>45444.0</v>
      </c>
      <c r="P14" s="61">
        <v>1640.0</v>
      </c>
      <c r="Q14" s="60" t="s">
        <v>2521</v>
      </c>
      <c r="T14" s="58" t="s">
        <v>2620</v>
      </c>
      <c r="U14" s="59" t="s">
        <v>2621</v>
      </c>
      <c r="V14" s="60">
        <v>38.88</v>
      </c>
      <c r="W14" s="60" t="s">
        <v>2622</v>
      </c>
      <c r="X14" s="60" t="s">
        <v>2511</v>
      </c>
      <c r="Y14" s="60" t="s">
        <v>2623</v>
      </c>
      <c r="Z14" s="60" t="s">
        <v>2624</v>
      </c>
      <c r="AA14" s="60" t="s">
        <v>2625</v>
      </c>
      <c r="AB14" s="60" t="s">
        <v>2626</v>
      </c>
      <c r="AC14" s="60" t="s">
        <v>2627</v>
      </c>
      <c r="AD14" s="60" t="s">
        <v>2628</v>
      </c>
      <c r="AE14" s="60" t="s">
        <v>2589</v>
      </c>
      <c r="AF14" s="60" t="s">
        <v>2629</v>
      </c>
      <c r="AG14" s="60" t="s">
        <v>2483</v>
      </c>
      <c r="AH14" s="60" t="s">
        <v>2526</v>
      </c>
    </row>
    <row r="15">
      <c r="A15" s="58" t="s">
        <v>2620</v>
      </c>
      <c r="B15" s="59" t="s">
        <v>2621</v>
      </c>
      <c r="C15" s="60" t="s">
        <v>2630</v>
      </c>
      <c r="D15" s="61">
        <v>63.0</v>
      </c>
      <c r="E15" s="61">
        <v>8.0</v>
      </c>
      <c r="F15" s="60" t="s">
        <v>2631</v>
      </c>
      <c r="G15" s="60" t="s">
        <v>2567</v>
      </c>
      <c r="H15" s="60" t="s">
        <v>2567</v>
      </c>
      <c r="I15" s="61">
        <v>122.0</v>
      </c>
      <c r="J15" s="60" t="s">
        <v>2632</v>
      </c>
      <c r="K15" s="61">
        <v>73.0</v>
      </c>
      <c r="L15" s="61">
        <v>10.0</v>
      </c>
      <c r="M15" s="60" t="s">
        <v>2633</v>
      </c>
      <c r="N15" s="60" t="s">
        <v>2536</v>
      </c>
      <c r="O15" s="60" t="s">
        <v>2567</v>
      </c>
      <c r="P15" s="61">
        <v>249.0</v>
      </c>
      <c r="Q15" s="60" t="s">
        <v>2521</v>
      </c>
      <c r="T15" s="58" t="s">
        <v>2634</v>
      </c>
      <c r="U15" s="59" t="s">
        <v>2635</v>
      </c>
      <c r="V15" s="60">
        <v>80.186</v>
      </c>
      <c r="W15" s="60" t="s">
        <v>2636</v>
      </c>
      <c r="X15" s="60" t="s">
        <v>2637</v>
      </c>
      <c r="Y15" s="60" t="s">
        <v>2547</v>
      </c>
      <c r="Z15" s="60" t="s">
        <v>2638</v>
      </c>
      <c r="AA15" s="60" t="s">
        <v>2547</v>
      </c>
      <c r="AB15" s="60" t="s">
        <v>2514</v>
      </c>
      <c r="AC15" s="60" t="s">
        <v>2639</v>
      </c>
      <c r="AD15" s="60" t="s">
        <v>2615</v>
      </c>
      <c r="AE15" s="60" t="s">
        <v>2640</v>
      </c>
      <c r="AF15" s="60" t="s">
        <v>2641</v>
      </c>
      <c r="AG15" s="60" t="s">
        <v>2561</v>
      </c>
      <c r="AH15" s="60" t="s">
        <v>2526</v>
      </c>
    </row>
    <row r="16">
      <c r="A16" s="58" t="s">
        <v>2634</v>
      </c>
      <c r="B16" s="59" t="s">
        <v>2635</v>
      </c>
      <c r="C16" s="60" t="s">
        <v>2642</v>
      </c>
      <c r="D16" s="61">
        <v>56.0</v>
      </c>
      <c r="E16" s="61">
        <v>8.0</v>
      </c>
      <c r="F16" s="60" t="s">
        <v>2643</v>
      </c>
      <c r="G16" s="60" t="s">
        <v>2536</v>
      </c>
      <c r="H16" s="60" t="s">
        <v>2536</v>
      </c>
      <c r="I16" s="61">
        <v>318.0</v>
      </c>
      <c r="J16" s="60" t="s">
        <v>2644</v>
      </c>
      <c r="K16" s="61">
        <v>134.0</v>
      </c>
      <c r="L16" s="61">
        <v>19.0</v>
      </c>
      <c r="M16" s="60" t="s">
        <v>2645</v>
      </c>
      <c r="N16" s="62">
        <v>45413.0</v>
      </c>
      <c r="O16" s="62">
        <v>45413.0</v>
      </c>
      <c r="P16" s="61">
        <v>790.0</v>
      </c>
      <c r="Q16" s="60" t="s">
        <v>2521</v>
      </c>
      <c r="T16" s="58" t="s">
        <v>2646</v>
      </c>
      <c r="U16" s="59" t="s">
        <v>2647</v>
      </c>
      <c r="V16" s="60">
        <v>12.79</v>
      </c>
      <c r="W16" s="60" t="s">
        <v>2648</v>
      </c>
      <c r="X16" s="60" t="s">
        <v>2483</v>
      </c>
      <c r="Y16" s="60" t="s">
        <v>2649</v>
      </c>
      <c r="Z16" s="60" t="s">
        <v>2650</v>
      </c>
      <c r="AA16" s="60" t="s">
        <v>2561</v>
      </c>
      <c r="AB16" s="60" t="s">
        <v>2483</v>
      </c>
      <c r="AC16" s="60" t="s">
        <v>2483</v>
      </c>
      <c r="AD16" s="60" t="s">
        <v>2559</v>
      </c>
      <c r="AE16" s="60" t="s">
        <v>2483</v>
      </c>
      <c r="AF16" s="60" t="s">
        <v>2526</v>
      </c>
      <c r="AG16" s="60" t="s">
        <v>2483</v>
      </c>
      <c r="AH16" s="60" t="s">
        <v>2483</v>
      </c>
    </row>
    <row r="17">
      <c r="A17" s="58" t="s">
        <v>2646</v>
      </c>
      <c r="B17" s="59" t="s">
        <v>2647</v>
      </c>
      <c r="C17" s="60" t="s">
        <v>2651</v>
      </c>
      <c r="D17" s="61">
        <v>23.0</v>
      </c>
      <c r="E17" s="61">
        <v>3.0</v>
      </c>
      <c r="F17" s="60" t="s">
        <v>2652</v>
      </c>
      <c r="G17" s="60" t="s">
        <v>2653</v>
      </c>
      <c r="H17" s="60" t="s">
        <v>2653</v>
      </c>
      <c r="I17" s="61">
        <v>28.0</v>
      </c>
      <c r="J17" s="60" t="s">
        <v>2654</v>
      </c>
      <c r="K17" s="61">
        <v>21.0</v>
      </c>
      <c r="L17" s="61">
        <v>2.0</v>
      </c>
      <c r="M17" s="60" t="s">
        <v>2655</v>
      </c>
      <c r="N17" s="60" t="s">
        <v>2567</v>
      </c>
      <c r="O17" s="60" t="s">
        <v>2567</v>
      </c>
      <c r="P17" s="61">
        <v>21.0</v>
      </c>
      <c r="Q17" s="60" t="s">
        <v>2521</v>
      </c>
      <c r="T17" s="58" t="s">
        <v>2656</v>
      </c>
      <c r="U17" s="59" t="s">
        <v>2657</v>
      </c>
      <c r="V17" s="60">
        <v>5.885</v>
      </c>
      <c r="W17" s="60" t="s">
        <v>2658</v>
      </c>
      <c r="X17" s="60" t="s">
        <v>2483</v>
      </c>
      <c r="Y17" s="60" t="s">
        <v>2659</v>
      </c>
      <c r="Z17" s="60" t="s">
        <v>2660</v>
      </c>
      <c r="AA17" s="60" t="s">
        <v>2600</v>
      </c>
      <c r="AB17" s="60" t="s">
        <v>2483</v>
      </c>
      <c r="AC17" s="60" t="s">
        <v>2483</v>
      </c>
      <c r="AD17" s="60" t="s">
        <v>2533</v>
      </c>
      <c r="AE17" s="60" t="s">
        <v>2483</v>
      </c>
      <c r="AF17" s="60" t="s">
        <v>2649</v>
      </c>
      <c r="AG17" s="60" t="s">
        <v>2483</v>
      </c>
      <c r="AH17" s="60" t="s">
        <v>2483</v>
      </c>
    </row>
    <row r="18">
      <c r="A18" s="58" t="s">
        <v>2656</v>
      </c>
      <c r="B18" s="59" t="s">
        <v>2657</v>
      </c>
      <c r="C18" s="60" t="s">
        <v>2661</v>
      </c>
      <c r="D18" s="61">
        <v>135.0</v>
      </c>
      <c r="E18" s="61">
        <v>18.0</v>
      </c>
      <c r="F18" s="60" t="s">
        <v>2662</v>
      </c>
      <c r="G18" s="60" t="s">
        <v>2554</v>
      </c>
      <c r="H18" s="60" t="s">
        <v>2554</v>
      </c>
      <c r="I18" s="61">
        <v>474.0</v>
      </c>
      <c r="J18" s="60" t="s">
        <v>2663</v>
      </c>
      <c r="K18" s="61">
        <v>39.0</v>
      </c>
      <c r="L18" s="61">
        <v>5.0</v>
      </c>
      <c r="M18" s="60" t="s">
        <v>2664</v>
      </c>
      <c r="N18" s="60" t="s">
        <v>2554</v>
      </c>
      <c r="O18" s="60" t="s">
        <v>2539</v>
      </c>
      <c r="P18" s="61">
        <v>654.0</v>
      </c>
      <c r="Q18" s="60" t="s">
        <v>2521</v>
      </c>
      <c r="T18" s="58" t="s">
        <v>2665</v>
      </c>
      <c r="U18" s="59" t="s">
        <v>2666</v>
      </c>
      <c r="V18" s="60">
        <v>26.053</v>
      </c>
      <c r="W18" s="60" t="s">
        <v>2667</v>
      </c>
      <c r="X18" s="60" t="s">
        <v>2483</v>
      </c>
      <c r="Y18" s="60" t="s">
        <v>2559</v>
      </c>
      <c r="Z18" s="60" t="s">
        <v>2668</v>
      </c>
      <c r="AA18" s="60" t="s">
        <v>2511</v>
      </c>
      <c r="AB18" s="60" t="s">
        <v>2669</v>
      </c>
      <c r="AC18" s="60" t="s">
        <v>2670</v>
      </c>
      <c r="AD18" s="60" t="s">
        <v>2671</v>
      </c>
      <c r="AE18" s="60" t="s">
        <v>2672</v>
      </c>
      <c r="AF18" s="60" t="s">
        <v>2625</v>
      </c>
      <c r="AG18" s="60" t="s">
        <v>2483</v>
      </c>
      <c r="AH18" s="60" t="s">
        <v>2483</v>
      </c>
    </row>
    <row r="19">
      <c r="A19" s="58" t="s">
        <v>2665</v>
      </c>
      <c r="B19" s="59" t="s">
        <v>2666</v>
      </c>
      <c r="C19" s="60" t="s">
        <v>2673</v>
      </c>
      <c r="D19" s="61">
        <v>15.0</v>
      </c>
      <c r="E19" s="61">
        <v>2.0</v>
      </c>
      <c r="F19" s="60" t="s">
        <v>2674</v>
      </c>
      <c r="G19" s="60" t="s">
        <v>2675</v>
      </c>
      <c r="H19" s="60" t="s">
        <v>2675</v>
      </c>
      <c r="I19" s="61">
        <v>43.0</v>
      </c>
      <c r="J19" s="60" t="s">
        <v>2676</v>
      </c>
      <c r="K19" s="61">
        <v>43.0</v>
      </c>
      <c r="L19" s="61">
        <v>5.0</v>
      </c>
      <c r="M19" s="60" t="s">
        <v>2677</v>
      </c>
      <c r="N19" s="60" t="s">
        <v>2536</v>
      </c>
      <c r="O19" s="60" t="s">
        <v>2567</v>
      </c>
      <c r="P19" s="61">
        <v>189.0</v>
      </c>
      <c r="Q19" s="60" t="s">
        <v>2521</v>
      </c>
      <c r="T19" s="58" t="s">
        <v>2678</v>
      </c>
      <c r="U19" s="59" t="s">
        <v>2679</v>
      </c>
      <c r="V19" s="60">
        <v>6.405</v>
      </c>
      <c r="W19" s="60" t="s">
        <v>2680</v>
      </c>
      <c r="X19" s="60" t="s">
        <v>2681</v>
      </c>
      <c r="Y19" s="60" t="s">
        <v>2682</v>
      </c>
      <c r="Z19" s="60" t="s">
        <v>2683</v>
      </c>
      <c r="AA19" s="60" t="s">
        <v>2483</v>
      </c>
      <c r="AB19" s="60" t="s">
        <v>2483</v>
      </c>
      <c r="AC19" s="60" t="s">
        <v>2483</v>
      </c>
      <c r="AD19" s="60" t="s">
        <v>2483</v>
      </c>
      <c r="AE19" s="60" t="s">
        <v>2684</v>
      </c>
      <c r="AF19" s="60" t="s">
        <v>2625</v>
      </c>
      <c r="AG19" s="60" t="s">
        <v>2483</v>
      </c>
      <c r="AH19" s="60" t="s">
        <v>2483</v>
      </c>
    </row>
    <row r="20">
      <c r="A20" s="58" t="s">
        <v>2678</v>
      </c>
      <c r="B20" s="59" t="s">
        <v>2679</v>
      </c>
      <c r="C20" s="60" t="s">
        <v>2685</v>
      </c>
      <c r="D20" s="61">
        <v>87.0</v>
      </c>
      <c r="E20" s="61">
        <v>14.0</v>
      </c>
      <c r="F20" s="60" t="s">
        <v>2686</v>
      </c>
      <c r="G20" s="62">
        <v>45294.0</v>
      </c>
      <c r="H20" s="62">
        <v>45294.0</v>
      </c>
      <c r="I20" s="61">
        <v>4262.0</v>
      </c>
      <c r="J20" s="60" t="s">
        <v>2687</v>
      </c>
      <c r="K20" s="61">
        <v>74.0</v>
      </c>
      <c r="L20" s="61">
        <v>13.0</v>
      </c>
      <c r="M20" s="60" t="s">
        <v>2688</v>
      </c>
      <c r="N20" s="62">
        <v>45415.0</v>
      </c>
      <c r="O20" s="62">
        <v>45415.0</v>
      </c>
      <c r="P20" s="61">
        <v>5578.0</v>
      </c>
      <c r="Q20" s="60" t="s">
        <v>2483</v>
      </c>
      <c r="T20" s="58" t="s">
        <v>2689</v>
      </c>
      <c r="U20" s="59" t="s">
        <v>2690</v>
      </c>
      <c r="V20" s="60">
        <v>78.447</v>
      </c>
      <c r="W20" s="60" t="s">
        <v>2691</v>
      </c>
      <c r="X20" s="60" t="s">
        <v>2481</v>
      </c>
      <c r="Y20" s="60" t="s">
        <v>2547</v>
      </c>
      <c r="Z20" s="60" t="s">
        <v>2692</v>
      </c>
      <c r="AA20" s="60" t="s">
        <v>2598</v>
      </c>
      <c r="AB20" s="60" t="s">
        <v>2693</v>
      </c>
      <c r="AC20" s="60" t="s">
        <v>2694</v>
      </c>
      <c r="AD20" s="60" t="s">
        <v>2684</v>
      </c>
      <c r="AE20" s="60" t="s">
        <v>2615</v>
      </c>
      <c r="AF20" s="60" t="s">
        <v>2684</v>
      </c>
      <c r="AG20" s="60" t="s">
        <v>2483</v>
      </c>
      <c r="AH20" s="60" t="s">
        <v>2483</v>
      </c>
    </row>
    <row r="21">
      <c r="A21" s="58" t="s">
        <v>2689</v>
      </c>
      <c r="B21" s="59" t="s">
        <v>2690</v>
      </c>
      <c r="C21" s="60" t="s">
        <v>2695</v>
      </c>
      <c r="D21" s="61">
        <v>45.0</v>
      </c>
      <c r="E21" s="61">
        <v>6.0</v>
      </c>
      <c r="F21" s="60" t="s">
        <v>2696</v>
      </c>
      <c r="G21" s="60" t="s">
        <v>2567</v>
      </c>
      <c r="H21" s="60" t="s">
        <v>2653</v>
      </c>
      <c r="I21" s="61">
        <v>302.0</v>
      </c>
      <c r="J21" s="60" t="s">
        <v>2697</v>
      </c>
      <c r="K21" s="61">
        <v>97.0</v>
      </c>
      <c r="L21" s="61">
        <v>13.0</v>
      </c>
      <c r="M21" s="60" t="s">
        <v>2698</v>
      </c>
      <c r="N21" s="60" t="s">
        <v>2520</v>
      </c>
      <c r="O21" s="60" t="s">
        <v>2699</v>
      </c>
      <c r="P21" s="61">
        <v>773.0</v>
      </c>
      <c r="Q21" s="60" t="s">
        <v>2521</v>
      </c>
      <c r="T21" s="58" t="s">
        <v>2700</v>
      </c>
      <c r="U21" s="59" t="s">
        <v>2701</v>
      </c>
      <c r="V21" s="60">
        <v>31.06</v>
      </c>
      <c r="W21" s="60" t="s">
        <v>2702</v>
      </c>
      <c r="X21" s="60" t="s">
        <v>2703</v>
      </c>
      <c r="Y21" s="60" t="s">
        <v>2625</v>
      </c>
      <c r="Z21" s="60" t="s">
        <v>2704</v>
      </c>
      <c r="AA21" s="60" t="s">
        <v>2563</v>
      </c>
      <c r="AB21" s="60" t="s">
        <v>2705</v>
      </c>
      <c r="AC21" s="60" t="s">
        <v>2483</v>
      </c>
      <c r="AD21" s="60" t="s">
        <v>2625</v>
      </c>
      <c r="AE21" s="60" t="s">
        <v>2706</v>
      </c>
      <c r="AF21" s="60" t="s">
        <v>2684</v>
      </c>
      <c r="AG21" s="60" t="s">
        <v>2483</v>
      </c>
      <c r="AH21" s="60" t="s">
        <v>2483</v>
      </c>
    </row>
    <row r="22">
      <c r="A22" s="58" t="s">
        <v>2700</v>
      </c>
      <c r="B22" s="59" t="s">
        <v>2701</v>
      </c>
      <c r="C22" s="60" t="s">
        <v>2707</v>
      </c>
      <c r="D22" s="61">
        <v>116.0</v>
      </c>
      <c r="E22" s="61">
        <v>16.0</v>
      </c>
      <c r="F22" s="60" t="s">
        <v>2708</v>
      </c>
      <c r="G22" s="60" t="s">
        <v>2699</v>
      </c>
      <c r="H22" s="60" t="s">
        <v>2699</v>
      </c>
      <c r="I22" s="61">
        <v>931.0</v>
      </c>
      <c r="J22" s="60" t="s">
        <v>2709</v>
      </c>
      <c r="K22" s="61">
        <v>149.0</v>
      </c>
      <c r="L22" s="61">
        <v>21.0</v>
      </c>
      <c r="M22" s="60" t="s">
        <v>2710</v>
      </c>
      <c r="N22" s="60" t="s">
        <v>2554</v>
      </c>
      <c r="O22" s="60" t="s">
        <v>2539</v>
      </c>
      <c r="P22" s="61">
        <v>1413.0</v>
      </c>
      <c r="Q22" s="60" t="s">
        <v>2521</v>
      </c>
      <c r="T22" s="58" t="s">
        <v>2711</v>
      </c>
      <c r="U22" s="59" t="s">
        <v>2712</v>
      </c>
      <c r="V22" s="60">
        <v>140.293</v>
      </c>
      <c r="W22" s="60" t="s">
        <v>2713</v>
      </c>
      <c r="X22" s="60" t="s">
        <v>2714</v>
      </c>
      <c r="Y22" s="60" t="s">
        <v>2511</v>
      </c>
      <c r="Z22" s="60" t="s">
        <v>2715</v>
      </c>
      <c r="AA22" s="60" t="s">
        <v>2598</v>
      </c>
      <c r="AB22" s="60" t="s">
        <v>2716</v>
      </c>
      <c r="AC22" s="60" t="s">
        <v>2615</v>
      </c>
      <c r="AD22" s="60" t="s">
        <v>2545</v>
      </c>
      <c r="AE22" s="60" t="s">
        <v>2717</v>
      </c>
      <c r="AF22" s="60" t="s">
        <v>2559</v>
      </c>
      <c r="AG22" s="60" t="s">
        <v>2483</v>
      </c>
      <c r="AH22" s="60" t="s">
        <v>2526</v>
      </c>
    </row>
    <row r="23">
      <c r="A23" s="58" t="s">
        <v>2711</v>
      </c>
      <c r="B23" s="59" t="s">
        <v>2712</v>
      </c>
      <c r="C23" s="60" t="s">
        <v>2718</v>
      </c>
      <c r="D23" s="61">
        <v>87.0</v>
      </c>
      <c r="E23" s="61">
        <v>12.0</v>
      </c>
      <c r="F23" s="60" t="s">
        <v>2719</v>
      </c>
      <c r="G23" s="60" t="s">
        <v>2536</v>
      </c>
      <c r="H23" s="60" t="s">
        <v>2517</v>
      </c>
      <c r="I23" s="61">
        <v>620.0</v>
      </c>
      <c r="J23" s="60" t="s">
        <v>2720</v>
      </c>
      <c r="K23" s="61">
        <v>178.0</v>
      </c>
      <c r="L23" s="61">
        <v>26.0</v>
      </c>
      <c r="M23" s="60" t="s">
        <v>2721</v>
      </c>
      <c r="N23" s="62">
        <v>45292.0</v>
      </c>
      <c r="O23" s="60" t="s">
        <v>2554</v>
      </c>
      <c r="P23" s="61">
        <v>1180.0</v>
      </c>
      <c r="Q23" s="60" t="s">
        <v>2521</v>
      </c>
      <c r="T23" s="58" t="s">
        <v>2722</v>
      </c>
      <c r="U23" s="59" t="s">
        <v>2723</v>
      </c>
      <c r="V23" s="60">
        <v>23.744</v>
      </c>
      <c r="W23" s="60" t="s">
        <v>2724</v>
      </c>
      <c r="X23" s="60" t="s">
        <v>2703</v>
      </c>
      <c r="Y23" s="60" t="s">
        <v>2483</v>
      </c>
      <c r="Z23" s="60" t="s">
        <v>2725</v>
      </c>
      <c r="AA23" s="60" t="s">
        <v>2483</v>
      </c>
      <c r="AB23" s="60" t="s">
        <v>2483</v>
      </c>
      <c r="AC23" s="60" t="s">
        <v>2528</v>
      </c>
      <c r="AD23" s="60" t="s">
        <v>2547</v>
      </c>
      <c r="AE23" s="60" t="s">
        <v>2726</v>
      </c>
      <c r="AF23" s="60" t="s">
        <v>2727</v>
      </c>
      <c r="AG23" s="60" t="s">
        <v>2483</v>
      </c>
      <c r="AH23" s="60" t="s">
        <v>2526</v>
      </c>
    </row>
    <row r="24">
      <c r="A24" s="58" t="s">
        <v>2722</v>
      </c>
      <c r="B24" s="59" t="s">
        <v>2723</v>
      </c>
      <c r="C24" s="60" t="s">
        <v>2728</v>
      </c>
      <c r="D24" s="61">
        <v>101.0</v>
      </c>
      <c r="E24" s="61">
        <v>14.0</v>
      </c>
      <c r="F24" s="60" t="s">
        <v>2729</v>
      </c>
      <c r="G24" s="60" t="s">
        <v>2699</v>
      </c>
      <c r="H24" s="60" t="s">
        <v>2699</v>
      </c>
      <c r="I24" s="61">
        <v>348.0</v>
      </c>
      <c r="J24" s="60" t="s">
        <v>2730</v>
      </c>
      <c r="K24" s="61">
        <v>129.0</v>
      </c>
      <c r="L24" s="61">
        <v>18.0</v>
      </c>
      <c r="M24" s="60" t="s">
        <v>2731</v>
      </c>
      <c r="N24" s="60" t="s">
        <v>2554</v>
      </c>
      <c r="O24" s="60" t="s">
        <v>2554</v>
      </c>
      <c r="P24" s="61">
        <v>430.0</v>
      </c>
      <c r="Q24" s="60" t="s">
        <v>2521</v>
      </c>
      <c r="T24" s="58" t="s">
        <v>2732</v>
      </c>
      <c r="U24" s="59" t="s">
        <v>2733</v>
      </c>
      <c r="V24" s="60">
        <v>26.861</v>
      </c>
      <c r="W24" s="60" t="s">
        <v>2734</v>
      </c>
      <c r="X24" s="60" t="s">
        <v>2735</v>
      </c>
      <c r="Y24" s="60" t="s">
        <v>2483</v>
      </c>
      <c r="Z24" s="60" t="s">
        <v>2736</v>
      </c>
      <c r="AA24" s="60" t="s">
        <v>2483</v>
      </c>
      <c r="AB24" s="60" t="s">
        <v>2737</v>
      </c>
      <c r="AC24" s="60" t="s">
        <v>2547</v>
      </c>
      <c r="AD24" s="60" t="s">
        <v>2526</v>
      </c>
      <c r="AE24" s="60" t="s">
        <v>2738</v>
      </c>
      <c r="AF24" s="60" t="s">
        <v>2526</v>
      </c>
      <c r="AG24" s="60" t="s">
        <v>2483</v>
      </c>
      <c r="AH24" s="60" t="s">
        <v>2483</v>
      </c>
    </row>
    <row r="25">
      <c r="A25" s="58" t="s">
        <v>2732</v>
      </c>
      <c r="B25" s="59" t="s">
        <v>2733</v>
      </c>
      <c r="C25" s="60" t="s">
        <v>2739</v>
      </c>
      <c r="D25" s="61">
        <v>100.0</v>
      </c>
      <c r="E25" s="61">
        <v>14.0</v>
      </c>
      <c r="F25" s="60" t="s">
        <v>2740</v>
      </c>
      <c r="G25" s="60" t="s">
        <v>2536</v>
      </c>
      <c r="H25" s="60" t="s">
        <v>2699</v>
      </c>
      <c r="I25" s="61">
        <v>160.0</v>
      </c>
      <c r="J25" s="60" t="s">
        <v>2741</v>
      </c>
      <c r="K25" s="61">
        <v>198.0</v>
      </c>
      <c r="L25" s="61">
        <v>29.0</v>
      </c>
      <c r="M25" s="60" t="s">
        <v>2742</v>
      </c>
      <c r="N25" s="62">
        <v>45323.0</v>
      </c>
      <c r="O25" s="62">
        <v>45323.0</v>
      </c>
      <c r="P25" s="61">
        <v>325.0</v>
      </c>
      <c r="Q25" s="60" t="s">
        <v>2521</v>
      </c>
      <c r="T25" s="58" t="s">
        <v>2743</v>
      </c>
      <c r="U25" s="59" t="s">
        <v>2744</v>
      </c>
      <c r="V25" s="60">
        <v>57.781</v>
      </c>
      <c r="W25" s="60" t="s">
        <v>2745</v>
      </c>
      <c r="X25" s="60" t="s">
        <v>2746</v>
      </c>
      <c r="Y25" s="60" t="s">
        <v>2747</v>
      </c>
      <c r="Z25" s="60" t="s">
        <v>2748</v>
      </c>
      <c r="AA25" s="60" t="s">
        <v>2526</v>
      </c>
      <c r="AB25" s="60" t="s">
        <v>2483</v>
      </c>
      <c r="AC25" s="60" t="s">
        <v>2602</v>
      </c>
      <c r="AD25" s="60" t="s">
        <v>2563</v>
      </c>
      <c r="AE25" s="60" t="s">
        <v>2714</v>
      </c>
      <c r="AF25" s="60" t="s">
        <v>2545</v>
      </c>
      <c r="AG25" s="60" t="s">
        <v>2483</v>
      </c>
      <c r="AH25" s="60" t="s">
        <v>2526</v>
      </c>
    </row>
    <row r="26">
      <c r="A26" s="58" t="s">
        <v>2743</v>
      </c>
      <c r="B26" s="59" t="s">
        <v>2744</v>
      </c>
      <c r="C26" s="60" t="s">
        <v>2749</v>
      </c>
      <c r="D26" s="61">
        <v>72.0</v>
      </c>
      <c r="E26" s="61">
        <v>10.0</v>
      </c>
      <c r="F26" s="60" t="s">
        <v>2750</v>
      </c>
      <c r="G26" s="60" t="s">
        <v>2539</v>
      </c>
      <c r="H26" s="60" t="s">
        <v>2539</v>
      </c>
      <c r="I26" s="61">
        <v>862.0</v>
      </c>
      <c r="J26" s="60" t="s">
        <v>2751</v>
      </c>
      <c r="K26" s="61">
        <v>105.0</v>
      </c>
      <c r="L26" s="61">
        <v>15.0</v>
      </c>
      <c r="M26" s="60" t="s">
        <v>2752</v>
      </c>
      <c r="N26" s="62">
        <v>45352.0</v>
      </c>
      <c r="O26" s="62">
        <v>45352.0</v>
      </c>
      <c r="P26" s="61">
        <v>1291.0</v>
      </c>
      <c r="Q26" s="60" t="s">
        <v>2521</v>
      </c>
      <c r="T26" s="58" t="s">
        <v>2753</v>
      </c>
      <c r="U26" s="59" t="s">
        <v>2754</v>
      </c>
      <c r="V26" s="60">
        <v>47.214</v>
      </c>
      <c r="W26" s="60" t="s">
        <v>2755</v>
      </c>
      <c r="X26" s="60" t="s">
        <v>2756</v>
      </c>
      <c r="Y26" s="60" t="s">
        <v>2485</v>
      </c>
      <c r="Z26" s="60" t="s">
        <v>2757</v>
      </c>
      <c r="AA26" s="60" t="s">
        <v>2747</v>
      </c>
      <c r="AB26" s="60" t="s">
        <v>2758</v>
      </c>
      <c r="AC26" s="60" t="s">
        <v>2747</v>
      </c>
      <c r="AD26" s="60" t="s">
        <v>2615</v>
      </c>
      <c r="AE26" s="60" t="s">
        <v>2483</v>
      </c>
      <c r="AF26" s="60" t="s">
        <v>2559</v>
      </c>
      <c r="AG26" s="60" t="s">
        <v>2483</v>
      </c>
      <c r="AH26" s="60" t="s">
        <v>2547</v>
      </c>
    </row>
    <row r="27">
      <c r="A27" s="58" t="s">
        <v>2753</v>
      </c>
      <c r="B27" s="59" t="s">
        <v>2754</v>
      </c>
      <c r="C27" s="60" t="s">
        <v>2759</v>
      </c>
      <c r="D27" s="61">
        <v>40.0</v>
      </c>
      <c r="E27" s="61">
        <v>6.0</v>
      </c>
      <c r="F27" s="60" t="s">
        <v>2760</v>
      </c>
      <c r="G27" s="60" t="s">
        <v>2536</v>
      </c>
      <c r="H27" s="60" t="s">
        <v>2536</v>
      </c>
      <c r="I27" s="61">
        <v>602.0</v>
      </c>
      <c r="J27" s="60" t="s">
        <v>2761</v>
      </c>
      <c r="K27" s="61">
        <v>73.0</v>
      </c>
      <c r="L27" s="61">
        <v>10.0</v>
      </c>
      <c r="M27" s="60" t="s">
        <v>2762</v>
      </c>
      <c r="N27" s="60" t="s">
        <v>2554</v>
      </c>
      <c r="O27" s="60" t="s">
        <v>2554</v>
      </c>
      <c r="P27" s="61">
        <v>1407.0</v>
      </c>
      <c r="Q27" s="60" t="s">
        <v>2521</v>
      </c>
      <c r="T27" s="58" t="s">
        <v>2763</v>
      </c>
      <c r="U27" s="59" t="s">
        <v>2764</v>
      </c>
      <c r="V27" s="60">
        <v>33.72</v>
      </c>
      <c r="W27" s="60" t="s">
        <v>2765</v>
      </c>
      <c r="X27" s="60" t="s">
        <v>2766</v>
      </c>
      <c r="Y27" s="60" t="s">
        <v>2526</v>
      </c>
      <c r="Z27" s="60" t="s">
        <v>2767</v>
      </c>
      <c r="AA27" s="60" t="s">
        <v>2526</v>
      </c>
      <c r="AB27" s="60" t="s">
        <v>2768</v>
      </c>
      <c r="AC27" s="60" t="s">
        <v>2769</v>
      </c>
      <c r="AD27" s="60" t="s">
        <v>2526</v>
      </c>
      <c r="AE27" s="60" t="s">
        <v>2736</v>
      </c>
      <c r="AF27" s="60" t="s">
        <v>2747</v>
      </c>
      <c r="AG27" s="60" t="s">
        <v>2483</v>
      </c>
      <c r="AH27" s="60" t="s">
        <v>2547</v>
      </c>
    </row>
    <row r="28">
      <c r="A28" s="58" t="s">
        <v>2763</v>
      </c>
      <c r="B28" s="59" t="s">
        <v>2764</v>
      </c>
      <c r="C28" s="60" t="s">
        <v>2770</v>
      </c>
      <c r="D28" s="61">
        <v>151.0</v>
      </c>
      <c r="E28" s="61">
        <v>22.0</v>
      </c>
      <c r="F28" s="60" t="s">
        <v>2771</v>
      </c>
      <c r="G28" s="60" t="s">
        <v>2605</v>
      </c>
      <c r="H28" s="60" t="s">
        <v>2520</v>
      </c>
      <c r="I28" s="61">
        <v>2410.0</v>
      </c>
      <c r="J28" s="60" t="s">
        <v>2772</v>
      </c>
      <c r="K28" s="61">
        <v>186.0</v>
      </c>
      <c r="L28" s="61">
        <v>27.0</v>
      </c>
      <c r="M28" s="60" t="s">
        <v>2773</v>
      </c>
      <c r="N28" s="62">
        <v>45383.0</v>
      </c>
      <c r="O28" s="62">
        <v>45292.0</v>
      </c>
      <c r="P28" s="61">
        <v>3244.0</v>
      </c>
      <c r="Q28" s="60" t="s">
        <v>2521</v>
      </c>
      <c r="T28" s="58" t="s">
        <v>2774</v>
      </c>
      <c r="U28" s="59" t="s">
        <v>2775</v>
      </c>
      <c r="V28" s="60">
        <v>72.05</v>
      </c>
      <c r="W28" s="60" t="s">
        <v>2776</v>
      </c>
      <c r="X28" s="60" t="s">
        <v>2777</v>
      </c>
      <c r="Y28" s="60" t="s">
        <v>2547</v>
      </c>
      <c r="Z28" s="60" t="s">
        <v>2778</v>
      </c>
      <c r="AA28" s="60" t="s">
        <v>2483</v>
      </c>
      <c r="AB28" s="60" t="s">
        <v>2779</v>
      </c>
      <c r="AC28" s="60" t="s">
        <v>2780</v>
      </c>
      <c r="AD28" s="60" t="s">
        <v>2533</v>
      </c>
      <c r="AE28" s="60" t="s">
        <v>2483</v>
      </c>
      <c r="AF28" s="60" t="s">
        <v>2602</v>
      </c>
      <c r="AG28" s="60" t="s">
        <v>2483</v>
      </c>
      <c r="AH28" s="60" t="s">
        <v>2483</v>
      </c>
    </row>
    <row r="29">
      <c r="A29" s="58" t="s">
        <v>2774</v>
      </c>
      <c r="B29" s="59" t="s">
        <v>2775</v>
      </c>
      <c r="C29" s="60" t="s">
        <v>2781</v>
      </c>
      <c r="D29" s="61">
        <v>64.0</v>
      </c>
      <c r="E29" s="61">
        <v>9.0</v>
      </c>
      <c r="F29" s="60" t="s">
        <v>2782</v>
      </c>
      <c r="G29" s="60" t="s">
        <v>2517</v>
      </c>
      <c r="H29" s="60" t="s">
        <v>2517</v>
      </c>
      <c r="I29" s="61">
        <v>151.0</v>
      </c>
      <c r="J29" s="60" t="s">
        <v>2783</v>
      </c>
      <c r="K29" s="61">
        <v>92.0</v>
      </c>
      <c r="L29" s="61">
        <v>13.0</v>
      </c>
      <c r="M29" s="60" t="s">
        <v>2784</v>
      </c>
      <c r="N29" s="60" t="s">
        <v>2539</v>
      </c>
      <c r="O29" s="60" t="s">
        <v>2699</v>
      </c>
      <c r="P29" s="61">
        <v>309.0</v>
      </c>
      <c r="Q29" s="60" t="s">
        <v>2521</v>
      </c>
      <c r="T29" s="58" t="s">
        <v>2785</v>
      </c>
      <c r="U29" s="59" t="s">
        <v>2786</v>
      </c>
      <c r="V29" s="60">
        <v>57.331</v>
      </c>
      <c r="W29" s="60" t="s">
        <v>2787</v>
      </c>
      <c r="X29" s="60" t="s">
        <v>2668</v>
      </c>
      <c r="Y29" s="60" t="s">
        <v>2526</v>
      </c>
      <c r="Z29" s="60" t="s">
        <v>2788</v>
      </c>
      <c r="AA29" s="60" t="s">
        <v>2483</v>
      </c>
      <c r="AB29" s="60" t="s">
        <v>2789</v>
      </c>
      <c r="AC29" s="60" t="s">
        <v>2790</v>
      </c>
      <c r="AD29" s="60" t="s">
        <v>2598</v>
      </c>
      <c r="AE29" s="60" t="s">
        <v>2483</v>
      </c>
      <c r="AF29" s="60" t="s">
        <v>2598</v>
      </c>
      <c r="AG29" s="60" t="s">
        <v>2483</v>
      </c>
      <c r="AH29" s="60" t="s">
        <v>2483</v>
      </c>
    </row>
    <row r="30">
      <c r="A30" s="58" t="s">
        <v>2785</v>
      </c>
      <c r="B30" s="59" t="s">
        <v>2786</v>
      </c>
      <c r="C30" s="60" t="s">
        <v>2791</v>
      </c>
      <c r="D30" s="61">
        <v>82.0</v>
      </c>
      <c r="E30" s="61">
        <v>12.0</v>
      </c>
      <c r="F30" s="60" t="s">
        <v>2792</v>
      </c>
      <c r="G30" s="60" t="s">
        <v>2517</v>
      </c>
      <c r="H30" s="60" t="s">
        <v>2517</v>
      </c>
      <c r="I30" s="61">
        <v>537.0</v>
      </c>
      <c r="J30" s="60" t="s">
        <v>2793</v>
      </c>
      <c r="K30" s="61">
        <v>152.0</v>
      </c>
      <c r="L30" s="61">
        <v>22.0</v>
      </c>
      <c r="M30" s="60" t="s">
        <v>2794</v>
      </c>
      <c r="N30" s="60" t="s">
        <v>2520</v>
      </c>
      <c r="O30" s="60" t="s">
        <v>2699</v>
      </c>
      <c r="P30" s="61">
        <v>968.0</v>
      </c>
      <c r="Q30" s="60" t="s">
        <v>2521</v>
      </c>
      <c r="T30" s="63" t="s">
        <v>2795</v>
      </c>
      <c r="U30" s="64" t="s">
        <v>2796</v>
      </c>
      <c r="V30" s="65">
        <v>95.391</v>
      </c>
      <c r="W30" s="65" t="s">
        <v>2797</v>
      </c>
      <c r="X30" s="65" t="s">
        <v>2798</v>
      </c>
      <c r="Y30" s="65" t="s">
        <v>2511</v>
      </c>
      <c r="Z30" s="65" t="s">
        <v>2799</v>
      </c>
      <c r="AA30" s="65" t="s">
        <v>2547</v>
      </c>
      <c r="AB30" s="65" t="s">
        <v>2800</v>
      </c>
      <c r="AC30" s="65" t="s">
        <v>2747</v>
      </c>
      <c r="AD30" s="65" t="s">
        <v>2649</v>
      </c>
      <c r="AE30" s="65" t="s">
        <v>2559</v>
      </c>
      <c r="AF30" s="65" t="s">
        <v>2577</v>
      </c>
      <c r="AG30" s="65" t="s">
        <v>2483</v>
      </c>
      <c r="AH30" s="65" t="s">
        <v>2526</v>
      </c>
    </row>
    <row r="31">
      <c r="A31" s="63" t="s">
        <v>2795</v>
      </c>
      <c r="B31" s="64" t="s">
        <v>2796</v>
      </c>
      <c r="C31" s="65" t="s">
        <v>2801</v>
      </c>
      <c r="D31" s="66">
        <v>47.0</v>
      </c>
      <c r="E31" s="66">
        <v>7.0</v>
      </c>
      <c r="F31" s="65" t="s">
        <v>2802</v>
      </c>
      <c r="G31" s="65" t="s">
        <v>2567</v>
      </c>
      <c r="H31" s="65" t="s">
        <v>2567</v>
      </c>
      <c r="I31" s="66">
        <v>157.0</v>
      </c>
      <c r="J31" s="65" t="s">
        <v>2803</v>
      </c>
      <c r="K31" s="66">
        <v>99.0</v>
      </c>
      <c r="L31" s="66">
        <v>14.0</v>
      </c>
      <c r="M31" s="65" t="s">
        <v>2804</v>
      </c>
      <c r="N31" s="65" t="s">
        <v>2520</v>
      </c>
      <c r="O31" s="65" t="s">
        <v>2520</v>
      </c>
      <c r="P31" s="66">
        <v>351.0</v>
      </c>
      <c r="Q31" s="65" t="s">
        <v>2521</v>
      </c>
      <c r="T31" s="67" t="s">
        <v>2805</v>
      </c>
      <c r="U31" s="41"/>
      <c r="V31" s="68" t="s">
        <v>2806</v>
      </c>
      <c r="W31" s="68" t="s">
        <v>2807</v>
      </c>
      <c r="X31" s="68" t="s">
        <v>2808</v>
      </c>
      <c r="Y31" s="68" t="s">
        <v>2598</v>
      </c>
      <c r="Z31" s="68" t="s">
        <v>2614</v>
      </c>
      <c r="AA31" s="68" t="s">
        <v>2559</v>
      </c>
      <c r="AB31" s="68" t="s">
        <v>2637</v>
      </c>
      <c r="AC31" s="68" t="s">
        <v>2627</v>
      </c>
      <c r="AD31" s="68" t="s">
        <v>2747</v>
      </c>
      <c r="AE31" s="68" t="s">
        <v>2809</v>
      </c>
      <c r="AF31" s="68" t="s">
        <v>2514</v>
      </c>
      <c r="AG31" s="68" t="s">
        <v>2545</v>
      </c>
      <c r="AH31" s="68" t="s">
        <v>2526</v>
      </c>
    </row>
    <row r="32">
      <c r="A32" s="67" t="s">
        <v>2805</v>
      </c>
      <c r="B32" s="41"/>
      <c r="C32" s="68" t="s">
        <v>2810</v>
      </c>
      <c r="D32" s="69">
        <v>66.0</v>
      </c>
      <c r="E32" s="69">
        <v>9.0</v>
      </c>
      <c r="F32" s="68" t="s">
        <v>2811</v>
      </c>
      <c r="G32" s="68" t="s">
        <v>2536</v>
      </c>
      <c r="H32" s="68" t="s">
        <v>2536</v>
      </c>
      <c r="I32" s="69">
        <v>473.0</v>
      </c>
      <c r="J32" s="68" t="s">
        <v>2812</v>
      </c>
      <c r="K32" s="69">
        <v>107.0</v>
      </c>
      <c r="L32" s="69">
        <v>15.0</v>
      </c>
      <c r="M32" s="68" t="s">
        <v>2813</v>
      </c>
      <c r="N32" s="68" t="s">
        <v>2605</v>
      </c>
      <c r="O32" s="68" t="s">
        <v>2554</v>
      </c>
      <c r="P32" s="69">
        <v>838.0</v>
      </c>
      <c r="Q32" s="68" t="s">
        <v>2521</v>
      </c>
      <c r="T32" s="70" t="s">
        <v>2814</v>
      </c>
      <c r="U32" s="51"/>
      <c r="V32" s="5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2"/>
      <c r="AH32" s="73"/>
    </row>
    <row r="35">
      <c r="A35" s="5" t="s">
        <v>2815</v>
      </c>
      <c r="F35" s="1">
        <f>SUMPRODUCT(C5:C31,W4:W30)</f>
        <v>3490301475905</v>
      </c>
    </row>
    <row r="36">
      <c r="A36" s="74">
        <v>4.5359237E-4</v>
      </c>
    </row>
    <row r="38">
      <c r="A38" s="5" t="s">
        <v>2816</v>
      </c>
      <c r="B38" s="5">
        <v>823.1</v>
      </c>
    </row>
    <row r="39">
      <c r="A39" s="5" t="s">
        <v>2817</v>
      </c>
      <c r="B39" s="1">
        <f>B38*A36</f>
        <v>0.3733518797</v>
      </c>
      <c r="D39" s="5" t="s">
        <v>2818</v>
      </c>
    </row>
  </sheetData>
  <mergeCells count="17">
    <mergeCell ref="T2:T3"/>
    <mergeCell ref="U2:U3"/>
    <mergeCell ref="T31:U31"/>
    <mergeCell ref="T32:V32"/>
    <mergeCell ref="V2:V3"/>
    <mergeCell ref="W2:W3"/>
    <mergeCell ref="C2:I2"/>
    <mergeCell ref="C3:I3"/>
    <mergeCell ref="A32:B32"/>
    <mergeCell ref="A1:Q1"/>
    <mergeCell ref="T1:AH1"/>
    <mergeCell ref="A2:A4"/>
    <mergeCell ref="B2:B4"/>
    <mergeCell ref="J2:P2"/>
    <mergeCell ref="Q2:Q4"/>
    <mergeCell ref="X2:AH2"/>
    <mergeCell ref="J3:P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57"/>
    <col customWidth="1" min="4" max="4" width="73.71"/>
    <col customWidth="1" min="5" max="5" width="74.14"/>
    <col customWidth="1" min="6" max="6" width="12.29"/>
    <col customWidth="1" min="7" max="8" width="8.71"/>
    <col customWidth="1" min="9" max="9" width="12.29"/>
    <col customWidth="1" min="10" max="10" width="8.71"/>
    <col customWidth="1" min="11" max="11" width="10.0"/>
    <col customWidth="1" min="12" max="26" width="8.71"/>
  </cols>
  <sheetData>
    <row r="1" ht="12.75" customHeight="1">
      <c r="A1" s="75" t="s">
        <v>2819</v>
      </c>
      <c r="B1" s="75" t="s">
        <v>2820</v>
      </c>
      <c r="C1" s="75" t="s">
        <v>2821</v>
      </c>
      <c r="D1" s="76" t="s">
        <v>2822</v>
      </c>
      <c r="E1" s="76" t="s">
        <v>2823</v>
      </c>
      <c r="F1" s="75" t="s">
        <v>2824</v>
      </c>
      <c r="H1" s="76" t="s">
        <v>2823</v>
      </c>
      <c r="I1" s="75" t="s">
        <v>2824</v>
      </c>
      <c r="K1" s="1" t="s">
        <v>2825</v>
      </c>
      <c r="L1" s="1" t="s">
        <v>2826</v>
      </c>
    </row>
    <row r="2" ht="12.75" customHeight="1">
      <c r="A2" s="2">
        <v>33105.0</v>
      </c>
      <c r="B2" s="77">
        <f t="shared" ref="B2:B1789" si="1">MONTH(A2)</f>
        <v>8</v>
      </c>
      <c r="C2" s="78">
        <f t="shared" ref="C2:C1789" si="2">YEAR(A2)</f>
        <v>1990</v>
      </c>
      <c r="D2" s="77">
        <v>1.191</v>
      </c>
      <c r="E2" s="4">
        <f t="shared" ref="E2:E1789" si="3">AVERAGEIFS($D$2:$D$1789,$B$2:$B$1789,B2,$C$2:$C$1789,C2)</f>
        <v>1.218</v>
      </c>
      <c r="F2" s="2">
        <f t="shared" ref="F2:F1789" si="4">DATE(C2,B2,1)</f>
        <v>33086</v>
      </c>
      <c r="H2" s="4">
        <v>1.218</v>
      </c>
      <c r="I2" s="2">
        <v>33086.0</v>
      </c>
      <c r="K2" s="2">
        <v>28795.0</v>
      </c>
      <c r="L2" s="4">
        <v>0.046</v>
      </c>
    </row>
    <row r="3" ht="12.75" customHeight="1">
      <c r="A3" s="2">
        <v>33112.0</v>
      </c>
      <c r="B3" s="77">
        <f t="shared" si="1"/>
        <v>8</v>
      </c>
      <c r="C3" s="78">
        <f t="shared" si="2"/>
        <v>1990</v>
      </c>
      <c r="D3" s="77">
        <v>1.245</v>
      </c>
      <c r="E3" s="4">
        <f t="shared" si="3"/>
        <v>1.218</v>
      </c>
      <c r="F3" s="2">
        <f t="shared" si="4"/>
        <v>33086</v>
      </c>
      <c r="H3" s="4">
        <v>1.258</v>
      </c>
      <c r="I3" s="2">
        <v>33117.0</v>
      </c>
      <c r="K3" s="2">
        <v>28825.0</v>
      </c>
      <c r="L3" s="4">
        <v>0.046</v>
      </c>
    </row>
    <row r="4" ht="12.75" customHeight="1">
      <c r="A4" s="2">
        <v>33119.0</v>
      </c>
      <c r="B4" s="77">
        <f t="shared" si="1"/>
        <v>9</v>
      </c>
      <c r="C4" s="78">
        <f t="shared" si="2"/>
        <v>1990</v>
      </c>
      <c r="D4" s="77">
        <v>1.242</v>
      </c>
      <c r="E4" s="4">
        <f t="shared" si="3"/>
        <v>1.258</v>
      </c>
      <c r="F4" s="2">
        <f t="shared" si="4"/>
        <v>33117</v>
      </c>
      <c r="H4" s="4">
        <v>1.3354</v>
      </c>
      <c r="I4" s="2">
        <v>33147.0</v>
      </c>
      <c r="K4" s="2">
        <v>28856.0</v>
      </c>
      <c r="L4" s="4">
        <v>0.046</v>
      </c>
    </row>
    <row r="5" ht="12.75" customHeight="1">
      <c r="A5" s="2">
        <v>33126.0</v>
      </c>
      <c r="B5" s="77">
        <f t="shared" si="1"/>
        <v>9</v>
      </c>
      <c r="C5" s="78">
        <f t="shared" si="2"/>
        <v>1990</v>
      </c>
      <c r="D5" s="77">
        <v>1.252</v>
      </c>
      <c r="E5" s="4">
        <f t="shared" si="3"/>
        <v>1.258</v>
      </c>
      <c r="F5" s="2">
        <f t="shared" si="4"/>
        <v>33117</v>
      </c>
      <c r="H5" s="4">
        <v>1.3239999999999998</v>
      </c>
      <c r="I5" s="2">
        <v>33178.0</v>
      </c>
      <c r="K5" s="2">
        <v>28887.0</v>
      </c>
      <c r="L5" s="4">
        <v>0.047</v>
      </c>
    </row>
    <row r="6" ht="12.75" customHeight="1">
      <c r="A6" s="2">
        <v>33133.0</v>
      </c>
      <c r="B6" s="77">
        <f t="shared" si="1"/>
        <v>9</v>
      </c>
      <c r="C6" s="78">
        <f t="shared" si="2"/>
        <v>1990</v>
      </c>
      <c r="D6" s="77">
        <v>1.266</v>
      </c>
      <c r="E6" s="4">
        <f t="shared" si="3"/>
        <v>1.258</v>
      </c>
      <c r="F6" s="2">
        <f t="shared" si="4"/>
        <v>33117</v>
      </c>
      <c r="H6" s="4">
        <v>1.341</v>
      </c>
      <c r="I6" s="2">
        <v>33208.0</v>
      </c>
      <c r="K6" s="2">
        <v>28915.0</v>
      </c>
      <c r="L6" s="4">
        <v>0.047</v>
      </c>
    </row>
    <row r="7" ht="12.75" customHeight="1">
      <c r="A7" s="2">
        <v>33140.0</v>
      </c>
      <c r="B7" s="77">
        <f t="shared" si="1"/>
        <v>9</v>
      </c>
      <c r="C7" s="78">
        <f t="shared" si="2"/>
        <v>1990</v>
      </c>
      <c r="D7" s="77">
        <v>1.272</v>
      </c>
      <c r="E7" s="4">
        <f t="shared" si="3"/>
        <v>1.258</v>
      </c>
      <c r="F7" s="2">
        <f t="shared" si="4"/>
        <v>33117</v>
      </c>
      <c r="H7" s="4">
        <v>1.18</v>
      </c>
      <c r="I7" s="2">
        <v>33239.0</v>
      </c>
      <c r="K7" s="2">
        <v>28946.0</v>
      </c>
      <c r="L7" s="4">
        <v>0.048</v>
      </c>
    </row>
    <row r="8" ht="12.75" customHeight="1">
      <c r="A8" s="2">
        <v>33147.0</v>
      </c>
      <c r="B8" s="77">
        <f t="shared" si="1"/>
        <v>10</v>
      </c>
      <c r="C8" s="78">
        <f t="shared" si="2"/>
        <v>1990</v>
      </c>
      <c r="D8" s="77">
        <v>1.321</v>
      </c>
      <c r="E8" s="4">
        <f t="shared" si="3"/>
        <v>1.3354</v>
      </c>
      <c r="F8" s="2">
        <f t="shared" si="4"/>
        <v>33147</v>
      </c>
      <c r="H8" s="4">
        <v>1.0942500000000002</v>
      </c>
      <c r="I8" s="2">
        <v>33270.0</v>
      </c>
      <c r="K8" s="2">
        <v>28976.0</v>
      </c>
      <c r="L8" s="4">
        <v>0.049</v>
      </c>
    </row>
    <row r="9" ht="12.75" customHeight="1">
      <c r="A9" s="2">
        <v>33154.0</v>
      </c>
      <c r="B9" s="77">
        <f t="shared" si="1"/>
        <v>10</v>
      </c>
      <c r="C9" s="78">
        <f t="shared" si="2"/>
        <v>1990</v>
      </c>
      <c r="D9" s="77">
        <v>1.333</v>
      </c>
      <c r="E9" s="4">
        <f t="shared" si="3"/>
        <v>1.3354</v>
      </c>
      <c r="F9" s="2">
        <f t="shared" si="4"/>
        <v>33147</v>
      </c>
      <c r="H9" s="4">
        <v>1.0399999999999998</v>
      </c>
      <c r="I9" s="2">
        <v>33298.0</v>
      </c>
      <c r="K9" s="2">
        <v>29007.0</v>
      </c>
      <c r="L9" s="4">
        <v>0.052</v>
      </c>
    </row>
    <row r="10" ht="12.75" customHeight="1">
      <c r="A10" s="2">
        <v>33161.0</v>
      </c>
      <c r="B10" s="77">
        <f t="shared" si="1"/>
        <v>10</v>
      </c>
      <c r="C10" s="78">
        <f t="shared" si="2"/>
        <v>1990</v>
      </c>
      <c r="D10" s="77">
        <v>1.339</v>
      </c>
      <c r="E10" s="4">
        <f t="shared" si="3"/>
        <v>1.3354</v>
      </c>
      <c r="F10" s="2">
        <f t="shared" si="4"/>
        <v>33147</v>
      </c>
      <c r="H10" s="4">
        <v>1.0762</v>
      </c>
      <c r="I10" s="2">
        <v>33329.0</v>
      </c>
      <c r="K10" s="2">
        <v>29037.0</v>
      </c>
      <c r="L10" s="4">
        <v>0.053</v>
      </c>
    </row>
    <row r="11" ht="12.75" customHeight="1">
      <c r="A11" s="2">
        <v>33168.0</v>
      </c>
      <c r="B11" s="77">
        <f t="shared" si="1"/>
        <v>10</v>
      </c>
      <c r="C11" s="78">
        <f t="shared" si="2"/>
        <v>1990</v>
      </c>
      <c r="D11" s="77">
        <v>1.345</v>
      </c>
      <c r="E11" s="4">
        <f t="shared" si="3"/>
        <v>1.3354</v>
      </c>
      <c r="F11" s="2">
        <f t="shared" si="4"/>
        <v>33147</v>
      </c>
      <c r="H11" s="4">
        <v>1.12575</v>
      </c>
      <c r="I11" s="2">
        <v>33359.0</v>
      </c>
      <c r="K11" s="2">
        <v>29068.0</v>
      </c>
      <c r="L11" s="4">
        <v>0.053</v>
      </c>
    </row>
    <row r="12" ht="12.75" customHeight="1">
      <c r="A12" s="2">
        <v>33175.0</v>
      </c>
      <c r="B12" s="77">
        <f t="shared" si="1"/>
        <v>10</v>
      </c>
      <c r="C12" s="78">
        <f t="shared" si="2"/>
        <v>1990</v>
      </c>
      <c r="D12" s="77">
        <v>1.339</v>
      </c>
      <c r="E12" s="4">
        <f t="shared" si="3"/>
        <v>1.3354</v>
      </c>
      <c r="F12" s="2">
        <f t="shared" si="4"/>
        <v>33147</v>
      </c>
      <c r="H12" s="4">
        <v>1.12825</v>
      </c>
      <c r="I12" s="2">
        <v>33390.0</v>
      </c>
      <c r="K12" s="2">
        <v>29099.0</v>
      </c>
      <c r="L12" s="4">
        <v>0.053</v>
      </c>
    </row>
    <row r="13" ht="12.75" customHeight="1">
      <c r="A13" s="2">
        <v>33182.0</v>
      </c>
      <c r="B13" s="77">
        <f t="shared" si="1"/>
        <v>11</v>
      </c>
      <c r="C13" s="78">
        <f t="shared" si="2"/>
        <v>1990</v>
      </c>
      <c r="D13" s="77">
        <v>1.334</v>
      </c>
      <c r="E13" s="4">
        <f t="shared" si="3"/>
        <v>1.324</v>
      </c>
      <c r="F13" s="2">
        <f t="shared" si="4"/>
        <v>33178</v>
      </c>
      <c r="H13" s="4">
        <v>1.0956000000000001</v>
      </c>
      <c r="I13" s="2">
        <v>33420.0</v>
      </c>
      <c r="K13" s="2">
        <v>29129.0</v>
      </c>
      <c r="L13" s="4">
        <v>0.053</v>
      </c>
    </row>
    <row r="14" ht="12.75" customHeight="1">
      <c r="A14" s="2">
        <v>33189.0</v>
      </c>
      <c r="B14" s="77">
        <f t="shared" si="1"/>
        <v>11</v>
      </c>
      <c r="C14" s="78">
        <f t="shared" si="2"/>
        <v>1990</v>
      </c>
      <c r="D14" s="77">
        <v>1.328</v>
      </c>
      <c r="E14" s="4">
        <f t="shared" si="3"/>
        <v>1.324</v>
      </c>
      <c r="F14" s="2">
        <f t="shared" si="4"/>
        <v>33178</v>
      </c>
      <c r="H14" s="4">
        <v>1.1147500000000001</v>
      </c>
      <c r="I14" s="2">
        <v>33451.0</v>
      </c>
      <c r="K14" s="2">
        <v>29160.0</v>
      </c>
      <c r="L14" s="4">
        <v>0.051</v>
      </c>
    </row>
    <row r="15" ht="12.75" customHeight="1">
      <c r="A15" s="2">
        <v>33196.0</v>
      </c>
      <c r="B15" s="77">
        <f t="shared" si="1"/>
        <v>11</v>
      </c>
      <c r="C15" s="78">
        <f t="shared" si="2"/>
        <v>1990</v>
      </c>
      <c r="D15" s="77">
        <v>1.323</v>
      </c>
      <c r="E15" s="4">
        <f t="shared" si="3"/>
        <v>1.324</v>
      </c>
      <c r="F15" s="2">
        <f t="shared" si="4"/>
        <v>33178</v>
      </c>
      <c r="H15" s="4">
        <v>1.1092000000000002</v>
      </c>
      <c r="I15" s="2">
        <v>33482.0</v>
      </c>
      <c r="K15" s="2">
        <v>29190.0</v>
      </c>
      <c r="L15" s="4">
        <v>0.052</v>
      </c>
    </row>
    <row r="16" ht="12.75" customHeight="1">
      <c r="A16" s="2">
        <v>33203.0</v>
      </c>
      <c r="B16" s="77">
        <f t="shared" si="1"/>
        <v>11</v>
      </c>
      <c r="C16" s="78">
        <f t="shared" si="2"/>
        <v>1990</v>
      </c>
      <c r="D16" s="77">
        <v>1.311</v>
      </c>
      <c r="E16" s="4">
        <f t="shared" si="3"/>
        <v>1.324</v>
      </c>
      <c r="F16" s="2">
        <f t="shared" si="4"/>
        <v>33178</v>
      </c>
      <c r="H16" s="4">
        <v>1.088</v>
      </c>
      <c r="I16" s="2">
        <v>33512.0</v>
      </c>
      <c r="K16" s="2">
        <v>29221.0</v>
      </c>
      <c r="L16" s="4">
        <v>0.053</v>
      </c>
    </row>
    <row r="17" ht="12.75" customHeight="1">
      <c r="A17" s="2">
        <v>33210.0</v>
      </c>
      <c r="B17" s="77">
        <f t="shared" si="1"/>
        <v>12</v>
      </c>
      <c r="C17" s="78">
        <f t="shared" si="2"/>
        <v>1990</v>
      </c>
      <c r="D17" s="77">
        <v>1.341</v>
      </c>
      <c r="E17" s="4">
        <f t="shared" si="3"/>
        <v>1.341</v>
      </c>
      <c r="F17" s="2">
        <f t="shared" si="4"/>
        <v>33208</v>
      </c>
      <c r="H17" s="4">
        <v>1.099</v>
      </c>
      <c r="I17" s="2">
        <v>33543.0</v>
      </c>
      <c r="K17" s="2">
        <v>29252.0</v>
      </c>
      <c r="L17" s="4">
        <v>0.055</v>
      </c>
    </row>
    <row r="18" ht="12.75" customHeight="1">
      <c r="A18" s="2">
        <v>33217.0</v>
      </c>
      <c r="B18" s="77">
        <f t="shared" si="1"/>
        <v>12</v>
      </c>
      <c r="C18" s="78">
        <f t="shared" si="2"/>
        <v>1990</v>
      </c>
      <c r="D18" s="77"/>
      <c r="E18" s="4">
        <f t="shared" si="3"/>
        <v>1.341</v>
      </c>
      <c r="F18" s="2">
        <f t="shared" si="4"/>
        <v>33208</v>
      </c>
      <c r="H18" s="4">
        <v>1.0761999999999998</v>
      </c>
      <c r="I18" s="2">
        <v>33573.0</v>
      </c>
      <c r="K18" s="2">
        <v>29281.0</v>
      </c>
      <c r="L18" s="4">
        <v>0.056</v>
      </c>
    </row>
    <row r="19" ht="12.75" customHeight="1">
      <c r="A19" s="2">
        <v>33224.0</v>
      </c>
      <c r="B19" s="77">
        <f t="shared" si="1"/>
        <v>12</v>
      </c>
      <c r="C19" s="78">
        <f t="shared" si="2"/>
        <v>1990</v>
      </c>
      <c r="D19" s="77"/>
      <c r="E19" s="4">
        <f t="shared" si="3"/>
        <v>1.341</v>
      </c>
      <c r="F19" s="2">
        <f t="shared" si="4"/>
        <v>33208</v>
      </c>
      <c r="H19" s="4">
        <v>1.022</v>
      </c>
      <c r="I19" s="2">
        <v>33604.0</v>
      </c>
      <c r="K19" s="2">
        <v>29312.0</v>
      </c>
      <c r="L19" s="4">
        <v>0.056</v>
      </c>
    </row>
    <row r="20" ht="12.75" customHeight="1">
      <c r="A20" s="2">
        <v>33231.0</v>
      </c>
      <c r="B20" s="77">
        <f t="shared" si="1"/>
        <v>12</v>
      </c>
      <c r="C20" s="78">
        <f t="shared" si="2"/>
        <v>1990</v>
      </c>
      <c r="D20" s="77"/>
      <c r="E20" s="4">
        <f t="shared" si="3"/>
        <v>1.341</v>
      </c>
      <c r="F20" s="2">
        <f t="shared" si="4"/>
        <v>33208</v>
      </c>
      <c r="H20" s="4">
        <v>1.006</v>
      </c>
      <c r="I20" s="2">
        <v>33635.0</v>
      </c>
      <c r="K20" s="2">
        <v>29342.0</v>
      </c>
      <c r="L20" s="4">
        <v>0.058</v>
      </c>
    </row>
    <row r="21" ht="12.75" customHeight="1">
      <c r="A21" s="2">
        <v>33238.0</v>
      </c>
      <c r="B21" s="77">
        <f t="shared" si="1"/>
        <v>12</v>
      </c>
      <c r="C21" s="78">
        <f t="shared" si="2"/>
        <v>1990</v>
      </c>
      <c r="D21" s="77"/>
      <c r="E21" s="4">
        <f t="shared" si="3"/>
        <v>1.341</v>
      </c>
      <c r="F21" s="2">
        <f t="shared" si="4"/>
        <v>33208</v>
      </c>
      <c r="H21" s="4">
        <v>1.0126</v>
      </c>
      <c r="I21" s="2">
        <v>33664.0</v>
      </c>
      <c r="K21" s="2">
        <v>29373.0</v>
      </c>
      <c r="L21" s="4">
        <v>0.063</v>
      </c>
    </row>
    <row r="22" ht="12.75" customHeight="1">
      <c r="A22" s="2">
        <v>33245.0</v>
      </c>
      <c r="B22" s="77">
        <f t="shared" si="1"/>
        <v>1</v>
      </c>
      <c r="C22" s="78">
        <f t="shared" si="2"/>
        <v>1991</v>
      </c>
      <c r="D22" s="77"/>
      <c r="E22" s="4">
        <f t="shared" si="3"/>
        <v>1.18</v>
      </c>
      <c r="F22" s="2">
        <f t="shared" si="4"/>
        <v>33239</v>
      </c>
      <c r="H22" s="4">
        <v>1.05175</v>
      </c>
      <c r="I22" s="2">
        <v>33695.0</v>
      </c>
      <c r="K22" s="2">
        <v>29403.0</v>
      </c>
      <c r="L22" s="4">
        <v>0.064</v>
      </c>
    </row>
    <row r="23" ht="12.75" customHeight="1">
      <c r="A23" s="2">
        <v>33252.0</v>
      </c>
      <c r="B23" s="77">
        <f t="shared" si="1"/>
        <v>1</v>
      </c>
      <c r="C23" s="78">
        <f t="shared" si="2"/>
        <v>1991</v>
      </c>
      <c r="D23" s="77"/>
      <c r="E23" s="4">
        <f t="shared" si="3"/>
        <v>1.18</v>
      </c>
      <c r="F23" s="2">
        <f t="shared" si="4"/>
        <v>33239</v>
      </c>
      <c r="H23" s="4">
        <v>1.10725</v>
      </c>
      <c r="I23" s="2">
        <v>33725.0</v>
      </c>
      <c r="K23" s="2">
        <v>29434.0</v>
      </c>
      <c r="L23" s="4">
        <v>0.064</v>
      </c>
    </row>
    <row r="24" ht="12.75" customHeight="1">
      <c r="A24" s="2">
        <v>33259.0</v>
      </c>
      <c r="B24" s="77">
        <f t="shared" si="1"/>
        <v>1</v>
      </c>
      <c r="C24" s="78">
        <f t="shared" si="2"/>
        <v>1991</v>
      </c>
      <c r="D24" s="77">
        <v>1.192</v>
      </c>
      <c r="E24" s="4">
        <f t="shared" si="3"/>
        <v>1.18</v>
      </c>
      <c r="F24" s="2">
        <f t="shared" si="4"/>
        <v>33239</v>
      </c>
      <c r="H24" s="4">
        <v>1.1447999999999998</v>
      </c>
      <c r="I24" s="2">
        <v>33756.0</v>
      </c>
      <c r="K24" s="2">
        <v>29465.0</v>
      </c>
      <c r="L24" s="4">
        <v>0.065</v>
      </c>
    </row>
    <row r="25" ht="12.75" customHeight="1">
      <c r="A25" s="2">
        <v>33266.0</v>
      </c>
      <c r="B25" s="77">
        <f t="shared" si="1"/>
        <v>1</v>
      </c>
      <c r="C25" s="78">
        <f t="shared" si="2"/>
        <v>1991</v>
      </c>
      <c r="D25" s="77">
        <v>1.168</v>
      </c>
      <c r="E25" s="4">
        <f t="shared" si="3"/>
        <v>1.18</v>
      </c>
      <c r="F25" s="2">
        <f t="shared" si="4"/>
        <v>33239</v>
      </c>
      <c r="H25" s="4">
        <v>1.1365</v>
      </c>
      <c r="I25" s="2">
        <v>33786.0</v>
      </c>
      <c r="K25" s="2">
        <v>29495.0</v>
      </c>
      <c r="L25" s="4">
        <v>0.063</v>
      </c>
    </row>
    <row r="26" ht="12.75" customHeight="1">
      <c r="A26" s="2">
        <v>33273.0</v>
      </c>
      <c r="B26" s="77">
        <f t="shared" si="1"/>
        <v>2</v>
      </c>
      <c r="C26" s="78">
        <f t="shared" si="2"/>
        <v>1991</v>
      </c>
      <c r="D26" s="77">
        <v>1.139</v>
      </c>
      <c r="E26" s="4">
        <f t="shared" si="3"/>
        <v>1.09425</v>
      </c>
      <c r="F26" s="2">
        <f t="shared" si="4"/>
        <v>33270</v>
      </c>
      <c r="H26" s="4">
        <v>1.1218</v>
      </c>
      <c r="I26" s="2">
        <v>33817.0</v>
      </c>
      <c r="K26" s="2">
        <v>29526.0</v>
      </c>
      <c r="L26" s="4">
        <v>0.061</v>
      </c>
    </row>
    <row r="27" ht="12.75" customHeight="1">
      <c r="A27" s="2">
        <v>33280.0</v>
      </c>
      <c r="B27" s="77">
        <f t="shared" si="1"/>
        <v>2</v>
      </c>
      <c r="C27" s="78">
        <f t="shared" si="2"/>
        <v>1991</v>
      </c>
      <c r="D27" s="77">
        <v>1.106</v>
      </c>
      <c r="E27" s="4">
        <f t="shared" si="3"/>
        <v>1.09425</v>
      </c>
      <c r="F27" s="2">
        <f t="shared" si="4"/>
        <v>33270</v>
      </c>
      <c r="H27" s="4">
        <v>1.1215000000000002</v>
      </c>
      <c r="I27" s="2">
        <v>33848.0</v>
      </c>
      <c r="K27" s="2">
        <v>29556.0</v>
      </c>
      <c r="L27" s="4">
        <v>0.062</v>
      </c>
    </row>
    <row r="28" ht="12.75" customHeight="1">
      <c r="A28" s="2">
        <v>33287.0</v>
      </c>
      <c r="B28" s="77">
        <f t="shared" si="1"/>
        <v>2</v>
      </c>
      <c r="C28" s="78">
        <f t="shared" si="2"/>
        <v>1991</v>
      </c>
      <c r="D28" s="77">
        <v>1.078</v>
      </c>
      <c r="E28" s="4">
        <f t="shared" si="3"/>
        <v>1.09425</v>
      </c>
      <c r="F28" s="2">
        <f t="shared" si="4"/>
        <v>33270</v>
      </c>
      <c r="H28" s="4">
        <v>1.1139999999999999</v>
      </c>
      <c r="I28" s="2">
        <v>33878.0</v>
      </c>
      <c r="K28" s="2">
        <v>29587.0</v>
      </c>
      <c r="L28" s="4">
        <v>0.063</v>
      </c>
    </row>
    <row r="29" ht="12.75" customHeight="1">
      <c r="A29" s="2">
        <v>33294.0</v>
      </c>
      <c r="B29" s="77">
        <f t="shared" si="1"/>
        <v>2</v>
      </c>
      <c r="C29" s="78">
        <f t="shared" si="2"/>
        <v>1991</v>
      </c>
      <c r="D29" s="77">
        <v>1.054</v>
      </c>
      <c r="E29" s="4">
        <f t="shared" si="3"/>
        <v>1.09425</v>
      </c>
      <c r="F29" s="2">
        <f t="shared" si="4"/>
        <v>33270</v>
      </c>
      <c r="H29" s="4">
        <v>1.1112</v>
      </c>
      <c r="I29" s="2">
        <v>33909.0</v>
      </c>
      <c r="K29" s="2">
        <v>29618.0</v>
      </c>
      <c r="L29" s="4">
        <v>0.064</v>
      </c>
    </row>
    <row r="30" ht="12.75" customHeight="1">
      <c r="A30" s="2">
        <v>33301.0</v>
      </c>
      <c r="B30" s="77">
        <f t="shared" si="1"/>
        <v>3</v>
      </c>
      <c r="C30" s="78">
        <f t="shared" si="2"/>
        <v>1991</v>
      </c>
      <c r="D30" s="77">
        <v>1.025</v>
      </c>
      <c r="E30" s="4">
        <f t="shared" si="3"/>
        <v>1.04</v>
      </c>
      <c r="F30" s="2">
        <f t="shared" si="4"/>
        <v>33298</v>
      </c>
      <c r="H30" s="4">
        <v>1.0775</v>
      </c>
      <c r="I30" s="2">
        <v>33939.0</v>
      </c>
      <c r="K30" s="2">
        <v>29646.0</v>
      </c>
      <c r="L30" s="4">
        <v>0.065</v>
      </c>
    </row>
    <row r="31" ht="12.75" customHeight="1">
      <c r="A31" s="2">
        <v>33308.0</v>
      </c>
      <c r="B31" s="77">
        <f t="shared" si="1"/>
        <v>3</v>
      </c>
      <c r="C31" s="78">
        <f t="shared" si="2"/>
        <v>1991</v>
      </c>
      <c r="D31" s="77">
        <v>1.045</v>
      </c>
      <c r="E31" s="4">
        <f t="shared" si="3"/>
        <v>1.04</v>
      </c>
      <c r="F31" s="2">
        <f t="shared" si="4"/>
        <v>33298</v>
      </c>
      <c r="H31" s="4">
        <v>1.06175</v>
      </c>
      <c r="I31" s="2">
        <v>33970.0</v>
      </c>
      <c r="K31" s="2">
        <v>29677.0</v>
      </c>
      <c r="L31" s="4">
        <v>0.066</v>
      </c>
    </row>
    <row r="32" ht="12.75" customHeight="1">
      <c r="A32" s="2">
        <v>33315.0</v>
      </c>
      <c r="B32" s="77">
        <f t="shared" si="1"/>
        <v>3</v>
      </c>
      <c r="C32" s="78">
        <f t="shared" si="2"/>
        <v>1991</v>
      </c>
      <c r="D32" s="77">
        <v>1.043</v>
      </c>
      <c r="E32" s="4">
        <f t="shared" si="3"/>
        <v>1.04</v>
      </c>
      <c r="F32" s="2">
        <f t="shared" si="4"/>
        <v>33298</v>
      </c>
      <c r="H32" s="4">
        <v>1.05425</v>
      </c>
      <c r="I32" s="2">
        <v>34001.0</v>
      </c>
      <c r="K32" s="2">
        <v>29707.0</v>
      </c>
      <c r="L32" s="4">
        <v>0.067</v>
      </c>
    </row>
    <row r="33" ht="12.75" customHeight="1">
      <c r="A33" s="2">
        <v>33322.0</v>
      </c>
      <c r="B33" s="77">
        <f t="shared" si="1"/>
        <v>3</v>
      </c>
      <c r="C33" s="78">
        <f t="shared" si="2"/>
        <v>1991</v>
      </c>
      <c r="D33" s="77">
        <v>1.047</v>
      </c>
      <c r="E33" s="4">
        <f t="shared" si="3"/>
        <v>1.04</v>
      </c>
      <c r="F33" s="2">
        <f t="shared" si="4"/>
        <v>33298</v>
      </c>
      <c r="H33" s="4">
        <v>1.0521999999999998</v>
      </c>
      <c r="I33" s="2">
        <v>34029.0</v>
      </c>
      <c r="K33" s="2">
        <v>29738.0</v>
      </c>
      <c r="L33" s="4">
        <v>0.071</v>
      </c>
    </row>
    <row r="34" ht="12.75" customHeight="1">
      <c r="A34" s="2">
        <v>33329.0</v>
      </c>
      <c r="B34" s="77">
        <f t="shared" si="1"/>
        <v>4</v>
      </c>
      <c r="C34" s="78">
        <f t="shared" si="2"/>
        <v>1991</v>
      </c>
      <c r="D34" s="77">
        <v>1.052</v>
      </c>
      <c r="E34" s="4">
        <f t="shared" si="3"/>
        <v>1.0762</v>
      </c>
      <c r="F34" s="2">
        <f t="shared" si="4"/>
        <v>33329</v>
      </c>
      <c r="H34" s="4">
        <v>1.078</v>
      </c>
      <c r="I34" s="2">
        <v>34060.0</v>
      </c>
      <c r="K34" s="2">
        <v>29768.0</v>
      </c>
      <c r="L34" s="4">
        <v>0.073</v>
      </c>
    </row>
    <row r="35" ht="12.75" customHeight="1">
      <c r="A35" s="2">
        <v>33336.0</v>
      </c>
      <c r="B35" s="77">
        <f t="shared" si="1"/>
        <v>4</v>
      </c>
      <c r="C35" s="78">
        <f t="shared" si="2"/>
        <v>1991</v>
      </c>
      <c r="D35" s="77">
        <v>1.066</v>
      </c>
      <c r="E35" s="4">
        <f t="shared" si="3"/>
        <v>1.0762</v>
      </c>
      <c r="F35" s="2">
        <f t="shared" si="4"/>
        <v>33329</v>
      </c>
      <c r="H35" s="4">
        <v>1.1004</v>
      </c>
      <c r="I35" s="2">
        <v>34090.0</v>
      </c>
      <c r="K35" s="2">
        <v>29799.0</v>
      </c>
      <c r="L35" s="4">
        <v>0.075</v>
      </c>
    </row>
    <row r="36" ht="12.75" customHeight="1">
      <c r="A36" s="2">
        <v>33343.0</v>
      </c>
      <c r="B36" s="77">
        <f t="shared" si="1"/>
        <v>4</v>
      </c>
      <c r="C36" s="78">
        <f t="shared" si="2"/>
        <v>1991</v>
      </c>
      <c r="D36" s="77">
        <v>1.069</v>
      </c>
      <c r="E36" s="4">
        <f t="shared" si="3"/>
        <v>1.0762</v>
      </c>
      <c r="F36" s="2">
        <f t="shared" si="4"/>
        <v>33329</v>
      </c>
      <c r="H36" s="4">
        <v>1.0972499999999998</v>
      </c>
      <c r="I36" s="2">
        <v>34121.0</v>
      </c>
      <c r="K36" s="2">
        <v>29830.0</v>
      </c>
      <c r="L36" s="4">
        <v>0.074</v>
      </c>
    </row>
    <row r="37" ht="12.75" customHeight="1">
      <c r="A37" s="2">
        <v>33350.0</v>
      </c>
      <c r="B37" s="77">
        <f t="shared" si="1"/>
        <v>4</v>
      </c>
      <c r="C37" s="78">
        <f t="shared" si="2"/>
        <v>1991</v>
      </c>
      <c r="D37" s="77">
        <v>1.09</v>
      </c>
      <c r="E37" s="4">
        <f t="shared" si="3"/>
        <v>1.0762</v>
      </c>
      <c r="F37" s="2">
        <f t="shared" si="4"/>
        <v>33329</v>
      </c>
      <c r="H37" s="4">
        <v>1.07775</v>
      </c>
      <c r="I37" s="2">
        <v>34151.0</v>
      </c>
      <c r="K37" s="2">
        <v>29860.0</v>
      </c>
      <c r="L37" s="4">
        <v>0.072</v>
      </c>
    </row>
    <row r="38" ht="12.75" customHeight="1">
      <c r="A38" s="2">
        <v>33357.0</v>
      </c>
      <c r="B38" s="77">
        <f t="shared" si="1"/>
        <v>4</v>
      </c>
      <c r="C38" s="78">
        <f t="shared" si="2"/>
        <v>1991</v>
      </c>
      <c r="D38" s="77">
        <v>1.104</v>
      </c>
      <c r="E38" s="4">
        <f t="shared" si="3"/>
        <v>1.0762</v>
      </c>
      <c r="F38" s="2">
        <f t="shared" si="4"/>
        <v>33329</v>
      </c>
      <c r="H38" s="4">
        <v>1.0616</v>
      </c>
      <c r="I38" s="2">
        <v>34182.0</v>
      </c>
      <c r="K38" s="2">
        <v>29891.0</v>
      </c>
      <c r="L38" s="4">
        <v>0.071</v>
      </c>
    </row>
    <row r="39" ht="12.75" customHeight="1">
      <c r="A39" s="2">
        <v>33364.0</v>
      </c>
      <c r="B39" s="77">
        <f t="shared" si="1"/>
        <v>5</v>
      </c>
      <c r="C39" s="78">
        <f t="shared" si="2"/>
        <v>1991</v>
      </c>
      <c r="D39" s="77">
        <v>1.113</v>
      </c>
      <c r="E39" s="4">
        <f t="shared" si="3"/>
        <v>1.12575</v>
      </c>
      <c r="F39" s="2">
        <f t="shared" si="4"/>
        <v>33359</v>
      </c>
      <c r="H39" s="4">
        <v>1.0494999999999999</v>
      </c>
      <c r="I39" s="2">
        <v>34213.0</v>
      </c>
      <c r="K39" s="2">
        <v>29921.0</v>
      </c>
      <c r="L39" s="4">
        <v>0.071</v>
      </c>
    </row>
    <row r="40" ht="12.75" customHeight="1">
      <c r="A40" s="2">
        <v>33371.0</v>
      </c>
      <c r="B40" s="77">
        <f t="shared" si="1"/>
        <v>5</v>
      </c>
      <c r="C40" s="78">
        <f t="shared" si="2"/>
        <v>1991</v>
      </c>
      <c r="D40" s="77">
        <v>1.121</v>
      </c>
      <c r="E40" s="4">
        <f t="shared" si="3"/>
        <v>1.12575</v>
      </c>
      <c r="F40" s="2">
        <f t="shared" si="4"/>
        <v>33359</v>
      </c>
      <c r="H40" s="4">
        <v>1.0917500000000002</v>
      </c>
      <c r="I40" s="2">
        <v>34243.0</v>
      </c>
      <c r="K40" s="2">
        <v>29952.0</v>
      </c>
      <c r="L40" s="4">
        <v>0.073</v>
      </c>
    </row>
    <row r="41" ht="12.75" customHeight="1">
      <c r="A41" s="2">
        <v>33378.0</v>
      </c>
      <c r="B41" s="77">
        <f t="shared" si="1"/>
        <v>5</v>
      </c>
      <c r="C41" s="78">
        <f t="shared" si="2"/>
        <v>1991</v>
      </c>
      <c r="D41" s="77">
        <v>1.129</v>
      </c>
      <c r="E41" s="4">
        <f t="shared" si="3"/>
        <v>1.12575</v>
      </c>
      <c r="F41" s="2">
        <f t="shared" si="4"/>
        <v>33359</v>
      </c>
      <c r="H41" s="4">
        <v>1.0664</v>
      </c>
      <c r="I41" s="2">
        <v>34274.0</v>
      </c>
      <c r="K41" s="2">
        <v>29983.0</v>
      </c>
      <c r="L41" s="4">
        <v>0.073</v>
      </c>
    </row>
    <row r="42" ht="12.75" customHeight="1">
      <c r="A42" s="2">
        <v>33385.0</v>
      </c>
      <c r="B42" s="77">
        <f t="shared" si="1"/>
        <v>5</v>
      </c>
      <c r="C42" s="78">
        <f t="shared" si="2"/>
        <v>1991</v>
      </c>
      <c r="D42" s="77">
        <v>1.14</v>
      </c>
      <c r="E42" s="4">
        <f t="shared" si="3"/>
        <v>1.12575</v>
      </c>
      <c r="F42" s="2">
        <f t="shared" si="4"/>
        <v>33359</v>
      </c>
      <c r="H42" s="4">
        <v>1.014</v>
      </c>
      <c r="I42" s="2">
        <v>34304.0</v>
      </c>
      <c r="K42" s="2">
        <v>30011.0</v>
      </c>
      <c r="L42" s="4">
        <v>0.075</v>
      </c>
    </row>
    <row r="43" ht="12.75" customHeight="1">
      <c r="A43" s="2">
        <v>33392.0</v>
      </c>
      <c r="B43" s="77">
        <f t="shared" si="1"/>
        <v>6</v>
      </c>
      <c r="C43" s="78">
        <f t="shared" si="2"/>
        <v>1991</v>
      </c>
      <c r="D43" s="77">
        <v>1.138</v>
      </c>
      <c r="E43" s="4">
        <f t="shared" si="3"/>
        <v>1.12825</v>
      </c>
      <c r="F43" s="2">
        <f t="shared" si="4"/>
        <v>33390</v>
      </c>
      <c r="H43" s="4">
        <v>0.9984</v>
      </c>
      <c r="I43" s="2">
        <v>34335.0</v>
      </c>
      <c r="K43" s="2">
        <v>30042.0</v>
      </c>
      <c r="L43" s="4">
        <v>0.075</v>
      </c>
    </row>
    <row r="44" ht="12.75" customHeight="1">
      <c r="A44" s="2">
        <v>33399.0</v>
      </c>
      <c r="B44" s="77">
        <f t="shared" si="1"/>
        <v>6</v>
      </c>
      <c r="C44" s="78">
        <f t="shared" si="2"/>
        <v>1991</v>
      </c>
      <c r="D44" s="77">
        <v>1.135</v>
      </c>
      <c r="E44" s="4">
        <f t="shared" si="3"/>
        <v>1.12825</v>
      </c>
      <c r="F44" s="2">
        <f t="shared" si="4"/>
        <v>33390</v>
      </c>
      <c r="H44" s="4">
        <v>1.009</v>
      </c>
      <c r="I44" s="2">
        <v>34366.0</v>
      </c>
      <c r="K44" s="2">
        <v>30072.0</v>
      </c>
      <c r="L44" s="4">
        <v>0.075</v>
      </c>
    </row>
    <row r="45" ht="12.75" customHeight="1">
      <c r="A45" s="2">
        <v>33406.0</v>
      </c>
      <c r="B45" s="77">
        <f t="shared" si="1"/>
        <v>6</v>
      </c>
      <c r="C45" s="78">
        <f t="shared" si="2"/>
        <v>1991</v>
      </c>
      <c r="D45" s="77">
        <v>1.126</v>
      </c>
      <c r="E45" s="4">
        <f t="shared" si="3"/>
        <v>1.12825</v>
      </c>
      <c r="F45" s="2">
        <f t="shared" si="4"/>
        <v>33390</v>
      </c>
      <c r="H45" s="4">
        <v>1.0077499999999997</v>
      </c>
      <c r="I45" s="2">
        <v>34394.0</v>
      </c>
      <c r="K45" s="2">
        <v>30103.0</v>
      </c>
      <c r="L45" s="4">
        <v>0.079</v>
      </c>
    </row>
    <row r="46" ht="12.75" customHeight="1">
      <c r="A46" s="2">
        <v>33413.0</v>
      </c>
      <c r="B46" s="77">
        <f t="shared" si="1"/>
        <v>6</v>
      </c>
      <c r="C46" s="78">
        <f t="shared" si="2"/>
        <v>1991</v>
      </c>
      <c r="D46" s="77">
        <v>1.114</v>
      </c>
      <c r="E46" s="4">
        <f t="shared" si="3"/>
        <v>1.12825</v>
      </c>
      <c r="F46" s="2">
        <f t="shared" si="4"/>
        <v>33390</v>
      </c>
      <c r="H46" s="4">
        <v>1.02725</v>
      </c>
      <c r="I46" s="2">
        <v>34425.0</v>
      </c>
      <c r="K46" s="2">
        <v>30133.0</v>
      </c>
      <c r="L46" s="4">
        <v>0.079</v>
      </c>
    </row>
    <row r="47" ht="12.75" customHeight="1">
      <c r="A47" s="2">
        <v>33420.0</v>
      </c>
      <c r="B47" s="77">
        <f t="shared" si="1"/>
        <v>7</v>
      </c>
      <c r="C47" s="78">
        <f t="shared" si="2"/>
        <v>1991</v>
      </c>
      <c r="D47" s="77">
        <v>1.104</v>
      </c>
      <c r="E47" s="4">
        <f t="shared" si="3"/>
        <v>1.0956</v>
      </c>
      <c r="F47" s="2">
        <f t="shared" si="4"/>
        <v>33420</v>
      </c>
      <c r="H47" s="4">
        <v>1.0474</v>
      </c>
      <c r="I47" s="2">
        <v>34455.0</v>
      </c>
      <c r="K47" s="2">
        <v>30164.0</v>
      </c>
      <c r="L47" s="4">
        <v>0.079</v>
      </c>
    </row>
    <row r="48" ht="12.75" customHeight="1">
      <c r="A48" s="2">
        <v>33427.0</v>
      </c>
      <c r="B48" s="77">
        <f t="shared" si="1"/>
        <v>7</v>
      </c>
      <c r="C48" s="78">
        <f t="shared" si="2"/>
        <v>1991</v>
      </c>
      <c r="D48" s="77">
        <v>1.098</v>
      </c>
      <c r="E48" s="4">
        <f t="shared" si="3"/>
        <v>1.0956</v>
      </c>
      <c r="F48" s="2">
        <f t="shared" si="4"/>
        <v>33420</v>
      </c>
      <c r="H48" s="4">
        <v>1.0779999999999998</v>
      </c>
      <c r="I48" s="2">
        <v>34486.0</v>
      </c>
      <c r="K48" s="2">
        <v>30195.0</v>
      </c>
      <c r="L48" s="4">
        <v>0.079</v>
      </c>
    </row>
    <row r="49" ht="12.75" customHeight="1">
      <c r="A49" s="2">
        <v>33434.0</v>
      </c>
      <c r="B49" s="77">
        <f t="shared" si="1"/>
        <v>7</v>
      </c>
      <c r="C49" s="78">
        <f t="shared" si="2"/>
        <v>1991</v>
      </c>
      <c r="D49" s="77">
        <v>1.094</v>
      </c>
      <c r="E49" s="4">
        <f t="shared" si="3"/>
        <v>1.0956</v>
      </c>
      <c r="F49" s="2">
        <f t="shared" si="4"/>
        <v>33420</v>
      </c>
      <c r="H49" s="4">
        <v>1.10575</v>
      </c>
      <c r="I49" s="2">
        <v>34516.0</v>
      </c>
      <c r="K49" s="2">
        <v>30225.0</v>
      </c>
      <c r="L49" s="4">
        <v>0.077</v>
      </c>
    </row>
    <row r="50" ht="12.75" customHeight="1">
      <c r="A50" s="2">
        <v>33441.0</v>
      </c>
      <c r="B50" s="77">
        <f t="shared" si="1"/>
        <v>7</v>
      </c>
      <c r="C50" s="78">
        <f t="shared" si="2"/>
        <v>1991</v>
      </c>
      <c r="D50" s="77">
        <v>1.091</v>
      </c>
      <c r="E50" s="4">
        <f t="shared" si="3"/>
        <v>1.0956</v>
      </c>
      <c r="F50" s="2">
        <f t="shared" si="4"/>
        <v>33420</v>
      </c>
      <c r="H50" s="4">
        <v>1.1547999999999998</v>
      </c>
      <c r="I50" s="2">
        <v>34547.0</v>
      </c>
      <c r="K50" s="2">
        <v>30256.0</v>
      </c>
      <c r="L50" s="4">
        <v>0.074</v>
      </c>
    </row>
    <row r="51" ht="12.75" customHeight="1">
      <c r="A51" s="2">
        <v>33448.0</v>
      </c>
      <c r="B51" s="77">
        <f t="shared" si="1"/>
        <v>7</v>
      </c>
      <c r="C51" s="78">
        <f t="shared" si="2"/>
        <v>1991</v>
      </c>
      <c r="D51" s="77">
        <v>1.091</v>
      </c>
      <c r="E51" s="4">
        <f t="shared" si="3"/>
        <v>1.0956</v>
      </c>
      <c r="F51" s="2">
        <f t="shared" si="4"/>
        <v>33420</v>
      </c>
      <c r="H51" s="4">
        <v>1.1437499999999998</v>
      </c>
      <c r="I51" s="2">
        <v>34578.0</v>
      </c>
      <c r="K51" s="2">
        <v>30286.0</v>
      </c>
      <c r="L51" s="4">
        <v>0.075</v>
      </c>
    </row>
    <row r="52" ht="12.75" customHeight="1">
      <c r="A52" s="2">
        <v>33455.0</v>
      </c>
      <c r="B52" s="77">
        <f t="shared" si="1"/>
        <v>8</v>
      </c>
      <c r="C52" s="78">
        <f t="shared" si="2"/>
        <v>1991</v>
      </c>
      <c r="D52" s="77">
        <v>1.099</v>
      </c>
      <c r="E52" s="4">
        <f t="shared" si="3"/>
        <v>1.11475</v>
      </c>
      <c r="F52" s="2">
        <f t="shared" si="4"/>
        <v>33451</v>
      </c>
      <c r="H52" s="4">
        <v>1.1136</v>
      </c>
      <c r="I52" s="2">
        <v>34608.0</v>
      </c>
      <c r="K52" s="2">
        <v>30317.0</v>
      </c>
      <c r="L52" s="4">
        <v>0.075</v>
      </c>
    </row>
    <row r="53" ht="12.75" customHeight="1">
      <c r="A53" s="2">
        <v>33462.0</v>
      </c>
      <c r="B53" s="77">
        <f t="shared" si="1"/>
        <v>8</v>
      </c>
      <c r="C53" s="78">
        <f t="shared" si="2"/>
        <v>1991</v>
      </c>
      <c r="D53" s="77">
        <v>1.112</v>
      </c>
      <c r="E53" s="4">
        <f t="shared" si="3"/>
        <v>1.11475</v>
      </c>
      <c r="F53" s="2">
        <f t="shared" si="4"/>
        <v>33451</v>
      </c>
      <c r="H53" s="4">
        <v>1.11</v>
      </c>
      <c r="I53" s="2">
        <v>34639.0</v>
      </c>
      <c r="K53" s="2">
        <v>30348.0</v>
      </c>
      <c r="L53" s="4">
        <v>0.075</v>
      </c>
    </row>
    <row r="54" ht="12.75" customHeight="1">
      <c r="A54" s="2">
        <v>33469.0</v>
      </c>
      <c r="B54" s="77">
        <f t="shared" si="1"/>
        <v>8</v>
      </c>
      <c r="C54" s="78">
        <f t="shared" si="2"/>
        <v>1991</v>
      </c>
      <c r="D54" s="77">
        <v>1.124</v>
      </c>
      <c r="E54" s="4">
        <f t="shared" si="3"/>
        <v>1.11475</v>
      </c>
      <c r="F54" s="2">
        <f t="shared" si="4"/>
        <v>33451</v>
      </c>
      <c r="H54" s="4">
        <v>1.0597500000000002</v>
      </c>
      <c r="I54" s="2">
        <v>34669.0</v>
      </c>
      <c r="K54" s="2">
        <v>30376.0</v>
      </c>
      <c r="L54" s="4">
        <v>0.076</v>
      </c>
    </row>
    <row r="55" ht="12.75" customHeight="1">
      <c r="A55" s="2">
        <v>33476.0</v>
      </c>
      <c r="B55" s="77">
        <f t="shared" si="1"/>
        <v>8</v>
      </c>
      <c r="C55" s="78">
        <f t="shared" si="2"/>
        <v>1991</v>
      </c>
      <c r="D55" s="77">
        <v>1.124</v>
      </c>
      <c r="E55" s="4">
        <f t="shared" si="3"/>
        <v>1.11475</v>
      </c>
      <c r="F55" s="2">
        <f t="shared" si="4"/>
        <v>33451</v>
      </c>
      <c r="H55" s="4">
        <v>1.0661999999999998</v>
      </c>
      <c r="I55" s="2">
        <v>34700.0</v>
      </c>
      <c r="K55" s="2">
        <v>30407.0</v>
      </c>
      <c r="L55" s="4">
        <v>0.075</v>
      </c>
    </row>
    <row r="56" ht="12.75" customHeight="1">
      <c r="A56" s="2">
        <v>33483.0</v>
      </c>
      <c r="B56" s="77">
        <f t="shared" si="1"/>
        <v>9</v>
      </c>
      <c r="C56" s="78">
        <f t="shared" si="2"/>
        <v>1991</v>
      </c>
      <c r="D56" s="77">
        <v>1.127</v>
      </c>
      <c r="E56" s="4">
        <f t="shared" si="3"/>
        <v>1.1092</v>
      </c>
      <c r="F56" s="2">
        <f t="shared" si="4"/>
        <v>33482</v>
      </c>
      <c r="H56" s="4">
        <v>1.058</v>
      </c>
      <c r="I56" s="2">
        <v>34731.0</v>
      </c>
      <c r="K56" s="2">
        <v>30437.0</v>
      </c>
      <c r="L56" s="4">
        <v>0.077</v>
      </c>
    </row>
    <row r="57" ht="12.75" customHeight="1">
      <c r="A57" s="2">
        <v>33490.0</v>
      </c>
      <c r="B57" s="77">
        <f t="shared" si="1"/>
        <v>9</v>
      </c>
      <c r="C57" s="78">
        <f t="shared" si="2"/>
        <v>1991</v>
      </c>
      <c r="D57" s="77">
        <v>1.12</v>
      </c>
      <c r="E57" s="4">
        <f t="shared" si="3"/>
        <v>1.1092</v>
      </c>
      <c r="F57" s="2">
        <f t="shared" si="4"/>
        <v>33482</v>
      </c>
      <c r="H57" s="4">
        <v>1.0592499999999998</v>
      </c>
      <c r="I57" s="2">
        <v>34759.0</v>
      </c>
      <c r="K57" s="2">
        <v>30468.0</v>
      </c>
      <c r="L57" s="4">
        <v>0.081</v>
      </c>
    </row>
    <row r="58" ht="12.75" customHeight="1">
      <c r="A58" s="2">
        <v>33497.0</v>
      </c>
      <c r="B58" s="77">
        <f t="shared" si="1"/>
        <v>9</v>
      </c>
      <c r="C58" s="78">
        <f t="shared" si="2"/>
        <v>1991</v>
      </c>
      <c r="D58" s="77">
        <v>1.11</v>
      </c>
      <c r="E58" s="4">
        <f t="shared" si="3"/>
        <v>1.1092</v>
      </c>
      <c r="F58" s="2">
        <f t="shared" si="4"/>
        <v>33482</v>
      </c>
      <c r="H58" s="4">
        <v>1.1035000000000001</v>
      </c>
      <c r="I58" s="2">
        <v>34790.0</v>
      </c>
      <c r="K58" s="2">
        <v>30498.0</v>
      </c>
      <c r="L58" s="4">
        <v>0.082</v>
      </c>
    </row>
    <row r="59" ht="12.75" customHeight="1">
      <c r="A59" s="2">
        <v>33504.0</v>
      </c>
      <c r="B59" s="77">
        <f t="shared" si="1"/>
        <v>9</v>
      </c>
      <c r="C59" s="78">
        <f t="shared" si="2"/>
        <v>1991</v>
      </c>
      <c r="D59" s="77">
        <v>1.097</v>
      </c>
      <c r="E59" s="4">
        <f t="shared" si="3"/>
        <v>1.1092</v>
      </c>
      <c r="F59" s="2">
        <f t="shared" si="4"/>
        <v>33482</v>
      </c>
      <c r="H59" s="4">
        <v>1.1724</v>
      </c>
      <c r="I59" s="2">
        <v>34820.0</v>
      </c>
      <c r="K59" s="2">
        <v>30529.0</v>
      </c>
      <c r="L59" s="4">
        <v>0.082</v>
      </c>
    </row>
    <row r="60" ht="12.75" customHeight="1">
      <c r="A60" s="2">
        <v>33511.0</v>
      </c>
      <c r="B60" s="77">
        <f t="shared" si="1"/>
        <v>9</v>
      </c>
      <c r="C60" s="78">
        <f t="shared" si="2"/>
        <v>1991</v>
      </c>
      <c r="D60" s="77">
        <v>1.092</v>
      </c>
      <c r="E60" s="4">
        <f t="shared" si="3"/>
        <v>1.1092</v>
      </c>
      <c r="F60" s="2">
        <f t="shared" si="4"/>
        <v>33482</v>
      </c>
      <c r="H60" s="4">
        <v>1.186</v>
      </c>
      <c r="I60" s="2">
        <v>34851.0</v>
      </c>
      <c r="K60" s="2">
        <v>30560.0</v>
      </c>
      <c r="L60" s="4">
        <v>0.082</v>
      </c>
    </row>
    <row r="61" ht="12.75" customHeight="1">
      <c r="A61" s="2">
        <v>33518.0</v>
      </c>
      <c r="B61" s="77">
        <f t="shared" si="1"/>
        <v>10</v>
      </c>
      <c r="C61" s="78">
        <f t="shared" si="2"/>
        <v>1991</v>
      </c>
      <c r="D61" s="77">
        <v>1.089</v>
      </c>
      <c r="E61" s="4">
        <f t="shared" si="3"/>
        <v>1.088</v>
      </c>
      <c r="F61" s="2">
        <f t="shared" si="4"/>
        <v>33512</v>
      </c>
      <c r="H61" s="4">
        <v>1.1480000000000001</v>
      </c>
      <c r="I61" s="2">
        <v>34881.0</v>
      </c>
      <c r="K61" s="2">
        <v>30590.0</v>
      </c>
      <c r="L61" s="4">
        <v>0.08</v>
      </c>
    </row>
    <row r="62" ht="12.75" customHeight="1">
      <c r="A62" s="2">
        <v>33525.0</v>
      </c>
      <c r="B62" s="77">
        <f t="shared" si="1"/>
        <v>10</v>
      </c>
      <c r="C62" s="78">
        <f t="shared" si="2"/>
        <v>1991</v>
      </c>
      <c r="D62" s="77">
        <v>1.084</v>
      </c>
      <c r="E62" s="4">
        <f t="shared" si="3"/>
        <v>1.088</v>
      </c>
      <c r="F62" s="2">
        <f t="shared" si="4"/>
        <v>33512</v>
      </c>
      <c r="H62" s="4">
        <v>1.12</v>
      </c>
      <c r="I62" s="2">
        <v>34912.0</v>
      </c>
      <c r="K62" s="2">
        <v>30621.0</v>
      </c>
      <c r="L62" s="4">
        <v>0.077</v>
      </c>
    </row>
    <row r="63" ht="12.75" customHeight="1">
      <c r="A63" s="2">
        <v>33532.0</v>
      </c>
      <c r="B63" s="77">
        <f t="shared" si="1"/>
        <v>10</v>
      </c>
      <c r="C63" s="78">
        <f t="shared" si="2"/>
        <v>1991</v>
      </c>
      <c r="D63" s="77">
        <v>1.088</v>
      </c>
      <c r="E63" s="4">
        <f t="shared" si="3"/>
        <v>1.088</v>
      </c>
      <c r="F63" s="2">
        <f t="shared" si="4"/>
        <v>33512</v>
      </c>
      <c r="H63" s="4">
        <v>1.1075</v>
      </c>
      <c r="I63" s="2">
        <v>34943.0</v>
      </c>
      <c r="K63" s="2">
        <v>30651.0</v>
      </c>
      <c r="L63" s="4">
        <v>0.077</v>
      </c>
    </row>
    <row r="64" ht="12.75" customHeight="1">
      <c r="A64" s="2">
        <v>33539.0</v>
      </c>
      <c r="B64" s="77">
        <f t="shared" si="1"/>
        <v>10</v>
      </c>
      <c r="C64" s="78">
        <f t="shared" si="2"/>
        <v>1991</v>
      </c>
      <c r="D64" s="77">
        <v>1.091</v>
      </c>
      <c r="E64" s="4">
        <f t="shared" si="3"/>
        <v>1.088</v>
      </c>
      <c r="F64" s="2">
        <f t="shared" si="4"/>
        <v>33512</v>
      </c>
      <c r="H64" s="4">
        <v>1.0816000000000001</v>
      </c>
      <c r="I64" s="2">
        <v>34973.0</v>
      </c>
      <c r="K64" s="2">
        <v>30682.0</v>
      </c>
      <c r="L64" s="4">
        <v>0.078</v>
      </c>
    </row>
    <row r="65" ht="12.75" customHeight="1">
      <c r="A65" s="2">
        <v>33546.0</v>
      </c>
      <c r="B65" s="77">
        <f t="shared" si="1"/>
        <v>11</v>
      </c>
      <c r="C65" s="78">
        <f t="shared" si="2"/>
        <v>1991</v>
      </c>
      <c r="D65" s="77">
        <v>1.091</v>
      </c>
      <c r="E65" s="4">
        <f t="shared" si="3"/>
        <v>1.099</v>
      </c>
      <c r="F65" s="2">
        <f t="shared" si="4"/>
        <v>33543</v>
      </c>
      <c r="H65" s="4">
        <v>1.0579999999999998</v>
      </c>
      <c r="I65" s="2">
        <v>35004.0</v>
      </c>
      <c r="K65" s="2">
        <v>30713.0</v>
      </c>
      <c r="L65" s="4">
        <v>0.079</v>
      </c>
    </row>
    <row r="66" ht="12.75" customHeight="1">
      <c r="A66" s="2">
        <v>33553.0</v>
      </c>
      <c r="B66" s="77">
        <f t="shared" si="1"/>
        <v>11</v>
      </c>
      <c r="C66" s="78">
        <f t="shared" si="2"/>
        <v>1991</v>
      </c>
      <c r="D66" s="77">
        <v>1.102</v>
      </c>
      <c r="E66" s="4">
        <f t="shared" si="3"/>
        <v>1.099</v>
      </c>
      <c r="F66" s="2">
        <f t="shared" si="4"/>
        <v>33543</v>
      </c>
      <c r="H66" s="4">
        <v>1.0655000000000001</v>
      </c>
      <c r="I66" s="2">
        <v>35034.0</v>
      </c>
      <c r="K66" s="2">
        <v>30742.0</v>
      </c>
      <c r="L66" s="4">
        <v>0.079</v>
      </c>
    </row>
    <row r="67" ht="12.75" customHeight="1">
      <c r="A67" s="2">
        <v>33560.0</v>
      </c>
      <c r="B67" s="77">
        <f t="shared" si="1"/>
        <v>11</v>
      </c>
      <c r="C67" s="78">
        <f t="shared" si="2"/>
        <v>1991</v>
      </c>
      <c r="D67" s="77">
        <v>1.104</v>
      </c>
      <c r="E67" s="4">
        <f t="shared" si="3"/>
        <v>1.099</v>
      </c>
      <c r="F67" s="2">
        <f t="shared" si="4"/>
        <v>33543</v>
      </c>
      <c r="H67" s="4">
        <v>1.0836000000000001</v>
      </c>
      <c r="I67" s="2">
        <v>35065.0</v>
      </c>
      <c r="K67" s="2">
        <v>30773.0</v>
      </c>
      <c r="L67" s="4">
        <v>0.08</v>
      </c>
    </row>
    <row r="68" ht="12.75" customHeight="1">
      <c r="A68" s="2">
        <v>33567.0</v>
      </c>
      <c r="B68" s="77">
        <f t="shared" si="1"/>
        <v>11</v>
      </c>
      <c r="C68" s="78">
        <f t="shared" si="2"/>
        <v>1991</v>
      </c>
      <c r="D68" s="77">
        <v>1.099</v>
      </c>
      <c r="E68" s="4">
        <f t="shared" si="3"/>
        <v>1.099</v>
      </c>
      <c r="F68" s="2">
        <f t="shared" si="4"/>
        <v>33543</v>
      </c>
      <c r="H68" s="4">
        <v>1.0815000000000001</v>
      </c>
      <c r="I68" s="2">
        <v>35096.0</v>
      </c>
      <c r="K68" s="2">
        <v>30803.0</v>
      </c>
      <c r="L68" s="4">
        <v>0.081</v>
      </c>
    </row>
    <row r="69" ht="12.75" customHeight="1">
      <c r="A69" s="2">
        <v>33574.0</v>
      </c>
      <c r="B69" s="77">
        <f t="shared" si="1"/>
        <v>12</v>
      </c>
      <c r="C69" s="78">
        <f t="shared" si="2"/>
        <v>1991</v>
      </c>
      <c r="D69" s="77">
        <v>1.099</v>
      </c>
      <c r="E69" s="4">
        <f t="shared" si="3"/>
        <v>1.0762</v>
      </c>
      <c r="F69" s="2">
        <f t="shared" si="4"/>
        <v>33573</v>
      </c>
      <c r="H69" s="4">
        <v>1.1292499999999999</v>
      </c>
      <c r="I69" s="2">
        <v>35125.0</v>
      </c>
      <c r="K69" s="2">
        <v>30834.0</v>
      </c>
      <c r="L69" s="4">
        <v>0.086</v>
      </c>
    </row>
    <row r="70" ht="12.75" customHeight="1">
      <c r="A70" s="2">
        <v>33581.0</v>
      </c>
      <c r="B70" s="77">
        <f t="shared" si="1"/>
        <v>12</v>
      </c>
      <c r="C70" s="78">
        <f t="shared" si="2"/>
        <v>1991</v>
      </c>
      <c r="D70" s="77">
        <v>1.091</v>
      </c>
      <c r="E70" s="4">
        <f t="shared" si="3"/>
        <v>1.0762</v>
      </c>
      <c r="F70" s="2">
        <f t="shared" si="4"/>
        <v>33573</v>
      </c>
      <c r="H70" s="4">
        <v>1.2202</v>
      </c>
      <c r="I70" s="2">
        <v>35156.0</v>
      </c>
      <c r="K70" s="2">
        <v>30864.0</v>
      </c>
      <c r="L70" s="4">
        <v>0.087</v>
      </c>
    </row>
    <row r="71" ht="12.75" customHeight="1">
      <c r="A71" s="2">
        <v>33588.0</v>
      </c>
      <c r="B71" s="77">
        <f t="shared" si="1"/>
        <v>12</v>
      </c>
      <c r="C71" s="78">
        <f t="shared" si="2"/>
        <v>1991</v>
      </c>
      <c r="D71" s="77">
        <v>1.075</v>
      </c>
      <c r="E71" s="4">
        <f t="shared" si="3"/>
        <v>1.0762</v>
      </c>
      <c r="F71" s="2">
        <f t="shared" si="4"/>
        <v>33573</v>
      </c>
      <c r="H71" s="4">
        <v>1.2625</v>
      </c>
      <c r="I71" s="2">
        <v>35186.0</v>
      </c>
      <c r="K71" s="2">
        <v>30895.0</v>
      </c>
      <c r="L71" s="4">
        <v>0.089</v>
      </c>
    </row>
    <row r="72" ht="12.75" customHeight="1">
      <c r="A72" s="2">
        <v>33595.0</v>
      </c>
      <c r="B72" s="77">
        <f t="shared" si="1"/>
        <v>12</v>
      </c>
      <c r="C72" s="78">
        <f t="shared" si="2"/>
        <v>1991</v>
      </c>
      <c r="D72" s="77">
        <v>1.063</v>
      </c>
      <c r="E72" s="4">
        <f t="shared" si="3"/>
        <v>1.0762</v>
      </c>
      <c r="F72" s="2">
        <f t="shared" si="4"/>
        <v>33573</v>
      </c>
      <c r="H72" s="4">
        <v>1.2425000000000002</v>
      </c>
      <c r="I72" s="2">
        <v>35217.0</v>
      </c>
      <c r="K72" s="2">
        <v>30926.0</v>
      </c>
      <c r="L72" s="4">
        <v>0.084</v>
      </c>
    </row>
    <row r="73" ht="12.75" customHeight="1">
      <c r="A73" s="2">
        <v>33602.0</v>
      </c>
      <c r="B73" s="77">
        <f t="shared" si="1"/>
        <v>12</v>
      </c>
      <c r="C73" s="78">
        <f t="shared" si="2"/>
        <v>1991</v>
      </c>
      <c r="D73" s="77">
        <v>1.053</v>
      </c>
      <c r="E73" s="4">
        <f t="shared" si="3"/>
        <v>1.0762</v>
      </c>
      <c r="F73" s="2">
        <f t="shared" si="4"/>
        <v>33573</v>
      </c>
      <c r="H73" s="4">
        <v>1.2149999999999999</v>
      </c>
      <c r="I73" s="2">
        <v>35247.0</v>
      </c>
      <c r="K73" s="2">
        <v>30956.0</v>
      </c>
      <c r="L73" s="4">
        <v>0.081</v>
      </c>
    </row>
    <row r="74" ht="12.75" customHeight="1">
      <c r="A74" s="2">
        <v>33609.0</v>
      </c>
      <c r="B74" s="77">
        <f t="shared" si="1"/>
        <v>1</v>
      </c>
      <c r="C74" s="78">
        <f t="shared" si="2"/>
        <v>1992</v>
      </c>
      <c r="D74" s="77">
        <v>1.042</v>
      </c>
      <c r="E74" s="4">
        <f t="shared" si="3"/>
        <v>1.022</v>
      </c>
      <c r="F74" s="2">
        <f t="shared" si="4"/>
        <v>33604</v>
      </c>
      <c r="H74" s="4">
        <v>1.19875</v>
      </c>
      <c r="I74" s="2">
        <v>35278.0</v>
      </c>
      <c r="K74" s="2">
        <v>30987.0</v>
      </c>
      <c r="L74" s="4">
        <v>0.079</v>
      </c>
    </row>
    <row r="75" ht="12.75" customHeight="1">
      <c r="A75" s="2">
        <v>33616.0</v>
      </c>
      <c r="B75" s="77">
        <f t="shared" si="1"/>
        <v>1</v>
      </c>
      <c r="C75" s="78">
        <f t="shared" si="2"/>
        <v>1992</v>
      </c>
      <c r="D75" s="77">
        <v>1.026</v>
      </c>
      <c r="E75" s="4">
        <f t="shared" si="3"/>
        <v>1.022</v>
      </c>
      <c r="F75" s="2">
        <f t="shared" si="4"/>
        <v>33604</v>
      </c>
      <c r="H75" s="4">
        <v>1.1998000000000002</v>
      </c>
      <c r="I75" s="2">
        <v>35309.0</v>
      </c>
      <c r="K75" s="2">
        <v>31017.0</v>
      </c>
      <c r="L75" s="4">
        <v>0.078</v>
      </c>
    </row>
    <row r="76" ht="12.75" customHeight="1">
      <c r="A76" s="2">
        <v>33623.0</v>
      </c>
      <c r="B76" s="77">
        <f t="shared" si="1"/>
        <v>1</v>
      </c>
      <c r="C76" s="78">
        <f t="shared" si="2"/>
        <v>1992</v>
      </c>
      <c r="D76" s="77">
        <v>1.014</v>
      </c>
      <c r="E76" s="4">
        <f t="shared" si="3"/>
        <v>1.022</v>
      </c>
      <c r="F76" s="2">
        <f t="shared" si="4"/>
        <v>33604</v>
      </c>
      <c r="H76" s="4">
        <v>1.2040000000000002</v>
      </c>
      <c r="I76" s="2">
        <v>35339.0</v>
      </c>
      <c r="K76" s="2">
        <v>31048.0</v>
      </c>
      <c r="L76" s="4">
        <v>0.079</v>
      </c>
    </row>
    <row r="77" ht="12.75" customHeight="1">
      <c r="A77" s="2">
        <v>33630.0</v>
      </c>
      <c r="B77" s="77">
        <f t="shared" si="1"/>
        <v>1</v>
      </c>
      <c r="C77" s="78">
        <f t="shared" si="2"/>
        <v>1992</v>
      </c>
      <c r="D77" s="77">
        <v>1.006</v>
      </c>
      <c r="E77" s="4">
        <f t="shared" si="3"/>
        <v>1.022</v>
      </c>
      <c r="F77" s="2">
        <f t="shared" si="4"/>
        <v>33604</v>
      </c>
      <c r="H77" s="4">
        <v>1.2345000000000002</v>
      </c>
      <c r="I77" s="2">
        <v>35370.0</v>
      </c>
      <c r="K77" s="2">
        <v>31079.0</v>
      </c>
      <c r="L77" s="4">
        <v>0.079</v>
      </c>
    </row>
    <row r="78" ht="12.75" customHeight="1">
      <c r="A78" s="2">
        <v>33637.0</v>
      </c>
      <c r="B78" s="77">
        <f t="shared" si="1"/>
        <v>2</v>
      </c>
      <c r="C78" s="78">
        <f t="shared" si="2"/>
        <v>1992</v>
      </c>
      <c r="D78" s="77">
        <v>0.995</v>
      </c>
      <c r="E78" s="4">
        <f t="shared" si="3"/>
        <v>1.006</v>
      </c>
      <c r="F78" s="2">
        <f t="shared" si="4"/>
        <v>33635</v>
      </c>
      <c r="H78" s="4">
        <v>1.2334</v>
      </c>
      <c r="I78" s="2">
        <v>35400.0</v>
      </c>
      <c r="K78" s="2">
        <v>31107.0</v>
      </c>
      <c r="L78" s="4">
        <v>0.079</v>
      </c>
    </row>
    <row r="79" ht="12.75" customHeight="1">
      <c r="A79" s="2">
        <v>33644.0</v>
      </c>
      <c r="B79" s="77">
        <f t="shared" si="1"/>
        <v>2</v>
      </c>
      <c r="C79" s="78">
        <f t="shared" si="2"/>
        <v>1992</v>
      </c>
      <c r="D79" s="77">
        <v>1.004</v>
      </c>
      <c r="E79" s="4">
        <f t="shared" si="3"/>
        <v>1.006</v>
      </c>
      <c r="F79" s="2">
        <f t="shared" si="4"/>
        <v>33635</v>
      </c>
      <c r="H79" s="4">
        <v>1.23075</v>
      </c>
      <c r="I79" s="2">
        <v>35431.0</v>
      </c>
      <c r="K79" s="2">
        <v>31138.0</v>
      </c>
      <c r="L79" s="4">
        <v>0.08</v>
      </c>
    </row>
    <row r="80" ht="12.75" customHeight="1">
      <c r="A80" s="2">
        <v>33651.0</v>
      </c>
      <c r="B80" s="77">
        <f t="shared" si="1"/>
        <v>2</v>
      </c>
      <c r="C80" s="78">
        <f t="shared" si="2"/>
        <v>1992</v>
      </c>
      <c r="D80" s="77">
        <v>1.011</v>
      </c>
      <c r="E80" s="4">
        <f t="shared" si="3"/>
        <v>1.006</v>
      </c>
      <c r="F80" s="2">
        <f t="shared" si="4"/>
        <v>33635</v>
      </c>
      <c r="H80" s="4">
        <v>1.2235</v>
      </c>
      <c r="I80" s="2">
        <v>35462.0</v>
      </c>
      <c r="K80" s="2">
        <v>31168.0</v>
      </c>
      <c r="L80" s="4">
        <v>0.08</v>
      </c>
    </row>
    <row r="81" ht="12.75" customHeight="1">
      <c r="A81" s="2">
        <v>33658.0</v>
      </c>
      <c r="B81" s="77">
        <f t="shared" si="1"/>
        <v>2</v>
      </c>
      <c r="C81" s="78">
        <f t="shared" si="2"/>
        <v>1992</v>
      </c>
      <c r="D81" s="77">
        <v>1.014</v>
      </c>
      <c r="E81" s="4">
        <f t="shared" si="3"/>
        <v>1.006</v>
      </c>
      <c r="F81" s="2">
        <f t="shared" si="4"/>
        <v>33635</v>
      </c>
      <c r="H81" s="4">
        <v>1.1969999999999998</v>
      </c>
      <c r="I81" s="2">
        <v>35490.0</v>
      </c>
      <c r="K81" s="2">
        <v>31199.0</v>
      </c>
      <c r="L81" s="4">
        <v>0.085</v>
      </c>
    </row>
    <row r="82" ht="12.75" customHeight="1">
      <c r="A82" s="2">
        <v>33665.0</v>
      </c>
      <c r="B82" s="77">
        <f t="shared" si="1"/>
        <v>3</v>
      </c>
      <c r="C82" s="78">
        <f t="shared" si="2"/>
        <v>1992</v>
      </c>
      <c r="D82" s="77">
        <v>1.012</v>
      </c>
      <c r="E82" s="4">
        <f t="shared" si="3"/>
        <v>1.0126</v>
      </c>
      <c r="F82" s="2">
        <f t="shared" si="4"/>
        <v>33664</v>
      </c>
      <c r="H82" s="4">
        <v>1.1880000000000002</v>
      </c>
      <c r="I82" s="2">
        <v>35521.0</v>
      </c>
      <c r="K82" s="2">
        <v>31229.0</v>
      </c>
      <c r="L82" s="4">
        <v>0.085</v>
      </c>
    </row>
    <row r="83" ht="12.75" customHeight="1">
      <c r="A83" s="2">
        <v>33672.0</v>
      </c>
      <c r="B83" s="77">
        <f t="shared" si="1"/>
        <v>3</v>
      </c>
      <c r="C83" s="78">
        <f t="shared" si="2"/>
        <v>1992</v>
      </c>
      <c r="D83" s="77">
        <v>1.013</v>
      </c>
      <c r="E83" s="4">
        <f t="shared" si="3"/>
        <v>1.0126</v>
      </c>
      <c r="F83" s="2">
        <f t="shared" si="4"/>
        <v>33664</v>
      </c>
      <c r="H83" s="4">
        <v>1.19075</v>
      </c>
      <c r="I83" s="2">
        <v>35551.0</v>
      </c>
      <c r="K83" s="2">
        <v>31260.0</v>
      </c>
      <c r="L83" s="4">
        <v>0.085</v>
      </c>
    </row>
    <row r="84" ht="12.75" customHeight="1">
      <c r="A84" s="2">
        <v>33679.0</v>
      </c>
      <c r="B84" s="77">
        <f t="shared" si="1"/>
        <v>3</v>
      </c>
      <c r="C84" s="78">
        <f t="shared" si="2"/>
        <v>1992</v>
      </c>
      <c r="D84" s="77">
        <v>1.01</v>
      </c>
      <c r="E84" s="4">
        <f t="shared" si="3"/>
        <v>1.0126</v>
      </c>
      <c r="F84" s="2">
        <f t="shared" si="4"/>
        <v>33664</v>
      </c>
      <c r="H84" s="4">
        <v>1.1886</v>
      </c>
      <c r="I84" s="2">
        <v>35582.0</v>
      </c>
      <c r="K84" s="2">
        <v>31291.0</v>
      </c>
      <c r="L84" s="4" t="s">
        <v>2827</v>
      </c>
    </row>
    <row r="85" ht="12.75" customHeight="1">
      <c r="A85" s="2">
        <v>33686.0</v>
      </c>
      <c r="B85" s="77">
        <f t="shared" si="1"/>
        <v>3</v>
      </c>
      <c r="C85" s="78">
        <f t="shared" si="2"/>
        <v>1992</v>
      </c>
      <c r="D85" s="77">
        <v>1.015</v>
      </c>
      <c r="E85" s="4">
        <f t="shared" si="3"/>
        <v>1.0126</v>
      </c>
      <c r="F85" s="2">
        <f t="shared" si="4"/>
        <v>33664</v>
      </c>
      <c r="H85" s="4">
        <v>1.167</v>
      </c>
      <c r="I85" s="2">
        <v>35612.0</v>
      </c>
      <c r="K85" s="2">
        <v>31321.0</v>
      </c>
      <c r="L85" s="4">
        <v>0.082</v>
      </c>
    </row>
    <row r="86" ht="12.75" customHeight="1">
      <c r="A86" s="2">
        <v>33693.0</v>
      </c>
      <c r="B86" s="77">
        <f t="shared" si="1"/>
        <v>3</v>
      </c>
      <c r="C86" s="78">
        <f t="shared" si="2"/>
        <v>1992</v>
      </c>
      <c r="D86" s="77">
        <v>1.013</v>
      </c>
      <c r="E86" s="4">
        <f t="shared" si="3"/>
        <v>1.0126</v>
      </c>
      <c r="F86" s="2">
        <f t="shared" si="4"/>
        <v>33664</v>
      </c>
      <c r="H86" s="4">
        <v>1.213</v>
      </c>
      <c r="I86" s="2">
        <v>35643.0</v>
      </c>
      <c r="K86" s="2">
        <v>31352.0</v>
      </c>
      <c r="L86" s="4">
        <v>0.08</v>
      </c>
    </row>
    <row r="87" ht="12.75" customHeight="1">
      <c r="A87" s="2">
        <v>33700.0</v>
      </c>
      <c r="B87" s="77">
        <f t="shared" si="1"/>
        <v>4</v>
      </c>
      <c r="C87" s="78">
        <f t="shared" si="2"/>
        <v>1992</v>
      </c>
      <c r="D87" s="77">
        <v>1.026</v>
      </c>
      <c r="E87" s="4">
        <f t="shared" si="3"/>
        <v>1.05175</v>
      </c>
      <c r="F87" s="2">
        <f t="shared" si="4"/>
        <v>33695</v>
      </c>
      <c r="H87" s="4">
        <v>1.2156000000000002</v>
      </c>
      <c r="I87" s="2">
        <v>35674.0</v>
      </c>
      <c r="K87" s="2">
        <v>31382.0</v>
      </c>
      <c r="L87" s="4">
        <v>0.08</v>
      </c>
    </row>
    <row r="88" ht="12.75" customHeight="1">
      <c r="A88" s="2">
        <v>33707.0</v>
      </c>
      <c r="B88" s="77">
        <f t="shared" si="1"/>
        <v>4</v>
      </c>
      <c r="C88" s="78">
        <f t="shared" si="2"/>
        <v>1992</v>
      </c>
      <c r="D88" s="77">
        <v>1.051</v>
      </c>
      <c r="E88" s="4">
        <f t="shared" si="3"/>
        <v>1.05175</v>
      </c>
      <c r="F88" s="2">
        <f t="shared" si="4"/>
        <v>33695</v>
      </c>
      <c r="H88" s="4">
        <v>1.182</v>
      </c>
      <c r="I88" s="2">
        <v>35704.0</v>
      </c>
      <c r="K88" s="2">
        <v>31413.0</v>
      </c>
      <c r="L88" s="4">
        <v>0.081</v>
      </c>
    </row>
    <row r="89" ht="12.75" customHeight="1">
      <c r="A89" s="2">
        <v>33714.0</v>
      </c>
      <c r="B89" s="77">
        <f t="shared" si="1"/>
        <v>4</v>
      </c>
      <c r="C89" s="78">
        <f t="shared" si="2"/>
        <v>1992</v>
      </c>
      <c r="D89" s="77">
        <v>1.058</v>
      </c>
      <c r="E89" s="4">
        <f t="shared" si="3"/>
        <v>1.05175</v>
      </c>
      <c r="F89" s="2">
        <f t="shared" si="4"/>
        <v>33695</v>
      </c>
      <c r="H89" s="4">
        <v>1.1582499999999998</v>
      </c>
      <c r="I89" s="2">
        <v>35735.0</v>
      </c>
      <c r="K89" s="2">
        <v>31444.0</v>
      </c>
      <c r="L89" s="4">
        <v>0.075</v>
      </c>
    </row>
    <row r="90" ht="12.75" customHeight="1">
      <c r="A90" s="2">
        <v>33721.0</v>
      </c>
      <c r="B90" s="77">
        <f t="shared" si="1"/>
        <v>4</v>
      </c>
      <c r="C90" s="78">
        <f t="shared" si="2"/>
        <v>1992</v>
      </c>
      <c r="D90" s="77">
        <v>1.072</v>
      </c>
      <c r="E90" s="4">
        <f t="shared" si="3"/>
        <v>1.05175</v>
      </c>
      <c r="F90" s="2">
        <f t="shared" si="4"/>
        <v>33695</v>
      </c>
      <c r="H90" s="4">
        <v>1.1186</v>
      </c>
      <c r="I90" s="2">
        <v>35765.0</v>
      </c>
      <c r="K90" s="2">
        <v>31472.0</v>
      </c>
      <c r="L90" s="4">
        <v>0.075</v>
      </c>
    </row>
    <row r="91" ht="12.75" customHeight="1">
      <c r="A91" s="2">
        <v>33728.0</v>
      </c>
      <c r="B91" s="77">
        <f t="shared" si="1"/>
        <v>5</v>
      </c>
      <c r="C91" s="78">
        <f t="shared" si="2"/>
        <v>1992</v>
      </c>
      <c r="D91" s="77">
        <v>1.089</v>
      </c>
      <c r="E91" s="4">
        <f t="shared" si="3"/>
        <v>1.10725</v>
      </c>
      <c r="F91" s="2">
        <f t="shared" si="4"/>
        <v>33725</v>
      </c>
      <c r="H91" s="4">
        <v>1.0747499999999999</v>
      </c>
      <c r="I91" s="2">
        <v>35796.0</v>
      </c>
      <c r="K91" s="2">
        <v>31503.0</v>
      </c>
      <c r="L91" s="4">
        <v>0.074</v>
      </c>
    </row>
    <row r="92" ht="12.75" customHeight="1">
      <c r="A92" s="2">
        <v>33735.0</v>
      </c>
      <c r="B92" s="77">
        <f t="shared" si="1"/>
        <v>5</v>
      </c>
      <c r="C92" s="78">
        <f t="shared" si="2"/>
        <v>1992</v>
      </c>
      <c r="D92" s="77">
        <v>1.102</v>
      </c>
      <c r="E92" s="4">
        <f t="shared" si="3"/>
        <v>1.10725</v>
      </c>
      <c r="F92" s="2">
        <f t="shared" si="4"/>
        <v>33725</v>
      </c>
      <c r="H92" s="4">
        <v>1.0415</v>
      </c>
      <c r="I92" s="2">
        <v>35827.0</v>
      </c>
      <c r="K92" s="2">
        <v>31533.0</v>
      </c>
      <c r="L92" s="4">
        <v>0.074</v>
      </c>
    </row>
    <row r="93" ht="12.75" customHeight="1">
      <c r="A93" s="2">
        <v>33742.0</v>
      </c>
      <c r="B93" s="77">
        <f t="shared" si="1"/>
        <v>5</v>
      </c>
      <c r="C93" s="78">
        <f t="shared" si="2"/>
        <v>1992</v>
      </c>
      <c r="D93" s="77">
        <v>1.118</v>
      </c>
      <c r="E93" s="4">
        <f t="shared" si="3"/>
        <v>1.10725</v>
      </c>
      <c r="F93" s="2">
        <f t="shared" si="4"/>
        <v>33725</v>
      </c>
      <c r="H93" s="4">
        <v>1.0144</v>
      </c>
      <c r="I93" s="2">
        <v>35855.0</v>
      </c>
      <c r="K93" s="2">
        <v>31564.0</v>
      </c>
      <c r="L93" s="4">
        <v>0.08</v>
      </c>
    </row>
    <row r="94" ht="12.75" customHeight="1">
      <c r="A94" s="2">
        <v>33749.0</v>
      </c>
      <c r="B94" s="77">
        <f t="shared" si="1"/>
        <v>5</v>
      </c>
      <c r="C94" s="78">
        <f t="shared" si="2"/>
        <v>1992</v>
      </c>
      <c r="D94" s="77">
        <v>1.12</v>
      </c>
      <c r="E94" s="4">
        <f t="shared" si="3"/>
        <v>1.10725</v>
      </c>
      <c r="F94" s="2">
        <f t="shared" si="4"/>
        <v>33725</v>
      </c>
      <c r="H94" s="4">
        <v>1.0234999999999999</v>
      </c>
      <c r="I94" s="2">
        <v>35886.0</v>
      </c>
      <c r="K94" s="2">
        <v>31594.0</v>
      </c>
      <c r="L94" s="4">
        <v>0.08</v>
      </c>
    </row>
    <row r="95" ht="12.75" customHeight="1">
      <c r="A95" s="2">
        <v>33756.0</v>
      </c>
      <c r="B95" s="77">
        <f t="shared" si="1"/>
        <v>6</v>
      </c>
      <c r="C95" s="78">
        <f t="shared" si="2"/>
        <v>1992</v>
      </c>
      <c r="D95" s="77">
        <v>1.128</v>
      </c>
      <c r="E95" s="4">
        <f t="shared" si="3"/>
        <v>1.1448</v>
      </c>
      <c r="F95" s="2">
        <f t="shared" si="4"/>
        <v>33756</v>
      </c>
      <c r="H95" s="4">
        <v>1.0492499999999998</v>
      </c>
      <c r="I95" s="2">
        <v>35916.0</v>
      </c>
      <c r="K95" s="2">
        <v>31625.0</v>
      </c>
      <c r="L95" s="4">
        <v>0.08</v>
      </c>
    </row>
    <row r="96" ht="12.75" customHeight="1">
      <c r="A96" s="2">
        <v>33763.0</v>
      </c>
      <c r="B96" s="77">
        <f t="shared" si="1"/>
        <v>6</v>
      </c>
      <c r="C96" s="78">
        <f t="shared" si="2"/>
        <v>1992</v>
      </c>
      <c r="D96" s="77">
        <v>1.143</v>
      </c>
      <c r="E96" s="4">
        <f t="shared" si="3"/>
        <v>1.1448</v>
      </c>
      <c r="F96" s="2">
        <f t="shared" si="4"/>
        <v>33756</v>
      </c>
      <c r="H96" s="4">
        <v>1.0478</v>
      </c>
      <c r="I96" s="2">
        <v>35947.0</v>
      </c>
      <c r="K96" s="2">
        <v>31656.0</v>
      </c>
      <c r="L96" s="4">
        <v>0.08</v>
      </c>
    </row>
    <row r="97" ht="12.75" customHeight="1">
      <c r="A97" s="2">
        <v>33770.0</v>
      </c>
      <c r="B97" s="77">
        <f t="shared" si="1"/>
        <v>6</v>
      </c>
      <c r="C97" s="78">
        <f t="shared" si="2"/>
        <v>1992</v>
      </c>
      <c r="D97" s="77">
        <v>1.151</v>
      </c>
      <c r="E97" s="4">
        <f t="shared" si="3"/>
        <v>1.1448</v>
      </c>
      <c r="F97" s="2">
        <f t="shared" si="4"/>
        <v>33756</v>
      </c>
      <c r="H97" s="4">
        <v>1.03925</v>
      </c>
      <c r="I97" s="2">
        <v>35977.0</v>
      </c>
      <c r="K97" s="2">
        <v>31686.0</v>
      </c>
      <c r="L97" s="4">
        <v>0.074</v>
      </c>
    </row>
    <row r="98" ht="12.75" customHeight="1">
      <c r="A98" s="2">
        <v>33777.0</v>
      </c>
      <c r="B98" s="77">
        <f t="shared" si="1"/>
        <v>6</v>
      </c>
      <c r="C98" s="78">
        <f t="shared" si="2"/>
        <v>1992</v>
      </c>
      <c r="D98" s="77">
        <v>1.153</v>
      </c>
      <c r="E98" s="4">
        <f t="shared" si="3"/>
        <v>1.1448</v>
      </c>
      <c r="F98" s="2">
        <f t="shared" si="4"/>
        <v>33756</v>
      </c>
      <c r="H98" s="4">
        <v>1.0108</v>
      </c>
      <c r="I98" s="2">
        <v>36008.0</v>
      </c>
      <c r="K98" s="2">
        <v>31717.0</v>
      </c>
      <c r="L98" s="4">
        <v>0.073</v>
      </c>
    </row>
    <row r="99" ht="12.75" customHeight="1">
      <c r="A99" s="2">
        <v>33784.0</v>
      </c>
      <c r="B99" s="77">
        <f t="shared" si="1"/>
        <v>6</v>
      </c>
      <c r="C99" s="78">
        <f t="shared" si="2"/>
        <v>1992</v>
      </c>
      <c r="D99" s="77">
        <v>1.149</v>
      </c>
      <c r="E99" s="4">
        <f t="shared" si="3"/>
        <v>1.1448</v>
      </c>
      <c r="F99" s="2">
        <f t="shared" si="4"/>
        <v>33756</v>
      </c>
      <c r="H99" s="4">
        <v>0.994</v>
      </c>
      <c r="I99" s="2">
        <v>36039.0</v>
      </c>
      <c r="K99" s="2">
        <v>31747.0</v>
      </c>
      <c r="L99" s="4">
        <v>0.073</v>
      </c>
    </row>
    <row r="100" ht="12.75" customHeight="1">
      <c r="A100" s="2">
        <v>33791.0</v>
      </c>
      <c r="B100" s="77">
        <f t="shared" si="1"/>
        <v>7</v>
      </c>
      <c r="C100" s="78">
        <f t="shared" si="2"/>
        <v>1992</v>
      </c>
      <c r="D100" s="77">
        <v>1.147</v>
      </c>
      <c r="E100" s="4">
        <f t="shared" si="3"/>
        <v>1.1365</v>
      </c>
      <c r="F100" s="2">
        <f t="shared" si="4"/>
        <v>33786</v>
      </c>
      <c r="H100" s="4">
        <v>1.0059999999999998</v>
      </c>
      <c r="I100" s="2">
        <v>36069.0</v>
      </c>
      <c r="K100" s="2">
        <v>31778.0</v>
      </c>
      <c r="L100" s="4">
        <v>0.075</v>
      </c>
    </row>
    <row r="101" ht="12.75" customHeight="1">
      <c r="A101" s="2">
        <v>33798.0</v>
      </c>
      <c r="B101" s="77">
        <f t="shared" si="1"/>
        <v>7</v>
      </c>
      <c r="C101" s="78">
        <f t="shared" si="2"/>
        <v>1992</v>
      </c>
      <c r="D101" s="77">
        <v>1.139</v>
      </c>
      <c r="E101" s="4">
        <f t="shared" si="3"/>
        <v>1.1365</v>
      </c>
      <c r="F101" s="2">
        <f t="shared" si="4"/>
        <v>33786</v>
      </c>
      <c r="H101" s="4">
        <v>0.9794</v>
      </c>
      <c r="I101" s="2">
        <v>36100.0</v>
      </c>
      <c r="K101" s="2">
        <v>31809.0</v>
      </c>
      <c r="L101" s="4">
        <v>0.076</v>
      </c>
    </row>
    <row r="102" ht="12.75" customHeight="1">
      <c r="A102" s="2">
        <v>33805.0</v>
      </c>
      <c r="B102" s="77">
        <f t="shared" si="1"/>
        <v>7</v>
      </c>
      <c r="C102" s="78">
        <f t="shared" si="2"/>
        <v>1992</v>
      </c>
      <c r="D102" s="77">
        <v>1.132</v>
      </c>
      <c r="E102" s="4">
        <f t="shared" si="3"/>
        <v>1.1365</v>
      </c>
      <c r="F102" s="2">
        <f t="shared" si="4"/>
        <v>33786</v>
      </c>
      <c r="H102" s="4">
        <v>0.9227500000000001</v>
      </c>
      <c r="I102" s="2">
        <v>36130.0</v>
      </c>
      <c r="K102" s="2">
        <v>31837.0</v>
      </c>
      <c r="L102" s="4">
        <v>0.076</v>
      </c>
    </row>
    <row r="103" ht="12.75" customHeight="1">
      <c r="A103" s="2">
        <v>33812.0</v>
      </c>
      <c r="B103" s="77">
        <f t="shared" si="1"/>
        <v>7</v>
      </c>
      <c r="C103" s="78">
        <f t="shared" si="2"/>
        <v>1992</v>
      </c>
      <c r="D103" s="77">
        <v>1.128</v>
      </c>
      <c r="E103" s="4">
        <f t="shared" si="3"/>
        <v>1.1365</v>
      </c>
      <c r="F103" s="2">
        <f t="shared" si="4"/>
        <v>33786</v>
      </c>
      <c r="H103" s="4">
        <v>0.9167500000000002</v>
      </c>
      <c r="I103" s="2">
        <v>36161.0</v>
      </c>
      <c r="K103" s="2">
        <v>31868.0</v>
      </c>
      <c r="L103" s="4">
        <v>0.076</v>
      </c>
    </row>
    <row r="104" ht="12.75" customHeight="1">
      <c r="A104" s="2">
        <v>33819.0</v>
      </c>
      <c r="B104" s="77">
        <f t="shared" si="1"/>
        <v>8</v>
      </c>
      <c r="C104" s="78">
        <f t="shared" si="2"/>
        <v>1992</v>
      </c>
      <c r="D104" s="77">
        <v>1.126</v>
      </c>
      <c r="E104" s="4">
        <f t="shared" si="3"/>
        <v>1.1218</v>
      </c>
      <c r="F104" s="2">
        <f t="shared" si="4"/>
        <v>33817</v>
      </c>
      <c r="H104" s="4">
        <v>0.89975</v>
      </c>
      <c r="I104" s="2">
        <v>36192.0</v>
      </c>
      <c r="K104" s="2">
        <v>31898.0</v>
      </c>
      <c r="L104" s="4">
        <v>0.076</v>
      </c>
    </row>
    <row r="105" ht="12.75" customHeight="1">
      <c r="A105" s="2">
        <v>33826.0</v>
      </c>
      <c r="B105" s="77">
        <f t="shared" si="1"/>
        <v>8</v>
      </c>
      <c r="C105" s="78">
        <f t="shared" si="2"/>
        <v>1992</v>
      </c>
      <c r="D105" s="77">
        <v>1.123</v>
      </c>
      <c r="E105" s="4">
        <f t="shared" si="3"/>
        <v>1.1218</v>
      </c>
      <c r="F105" s="2">
        <f t="shared" si="4"/>
        <v>33817</v>
      </c>
      <c r="H105" s="4">
        <v>0.9606</v>
      </c>
      <c r="I105" s="2">
        <v>36220.0</v>
      </c>
      <c r="K105" s="2">
        <v>31929.0</v>
      </c>
      <c r="L105" s="4">
        <v>0.084</v>
      </c>
    </row>
    <row r="106" ht="12.75" customHeight="1">
      <c r="A106" s="2">
        <v>33833.0</v>
      </c>
      <c r="B106" s="77">
        <f t="shared" si="1"/>
        <v>8</v>
      </c>
      <c r="C106" s="78">
        <f t="shared" si="2"/>
        <v>1992</v>
      </c>
      <c r="D106" s="77">
        <v>1.116</v>
      </c>
      <c r="E106" s="4">
        <f t="shared" si="3"/>
        <v>1.1218</v>
      </c>
      <c r="F106" s="2">
        <f t="shared" si="4"/>
        <v>33817</v>
      </c>
      <c r="H106" s="4">
        <v>1.099</v>
      </c>
      <c r="I106" s="2">
        <v>36251.0</v>
      </c>
      <c r="K106" s="2">
        <v>31959.0</v>
      </c>
      <c r="L106" s="4">
        <v>0.084</v>
      </c>
    </row>
    <row r="107" ht="12.75" customHeight="1">
      <c r="A107" s="2">
        <v>33840.0</v>
      </c>
      <c r="B107" s="77">
        <f t="shared" si="1"/>
        <v>8</v>
      </c>
      <c r="C107" s="78">
        <f t="shared" si="2"/>
        <v>1992</v>
      </c>
      <c r="D107" s="77">
        <v>1.123</v>
      </c>
      <c r="E107" s="4">
        <f t="shared" si="3"/>
        <v>1.1218</v>
      </c>
      <c r="F107" s="2">
        <f t="shared" si="4"/>
        <v>33817</v>
      </c>
      <c r="H107" s="4">
        <v>1.1034000000000002</v>
      </c>
      <c r="I107" s="2">
        <v>36281.0</v>
      </c>
      <c r="K107" s="2">
        <v>31990.0</v>
      </c>
      <c r="L107" s="4">
        <v>0.085</v>
      </c>
    </row>
    <row r="108" ht="12.75" customHeight="1">
      <c r="A108" s="2">
        <v>33847.0</v>
      </c>
      <c r="B108" s="77">
        <f t="shared" si="1"/>
        <v>8</v>
      </c>
      <c r="C108" s="78">
        <f t="shared" si="2"/>
        <v>1992</v>
      </c>
      <c r="D108" s="77">
        <v>1.121</v>
      </c>
      <c r="E108" s="4">
        <f t="shared" si="3"/>
        <v>1.1218</v>
      </c>
      <c r="F108" s="2">
        <f t="shared" si="4"/>
        <v>33817</v>
      </c>
      <c r="H108" s="4">
        <v>1.095</v>
      </c>
      <c r="I108" s="2">
        <v>36312.0</v>
      </c>
      <c r="K108" s="2">
        <v>32021.0</v>
      </c>
      <c r="L108" s="4">
        <v>0.084</v>
      </c>
    </row>
    <row r="109" ht="12.75" customHeight="1">
      <c r="A109" s="2">
        <v>33854.0</v>
      </c>
      <c r="B109" s="77">
        <f t="shared" si="1"/>
        <v>9</v>
      </c>
      <c r="C109" s="78">
        <f t="shared" si="2"/>
        <v>1992</v>
      </c>
      <c r="D109" s="77">
        <v>1.121</v>
      </c>
      <c r="E109" s="4">
        <f t="shared" si="3"/>
        <v>1.1215</v>
      </c>
      <c r="F109" s="2">
        <f t="shared" si="4"/>
        <v>33848</v>
      </c>
      <c r="H109" s="4">
        <v>1.13825</v>
      </c>
      <c r="I109" s="2">
        <v>36342.0</v>
      </c>
      <c r="K109" s="2">
        <v>32051.0</v>
      </c>
      <c r="L109" s="4">
        <v>0.078</v>
      </c>
    </row>
    <row r="110" ht="12.75" customHeight="1">
      <c r="A110" s="2">
        <v>33861.0</v>
      </c>
      <c r="B110" s="77">
        <f t="shared" si="1"/>
        <v>9</v>
      </c>
      <c r="C110" s="78">
        <f t="shared" si="2"/>
        <v>1992</v>
      </c>
      <c r="D110" s="77">
        <v>1.124</v>
      </c>
      <c r="E110" s="4">
        <f t="shared" si="3"/>
        <v>1.1215</v>
      </c>
      <c r="F110" s="2">
        <f t="shared" si="4"/>
        <v>33848</v>
      </c>
      <c r="H110" s="4">
        <v>1.1989999999999998</v>
      </c>
      <c r="I110" s="2">
        <v>36373.0</v>
      </c>
      <c r="K110" s="2">
        <v>32082.0</v>
      </c>
      <c r="L110" s="4">
        <v>0.077</v>
      </c>
    </row>
    <row r="111" ht="12.75" customHeight="1">
      <c r="A111" s="2">
        <v>33868.0</v>
      </c>
      <c r="B111" s="77">
        <f t="shared" si="1"/>
        <v>9</v>
      </c>
      <c r="C111" s="78">
        <f t="shared" si="2"/>
        <v>1992</v>
      </c>
      <c r="D111" s="77">
        <v>1.123</v>
      </c>
      <c r="E111" s="4">
        <f t="shared" si="3"/>
        <v>1.1215</v>
      </c>
      <c r="F111" s="2">
        <f t="shared" si="4"/>
        <v>33848</v>
      </c>
      <c r="H111" s="4">
        <v>1.23925</v>
      </c>
      <c r="I111" s="2">
        <v>36404.0</v>
      </c>
      <c r="K111" s="2">
        <v>32112.0</v>
      </c>
      <c r="L111" s="4">
        <v>0.077</v>
      </c>
    </row>
    <row r="112" ht="12.75" customHeight="1">
      <c r="A112" s="2">
        <v>33875.0</v>
      </c>
      <c r="B112" s="77">
        <f t="shared" si="1"/>
        <v>9</v>
      </c>
      <c r="C112" s="78">
        <f t="shared" si="2"/>
        <v>1992</v>
      </c>
      <c r="D112" s="77">
        <v>1.118</v>
      </c>
      <c r="E112" s="4">
        <f t="shared" si="3"/>
        <v>1.1215</v>
      </c>
      <c r="F112" s="2">
        <f t="shared" si="4"/>
        <v>33848</v>
      </c>
      <c r="H112" s="4">
        <v>1.2302499999999998</v>
      </c>
      <c r="I112" s="2">
        <v>36434.0</v>
      </c>
      <c r="K112" s="2">
        <v>32143.0</v>
      </c>
      <c r="L112" s="4">
        <v>0.078</v>
      </c>
    </row>
    <row r="113" ht="12.75" customHeight="1">
      <c r="A113" s="2">
        <v>33882.0</v>
      </c>
      <c r="B113" s="77">
        <f t="shared" si="1"/>
        <v>10</v>
      </c>
      <c r="C113" s="78">
        <f t="shared" si="2"/>
        <v>1992</v>
      </c>
      <c r="D113" s="77">
        <v>1.115</v>
      </c>
      <c r="E113" s="4">
        <f t="shared" si="3"/>
        <v>1.114</v>
      </c>
      <c r="F113" s="2">
        <f t="shared" si="4"/>
        <v>33878</v>
      </c>
      <c r="H113" s="4">
        <v>1.2399999999999998</v>
      </c>
      <c r="I113" s="2">
        <v>36465.0</v>
      </c>
      <c r="K113" s="2">
        <v>32174.0</v>
      </c>
      <c r="L113" s="4">
        <v>0.078</v>
      </c>
    </row>
    <row r="114" ht="12.75" customHeight="1">
      <c r="A114" s="2">
        <v>33889.0</v>
      </c>
      <c r="B114" s="77">
        <f t="shared" si="1"/>
        <v>10</v>
      </c>
      <c r="C114" s="78">
        <f t="shared" si="2"/>
        <v>1992</v>
      </c>
      <c r="D114" s="77">
        <v>1.115</v>
      </c>
      <c r="E114" s="4">
        <f t="shared" si="3"/>
        <v>1.114</v>
      </c>
      <c r="F114" s="2">
        <f t="shared" si="4"/>
        <v>33878</v>
      </c>
      <c r="H114" s="4">
        <v>1.2607499999999998</v>
      </c>
      <c r="I114" s="2">
        <v>36495.0</v>
      </c>
      <c r="K114" s="2">
        <v>32203.0</v>
      </c>
      <c r="L114" s="4">
        <v>0.078</v>
      </c>
    </row>
    <row r="115" ht="12.75" customHeight="1">
      <c r="A115" s="2">
        <v>33896.0</v>
      </c>
      <c r="B115" s="77">
        <f t="shared" si="1"/>
        <v>10</v>
      </c>
      <c r="C115" s="78">
        <f t="shared" si="2"/>
        <v>1992</v>
      </c>
      <c r="D115" s="77">
        <v>1.113</v>
      </c>
      <c r="E115" s="4">
        <f t="shared" si="3"/>
        <v>1.114</v>
      </c>
      <c r="F115" s="2">
        <f t="shared" si="4"/>
        <v>33878</v>
      </c>
      <c r="H115" s="4">
        <v>1.2788</v>
      </c>
      <c r="I115" s="2">
        <v>36526.0</v>
      </c>
      <c r="K115" s="2">
        <v>32234.0</v>
      </c>
      <c r="L115" s="4">
        <v>0.077</v>
      </c>
    </row>
    <row r="116" ht="12.75" customHeight="1">
      <c r="A116" s="2">
        <v>33903.0</v>
      </c>
      <c r="B116" s="77">
        <f t="shared" si="1"/>
        <v>10</v>
      </c>
      <c r="C116" s="78">
        <f t="shared" si="2"/>
        <v>1992</v>
      </c>
      <c r="D116" s="77">
        <v>1.113</v>
      </c>
      <c r="E116" s="4">
        <f t="shared" si="3"/>
        <v>1.114</v>
      </c>
      <c r="F116" s="2">
        <f t="shared" si="4"/>
        <v>33878</v>
      </c>
      <c r="H116" s="4">
        <v>1.3705</v>
      </c>
      <c r="I116" s="2">
        <v>36557.0</v>
      </c>
      <c r="K116" s="2">
        <v>32264.0</v>
      </c>
      <c r="L116" s="4">
        <v>0.077</v>
      </c>
    </row>
    <row r="117" ht="12.75" customHeight="1">
      <c r="A117" s="2">
        <v>33910.0</v>
      </c>
      <c r="B117" s="77">
        <f t="shared" si="1"/>
        <v>11</v>
      </c>
      <c r="C117" s="78">
        <f t="shared" si="2"/>
        <v>1992</v>
      </c>
      <c r="D117" s="77">
        <v>1.12</v>
      </c>
      <c r="E117" s="4">
        <f t="shared" si="3"/>
        <v>1.1112</v>
      </c>
      <c r="F117" s="2">
        <f t="shared" si="4"/>
        <v>33909</v>
      </c>
      <c r="H117" s="4">
        <v>1.49825</v>
      </c>
      <c r="I117" s="2">
        <v>36586.0</v>
      </c>
      <c r="K117" s="2">
        <v>32295.0</v>
      </c>
      <c r="L117" s="4">
        <v>0.084</v>
      </c>
    </row>
    <row r="118" ht="12.75" customHeight="1">
      <c r="A118" s="2">
        <v>33917.0</v>
      </c>
      <c r="B118" s="77">
        <f t="shared" si="1"/>
        <v>11</v>
      </c>
      <c r="C118" s="78">
        <f t="shared" si="2"/>
        <v>1992</v>
      </c>
      <c r="D118" s="77">
        <v>1.12</v>
      </c>
      <c r="E118" s="4">
        <f t="shared" si="3"/>
        <v>1.1112</v>
      </c>
      <c r="F118" s="2">
        <f t="shared" si="4"/>
        <v>33909</v>
      </c>
      <c r="H118" s="4">
        <v>1.4364999999999999</v>
      </c>
      <c r="I118" s="2">
        <v>36617.0</v>
      </c>
      <c r="K118" s="2">
        <v>32325.0</v>
      </c>
      <c r="L118" s="4">
        <v>0.084</v>
      </c>
    </row>
    <row r="119" ht="12.75" customHeight="1">
      <c r="A119" s="2">
        <v>33924.0</v>
      </c>
      <c r="B119" s="77">
        <f t="shared" si="1"/>
        <v>11</v>
      </c>
      <c r="C119" s="78">
        <f t="shared" si="2"/>
        <v>1992</v>
      </c>
      <c r="D119" s="77">
        <v>1.112</v>
      </c>
      <c r="E119" s="4">
        <f t="shared" si="3"/>
        <v>1.1112</v>
      </c>
      <c r="F119" s="2">
        <f t="shared" si="4"/>
        <v>33909</v>
      </c>
      <c r="H119" s="4">
        <v>1.4564</v>
      </c>
      <c r="I119" s="2">
        <v>36647.0</v>
      </c>
      <c r="K119" s="2">
        <v>32356.0</v>
      </c>
      <c r="L119" s="4">
        <v>0.084</v>
      </c>
    </row>
    <row r="120" ht="12.75" customHeight="1">
      <c r="A120" s="2">
        <v>33931.0</v>
      </c>
      <c r="B120" s="77">
        <f t="shared" si="1"/>
        <v>11</v>
      </c>
      <c r="C120" s="78">
        <f t="shared" si="2"/>
        <v>1992</v>
      </c>
      <c r="D120" s="77">
        <v>1.106</v>
      </c>
      <c r="E120" s="4">
        <f t="shared" si="3"/>
        <v>1.1112</v>
      </c>
      <c r="F120" s="2">
        <f t="shared" si="4"/>
        <v>33909</v>
      </c>
      <c r="H120" s="4">
        <v>1.61175</v>
      </c>
      <c r="I120" s="2">
        <v>36678.0</v>
      </c>
      <c r="K120" s="2">
        <v>32387.0</v>
      </c>
      <c r="L120" s="4">
        <v>0.084</v>
      </c>
    </row>
    <row r="121" ht="12.75" customHeight="1">
      <c r="A121" s="2">
        <v>33938.0</v>
      </c>
      <c r="B121" s="77">
        <f t="shared" si="1"/>
        <v>11</v>
      </c>
      <c r="C121" s="78">
        <f t="shared" si="2"/>
        <v>1992</v>
      </c>
      <c r="D121" s="77">
        <v>1.098</v>
      </c>
      <c r="E121" s="4">
        <f t="shared" si="3"/>
        <v>1.1112</v>
      </c>
      <c r="F121" s="2">
        <f t="shared" si="4"/>
        <v>33909</v>
      </c>
      <c r="H121" s="4">
        <v>1.5288000000000002</v>
      </c>
      <c r="I121" s="2">
        <v>36708.0</v>
      </c>
      <c r="K121" s="2">
        <v>32417.0</v>
      </c>
      <c r="L121" s="4">
        <v>0.08</v>
      </c>
    </row>
    <row r="122" ht="12.75" customHeight="1">
      <c r="A122" s="2">
        <v>33945.0</v>
      </c>
      <c r="B122" s="77">
        <f t="shared" si="1"/>
        <v>12</v>
      </c>
      <c r="C122" s="78">
        <f t="shared" si="2"/>
        <v>1992</v>
      </c>
      <c r="D122" s="77">
        <v>1.089</v>
      </c>
      <c r="E122" s="4">
        <f t="shared" si="3"/>
        <v>1.0775</v>
      </c>
      <c r="F122" s="2">
        <f t="shared" si="4"/>
        <v>33939</v>
      </c>
      <c r="H122" s="4">
        <v>1.43925</v>
      </c>
      <c r="I122" s="2">
        <v>36739.0</v>
      </c>
      <c r="K122" s="2">
        <v>32448.0</v>
      </c>
      <c r="L122" s="4">
        <v>0.078</v>
      </c>
    </row>
    <row r="123" ht="12.75" customHeight="1">
      <c r="A123" s="2">
        <v>33952.0</v>
      </c>
      <c r="B123" s="77">
        <f t="shared" si="1"/>
        <v>12</v>
      </c>
      <c r="C123" s="78">
        <f t="shared" si="2"/>
        <v>1992</v>
      </c>
      <c r="D123" s="77">
        <v>1.078</v>
      </c>
      <c r="E123" s="4">
        <f t="shared" si="3"/>
        <v>1.0775</v>
      </c>
      <c r="F123" s="2">
        <f t="shared" si="4"/>
        <v>33939</v>
      </c>
      <c r="H123" s="4">
        <v>1.5252499999999998</v>
      </c>
      <c r="I123" s="2">
        <v>36770.0</v>
      </c>
      <c r="K123" s="2">
        <v>32478.0</v>
      </c>
      <c r="L123" s="4">
        <v>0.078</v>
      </c>
    </row>
    <row r="124" ht="12.75" customHeight="1">
      <c r="A124" s="2">
        <v>33959.0</v>
      </c>
      <c r="B124" s="77">
        <f t="shared" si="1"/>
        <v>12</v>
      </c>
      <c r="C124" s="78">
        <f t="shared" si="2"/>
        <v>1992</v>
      </c>
      <c r="D124" s="77">
        <v>1.074</v>
      </c>
      <c r="E124" s="4">
        <f t="shared" si="3"/>
        <v>1.0775</v>
      </c>
      <c r="F124" s="2">
        <f t="shared" si="4"/>
        <v>33939</v>
      </c>
      <c r="H124" s="4">
        <v>1.5084</v>
      </c>
      <c r="I124" s="2">
        <v>36800.0</v>
      </c>
      <c r="K124" s="2">
        <v>32509.0</v>
      </c>
      <c r="L124" s="4">
        <v>0.079</v>
      </c>
    </row>
    <row r="125" ht="12.75" customHeight="1">
      <c r="A125" s="2">
        <v>33966.0</v>
      </c>
      <c r="B125" s="77">
        <f t="shared" si="1"/>
        <v>12</v>
      </c>
      <c r="C125" s="78">
        <f t="shared" si="2"/>
        <v>1992</v>
      </c>
      <c r="D125" s="77">
        <v>1.069</v>
      </c>
      <c r="E125" s="4">
        <f t="shared" si="3"/>
        <v>1.0775</v>
      </c>
      <c r="F125" s="2">
        <f t="shared" si="4"/>
        <v>33939</v>
      </c>
      <c r="H125" s="4">
        <v>1.49475</v>
      </c>
      <c r="I125" s="2">
        <v>36831.0</v>
      </c>
      <c r="K125" s="2">
        <v>32540.0</v>
      </c>
      <c r="L125" s="4">
        <v>0.079</v>
      </c>
    </row>
    <row r="126" ht="12.75" customHeight="1">
      <c r="A126" s="2">
        <v>33973.0</v>
      </c>
      <c r="B126" s="77">
        <f t="shared" si="1"/>
        <v>1</v>
      </c>
      <c r="C126" s="78">
        <f t="shared" si="2"/>
        <v>1993</v>
      </c>
      <c r="D126" s="77">
        <v>1.065</v>
      </c>
      <c r="E126" s="4">
        <f t="shared" si="3"/>
        <v>1.06175</v>
      </c>
      <c r="F126" s="2">
        <f t="shared" si="4"/>
        <v>33970</v>
      </c>
      <c r="H126" s="4">
        <v>1.41825</v>
      </c>
      <c r="I126" s="2">
        <v>36861.0</v>
      </c>
      <c r="K126" s="2">
        <v>32568.0</v>
      </c>
      <c r="L126" s="4">
        <v>0.079</v>
      </c>
    </row>
    <row r="127" ht="12.75" customHeight="1">
      <c r="A127" s="2">
        <v>33980.0</v>
      </c>
      <c r="B127" s="77">
        <f t="shared" si="1"/>
        <v>1</v>
      </c>
      <c r="C127" s="78">
        <f t="shared" si="2"/>
        <v>1993</v>
      </c>
      <c r="D127" s="77">
        <v>1.066</v>
      </c>
      <c r="E127" s="4">
        <f t="shared" si="3"/>
        <v>1.06175</v>
      </c>
      <c r="F127" s="2">
        <f t="shared" si="4"/>
        <v>33970</v>
      </c>
      <c r="H127" s="4">
        <v>1.4274</v>
      </c>
      <c r="I127" s="2">
        <v>36892.0</v>
      </c>
      <c r="K127" s="2">
        <v>32599.0</v>
      </c>
      <c r="L127" s="4">
        <v>0.079</v>
      </c>
    </row>
    <row r="128" ht="12.75" customHeight="1">
      <c r="A128" s="2">
        <v>33987.0</v>
      </c>
      <c r="B128" s="77">
        <f t="shared" si="1"/>
        <v>1</v>
      </c>
      <c r="C128" s="78">
        <f t="shared" si="2"/>
        <v>1993</v>
      </c>
      <c r="D128" s="77">
        <v>1.061</v>
      </c>
      <c r="E128" s="4">
        <f t="shared" si="3"/>
        <v>1.06175</v>
      </c>
      <c r="F128" s="2">
        <f t="shared" si="4"/>
        <v>33970</v>
      </c>
      <c r="H128" s="4">
        <v>1.4312500000000001</v>
      </c>
      <c r="I128" s="2">
        <v>36923.0</v>
      </c>
      <c r="K128" s="2">
        <v>32629.0</v>
      </c>
      <c r="L128" s="4">
        <v>0.08</v>
      </c>
    </row>
    <row r="129" ht="12.75" customHeight="1">
      <c r="A129" s="2">
        <v>33994.0</v>
      </c>
      <c r="B129" s="77">
        <f t="shared" si="1"/>
        <v>1</v>
      </c>
      <c r="C129" s="78">
        <f t="shared" si="2"/>
        <v>1993</v>
      </c>
      <c r="D129" s="77">
        <v>1.055</v>
      </c>
      <c r="E129" s="4">
        <f t="shared" si="3"/>
        <v>1.06175</v>
      </c>
      <c r="F129" s="2">
        <f t="shared" si="4"/>
        <v>33970</v>
      </c>
      <c r="H129" s="4">
        <v>1.384</v>
      </c>
      <c r="I129" s="2">
        <v>36951.0</v>
      </c>
      <c r="K129" s="2">
        <v>32660.0</v>
      </c>
      <c r="L129" s="4">
        <v>0.086</v>
      </c>
    </row>
    <row r="130" ht="12.75" customHeight="1">
      <c r="A130" s="2">
        <v>34001.0</v>
      </c>
      <c r="B130" s="77">
        <f t="shared" si="1"/>
        <v>2</v>
      </c>
      <c r="C130" s="78">
        <f t="shared" si="2"/>
        <v>1993</v>
      </c>
      <c r="D130" s="77">
        <v>1.055</v>
      </c>
      <c r="E130" s="4">
        <f t="shared" si="3"/>
        <v>1.05425</v>
      </c>
      <c r="F130" s="2">
        <f t="shared" si="4"/>
        <v>34001</v>
      </c>
      <c r="H130" s="4">
        <v>1.5172</v>
      </c>
      <c r="I130" s="2">
        <v>36982.0</v>
      </c>
      <c r="K130" s="2">
        <v>32690.0</v>
      </c>
      <c r="L130" s="4">
        <v>0.086</v>
      </c>
    </row>
    <row r="131" ht="12.75" customHeight="1">
      <c r="A131" s="2">
        <v>34008.0</v>
      </c>
      <c r="B131" s="77">
        <f t="shared" si="1"/>
        <v>2</v>
      </c>
      <c r="C131" s="78">
        <f t="shared" si="2"/>
        <v>1993</v>
      </c>
      <c r="D131" s="77">
        <v>1.062</v>
      </c>
      <c r="E131" s="4">
        <f t="shared" si="3"/>
        <v>1.05425</v>
      </c>
      <c r="F131" s="2">
        <f t="shared" si="4"/>
        <v>34001</v>
      </c>
      <c r="H131" s="4">
        <v>1.6537499999999998</v>
      </c>
      <c r="I131" s="2">
        <v>37012.0</v>
      </c>
      <c r="K131" s="2">
        <v>32721.0</v>
      </c>
      <c r="L131" s="4">
        <v>0.086</v>
      </c>
    </row>
    <row r="132" ht="12.75" customHeight="1">
      <c r="A132" s="2">
        <v>34015.0</v>
      </c>
      <c r="B132" s="77">
        <f t="shared" si="1"/>
        <v>2</v>
      </c>
      <c r="C132" s="78">
        <f t="shared" si="2"/>
        <v>1993</v>
      </c>
      <c r="D132" s="77">
        <v>1.053</v>
      </c>
      <c r="E132" s="4">
        <f t="shared" si="3"/>
        <v>1.05425</v>
      </c>
      <c r="F132" s="2">
        <f t="shared" si="4"/>
        <v>34001</v>
      </c>
      <c r="H132" s="4">
        <v>1.5474999999999999</v>
      </c>
      <c r="I132" s="2">
        <v>37043.0</v>
      </c>
      <c r="K132" s="2">
        <v>32752.0</v>
      </c>
      <c r="L132" s="4">
        <v>0.086</v>
      </c>
    </row>
    <row r="133" ht="12.75" customHeight="1">
      <c r="A133" s="2">
        <v>34022.0</v>
      </c>
      <c r="B133" s="77">
        <f t="shared" si="1"/>
        <v>2</v>
      </c>
      <c r="C133" s="78">
        <f t="shared" si="2"/>
        <v>1993</v>
      </c>
      <c r="D133" s="77">
        <v>1.047</v>
      </c>
      <c r="E133" s="4">
        <f t="shared" si="3"/>
        <v>1.05425</v>
      </c>
      <c r="F133" s="2">
        <f t="shared" si="4"/>
        <v>34001</v>
      </c>
      <c r="H133" s="4">
        <v>1.3401999999999998</v>
      </c>
      <c r="I133" s="2">
        <v>37073.0</v>
      </c>
      <c r="K133" s="2">
        <v>32782.0</v>
      </c>
      <c r="L133" s="4">
        <v>0.081</v>
      </c>
    </row>
    <row r="134" ht="12.75" customHeight="1">
      <c r="A134" s="2">
        <v>34029.0</v>
      </c>
      <c r="B134" s="77">
        <f t="shared" si="1"/>
        <v>3</v>
      </c>
      <c r="C134" s="78">
        <f t="shared" si="2"/>
        <v>1993</v>
      </c>
      <c r="D134" s="77">
        <v>1.042</v>
      </c>
      <c r="E134" s="4">
        <f t="shared" si="3"/>
        <v>1.0522</v>
      </c>
      <c r="F134" s="2">
        <f t="shared" si="4"/>
        <v>34029</v>
      </c>
      <c r="H134" s="4">
        <v>1.38625</v>
      </c>
      <c r="I134" s="2">
        <v>37104.0</v>
      </c>
      <c r="K134" s="2">
        <v>32813.0</v>
      </c>
      <c r="L134" s="4">
        <v>0.08</v>
      </c>
    </row>
    <row r="135" ht="12.75" customHeight="1">
      <c r="A135" s="2">
        <v>34036.0</v>
      </c>
      <c r="B135" s="77">
        <f t="shared" si="1"/>
        <v>3</v>
      </c>
      <c r="C135" s="78">
        <f t="shared" si="2"/>
        <v>1993</v>
      </c>
      <c r="D135" s="77">
        <v>1.048</v>
      </c>
      <c r="E135" s="4">
        <f t="shared" si="3"/>
        <v>1.0522</v>
      </c>
      <c r="F135" s="2">
        <f t="shared" si="4"/>
        <v>34029</v>
      </c>
      <c r="H135" s="4">
        <v>1.5062499999999999</v>
      </c>
      <c r="I135" s="2">
        <v>37135.0</v>
      </c>
      <c r="K135" s="2">
        <v>32843.0</v>
      </c>
      <c r="L135" s="4">
        <v>0.081</v>
      </c>
    </row>
    <row r="136" ht="12.75" customHeight="1">
      <c r="A136" s="2">
        <v>34043.0</v>
      </c>
      <c r="B136" s="77">
        <f t="shared" si="1"/>
        <v>3</v>
      </c>
      <c r="C136" s="78">
        <f t="shared" si="2"/>
        <v>1993</v>
      </c>
      <c r="D136" s="77">
        <v>1.058</v>
      </c>
      <c r="E136" s="4">
        <f t="shared" si="3"/>
        <v>1.0522</v>
      </c>
      <c r="F136" s="2">
        <f t="shared" si="4"/>
        <v>34029</v>
      </c>
      <c r="H136" s="4">
        <v>1.2738</v>
      </c>
      <c r="I136" s="2">
        <v>37165.0</v>
      </c>
      <c r="K136" s="2">
        <v>32874.0</v>
      </c>
      <c r="L136" s="4">
        <v>0.081</v>
      </c>
    </row>
    <row r="137" ht="12.75" customHeight="1">
      <c r="A137" s="2">
        <v>34050.0</v>
      </c>
      <c r="B137" s="77">
        <f t="shared" si="1"/>
        <v>3</v>
      </c>
      <c r="C137" s="78">
        <f t="shared" si="2"/>
        <v>1993</v>
      </c>
      <c r="D137" s="77">
        <v>1.056</v>
      </c>
      <c r="E137" s="4">
        <f t="shared" si="3"/>
        <v>1.0522</v>
      </c>
      <c r="F137" s="2">
        <f t="shared" si="4"/>
        <v>34029</v>
      </c>
      <c r="H137" s="4">
        <v>1.1385</v>
      </c>
      <c r="I137" s="2">
        <v>37196.0</v>
      </c>
      <c r="K137" s="2">
        <v>32905.0</v>
      </c>
      <c r="L137" s="4">
        <v>0.081</v>
      </c>
    </row>
    <row r="138" ht="12.75" customHeight="1">
      <c r="A138" s="2">
        <v>34057.0</v>
      </c>
      <c r="B138" s="77">
        <f t="shared" si="1"/>
        <v>3</v>
      </c>
      <c r="C138" s="78">
        <f t="shared" si="2"/>
        <v>1993</v>
      </c>
      <c r="D138" s="77">
        <v>1.057</v>
      </c>
      <c r="E138" s="4">
        <f t="shared" si="3"/>
        <v>1.0522</v>
      </c>
      <c r="F138" s="2">
        <f t="shared" si="4"/>
        <v>34029</v>
      </c>
      <c r="H138" s="4">
        <v>1.0719999999999998</v>
      </c>
      <c r="I138" s="2">
        <v>37226.0</v>
      </c>
      <c r="K138" s="2">
        <v>32933.0</v>
      </c>
      <c r="L138" s="4">
        <v>0.081</v>
      </c>
    </row>
    <row r="139" ht="12.75" customHeight="1">
      <c r="A139" s="2">
        <v>34064.0</v>
      </c>
      <c r="B139" s="77">
        <f t="shared" si="1"/>
        <v>4</v>
      </c>
      <c r="C139" s="78">
        <f t="shared" si="2"/>
        <v>1993</v>
      </c>
      <c r="D139" s="77">
        <v>1.068</v>
      </c>
      <c r="E139" s="4">
        <f t="shared" si="3"/>
        <v>1.078</v>
      </c>
      <c r="F139" s="2">
        <f t="shared" si="4"/>
        <v>34060</v>
      </c>
      <c r="H139" s="4">
        <v>1.0939999999999999</v>
      </c>
      <c r="I139" s="2">
        <v>37257.0</v>
      </c>
      <c r="K139" s="2">
        <v>32964.0</v>
      </c>
      <c r="L139" s="4">
        <v>0.082</v>
      </c>
    </row>
    <row r="140" ht="12.75" customHeight="1">
      <c r="A140" s="2">
        <v>34071.0</v>
      </c>
      <c r="B140" s="77">
        <f t="shared" si="1"/>
        <v>4</v>
      </c>
      <c r="C140" s="78">
        <f t="shared" si="2"/>
        <v>1993</v>
      </c>
      <c r="D140" s="77">
        <v>1.079</v>
      </c>
      <c r="E140" s="4">
        <f t="shared" si="3"/>
        <v>1.078</v>
      </c>
      <c r="F140" s="2">
        <f t="shared" si="4"/>
        <v>34060</v>
      </c>
      <c r="H140" s="4">
        <v>1.08975</v>
      </c>
      <c r="I140" s="2">
        <v>37288.0</v>
      </c>
      <c r="K140" s="2">
        <v>32994.0</v>
      </c>
      <c r="L140" s="4">
        <v>0.082</v>
      </c>
    </row>
    <row r="141" ht="12.75" customHeight="1">
      <c r="A141" s="2">
        <v>34078.0</v>
      </c>
      <c r="B141" s="77">
        <f t="shared" si="1"/>
        <v>4</v>
      </c>
      <c r="C141" s="78">
        <f t="shared" si="2"/>
        <v>1993</v>
      </c>
      <c r="D141" s="77">
        <v>1.079</v>
      </c>
      <c r="E141" s="4">
        <f t="shared" si="3"/>
        <v>1.078</v>
      </c>
      <c r="F141" s="2">
        <f t="shared" si="4"/>
        <v>34060</v>
      </c>
      <c r="H141" s="4">
        <v>1.2205000000000001</v>
      </c>
      <c r="I141" s="2">
        <v>37316.0</v>
      </c>
      <c r="K141" s="2">
        <v>33025.0</v>
      </c>
      <c r="L141" s="4">
        <v>0.088</v>
      </c>
    </row>
    <row r="142" ht="12.75" customHeight="1">
      <c r="A142" s="2">
        <v>34085.0</v>
      </c>
      <c r="B142" s="77">
        <f t="shared" si="1"/>
        <v>4</v>
      </c>
      <c r="C142" s="78">
        <f t="shared" si="2"/>
        <v>1993</v>
      </c>
      <c r="D142" s="77">
        <v>1.086</v>
      </c>
      <c r="E142" s="4">
        <f t="shared" si="3"/>
        <v>1.078</v>
      </c>
      <c r="F142" s="2">
        <f t="shared" si="4"/>
        <v>34060</v>
      </c>
      <c r="H142" s="4">
        <v>1.3618000000000001</v>
      </c>
      <c r="I142" s="2">
        <v>37347.0</v>
      </c>
      <c r="K142" s="2">
        <v>33055.0</v>
      </c>
      <c r="L142" s="4">
        <v>0.087</v>
      </c>
    </row>
    <row r="143" ht="12.75" customHeight="1">
      <c r="A143" s="2">
        <v>34092.0</v>
      </c>
      <c r="B143" s="77">
        <f t="shared" si="1"/>
        <v>5</v>
      </c>
      <c r="C143" s="78">
        <f t="shared" si="2"/>
        <v>1993</v>
      </c>
      <c r="D143" s="77">
        <v>1.086</v>
      </c>
      <c r="E143" s="4">
        <f t="shared" si="3"/>
        <v>1.1004</v>
      </c>
      <c r="F143" s="2">
        <f t="shared" si="4"/>
        <v>34090</v>
      </c>
      <c r="H143" s="4">
        <v>1.35325</v>
      </c>
      <c r="I143" s="2">
        <v>37377.0</v>
      </c>
      <c r="K143" s="2">
        <v>33086.0</v>
      </c>
      <c r="L143" s="4">
        <v>0.087</v>
      </c>
    </row>
    <row r="144" ht="12.75" customHeight="1">
      <c r="A144" s="2">
        <v>34099.0</v>
      </c>
      <c r="B144" s="77">
        <f t="shared" si="1"/>
        <v>5</v>
      </c>
      <c r="C144" s="78">
        <f t="shared" si="2"/>
        <v>1993</v>
      </c>
      <c r="D144" s="77">
        <v>1.097</v>
      </c>
      <c r="E144" s="4">
        <f t="shared" si="3"/>
        <v>1.1004</v>
      </c>
      <c r="F144" s="2">
        <f t="shared" si="4"/>
        <v>34090</v>
      </c>
      <c r="H144" s="4">
        <v>1.3405</v>
      </c>
      <c r="I144" s="2">
        <v>37408.0</v>
      </c>
      <c r="K144" s="2">
        <v>33117.0</v>
      </c>
      <c r="L144" s="4">
        <v>0.088</v>
      </c>
    </row>
    <row r="145" ht="12.75" customHeight="1">
      <c r="A145" s="2">
        <v>34106.0</v>
      </c>
      <c r="B145" s="77">
        <f t="shared" si="1"/>
        <v>5</v>
      </c>
      <c r="C145" s="78">
        <f t="shared" si="2"/>
        <v>1993</v>
      </c>
      <c r="D145" s="77">
        <v>1.106</v>
      </c>
      <c r="E145" s="4">
        <f t="shared" si="3"/>
        <v>1.1004</v>
      </c>
      <c r="F145" s="2">
        <f t="shared" si="4"/>
        <v>34090</v>
      </c>
      <c r="H145" s="4">
        <v>1.364</v>
      </c>
      <c r="I145" s="2">
        <v>37438.0</v>
      </c>
      <c r="K145" s="2">
        <v>33147.0</v>
      </c>
      <c r="L145" s="4">
        <v>0.083</v>
      </c>
    </row>
    <row r="146" ht="12.75" customHeight="1">
      <c r="A146" s="2">
        <v>34113.0</v>
      </c>
      <c r="B146" s="77">
        <f t="shared" si="1"/>
        <v>5</v>
      </c>
      <c r="C146" s="78">
        <f t="shared" si="2"/>
        <v>1993</v>
      </c>
      <c r="D146" s="77">
        <v>1.106</v>
      </c>
      <c r="E146" s="4">
        <f t="shared" si="3"/>
        <v>1.1004</v>
      </c>
      <c r="F146" s="2">
        <f t="shared" si="4"/>
        <v>34090</v>
      </c>
      <c r="H146" s="4">
        <v>1.358</v>
      </c>
      <c r="I146" s="2">
        <v>37469.0</v>
      </c>
      <c r="K146" s="2">
        <v>33178.0</v>
      </c>
      <c r="L146" s="4">
        <v>0.082</v>
      </c>
    </row>
    <row r="147" ht="12.75" customHeight="1">
      <c r="A147" s="2">
        <v>34120.0</v>
      </c>
      <c r="B147" s="77">
        <f t="shared" si="1"/>
        <v>5</v>
      </c>
      <c r="C147" s="78">
        <f t="shared" si="2"/>
        <v>1993</v>
      </c>
      <c r="D147" s="77">
        <v>1.107</v>
      </c>
      <c r="E147" s="4">
        <f t="shared" si="3"/>
        <v>1.1004</v>
      </c>
      <c r="F147" s="2">
        <f t="shared" si="4"/>
        <v>34090</v>
      </c>
      <c r="H147" s="4">
        <v>1.3634</v>
      </c>
      <c r="I147" s="2">
        <v>37500.0</v>
      </c>
      <c r="K147" s="2">
        <v>33208.0</v>
      </c>
      <c r="L147" s="4">
        <v>0.082</v>
      </c>
    </row>
    <row r="148" ht="12.75" customHeight="1">
      <c r="A148" s="2">
        <v>34127.0</v>
      </c>
      <c r="B148" s="77">
        <f t="shared" si="1"/>
        <v>6</v>
      </c>
      <c r="C148" s="78">
        <f t="shared" si="2"/>
        <v>1993</v>
      </c>
      <c r="D148" s="77">
        <v>1.104</v>
      </c>
      <c r="E148" s="4">
        <f t="shared" si="3"/>
        <v>1.09725</v>
      </c>
      <c r="F148" s="2">
        <f t="shared" si="4"/>
        <v>34121</v>
      </c>
      <c r="H148" s="4">
        <v>1.427</v>
      </c>
      <c r="I148" s="2">
        <v>37530.0</v>
      </c>
      <c r="K148" s="2">
        <v>33239.0</v>
      </c>
      <c r="L148" s="4">
        <v>0.084</v>
      </c>
    </row>
    <row r="149" ht="12.75" customHeight="1">
      <c r="A149" s="2">
        <v>34134.0</v>
      </c>
      <c r="B149" s="77">
        <f t="shared" si="1"/>
        <v>6</v>
      </c>
      <c r="C149" s="78">
        <f t="shared" si="2"/>
        <v>1993</v>
      </c>
      <c r="D149" s="77">
        <v>1.101</v>
      </c>
      <c r="E149" s="4">
        <f t="shared" si="3"/>
        <v>1.09725</v>
      </c>
      <c r="F149" s="2">
        <f t="shared" si="4"/>
        <v>34121</v>
      </c>
      <c r="H149" s="4">
        <v>1.3847500000000001</v>
      </c>
      <c r="I149" s="2">
        <v>37561.0</v>
      </c>
      <c r="K149" s="2">
        <v>33270.0</v>
      </c>
      <c r="L149" s="4">
        <v>0.084</v>
      </c>
    </row>
    <row r="150" ht="12.75" customHeight="1">
      <c r="A150" s="2">
        <v>34141.0</v>
      </c>
      <c r="B150" s="77">
        <f t="shared" si="1"/>
        <v>6</v>
      </c>
      <c r="C150" s="78">
        <f t="shared" si="2"/>
        <v>1993</v>
      </c>
      <c r="D150" s="77">
        <v>1.095</v>
      </c>
      <c r="E150" s="4">
        <f t="shared" si="3"/>
        <v>1.09725</v>
      </c>
      <c r="F150" s="2">
        <f t="shared" si="4"/>
        <v>34121</v>
      </c>
      <c r="H150" s="4">
        <v>1.3484</v>
      </c>
      <c r="I150" s="2">
        <v>37591.0</v>
      </c>
      <c r="K150" s="2">
        <v>33298.0</v>
      </c>
      <c r="L150" s="4">
        <v>0.085</v>
      </c>
    </row>
    <row r="151" ht="12.75" customHeight="1">
      <c r="A151" s="2">
        <v>34148.0</v>
      </c>
      <c r="B151" s="77">
        <f t="shared" si="1"/>
        <v>6</v>
      </c>
      <c r="C151" s="78">
        <f t="shared" si="2"/>
        <v>1993</v>
      </c>
      <c r="D151" s="77">
        <v>1.089</v>
      </c>
      <c r="E151" s="4">
        <f t="shared" si="3"/>
        <v>1.09725</v>
      </c>
      <c r="F151" s="2">
        <f t="shared" si="4"/>
        <v>34121</v>
      </c>
      <c r="H151" s="4">
        <v>1.4235</v>
      </c>
      <c r="I151" s="2">
        <v>37622.0</v>
      </c>
      <c r="K151" s="2">
        <v>33329.0</v>
      </c>
      <c r="L151" s="4">
        <v>0.084</v>
      </c>
    </row>
    <row r="152" ht="12.75" customHeight="1">
      <c r="A152" s="2">
        <v>34155.0</v>
      </c>
      <c r="B152" s="77">
        <f t="shared" si="1"/>
        <v>7</v>
      </c>
      <c r="C152" s="78">
        <f t="shared" si="2"/>
        <v>1993</v>
      </c>
      <c r="D152" s="77">
        <v>1.086</v>
      </c>
      <c r="E152" s="4">
        <f t="shared" si="3"/>
        <v>1.07775</v>
      </c>
      <c r="F152" s="2">
        <f t="shared" si="4"/>
        <v>34151</v>
      </c>
      <c r="H152" s="4">
        <v>1.582</v>
      </c>
      <c r="I152" s="2">
        <v>37653.0</v>
      </c>
      <c r="K152" s="2">
        <v>33359.0</v>
      </c>
      <c r="L152" s="4">
        <v>0.085</v>
      </c>
    </row>
    <row r="153" ht="12.75" customHeight="1">
      <c r="A153" s="2">
        <v>34162.0</v>
      </c>
      <c r="B153" s="77">
        <f t="shared" si="1"/>
        <v>7</v>
      </c>
      <c r="C153" s="78">
        <f t="shared" si="2"/>
        <v>1993</v>
      </c>
      <c r="D153" s="77">
        <v>1.081</v>
      </c>
      <c r="E153" s="4">
        <f t="shared" si="3"/>
        <v>1.07775</v>
      </c>
      <c r="F153" s="2">
        <f t="shared" si="4"/>
        <v>34151</v>
      </c>
      <c r="H153" s="4">
        <v>1.636</v>
      </c>
      <c r="I153" s="2">
        <v>37681.0</v>
      </c>
      <c r="K153" s="2">
        <v>33390.0</v>
      </c>
      <c r="L153" s="4">
        <v>0.09</v>
      </c>
    </row>
    <row r="154" ht="12.75" customHeight="1">
      <c r="A154" s="2">
        <v>34169.0</v>
      </c>
      <c r="B154" s="77">
        <f t="shared" si="1"/>
        <v>7</v>
      </c>
      <c r="C154" s="78">
        <f t="shared" si="2"/>
        <v>1993</v>
      </c>
      <c r="D154" s="77">
        <v>1.075</v>
      </c>
      <c r="E154" s="4">
        <f t="shared" si="3"/>
        <v>1.07775</v>
      </c>
      <c r="F154" s="2">
        <f t="shared" si="4"/>
        <v>34151</v>
      </c>
      <c r="H154" s="4">
        <v>1.517</v>
      </c>
      <c r="I154" s="2">
        <v>37712.0</v>
      </c>
      <c r="K154" s="2">
        <v>33420.0</v>
      </c>
      <c r="L154" s="4">
        <v>0.091</v>
      </c>
    </row>
    <row r="155" ht="12.75" customHeight="1">
      <c r="A155" s="2">
        <v>34176.0</v>
      </c>
      <c r="B155" s="77">
        <f t="shared" si="1"/>
        <v>7</v>
      </c>
      <c r="C155" s="78">
        <f t="shared" si="2"/>
        <v>1993</v>
      </c>
      <c r="D155" s="77">
        <v>1.069</v>
      </c>
      <c r="E155" s="4">
        <f t="shared" si="3"/>
        <v>1.07775</v>
      </c>
      <c r="F155" s="2">
        <f t="shared" si="4"/>
        <v>34151</v>
      </c>
      <c r="H155" s="4">
        <v>1.43775</v>
      </c>
      <c r="I155" s="2">
        <v>37742.0</v>
      </c>
      <c r="K155" s="2">
        <v>33451.0</v>
      </c>
      <c r="L155" s="4">
        <v>0.09</v>
      </c>
    </row>
    <row r="156" ht="12.75" customHeight="1">
      <c r="A156" s="2">
        <v>34183.0</v>
      </c>
      <c r="B156" s="77">
        <f t="shared" si="1"/>
        <v>8</v>
      </c>
      <c r="C156" s="78">
        <f t="shared" si="2"/>
        <v>1993</v>
      </c>
      <c r="D156" s="77">
        <v>1.062</v>
      </c>
      <c r="E156" s="4">
        <f t="shared" si="3"/>
        <v>1.0616</v>
      </c>
      <c r="F156" s="2">
        <f t="shared" si="4"/>
        <v>34182</v>
      </c>
      <c r="H156" s="4">
        <v>1.4515999999999998</v>
      </c>
      <c r="I156" s="2">
        <v>37773.0</v>
      </c>
      <c r="K156" s="2">
        <v>33482.0</v>
      </c>
      <c r="L156" s="4">
        <v>0.091</v>
      </c>
    </row>
    <row r="157" ht="12.75" customHeight="1">
      <c r="A157" s="2">
        <v>34190.0</v>
      </c>
      <c r="B157" s="77">
        <f t="shared" si="1"/>
        <v>8</v>
      </c>
      <c r="C157" s="78">
        <f t="shared" si="2"/>
        <v>1993</v>
      </c>
      <c r="D157" s="77">
        <v>1.06</v>
      </c>
      <c r="E157" s="4">
        <f t="shared" si="3"/>
        <v>1.0616</v>
      </c>
      <c r="F157" s="2">
        <f t="shared" si="4"/>
        <v>34182</v>
      </c>
      <c r="H157" s="4">
        <v>1.4802499999999998</v>
      </c>
      <c r="I157" s="2">
        <v>37803.0</v>
      </c>
      <c r="K157" s="2">
        <v>33512.0</v>
      </c>
      <c r="L157" s="4">
        <v>0.087</v>
      </c>
    </row>
    <row r="158" ht="12.75" customHeight="1">
      <c r="A158" s="2">
        <v>34197.0</v>
      </c>
      <c r="B158" s="77">
        <f t="shared" si="1"/>
        <v>8</v>
      </c>
      <c r="C158" s="78">
        <f t="shared" si="2"/>
        <v>1993</v>
      </c>
      <c r="D158" s="77">
        <v>1.059</v>
      </c>
      <c r="E158" s="4">
        <f t="shared" si="3"/>
        <v>1.0616</v>
      </c>
      <c r="F158" s="2">
        <f t="shared" si="4"/>
        <v>34182</v>
      </c>
      <c r="H158" s="4">
        <v>1.58825</v>
      </c>
      <c r="I158" s="2">
        <v>37834.0</v>
      </c>
      <c r="K158" s="2">
        <v>33543.0</v>
      </c>
      <c r="L158" s="4">
        <v>0.084</v>
      </c>
    </row>
    <row r="159" ht="12.75" customHeight="1">
      <c r="A159" s="2">
        <v>34204.0</v>
      </c>
      <c r="B159" s="77">
        <f t="shared" si="1"/>
        <v>8</v>
      </c>
      <c r="C159" s="78">
        <f t="shared" si="2"/>
        <v>1993</v>
      </c>
      <c r="D159" s="77">
        <v>1.065</v>
      </c>
      <c r="E159" s="4">
        <f t="shared" si="3"/>
        <v>1.0616</v>
      </c>
      <c r="F159" s="2">
        <f t="shared" si="4"/>
        <v>34182</v>
      </c>
      <c r="H159" s="4">
        <v>1.6161999999999999</v>
      </c>
      <c r="I159" s="2">
        <v>37865.0</v>
      </c>
      <c r="K159" s="2">
        <v>33573.0</v>
      </c>
      <c r="L159" s="4">
        <v>0.085</v>
      </c>
    </row>
    <row r="160" ht="12.75" customHeight="1">
      <c r="A160" s="2">
        <v>34211.0</v>
      </c>
      <c r="B160" s="77">
        <f t="shared" si="1"/>
        <v>8</v>
      </c>
      <c r="C160" s="78">
        <f t="shared" si="2"/>
        <v>1993</v>
      </c>
      <c r="D160" s="77">
        <v>1.062</v>
      </c>
      <c r="E160" s="4">
        <f t="shared" si="3"/>
        <v>1.0616</v>
      </c>
      <c r="F160" s="2">
        <f t="shared" si="4"/>
        <v>34182</v>
      </c>
      <c r="H160" s="4">
        <v>1.513</v>
      </c>
      <c r="I160" s="2">
        <v>37895.0</v>
      </c>
      <c r="K160" s="2">
        <v>33604.0</v>
      </c>
      <c r="L160" s="4">
        <v>0.085</v>
      </c>
    </row>
    <row r="161" ht="12.75" customHeight="1">
      <c r="A161" s="2">
        <v>34218.0</v>
      </c>
      <c r="B161" s="77">
        <f t="shared" si="1"/>
        <v>9</v>
      </c>
      <c r="C161" s="78">
        <f t="shared" si="2"/>
        <v>1993</v>
      </c>
      <c r="D161" s="77">
        <v>1.055</v>
      </c>
      <c r="E161" s="4">
        <f t="shared" si="3"/>
        <v>1.0495</v>
      </c>
      <c r="F161" s="2">
        <f t="shared" si="4"/>
        <v>34213</v>
      </c>
      <c r="H161" s="4">
        <v>1.47375</v>
      </c>
      <c r="I161" s="2">
        <v>37926.0</v>
      </c>
      <c r="K161" s="2">
        <v>33635.0</v>
      </c>
      <c r="L161" s="4">
        <v>0.084</v>
      </c>
    </row>
    <row r="162" ht="12.75" customHeight="1">
      <c r="A162" s="2">
        <v>34225.0</v>
      </c>
      <c r="B162" s="77">
        <f t="shared" si="1"/>
        <v>9</v>
      </c>
      <c r="C162" s="78">
        <f t="shared" si="2"/>
        <v>1993</v>
      </c>
      <c r="D162" s="77">
        <v>1.051</v>
      </c>
      <c r="E162" s="4">
        <f t="shared" si="3"/>
        <v>1.0495</v>
      </c>
      <c r="F162" s="2">
        <f t="shared" si="4"/>
        <v>34213</v>
      </c>
      <c r="H162" s="4">
        <v>1.4482000000000002</v>
      </c>
      <c r="I162" s="2">
        <v>37956.0</v>
      </c>
      <c r="K162" s="2">
        <v>33664.0</v>
      </c>
      <c r="L162" s="4">
        <v>0.086</v>
      </c>
    </row>
    <row r="163" ht="12.75" customHeight="1">
      <c r="A163" s="2">
        <v>34232.0</v>
      </c>
      <c r="B163" s="77">
        <f t="shared" si="1"/>
        <v>9</v>
      </c>
      <c r="C163" s="78">
        <f t="shared" si="2"/>
        <v>1993</v>
      </c>
      <c r="D163" s="77">
        <v>1.045</v>
      </c>
      <c r="E163" s="4">
        <f t="shared" si="3"/>
        <v>1.0495</v>
      </c>
      <c r="F163" s="2">
        <f t="shared" si="4"/>
        <v>34213</v>
      </c>
      <c r="H163" s="4">
        <v>1.55475</v>
      </c>
      <c r="I163" s="2">
        <v>37987.0</v>
      </c>
      <c r="K163" s="2">
        <v>33695.0</v>
      </c>
      <c r="L163" s="4">
        <v>0.086</v>
      </c>
    </row>
    <row r="164" ht="12.75" customHeight="1">
      <c r="A164" s="2">
        <v>34239.0</v>
      </c>
      <c r="B164" s="77">
        <f t="shared" si="1"/>
        <v>9</v>
      </c>
      <c r="C164" s="78">
        <f t="shared" si="2"/>
        <v>1993</v>
      </c>
      <c r="D164" s="77">
        <v>1.047</v>
      </c>
      <c r="E164" s="4">
        <f t="shared" si="3"/>
        <v>1.0495</v>
      </c>
      <c r="F164" s="2">
        <f t="shared" si="4"/>
        <v>34213</v>
      </c>
      <c r="H164" s="4">
        <v>1.6145</v>
      </c>
      <c r="I164" s="2">
        <v>38018.0</v>
      </c>
      <c r="K164" s="2">
        <v>33725.0</v>
      </c>
      <c r="L164" s="4">
        <v>0.087</v>
      </c>
    </row>
    <row r="165" ht="12.75" customHeight="1">
      <c r="A165" s="2">
        <v>34246.0</v>
      </c>
      <c r="B165" s="77">
        <f t="shared" si="1"/>
        <v>10</v>
      </c>
      <c r="C165" s="78">
        <f t="shared" si="2"/>
        <v>1993</v>
      </c>
      <c r="D165" s="77">
        <v>1.092</v>
      </c>
      <c r="E165" s="4">
        <f t="shared" si="3"/>
        <v>1.09175</v>
      </c>
      <c r="F165" s="2">
        <f t="shared" si="4"/>
        <v>34243</v>
      </c>
      <c r="H165" s="4">
        <v>1.6885999999999999</v>
      </c>
      <c r="I165" s="2">
        <v>38047.0</v>
      </c>
      <c r="K165" s="2">
        <v>33756.0</v>
      </c>
      <c r="L165" s="4">
        <v>0.092</v>
      </c>
    </row>
    <row r="166" ht="12.75" customHeight="1">
      <c r="A166" s="2">
        <v>34253.0</v>
      </c>
      <c r="B166" s="77">
        <f t="shared" si="1"/>
        <v>10</v>
      </c>
      <c r="C166" s="78">
        <f t="shared" si="2"/>
        <v>1993</v>
      </c>
      <c r="D166" s="77">
        <v>1.09</v>
      </c>
      <c r="E166" s="4">
        <f t="shared" si="3"/>
        <v>1.09175</v>
      </c>
      <c r="F166" s="2">
        <f t="shared" si="4"/>
        <v>34243</v>
      </c>
      <c r="H166" s="4">
        <v>1.756</v>
      </c>
      <c r="I166" s="2">
        <v>38078.0</v>
      </c>
      <c r="K166" s="2">
        <v>33786.0</v>
      </c>
      <c r="L166" s="4">
        <v>0.092</v>
      </c>
    </row>
    <row r="167" ht="12.75" customHeight="1">
      <c r="A167" s="2">
        <v>34260.0</v>
      </c>
      <c r="B167" s="77">
        <f t="shared" si="1"/>
        <v>10</v>
      </c>
      <c r="C167" s="78">
        <f t="shared" si="2"/>
        <v>1993</v>
      </c>
      <c r="D167" s="77">
        <v>1.093</v>
      </c>
      <c r="E167" s="4">
        <f t="shared" si="3"/>
        <v>1.09175</v>
      </c>
      <c r="F167" s="2">
        <f t="shared" si="4"/>
        <v>34243</v>
      </c>
      <c r="H167" s="4">
        <v>1.9448</v>
      </c>
      <c r="I167" s="2">
        <v>38108.0</v>
      </c>
      <c r="K167" s="2">
        <v>33817.0</v>
      </c>
      <c r="L167" s="4">
        <v>0.091</v>
      </c>
    </row>
    <row r="168" ht="12.75" customHeight="1">
      <c r="A168" s="2">
        <v>34267.0</v>
      </c>
      <c r="B168" s="77">
        <f t="shared" si="1"/>
        <v>10</v>
      </c>
      <c r="C168" s="78">
        <f t="shared" si="2"/>
        <v>1993</v>
      </c>
      <c r="D168" s="77">
        <v>1.092</v>
      </c>
      <c r="E168" s="4">
        <f t="shared" si="3"/>
        <v>1.09175</v>
      </c>
      <c r="F168" s="2">
        <f t="shared" si="4"/>
        <v>34243</v>
      </c>
      <c r="H168" s="4">
        <v>1.91025</v>
      </c>
      <c r="I168" s="2">
        <v>38139.0</v>
      </c>
      <c r="K168" s="2">
        <v>33848.0</v>
      </c>
      <c r="L168" s="4">
        <v>0.092</v>
      </c>
    </row>
    <row r="169" ht="12.75" customHeight="1">
      <c r="A169" s="2">
        <v>34274.0</v>
      </c>
      <c r="B169" s="77">
        <f t="shared" si="1"/>
        <v>11</v>
      </c>
      <c r="C169" s="78">
        <f t="shared" si="2"/>
        <v>1993</v>
      </c>
      <c r="D169" s="77">
        <v>1.084</v>
      </c>
      <c r="E169" s="4">
        <f t="shared" si="3"/>
        <v>1.0664</v>
      </c>
      <c r="F169" s="2">
        <f t="shared" si="4"/>
        <v>34274</v>
      </c>
      <c r="H169" s="4">
        <v>1.8632499999999999</v>
      </c>
      <c r="I169" s="2">
        <v>38169.0</v>
      </c>
      <c r="K169" s="2">
        <v>33878.0</v>
      </c>
      <c r="L169" s="4">
        <v>0.088</v>
      </c>
    </row>
    <row r="170" ht="12.75" customHeight="1">
      <c r="A170" s="2">
        <v>34281.0</v>
      </c>
      <c r="B170" s="77">
        <f t="shared" si="1"/>
        <v>11</v>
      </c>
      <c r="C170" s="78">
        <f t="shared" si="2"/>
        <v>1993</v>
      </c>
      <c r="D170" s="77">
        <v>1.075</v>
      </c>
      <c r="E170" s="4">
        <f t="shared" si="3"/>
        <v>1.0664</v>
      </c>
      <c r="F170" s="2">
        <f t="shared" si="4"/>
        <v>34274</v>
      </c>
      <c r="H170" s="4">
        <v>1.8416000000000001</v>
      </c>
      <c r="I170" s="2">
        <v>38200.0</v>
      </c>
      <c r="K170" s="2">
        <v>33909.0</v>
      </c>
      <c r="L170" s="4">
        <v>0.086</v>
      </c>
    </row>
    <row r="171" ht="12.75" customHeight="1">
      <c r="A171" s="2">
        <v>34288.0</v>
      </c>
      <c r="B171" s="77">
        <f t="shared" si="1"/>
        <v>11</v>
      </c>
      <c r="C171" s="78">
        <f t="shared" si="2"/>
        <v>1993</v>
      </c>
      <c r="D171" s="77">
        <v>1.064</v>
      </c>
      <c r="E171" s="4">
        <f t="shared" si="3"/>
        <v>1.0664</v>
      </c>
      <c r="F171" s="2">
        <f t="shared" si="4"/>
        <v>34274</v>
      </c>
      <c r="H171" s="4">
        <v>1.8405</v>
      </c>
      <c r="I171" s="2">
        <v>38231.0</v>
      </c>
      <c r="K171" s="2">
        <v>33939.0</v>
      </c>
      <c r="L171" s="4">
        <v>0.088</v>
      </c>
    </row>
    <row r="172" ht="12.75" customHeight="1">
      <c r="A172" s="2">
        <v>34295.0</v>
      </c>
      <c r="B172" s="77">
        <f t="shared" si="1"/>
        <v>11</v>
      </c>
      <c r="C172" s="78">
        <f t="shared" si="2"/>
        <v>1993</v>
      </c>
      <c r="D172" s="77">
        <v>1.058</v>
      </c>
      <c r="E172" s="4">
        <f t="shared" si="3"/>
        <v>1.0664</v>
      </c>
      <c r="F172" s="2">
        <f t="shared" si="4"/>
        <v>34274</v>
      </c>
      <c r="H172" s="4">
        <v>1.9537499999999999</v>
      </c>
      <c r="I172" s="2">
        <v>38261.0</v>
      </c>
      <c r="K172" s="2">
        <v>33970.0</v>
      </c>
      <c r="L172" s="4">
        <v>0.089</v>
      </c>
    </row>
    <row r="173" ht="12.75" customHeight="1">
      <c r="A173" s="2">
        <v>34302.0</v>
      </c>
      <c r="B173" s="77">
        <f t="shared" si="1"/>
        <v>11</v>
      </c>
      <c r="C173" s="78">
        <f t="shared" si="2"/>
        <v>1993</v>
      </c>
      <c r="D173" s="77">
        <v>1.051</v>
      </c>
      <c r="E173" s="4">
        <f t="shared" si="3"/>
        <v>1.0664</v>
      </c>
      <c r="F173" s="2">
        <f t="shared" si="4"/>
        <v>34274</v>
      </c>
      <c r="H173" s="4">
        <v>1.9318000000000002</v>
      </c>
      <c r="I173" s="2">
        <v>38292.0</v>
      </c>
      <c r="K173" s="2">
        <v>34001.0</v>
      </c>
      <c r="L173" s="4">
        <v>0.087</v>
      </c>
    </row>
    <row r="174" ht="12.75" customHeight="1">
      <c r="A174" s="2">
        <v>34309.0</v>
      </c>
      <c r="B174" s="77">
        <f t="shared" si="1"/>
        <v>12</v>
      </c>
      <c r="C174" s="78">
        <f t="shared" si="2"/>
        <v>1993</v>
      </c>
      <c r="D174" s="77">
        <v>1.036</v>
      </c>
      <c r="E174" s="4">
        <f t="shared" si="3"/>
        <v>1.014</v>
      </c>
      <c r="F174" s="2">
        <f t="shared" si="4"/>
        <v>34304</v>
      </c>
      <c r="H174" s="4">
        <v>1.7995</v>
      </c>
      <c r="I174" s="2">
        <v>38322.0</v>
      </c>
      <c r="K174" s="2">
        <v>34029.0</v>
      </c>
      <c r="L174" s="4">
        <v>0.088</v>
      </c>
    </row>
    <row r="175" ht="12.75" customHeight="1">
      <c r="A175" s="2">
        <v>34316.0</v>
      </c>
      <c r="B175" s="77">
        <f t="shared" si="1"/>
        <v>12</v>
      </c>
      <c r="C175" s="78">
        <f t="shared" si="2"/>
        <v>1993</v>
      </c>
      <c r="D175" s="77">
        <v>1.018</v>
      </c>
      <c r="E175" s="4">
        <f t="shared" si="3"/>
        <v>1.014</v>
      </c>
      <c r="F175" s="2">
        <f t="shared" si="4"/>
        <v>34304</v>
      </c>
      <c r="H175" s="4">
        <v>1.8106000000000002</v>
      </c>
      <c r="I175" s="2">
        <v>38353.0</v>
      </c>
      <c r="K175" s="2">
        <v>34060.0</v>
      </c>
      <c r="L175" s="4">
        <v>0.088</v>
      </c>
    </row>
    <row r="176" ht="12.75" customHeight="1">
      <c r="A176" s="2">
        <v>34323.0</v>
      </c>
      <c r="B176" s="77">
        <f t="shared" si="1"/>
        <v>12</v>
      </c>
      <c r="C176" s="78">
        <f t="shared" si="2"/>
        <v>1993</v>
      </c>
      <c r="D176" s="77">
        <v>1.003</v>
      </c>
      <c r="E176" s="4">
        <f t="shared" si="3"/>
        <v>1.014</v>
      </c>
      <c r="F176" s="2">
        <f t="shared" si="4"/>
        <v>34304</v>
      </c>
      <c r="H176" s="4">
        <v>1.88625</v>
      </c>
      <c r="I176" s="2">
        <v>38384.0</v>
      </c>
      <c r="K176" s="2">
        <v>34090.0</v>
      </c>
      <c r="L176" s="4">
        <v>0.09</v>
      </c>
    </row>
    <row r="177" ht="12.75" customHeight="1">
      <c r="A177" s="2">
        <v>34330.0</v>
      </c>
      <c r="B177" s="77">
        <f t="shared" si="1"/>
        <v>12</v>
      </c>
      <c r="C177" s="78">
        <f t="shared" si="2"/>
        <v>1993</v>
      </c>
      <c r="D177" s="77">
        <v>0.999</v>
      </c>
      <c r="E177" s="4">
        <f t="shared" si="3"/>
        <v>1.014</v>
      </c>
      <c r="F177" s="2">
        <f t="shared" si="4"/>
        <v>34304</v>
      </c>
      <c r="H177" s="4">
        <v>2.0625000000000004</v>
      </c>
      <c r="I177" s="2">
        <v>38412.0</v>
      </c>
      <c r="K177" s="2">
        <v>34121.0</v>
      </c>
      <c r="L177" s="4">
        <v>0.094</v>
      </c>
    </row>
    <row r="178" ht="12.75" customHeight="1">
      <c r="A178" s="2">
        <v>34337.0</v>
      </c>
      <c r="B178" s="77">
        <f t="shared" si="1"/>
        <v>1</v>
      </c>
      <c r="C178" s="78">
        <f t="shared" si="2"/>
        <v>1994</v>
      </c>
      <c r="D178" s="77">
        <v>0.992</v>
      </c>
      <c r="E178" s="4">
        <f t="shared" si="3"/>
        <v>0.9984</v>
      </c>
      <c r="F178" s="2">
        <f t="shared" si="4"/>
        <v>34335</v>
      </c>
      <c r="H178" s="4">
        <v>2.2104999999999997</v>
      </c>
      <c r="I178" s="2">
        <v>38443.0</v>
      </c>
      <c r="K178" s="2">
        <v>34151.0</v>
      </c>
      <c r="L178" s="4">
        <v>0.095</v>
      </c>
    </row>
    <row r="179" ht="12.75" customHeight="1">
      <c r="A179" s="2">
        <v>34344.0</v>
      </c>
      <c r="B179" s="77">
        <f t="shared" si="1"/>
        <v>1</v>
      </c>
      <c r="C179" s="78">
        <f t="shared" si="2"/>
        <v>1994</v>
      </c>
      <c r="D179" s="77">
        <v>0.995</v>
      </c>
      <c r="E179" s="4">
        <f t="shared" si="3"/>
        <v>0.9984</v>
      </c>
      <c r="F179" s="2">
        <f t="shared" si="4"/>
        <v>34335</v>
      </c>
      <c r="H179" s="4">
        <v>2.1144</v>
      </c>
      <c r="I179" s="2">
        <v>38473.0</v>
      </c>
      <c r="K179" s="2">
        <v>34182.0</v>
      </c>
      <c r="L179" s="4">
        <v>0.097</v>
      </c>
    </row>
    <row r="180" ht="12.75" customHeight="1">
      <c r="A180" s="2">
        <v>34351.0</v>
      </c>
      <c r="B180" s="77">
        <f t="shared" si="1"/>
        <v>1</v>
      </c>
      <c r="C180" s="78">
        <f t="shared" si="2"/>
        <v>1994</v>
      </c>
      <c r="D180" s="77">
        <v>1.001</v>
      </c>
      <c r="E180" s="4">
        <f t="shared" si="3"/>
        <v>0.9984</v>
      </c>
      <c r="F180" s="2">
        <f t="shared" si="4"/>
        <v>34335</v>
      </c>
      <c r="H180" s="4">
        <v>2.12275</v>
      </c>
      <c r="I180" s="2">
        <v>38504.0</v>
      </c>
      <c r="K180" s="2">
        <v>34213.0</v>
      </c>
      <c r="L180" s="4">
        <v>0.097</v>
      </c>
    </row>
    <row r="181" ht="12.75" customHeight="1">
      <c r="A181" s="2">
        <v>34358.0</v>
      </c>
      <c r="B181" s="77">
        <f t="shared" si="1"/>
        <v>1</v>
      </c>
      <c r="C181" s="78">
        <f t="shared" si="2"/>
        <v>1994</v>
      </c>
      <c r="D181" s="77">
        <v>0.999</v>
      </c>
      <c r="E181" s="4">
        <f t="shared" si="3"/>
        <v>0.9984</v>
      </c>
      <c r="F181" s="2">
        <f t="shared" si="4"/>
        <v>34335</v>
      </c>
      <c r="H181" s="4">
        <v>2.247</v>
      </c>
      <c r="I181" s="2">
        <v>38534.0</v>
      </c>
      <c r="K181" s="2">
        <v>34243.0</v>
      </c>
      <c r="L181" s="4">
        <v>0.093</v>
      </c>
    </row>
    <row r="182" ht="12.75" customHeight="1">
      <c r="A182" s="2">
        <v>34365.0</v>
      </c>
      <c r="B182" s="77">
        <f t="shared" si="1"/>
        <v>1</v>
      </c>
      <c r="C182" s="78">
        <f t="shared" si="2"/>
        <v>1994</v>
      </c>
      <c r="D182" s="77">
        <v>1.005</v>
      </c>
      <c r="E182" s="4">
        <f t="shared" si="3"/>
        <v>0.9984</v>
      </c>
      <c r="F182" s="2">
        <f t="shared" si="4"/>
        <v>34335</v>
      </c>
      <c r="H182" s="4">
        <v>2.449</v>
      </c>
      <c r="I182" s="2">
        <v>38565.0</v>
      </c>
      <c r="K182" s="2">
        <v>34274.0</v>
      </c>
      <c r="L182" s="4">
        <v>0.091</v>
      </c>
    </row>
    <row r="183" ht="12.75" customHeight="1">
      <c r="A183" s="2">
        <v>34372.0</v>
      </c>
      <c r="B183" s="77">
        <f t="shared" si="1"/>
        <v>2</v>
      </c>
      <c r="C183" s="78">
        <f t="shared" si="2"/>
        <v>1994</v>
      </c>
      <c r="D183" s="77">
        <v>1.007</v>
      </c>
      <c r="E183" s="4">
        <f t="shared" si="3"/>
        <v>1.009</v>
      </c>
      <c r="F183" s="2">
        <f t="shared" si="4"/>
        <v>34366</v>
      </c>
      <c r="H183" s="4">
        <v>2.8615</v>
      </c>
      <c r="I183" s="2">
        <v>38596.0</v>
      </c>
      <c r="K183" s="2">
        <v>34304.0</v>
      </c>
      <c r="L183" s="4">
        <v>0.09</v>
      </c>
    </row>
    <row r="184" ht="12.75" customHeight="1">
      <c r="A184" s="2">
        <v>34379.0</v>
      </c>
      <c r="B184" s="77">
        <f t="shared" si="1"/>
        <v>2</v>
      </c>
      <c r="C184" s="78">
        <f t="shared" si="2"/>
        <v>1994</v>
      </c>
      <c r="D184" s="77">
        <v>1.016</v>
      </c>
      <c r="E184" s="4">
        <f t="shared" si="3"/>
        <v>1.009</v>
      </c>
      <c r="F184" s="2">
        <f t="shared" si="4"/>
        <v>34366</v>
      </c>
      <c r="H184" s="4">
        <v>2.689</v>
      </c>
      <c r="I184" s="2">
        <v>38626.0</v>
      </c>
      <c r="K184" s="2">
        <v>34335.0</v>
      </c>
      <c r="L184" s="4">
        <v>0.09</v>
      </c>
    </row>
    <row r="185" ht="12.75" customHeight="1">
      <c r="A185" s="2">
        <v>34386.0</v>
      </c>
      <c r="B185" s="77">
        <f t="shared" si="1"/>
        <v>2</v>
      </c>
      <c r="C185" s="78">
        <f t="shared" si="2"/>
        <v>1994</v>
      </c>
      <c r="D185" s="77">
        <v>1.009</v>
      </c>
      <c r="E185" s="4">
        <f t="shared" si="3"/>
        <v>1.009</v>
      </c>
      <c r="F185" s="2">
        <f t="shared" si="4"/>
        <v>34366</v>
      </c>
      <c r="H185" s="4">
        <v>2.2215</v>
      </c>
      <c r="I185" s="2">
        <v>38657.0</v>
      </c>
      <c r="K185" s="2">
        <v>34366.0</v>
      </c>
      <c r="L185" s="4">
        <v>0.09</v>
      </c>
    </row>
    <row r="186" ht="12.75" customHeight="1">
      <c r="A186" s="2">
        <v>34393.0</v>
      </c>
      <c r="B186" s="77">
        <f t="shared" si="1"/>
        <v>2</v>
      </c>
      <c r="C186" s="78">
        <f t="shared" si="2"/>
        <v>1994</v>
      </c>
      <c r="D186" s="77">
        <v>1.004</v>
      </c>
      <c r="E186" s="4">
        <f t="shared" si="3"/>
        <v>1.009</v>
      </c>
      <c r="F186" s="2">
        <f t="shared" si="4"/>
        <v>34366</v>
      </c>
      <c r="H186" s="4">
        <v>2.17375</v>
      </c>
      <c r="I186" s="2">
        <v>38687.0</v>
      </c>
      <c r="K186" s="2">
        <v>34394.0</v>
      </c>
      <c r="L186" s="4">
        <v>0.089</v>
      </c>
    </row>
    <row r="187" ht="12.75" customHeight="1">
      <c r="A187" s="2">
        <v>34400.0</v>
      </c>
      <c r="B187" s="77">
        <f t="shared" si="1"/>
        <v>3</v>
      </c>
      <c r="C187" s="78">
        <f t="shared" si="2"/>
        <v>1994</v>
      </c>
      <c r="D187" s="77">
        <v>1.007</v>
      </c>
      <c r="E187" s="4">
        <f t="shared" si="3"/>
        <v>1.00775</v>
      </c>
      <c r="F187" s="2">
        <f t="shared" si="4"/>
        <v>34394</v>
      </c>
      <c r="H187" s="4">
        <v>2.3</v>
      </c>
      <c r="I187" s="2">
        <v>38718.0</v>
      </c>
      <c r="K187" s="2">
        <v>34425.0</v>
      </c>
      <c r="L187" s="4">
        <v>0.088</v>
      </c>
    </row>
    <row r="188" ht="12.75" customHeight="1">
      <c r="A188" s="2">
        <v>34407.0</v>
      </c>
      <c r="B188" s="77">
        <f t="shared" si="1"/>
        <v>3</v>
      </c>
      <c r="C188" s="78">
        <f t="shared" si="2"/>
        <v>1994</v>
      </c>
      <c r="D188" s="77">
        <v>1.005</v>
      </c>
      <c r="E188" s="4">
        <f t="shared" si="3"/>
        <v>1.00775</v>
      </c>
      <c r="F188" s="2">
        <f t="shared" si="4"/>
        <v>34394</v>
      </c>
      <c r="H188" s="4">
        <v>2.24925</v>
      </c>
      <c r="I188" s="2">
        <v>38749.0</v>
      </c>
      <c r="K188" s="2">
        <v>34455.0</v>
      </c>
      <c r="L188" s="4">
        <v>0.09</v>
      </c>
    </row>
    <row r="189" ht="12.75" customHeight="1">
      <c r="A189" s="2">
        <v>34414.0</v>
      </c>
      <c r="B189" s="77">
        <f t="shared" si="1"/>
        <v>3</v>
      </c>
      <c r="C189" s="78">
        <f t="shared" si="2"/>
        <v>1994</v>
      </c>
      <c r="D189" s="77">
        <v>1.007</v>
      </c>
      <c r="E189" s="4">
        <f t="shared" si="3"/>
        <v>1.00775</v>
      </c>
      <c r="F189" s="2">
        <f t="shared" si="4"/>
        <v>34394</v>
      </c>
      <c r="H189" s="4">
        <v>2.4125</v>
      </c>
      <c r="I189" s="2">
        <v>38777.0</v>
      </c>
      <c r="K189" s="2">
        <v>34486.0</v>
      </c>
      <c r="L189" s="4">
        <v>0.095</v>
      </c>
    </row>
    <row r="190" ht="12.75" customHeight="1">
      <c r="A190" s="2">
        <v>34421.0</v>
      </c>
      <c r="B190" s="77">
        <f t="shared" si="1"/>
        <v>3</v>
      </c>
      <c r="C190" s="78">
        <f t="shared" si="2"/>
        <v>1994</v>
      </c>
      <c r="D190" s="77">
        <v>1.012</v>
      </c>
      <c r="E190" s="4">
        <f t="shared" si="3"/>
        <v>1.00775</v>
      </c>
      <c r="F190" s="2">
        <f t="shared" si="4"/>
        <v>34394</v>
      </c>
      <c r="H190" s="4">
        <v>2.71875</v>
      </c>
      <c r="I190" s="2">
        <v>38808.0</v>
      </c>
      <c r="K190" s="2">
        <v>34516.0</v>
      </c>
      <c r="L190" s="4">
        <v>0.095</v>
      </c>
    </row>
    <row r="191" ht="12.75" customHeight="1">
      <c r="A191" s="2">
        <v>34428.0</v>
      </c>
      <c r="B191" s="77">
        <f t="shared" si="1"/>
        <v>4</v>
      </c>
      <c r="C191" s="78">
        <f t="shared" si="2"/>
        <v>1994</v>
      </c>
      <c r="D191" s="77">
        <v>1.011</v>
      </c>
      <c r="E191" s="4">
        <f t="shared" si="3"/>
        <v>1.02725</v>
      </c>
      <c r="F191" s="2">
        <f t="shared" si="4"/>
        <v>34425</v>
      </c>
      <c r="H191" s="4">
        <v>2.8312</v>
      </c>
      <c r="I191" s="2">
        <v>38838.0</v>
      </c>
      <c r="K191" s="2">
        <v>34547.0</v>
      </c>
      <c r="L191" s="4">
        <v>0.096</v>
      </c>
    </row>
    <row r="192" ht="12.75" customHeight="1">
      <c r="A192" s="2">
        <v>34435.0</v>
      </c>
      <c r="B192" s="77">
        <f t="shared" si="1"/>
        <v>4</v>
      </c>
      <c r="C192" s="78">
        <f t="shared" si="2"/>
        <v>1994</v>
      </c>
      <c r="D192" s="77">
        <v>1.028</v>
      </c>
      <c r="E192" s="4">
        <f t="shared" si="3"/>
        <v>1.02725</v>
      </c>
      <c r="F192" s="2">
        <f t="shared" si="4"/>
        <v>34425</v>
      </c>
      <c r="H192" s="4">
        <v>2.80825</v>
      </c>
      <c r="I192" s="2">
        <v>38869.0</v>
      </c>
      <c r="K192" s="2">
        <v>34578.0</v>
      </c>
      <c r="L192" s="4">
        <v>0.096</v>
      </c>
    </row>
    <row r="193" ht="12.75" customHeight="1">
      <c r="A193" s="2">
        <v>34442.0</v>
      </c>
      <c r="B193" s="77">
        <f t="shared" si="1"/>
        <v>4</v>
      </c>
      <c r="C193" s="78">
        <f t="shared" si="2"/>
        <v>1994</v>
      </c>
      <c r="D193" s="77">
        <v>1.033</v>
      </c>
      <c r="E193" s="4">
        <f t="shared" si="3"/>
        <v>1.02725</v>
      </c>
      <c r="F193" s="2">
        <f t="shared" si="4"/>
        <v>34425</v>
      </c>
      <c r="H193" s="4">
        <v>2.9232000000000005</v>
      </c>
      <c r="I193" s="2">
        <v>38899.0</v>
      </c>
      <c r="K193" s="2">
        <v>34608.0</v>
      </c>
      <c r="L193" s="4">
        <v>0.093</v>
      </c>
    </row>
    <row r="194" ht="12.75" customHeight="1">
      <c r="A194" s="2">
        <v>34449.0</v>
      </c>
      <c r="B194" s="77">
        <f t="shared" si="1"/>
        <v>4</v>
      </c>
      <c r="C194" s="78">
        <f t="shared" si="2"/>
        <v>1994</v>
      </c>
      <c r="D194" s="77">
        <v>1.037</v>
      </c>
      <c r="E194" s="4">
        <f t="shared" si="3"/>
        <v>1.02725</v>
      </c>
      <c r="F194" s="2">
        <f t="shared" si="4"/>
        <v>34425</v>
      </c>
      <c r="H194" s="4">
        <v>2.90975</v>
      </c>
      <c r="I194" s="2">
        <v>38930.0</v>
      </c>
      <c r="K194" s="2">
        <v>34639.0</v>
      </c>
      <c r="L194" s="4">
        <v>0.091</v>
      </c>
    </row>
    <row r="195" ht="12.75" customHeight="1">
      <c r="A195" s="2">
        <v>34456.0</v>
      </c>
      <c r="B195" s="77">
        <f t="shared" si="1"/>
        <v>5</v>
      </c>
      <c r="C195" s="78">
        <f t="shared" si="2"/>
        <v>1994</v>
      </c>
      <c r="D195" s="77">
        <v>1.04</v>
      </c>
      <c r="E195" s="4">
        <f t="shared" si="3"/>
        <v>1.0474</v>
      </c>
      <c r="F195" s="2">
        <f t="shared" si="4"/>
        <v>34455</v>
      </c>
      <c r="H195" s="4">
        <v>2.501</v>
      </c>
      <c r="I195" s="2">
        <v>38961.0</v>
      </c>
      <c r="K195" s="2">
        <v>34669.0</v>
      </c>
      <c r="L195" s="4">
        <v>0.091</v>
      </c>
    </row>
    <row r="196" ht="12.75" customHeight="1">
      <c r="A196" s="2">
        <v>34463.0</v>
      </c>
      <c r="B196" s="77">
        <f t="shared" si="1"/>
        <v>5</v>
      </c>
      <c r="C196" s="78">
        <f t="shared" si="2"/>
        <v>1994</v>
      </c>
      <c r="D196" s="77">
        <v>1.045</v>
      </c>
      <c r="E196" s="4">
        <f t="shared" si="3"/>
        <v>1.0474</v>
      </c>
      <c r="F196" s="2">
        <f t="shared" si="4"/>
        <v>34455</v>
      </c>
      <c r="H196" s="4">
        <v>2.214</v>
      </c>
      <c r="I196" s="2">
        <v>38991.0</v>
      </c>
      <c r="K196" s="2">
        <v>34700.0</v>
      </c>
      <c r="L196" s="4">
        <v>0.091</v>
      </c>
    </row>
    <row r="197" ht="12.75" customHeight="1">
      <c r="A197" s="2">
        <v>34470.0</v>
      </c>
      <c r="B197" s="77">
        <f t="shared" si="1"/>
        <v>5</v>
      </c>
      <c r="C197" s="78">
        <f t="shared" si="2"/>
        <v>1994</v>
      </c>
      <c r="D197" s="77">
        <v>1.046</v>
      </c>
      <c r="E197" s="4">
        <f t="shared" si="3"/>
        <v>1.0474</v>
      </c>
      <c r="F197" s="2">
        <f t="shared" si="4"/>
        <v>34455</v>
      </c>
      <c r="H197" s="4">
        <v>2.2110000000000003</v>
      </c>
      <c r="I197" s="2">
        <v>39022.0</v>
      </c>
      <c r="K197" s="2">
        <v>34731.0</v>
      </c>
      <c r="L197" s="4">
        <v>0.091</v>
      </c>
    </row>
    <row r="198" ht="12.75" customHeight="1">
      <c r="A198" s="2">
        <v>34477.0</v>
      </c>
      <c r="B198" s="77">
        <f t="shared" si="1"/>
        <v>5</v>
      </c>
      <c r="C198" s="78">
        <f t="shared" si="2"/>
        <v>1994</v>
      </c>
      <c r="D198" s="77">
        <v>1.05</v>
      </c>
      <c r="E198" s="4">
        <f t="shared" si="3"/>
        <v>1.0474</v>
      </c>
      <c r="F198" s="2">
        <f t="shared" si="4"/>
        <v>34455</v>
      </c>
      <c r="H198" s="4">
        <v>2.28425</v>
      </c>
      <c r="I198" s="2">
        <v>39052.0</v>
      </c>
      <c r="K198" s="2">
        <v>34759.0</v>
      </c>
      <c r="L198" s="4">
        <v>0.091</v>
      </c>
    </row>
    <row r="199" ht="12.75" customHeight="1">
      <c r="A199" s="2">
        <v>34484.0</v>
      </c>
      <c r="B199" s="77">
        <f t="shared" si="1"/>
        <v>5</v>
      </c>
      <c r="C199" s="78">
        <f t="shared" si="2"/>
        <v>1994</v>
      </c>
      <c r="D199" s="77">
        <v>1.056</v>
      </c>
      <c r="E199" s="4">
        <f t="shared" si="3"/>
        <v>1.0474</v>
      </c>
      <c r="F199" s="2">
        <f t="shared" si="4"/>
        <v>34455</v>
      </c>
      <c r="H199" s="4">
        <v>2.1906</v>
      </c>
      <c r="I199" s="2">
        <v>39083.0</v>
      </c>
      <c r="K199" s="2">
        <v>34790.0</v>
      </c>
      <c r="L199" s="4">
        <v>0.09</v>
      </c>
    </row>
    <row r="200" ht="12.75" customHeight="1">
      <c r="A200" s="2">
        <v>34491.0</v>
      </c>
      <c r="B200" s="77">
        <f t="shared" si="1"/>
        <v>6</v>
      </c>
      <c r="C200" s="78">
        <f t="shared" si="2"/>
        <v>1994</v>
      </c>
      <c r="D200" s="77">
        <v>1.065</v>
      </c>
      <c r="E200" s="4">
        <f t="shared" si="3"/>
        <v>1.078</v>
      </c>
      <c r="F200" s="2">
        <f t="shared" si="4"/>
        <v>34486</v>
      </c>
      <c r="H200" s="4">
        <v>2.2344999999999997</v>
      </c>
      <c r="I200" s="2">
        <v>39114.0</v>
      </c>
      <c r="K200" s="2">
        <v>34820.0</v>
      </c>
      <c r="L200" s="4">
        <v>0.092</v>
      </c>
    </row>
    <row r="201" ht="12.75" customHeight="1">
      <c r="A201" s="2">
        <v>34498.0</v>
      </c>
      <c r="B201" s="77">
        <f t="shared" si="1"/>
        <v>6</v>
      </c>
      <c r="C201" s="78">
        <f t="shared" si="2"/>
        <v>1994</v>
      </c>
      <c r="D201" s="77">
        <v>1.073</v>
      </c>
      <c r="E201" s="4">
        <f t="shared" si="3"/>
        <v>1.078</v>
      </c>
      <c r="F201" s="2">
        <f t="shared" si="4"/>
        <v>34486</v>
      </c>
      <c r="H201" s="4">
        <v>2.5025</v>
      </c>
      <c r="I201" s="2">
        <v>39142.0</v>
      </c>
      <c r="K201" s="2">
        <v>34851.0</v>
      </c>
      <c r="L201" s="4">
        <v>0.098</v>
      </c>
    </row>
    <row r="202" ht="12.75" customHeight="1">
      <c r="A202" s="2">
        <v>34505.0</v>
      </c>
      <c r="B202" s="77">
        <f t="shared" si="1"/>
        <v>6</v>
      </c>
      <c r="C202" s="78">
        <f t="shared" si="2"/>
        <v>1994</v>
      </c>
      <c r="D202" s="77">
        <v>1.079</v>
      </c>
      <c r="E202" s="4">
        <f t="shared" si="3"/>
        <v>1.078</v>
      </c>
      <c r="F202" s="2">
        <f t="shared" si="4"/>
        <v>34486</v>
      </c>
      <c r="H202" s="4">
        <v>2.7874000000000003</v>
      </c>
      <c r="I202" s="2">
        <v>39173.0</v>
      </c>
      <c r="K202" s="2">
        <v>34881.0</v>
      </c>
      <c r="L202" s="4">
        <v>0.098</v>
      </c>
    </row>
    <row r="203" ht="12.75" customHeight="1">
      <c r="A203" s="2">
        <v>34512.0</v>
      </c>
      <c r="B203" s="77">
        <f t="shared" si="1"/>
        <v>6</v>
      </c>
      <c r="C203" s="78">
        <f t="shared" si="2"/>
        <v>1994</v>
      </c>
      <c r="D203" s="77">
        <v>1.095</v>
      </c>
      <c r="E203" s="4">
        <f t="shared" si="3"/>
        <v>1.078</v>
      </c>
      <c r="F203" s="2">
        <f t="shared" si="4"/>
        <v>34486</v>
      </c>
      <c r="H203" s="4">
        <v>3.11925</v>
      </c>
      <c r="I203" s="2">
        <v>39203.0</v>
      </c>
      <c r="K203" s="2">
        <v>34912.0</v>
      </c>
      <c r="L203" s="4">
        <v>0.098</v>
      </c>
    </row>
    <row r="204" ht="12.75" customHeight="1">
      <c r="A204" s="2">
        <v>34519.0</v>
      </c>
      <c r="B204" s="77">
        <f t="shared" si="1"/>
        <v>7</v>
      </c>
      <c r="C204" s="78">
        <f t="shared" si="2"/>
        <v>1994</v>
      </c>
      <c r="D204" s="77">
        <v>1.097</v>
      </c>
      <c r="E204" s="4">
        <f t="shared" si="3"/>
        <v>1.10575</v>
      </c>
      <c r="F204" s="2">
        <f t="shared" si="4"/>
        <v>34516</v>
      </c>
      <c r="H204" s="4">
        <v>3.0242500000000003</v>
      </c>
      <c r="I204" s="2">
        <v>39234.0</v>
      </c>
      <c r="K204" s="2">
        <v>34943.0</v>
      </c>
      <c r="L204" s="4">
        <v>0.097</v>
      </c>
    </row>
    <row r="205" ht="12.75" customHeight="1">
      <c r="A205" s="2">
        <v>34526.0</v>
      </c>
      <c r="B205" s="77">
        <f t="shared" si="1"/>
        <v>7</v>
      </c>
      <c r="C205" s="78">
        <f t="shared" si="2"/>
        <v>1994</v>
      </c>
      <c r="D205" s="77">
        <v>1.103</v>
      </c>
      <c r="E205" s="4">
        <f t="shared" si="3"/>
        <v>1.10575</v>
      </c>
      <c r="F205" s="2">
        <f t="shared" si="4"/>
        <v>34516</v>
      </c>
      <c r="H205" s="4">
        <v>2.9474</v>
      </c>
      <c r="I205" s="2">
        <v>39264.0</v>
      </c>
      <c r="K205" s="2">
        <v>34973.0</v>
      </c>
      <c r="L205" s="4">
        <v>0.094</v>
      </c>
    </row>
    <row r="206" ht="12.75" customHeight="1">
      <c r="A206" s="2">
        <v>34533.0</v>
      </c>
      <c r="B206" s="77">
        <f t="shared" si="1"/>
        <v>7</v>
      </c>
      <c r="C206" s="78">
        <f t="shared" si="2"/>
        <v>1994</v>
      </c>
      <c r="D206" s="77">
        <v>1.109</v>
      </c>
      <c r="E206" s="4">
        <f t="shared" si="3"/>
        <v>1.10575</v>
      </c>
      <c r="F206" s="2">
        <f t="shared" si="4"/>
        <v>34516</v>
      </c>
      <c r="H206" s="4">
        <v>2.77675</v>
      </c>
      <c r="I206" s="2">
        <v>39295.0</v>
      </c>
      <c r="K206" s="2">
        <v>35004.0</v>
      </c>
      <c r="L206" s="4">
        <v>0.092</v>
      </c>
    </row>
    <row r="207" ht="12.75" customHeight="1">
      <c r="A207" s="2">
        <v>34540.0</v>
      </c>
      <c r="B207" s="77">
        <f t="shared" si="1"/>
        <v>7</v>
      </c>
      <c r="C207" s="78">
        <f t="shared" si="2"/>
        <v>1994</v>
      </c>
      <c r="D207" s="77">
        <v>1.114</v>
      </c>
      <c r="E207" s="4">
        <f t="shared" si="3"/>
        <v>1.10575</v>
      </c>
      <c r="F207" s="2">
        <f t="shared" si="4"/>
        <v>34516</v>
      </c>
      <c r="H207" s="4">
        <v>2.8164999999999996</v>
      </c>
      <c r="I207" s="2">
        <v>39326.0</v>
      </c>
      <c r="K207" s="2">
        <v>35034.0</v>
      </c>
      <c r="L207" s="4">
        <v>0.091</v>
      </c>
    </row>
    <row r="208" ht="12.75" customHeight="1">
      <c r="A208" s="2">
        <v>34547.0</v>
      </c>
      <c r="B208" s="77">
        <f t="shared" si="1"/>
        <v>8</v>
      </c>
      <c r="C208" s="78">
        <f t="shared" si="2"/>
        <v>1994</v>
      </c>
      <c r="D208" s="77">
        <v>1.13</v>
      </c>
      <c r="E208" s="4">
        <f t="shared" si="3"/>
        <v>1.1548</v>
      </c>
      <c r="F208" s="2">
        <f t="shared" si="4"/>
        <v>34547</v>
      </c>
      <c r="H208" s="4">
        <v>2.7912000000000003</v>
      </c>
      <c r="I208" s="2">
        <v>39356.0</v>
      </c>
      <c r="K208" s="2">
        <v>35065.0</v>
      </c>
      <c r="L208" s="4">
        <v>0.091</v>
      </c>
    </row>
    <row r="209" ht="12.75" customHeight="1">
      <c r="A209" s="2">
        <v>34554.0</v>
      </c>
      <c r="B209" s="77">
        <f t="shared" si="1"/>
        <v>8</v>
      </c>
      <c r="C209" s="78">
        <f t="shared" si="2"/>
        <v>1994</v>
      </c>
      <c r="D209" s="77">
        <v>1.157</v>
      </c>
      <c r="E209" s="4">
        <f t="shared" si="3"/>
        <v>1.1548</v>
      </c>
      <c r="F209" s="2">
        <f t="shared" si="4"/>
        <v>34547</v>
      </c>
      <c r="H209" s="4">
        <v>3.0642500000000004</v>
      </c>
      <c r="I209" s="2">
        <v>39387.0</v>
      </c>
      <c r="K209" s="2">
        <v>35096.0</v>
      </c>
      <c r="L209" s="4">
        <v>0.091</v>
      </c>
    </row>
    <row r="210" ht="12.75" customHeight="1">
      <c r="A210" s="2">
        <v>34561.0</v>
      </c>
      <c r="B210" s="77">
        <f t="shared" si="1"/>
        <v>8</v>
      </c>
      <c r="C210" s="78">
        <f t="shared" si="2"/>
        <v>1994</v>
      </c>
      <c r="D210" s="77">
        <v>1.161</v>
      </c>
      <c r="E210" s="4">
        <f t="shared" si="3"/>
        <v>1.1548</v>
      </c>
      <c r="F210" s="2">
        <f t="shared" si="4"/>
        <v>34547</v>
      </c>
      <c r="H210" s="4">
        <v>2.9838</v>
      </c>
      <c r="I210" s="2">
        <v>39417.0</v>
      </c>
      <c r="K210" s="2">
        <v>35125.0</v>
      </c>
      <c r="L210" s="4">
        <v>0.092</v>
      </c>
    </row>
    <row r="211" ht="12.75" customHeight="1">
      <c r="A211" s="2">
        <v>34568.0</v>
      </c>
      <c r="B211" s="77">
        <f t="shared" si="1"/>
        <v>8</v>
      </c>
      <c r="C211" s="78">
        <f t="shared" si="2"/>
        <v>1994</v>
      </c>
      <c r="D211" s="77">
        <v>1.165</v>
      </c>
      <c r="E211" s="4">
        <f t="shared" si="3"/>
        <v>1.1548</v>
      </c>
      <c r="F211" s="2">
        <f t="shared" si="4"/>
        <v>34547</v>
      </c>
      <c r="H211" s="4">
        <v>3.0182499999999997</v>
      </c>
      <c r="I211" s="2">
        <v>39448.0</v>
      </c>
      <c r="K211" s="2">
        <v>35156.0</v>
      </c>
      <c r="L211" s="4">
        <v>0.092</v>
      </c>
    </row>
    <row r="212" ht="12.75" customHeight="1">
      <c r="A212" s="2">
        <v>34575.0</v>
      </c>
      <c r="B212" s="77">
        <f t="shared" si="1"/>
        <v>8</v>
      </c>
      <c r="C212" s="78">
        <f t="shared" si="2"/>
        <v>1994</v>
      </c>
      <c r="D212" s="77">
        <v>1.161</v>
      </c>
      <c r="E212" s="4">
        <f t="shared" si="3"/>
        <v>1.1548</v>
      </c>
      <c r="F212" s="2">
        <f t="shared" si="4"/>
        <v>34547</v>
      </c>
      <c r="H212" s="4">
        <v>3.01575</v>
      </c>
      <c r="I212" s="2">
        <v>39479.0</v>
      </c>
      <c r="K212" s="2">
        <v>35186.0</v>
      </c>
      <c r="L212" s="4">
        <v>0.092</v>
      </c>
    </row>
    <row r="213" ht="12.75" customHeight="1">
      <c r="A213" s="2">
        <v>34582.0</v>
      </c>
      <c r="B213" s="77">
        <f t="shared" si="1"/>
        <v>9</v>
      </c>
      <c r="C213" s="78">
        <f t="shared" si="2"/>
        <v>1994</v>
      </c>
      <c r="D213" s="77">
        <v>1.156</v>
      </c>
      <c r="E213" s="4">
        <f t="shared" si="3"/>
        <v>1.14375</v>
      </c>
      <c r="F213" s="2">
        <f t="shared" si="4"/>
        <v>34578</v>
      </c>
      <c r="H213" s="4">
        <v>3.2154</v>
      </c>
      <c r="I213" s="2">
        <v>39508.0</v>
      </c>
      <c r="K213" s="2">
        <v>35217.0</v>
      </c>
      <c r="L213" s="4">
        <v>0.096</v>
      </c>
    </row>
    <row r="214" ht="12.75" customHeight="1">
      <c r="A214" s="2">
        <v>34589.0</v>
      </c>
      <c r="B214" s="77">
        <f t="shared" si="1"/>
        <v>9</v>
      </c>
      <c r="C214" s="78">
        <f t="shared" si="2"/>
        <v>1994</v>
      </c>
      <c r="D214" s="77">
        <v>1.15</v>
      </c>
      <c r="E214" s="4">
        <f t="shared" si="3"/>
        <v>1.14375</v>
      </c>
      <c r="F214" s="2">
        <f t="shared" si="4"/>
        <v>34578</v>
      </c>
      <c r="H214" s="4">
        <v>3.4204999999999997</v>
      </c>
      <c r="I214" s="2">
        <v>39539.0</v>
      </c>
      <c r="K214" s="2">
        <v>35247.0</v>
      </c>
      <c r="L214" s="4">
        <v>0.099</v>
      </c>
    </row>
    <row r="215" ht="12.75" customHeight="1">
      <c r="A215" s="2">
        <v>34596.0</v>
      </c>
      <c r="B215" s="77">
        <f t="shared" si="1"/>
        <v>9</v>
      </c>
      <c r="C215" s="78">
        <f t="shared" si="2"/>
        <v>1994</v>
      </c>
      <c r="D215" s="77">
        <v>1.14</v>
      </c>
      <c r="E215" s="4">
        <f t="shared" si="3"/>
        <v>1.14375</v>
      </c>
      <c r="F215" s="2">
        <f t="shared" si="4"/>
        <v>34578</v>
      </c>
      <c r="H215" s="4">
        <v>3.7350000000000003</v>
      </c>
      <c r="I215" s="2">
        <v>39569.0</v>
      </c>
      <c r="K215" s="2">
        <v>35278.0</v>
      </c>
      <c r="L215" s="4">
        <v>0.099</v>
      </c>
    </row>
    <row r="216" ht="12.75" customHeight="1">
      <c r="A216" s="2">
        <v>34603.0</v>
      </c>
      <c r="B216" s="77">
        <f t="shared" si="1"/>
        <v>9</v>
      </c>
      <c r="C216" s="78">
        <f t="shared" si="2"/>
        <v>1994</v>
      </c>
      <c r="D216" s="77">
        <v>1.129</v>
      </c>
      <c r="E216" s="4">
        <f t="shared" si="3"/>
        <v>1.14375</v>
      </c>
      <c r="F216" s="2">
        <f t="shared" si="4"/>
        <v>34578</v>
      </c>
      <c r="H216" s="4">
        <v>3.9894</v>
      </c>
      <c r="I216" s="2">
        <v>39600.0</v>
      </c>
      <c r="K216" s="2">
        <v>35309.0</v>
      </c>
      <c r="L216" s="4">
        <v>0.099</v>
      </c>
    </row>
    <row r="217" ht="12.75" customHeight="1">
      <c r="A217" s="2">
        <v>34610.0</v>
      </c>
      <c r="B217" s="77">
        <f t="shared" si="1"/>
        <v>10</v>
      </c>
      <c r="C217" s="78">
        <f t="shared" si="2"/>
        <v>1994</v>
      </c>
      <c r="D217" s="77">
        <v>1.12</v>
      </c>
      <c r="E217" s="4">
        <f t="shared" si="3"/>
        <v>1.1136</v>
      </c>
      <c r="F217" s="2">
        <f t="shared" si="4"/>
        <v>34608</v>
      </c>
      <c r="H217" s="4">
        <v>4.0015</v>
      </c>
      <c r="I217" s="2">
        <v>39630.0</v>
      </c>
      <c r="K217" s="2">
        <v>35339.0</v>
      </c>
      <c r="L217" s="4">
        <v>0.095</v>
      </c>
    </row>
    <row r="218" ht="12.75" customHeight="1">
      <c r="A218" s="2">
        <v>34617.0</v>
      </c>
      <c r="B218" s="77">
        <f t="shared" si="1"/>
        <v>10</v>
      </c>
      <c r="C218" s="78">
        <f t="shared" si="2"/>
        <v>1994</v>
      </c>
      <c r="D218" s="77">
        <v>1.114</v>
      </c>
      <c r="E218" s="4">
        <f t="shared" si="3"/>
        <v>1.1136</v>
      </c>
      <c r="F218" s="2">
        <f t="shared" si="4"/>
        <v>34608</v>
      </c>
      <c r="H218" s="4">
        <v>3.7395</v>
      </c>
      <c r="I218" s="2">
        <v>39661.0</v>
      </c>
      <c r="K218" s="2">
        <v>35370.0</v>
      </c>
      <c r="L218" s="4">
        <v>0.092</v>
      </c>
    </row>
    <row r="219" ht="12.75" customHeight="1">
      <c r="A219" s="2">
        <v>34624.0</v>
      </c>
      <c r="B219" s="77">
        <f t="shared" si="1"/>
        <v>10</v>
      </c>
      <c r="C219" s="78">
        <f t="shared" si="2"/>
        <v>1994</v>
      </c>
      <c r="D219" s="77">
        <v>1.106</v>
      </c>
      <c r="E219" s="4">
        <f t="shared" si="3"/>
        <v>1.1136</v>
      </c>
      <c r="F219" s="2">
        <f t="shared" si="4"/>
        <v>34608</v>
      </c>
      <c r="H219" s="4">
        <v>3.7093999999999996</v>
      </c>
      <c r="I219" s="2">
        <v>39692.0</v>
      </c>
      <c r="K219" s="2">
        <v>35400.0</v>
      </c>
      <c r="L219" s="4">
        <v>0.092</v>
      </c>
    </row>
    <row r="220" ht="12.75" customHeight="1">
      <c r="A220" s="2">
        <v>34631.0</v>
      </c>
      <c r="B220" s="77">
        <f t="shared" si="1"/>
        <v>10</v>
      </c>
      <c r="C220" s="78">
        <f t="shared" si="2"/>
        <v>1994</v>
      </c>
      <c r="D220" s="77">
        <v>1.107</v>
      </c>
      <c r="E220" s="4">
        <f t="shared" si="3"/>
        <v>1.1136</v>
      </c>
      <c r="F220" s="2">
        <f t="shared" si="4"/>
        <v>34608</v>
      </c>
      <c r="H220" s="4">
        <v>3.0095</v>
      </c>
      <c r="I220" s="2">
        <v>39722.0</v>
      </c>
      <c r="K220" s="2">
        <v>35431.0</v>
      </c>
      <c r="L220" s="4">
        <v>0.092</v>
      </c>
    </row>
    <row r="221" ht="12.75" customHeight="1">
      <c r="A221" s="2">
        <v>34638.0</v>
      </c>
      <c r="B221" s="77">
        <f t="shared" si="1"/>
        <v>10</v>
      </c>
      <c r="C221" s="78">
        <f t="shared" si="2"/>
        <v>1994</v>
      </c>
      <c r="D221" s="77">
        <v>1.121</v>
      </c>
      <c r="E221" s="4">
        <f t="shared" si="3"/>
        <v>1.1136</v>
      </c>
      <c r="F221" s="2">
        <f t="shared" si="4"/>
        <v>34608</v>
      </c>
      <c r="H221" s="4">
        <v>2.0985</v>
      </c>
      <c r="I221" s="2">
        <v>39753.0</v>
      </c>
      <c r="K221" s="2">
        <v>35462.0</v>
      </c>
      <c r="L221" s="4">
        <v>0.092</v>
      </c>
    </row>
    <row r="222" ht="12.75" customHeight="1">
      <c r="A222" s="2">
        <v>34645.0</v>
      </c>
      <c r="B222" s="77">
        <f t="shared" si="1"/>
        <v>11</v>
      </c>
      <c r="C222" s="78">
        <f t="shared" si="2"/>
        <v>1994</v>
      </c>
      <c r="D222" s="77">
        <v>1.123</v>
      </c>
      <c r="E222" s="4">
        <f t="shared" si="3"/>
        <v>1.11</v>
      </c>
      <c r="F222" s="2">
        <f t="shared" si="4"/>
        <v>34639</v>
      </c>
      <c r="H222" s="4">
        <v>1.6687999999999998</v>
      </c>
      <c r="I222" s="2">
        <v>39783.0</v>
      </c>
      <c r="K222" s="2">
        <v>35490.0</v>
      </c>
      <c r="L222" s="4">
        <v>0.093</v>
      </c>
    </row>
    <row r="223" ht="12.75" customHeight="1">
      <c r="A223" s="2">
        <v>34652.0</v>
      </c>
      <c r="B223" s="77">
        <f t="shared" si="1"/>
        <v>11</v>
      </c>
      <c r="C223" s="78">
        <f t="shared" si="2"/>
        <v>1994</v>
      </c>
      <c r="D223" s="77">
        <v>1.122</v>
      </c>
      <c r="E223" s="4">
        <f t="shared" si="3"/>
        <v>1.11</v>
      </c>
      <c r="F223" s="2">
        <f t="shared" si="4"/>
        <v>34639</v>
      </c>
      <c r="H223" s="4">
        <v>1.7722499999999999</v>
      </c>
      <c r="I223" s="2">
        <v>39814.0</v>
      </c>
      <c r="K223" s="2">
        <v>35521.0</v>
      </c>
      <c r="L223" s="4">
        <v>0.092</v>
      </c>
    </row>
    <row r="224" ht="12.75" customHeight="1">
      <c r="A224" s="2">
        <v>34659.0</v>
      </c>
      <c r="B224" s="77">
        <f t="shared" si="1"/>
        <v>11</v>
      </c>
      <c r="C224" s="78">
        <f t="shared" si="2"/>
        <v>1994</v>
      </c>
      <c r="D224" s="77">
        <v>1.113</v>
      </c>
      <c r="E224" s="4">
        <f t="shared" si="3"/>
        <v>1.11</v>
      </c>
      <c r="F224" s="2">
        <f t="shared" si="4"/>
        <v>34639</v>
      </c>
      <c r="H224" s="4">
        <v>1.89175</v>
      </c>
      <c r="I224" s="2">
        <v>39845.0</v>
      </c>
      <c r="K224" s="2">
        <v>35551.0</v>
      </c>
      <c r="L224" s="4">
        <v>0.093</v>
      </c>
    </row>
    <row r="225" ht="12.75" customHeight="1">
      <c r="A225" s="2">
        <v>34666.0</v>
      </c>
      <c r="B225" s="77">
        <f t="shared" si="1"/>
        <v>11</v>
      </c>
      <c r="C225" s="78">
        <f t="shared" si="2"/>
        <v>1994</v>
      </c>
      <c r="D225" s="77">
        <v>1.082</v>
      </c>
      <c r="E225" s="4">
        <f t="shared" si="3"/>
        <v>1.11</v>
      </c>
      <c r="F225" s="2">
        <f t="shared" si="4"/>
        <v>34639</v>
      </c>
      <c r="H225" s="4">
        <v>1.9373999999999998</v>
      </c>
      <c r="I225" s="2">
        <v>39873.0</v>
      </c>
      <c r="K225" s="2">
        <v>35582.0</v>
      </c>
      <c r="L225" s="4">
        <v>0.099</v>
      </c>
    </row>
    <row r="226" ht="12.75" customHeight="1">
      <c r="A226" s="2">
        <v>34673.0</v>
      </c>
      <c r="B226" s="77">
        <f t="shared" si="1"/>
        <v>12</v>
      </c>
      <c r="C226" s="78">
        <f t="shared" si="2"/>
        <v>1994</v>
      </c>
      <c r="D226" s="77">
        <v>1.075</v>
      </c>
      <c r="E226" s="4">
        <f t="shared" si="3"/>
        <v>1.05975</v>
      </c>
      <c r="F226" s="2">
        <f t="shared" si="4"/>
        <v>34669</v>
      </c>
      <c r="H226" s="4">
        <v>2.02075</v>
      </c>
      <c r="I226" s="2">
        <v>39904.0</v>
      </c>
      <c r="K226" s="2">
        <v>35612.0</v>
      </c>
      <c r="L226" s="4">
        <v>0.099</v>
      </c>
    </row>
    <row r="227" ht="12.75" customHeight="1">
      <c r="A227" s="2">
        <v>34680.0</v>
      </c>
      <c r="B227" s="77">
        <f t="shared" si="1"/>
        <v>12</v>
      </c>
      <c r="C227" s="78">
        <f t="shared" si="2"/>
        <v>1994</v>
      </c>
      <c r="D227" s="77">
        <v>1.064</v>
      </c>
      <c r="E227" s="4">
        <f t="shared" si="3"/>
        <v>1.05975</v>
      </c>
      <c r="F227" s="2">
        <f t="shared" si="4"/>
        <v>34669</v>
      </c>
      <c r="H227" s="4">
        <v>2.2395</v>
      </c>
      <c r="I227" s="2">
        <v>39934.0</v>
      </c>
      <c r="K227" s="2">
        <v>35643.0</v>
      </c>
      <c r="L227" s="4">
        <v>0.098</v>
      </c>
    </row>
    <row r="228" ht="12.75" customHeight="1">
      <c r="A228" s="2">
        <v>34687.0</v>
      </c>
      <c r="B228" s="77">
        <f t="shared" si="1"/>
        <v>12</v>
      </c>
      <c r="C228" s="78">
        <f t="shared" si="2"/>
        <v>1994</v>
      </c>
      <c r="D228" s="77">
        <v>1.056</v>
      </c>
      <c r="E228" s="4">
        <f t="shared" si="3"/>
        <v>1.05975</v>
      </c>
      <c r="F228" s="2">
        <f t="shared" si="4"/>
        <v>34669</v>
      </c>
      <c r="H228" s="4">
        <v>2.5968</v>
      </c>
      <c r="I228" s="2">
        <v>39965.0</v>
      </c>
      <c r="K228" s="2">
        <v>35674.0</v>
      </c>
      <c r="L228" s="4">
        <v>0.099</v>
      </c>
    </row>
    <row r="229" ht="12.75" customHeight="1">
      <c r="A229" s="2">
        <v>34694.0</v>
      </c>
      <c r="B229" s="77">
        <f t="shared" si="1"/>
        <v>12</v>
      </c>
      <c r="C229" s="78">
        <f t="shared" si="2"/>
        <v>1994</v>
      </c>
      <c r="D229" s="77">
        <v>1.044</v>
      </c>
      <c r="E229" s="4">
        <f t="shared" si="3"/>
        <v>1.05975</v>
      </c>
      <c r="F229" s="2">
        <f t="shared" si="4"/>
        <v>34669</v>
      </c>
      <c r="H229" s="4">
        <v>2.47825</v>
      </c>
      <c r="I229" s="2">
        <v>39995.0</v>
      </c>
      <c r="K229" s="2">
        <v>35704.0</v>
      </c>
      <c r="L229" s="4">
        <v>0.093</v>
      </c>
    </row>
    <row r="230" ht="12.75" customHeight="1">
      <c r="A230" s="2">
        <v>34701.0</v>
      </c>
      <c r="B230" s="77">
        <f t="shared" si="1"/>
        <v>1</v>
      </c>
      <c r="C230" s="78">
        <f t="shared" si="2"/>
        <v>1995</v>
      </c>
      <c r="D230" s="77">
        <v>1.063</v>
      </c>
      <c r="E230" s="4">
        <f t="shared" si="3"/>
        <v>1.0662</v>
      </c>
      <c r="F230" s="2">
        <f t="shared" si="4"/>
        <v>34700</v>
      </c>
      <c r="H230" s="4">
        <v>2.5624000000000002</v>
      </c>
      <c r="I230" s="2">
        <v>40026.0</v>
      </c>
      <c r="K230" s="2">
        <v>35735.0</v>
      </c>
      <c r="L230" s="4">
        <v>0.092</v>
      </c>
    </row>
    <row r="231" ht="12.75" customHeight="1">
      <c r="A231" s="2">
        <v>34708.0</v>
      </c>
      <c r="B231" s="77">
        <f t="shared" si="1"/>
        <v>1</v>
      </c>
      <c r="C231" s="78">
        <f t="shared" si="2"/>
        <v>1995</v>
      </c>
      <c r="D231" s="77">
        <v>1.07</v>
      </c>
      <c r="E231" s="4">
        <f t="shared" si="3"/>
        <v>1.0662</v>
      </c>
      <c r="F231" s="2">
        <f t="shared" si="4"/>
        <v>34700</v>
      </c>
      <c r="H231" s="4">
        <v>2.4800000000000004</v>
      </c>
      <c r="I231" s="2">
        <v>40057.0</v>
      </c>
      <c r="K231" s="2">
        <v>35765.0</v>
      </c>
      <c r="L231" s="4">
        <v>0.09</v>
      </c>
    </row>
    <row r="232" ht="12.75" customHeight="1">
      <c r="A232" s="2">
        <v>34715.0</v>
      </c>
      <c r="B232" s="77">
        <f t="shared" si="1"/>
        <v>1</v>
      </c>
      <c r="C232" s="78">
        <f t="shared" si="2"/>
        <v>1995</v>
      </c>
      <c r="D232" s="77">
        <v>1.062</v>
      </c>
      <c r="E232" s="4">
        <f t="shared" si="3"/>
        <v>1.0662</v>
      </c>
      <c r="F232" s="2">
        <f t="shared" si="4"/>
        <v>34700</v>
      </c>
      <c r="H232" s="4">
        <v>2.50025</v>
      </c>
      <c r="I232" s="2">
        <v>40087.0</v>
      </c>
      <c r="K232" s="2">
        <v>35796.0</v>
      </c>
      <c r="L232" s="4">
        <v>0.086</v>
      </c>
    </row>
    <row r="233" ht="12.75" customHeight="1">
      <c r="A233" s="2">
        <v>34722.0</v>
      </c>
      <c r="B233" s="77">
        <f t="shared" si="1"/>
        <v>1</v>
      </c>
      <c r="C233" s="78">
        <f t="shared" si="2"/>
        <v>1995</v>
      </c>
      <c r="D233" s="77">
        <v>1.068</v>
      </c>
      <c r="E233" s="4">
        <f t="shared" si="3"/>
        <v>1.0662</v>
      </c>
      <c r="F233" s="2">
        <f t="shared" si="4"/>
        <v>34700</v>
      </c>
      <c r="H233" s="4">
        <v>2.6138</v>
      </c>
      <c r="I233" s="2">
        <v>40118.0</v>
      </c>
      <c r="K233" s="2">
        <v>35827.0</v>
      </c>
      <c r="L233" s="4">
        <v>0.085</v>
      </c>
    </row>
    <row r="234" ht="12.75" customHeight="1">
      <c r="A234" s="2">
        <v>34729.0</v>
      </c>
      <c r="B234" s="77">
        <f t="shared" si="1"/>
        <v>1</v>
      </c>
      <c r="C234" s="78">
        <f t="shared" si="2"/>
        <v>1995</v>
      </c>
      <c r="D234" s="77">
        <v>1.068</v>
      </c>
      <c r="E234" s="4">
        <f t="shared" si="3"/>
        <v>1.0662</v>
      </c>
      <c r="F234" s="2">
        <f t="shared" si="4"/>
        <v>34700</v>
      </c>
      <c r="H234" s="4">
        <v>2.5677499999999998</v>
      </c>
      <c r="I234" s="2">
        <v>40148.0</v>
      </c>
      <c r="K234" s="2">
        <v>35855.0</v>
      </c>
      <c r="L234" s="4">
        <v>0.085</v>
      </c>
    </row>
    <row r="235" ht="12.75" customHeight="1">
      <c r="A235" s="2">
        <v>34736.0</v>
      </c>
      <c r="B235" s="77">
        <f t="shared" si="1"/>
        <v>2</v>
      </c>
      <c r="C235" s="78">
        <f t="shared" si="2"/>
        <v>1995</v>
      </c>
      <c r="D235" s="77">
        <v>1.062</v>
      </c>
      <c r="E235" s="4">
        <f t="shared" si="3"/>
        <v>1.058</v>
      </c>
      <c r="F235" s="2">
        <f t="shared" si="4"/>
        <v>34731</v>
      </c>
      <c r="H235" s="4">
        <v>2.67825</v>
      </c>
      <c r="I235" s="2">
        <v>40179.0</v>
      </c>
      <c r="K235" s="2">
        <v>35886.0</v>
      </c>
      <c r="L235" s="4">
        <v>0.085</v>
      </c>
    </row>
    <row r="236" ht="12.75" customHeight="1">
      <c r="A236" s="2">
        <v>34743.0</v>
      </c>
      <c r="B236" s="77">
        <f t="shared" si="1"/>
        <v>2</v>
      </c>
      <c r="C236" s="78">
        <f t="shared" si="2"/>
        <v>1995</v>
      </c>
      <c r="D236" s="77">
        <v>1.058</v>
      </c>
      <c r="E236" s="4">
        <f t="shared" si="3"/>
        <v>1.058</v>
      </c>
      <c r="F236" s="2">
        <f t="shared" si="4"/>
        <v>34731</v>
      </c>
      <c r="H236" s="4">
        <v>2.60325</v>
      </c>
      <c r="I236" s="2">
        <v>40210.0</v>
      </c>
      <c r="K236" s="2">
        <v>35916.0</v>
      </c>
      <c r="L236" s="4">
        <v>0.086</v>
      </c>
    </row>
    <row r="237" ht="12.75" customHeight="1">
      <c r="A237" s="2">
        <v>34750.0</v>
      </c>
      <c r="B237" s="77">
        <f t="shared" si="1"/>
        <v>2</v>
      </c>
      <c r="C237" s="78">
        <f t="shared" si="2"/>
        <v>1995</v>
      </c>
      <c r="D237" s="77">
        <v>1.052</v>
      </c>
      <c r="E237" s="4">
        <f t="shared" si="3"/>
        <v>1.058</v>
      </c>
      <c r="F237" s="2">
        <f t="shared" si="4"/>
        <v>34731</v>
      </c>
      <c r="H237" s="4">
        <v>2.7418</v>
      </c>
      <c r="I237" s="2">
        <v>40238.0</v>
      </c>
      <c r="K237" s="2">
        <v>35947.0</v>
      </c>
      <c r="L237" s="4">
        <v>0.091</v>
      </c>
    </row>
    <row r="238" ht="12.75" customHeight="1">
      <c r="A238" s="2">
        <v>34757.0</v>
      </c>
      <c r="B238" s="77">
        <f t="shared" si="1"/>
        <v>2</v>
      </c>
      <c r="C238" s="78">
        <f t="shared" si="2"/>
        <v>1995</v>
      </c>
      <c r="D238" s="77">
        <v>1.06</v>
      </c>
      <c r="E238" s="4">
        <f t="shared" si="3"/>
        <v>1.058</v>
      </c>
      <c r="F238" s="2">
        <f t="shared" si="4"/>
        <v>34731</v>
      </c>
      <c r="H238" s="4">
        <v>2.8175</v>
      </c>
      <c r="I238" s="2">
        <v>40269.0</v>
      </c>
      <c r="K238" s="2">
        <v>35977.0</v>
      </c>
      <c r="L238" s="4">
        <v>0.091</v>
      </c>
    </row>
    <row r="239" ht="12.75" customHeight="1">
      <c r="A239" s="2">
        <v>34764.0</v>
      </c>
      <c r="B239" s="77">
        <f t="shared" si="1"/>
        <v>3</v>
      </c>
      <c r="C239" s="78">
        <f t="shared" si="2"/>
        <v>1995</v>
      </c>
      <c r="D239" s="77">
        <v>1.063</v>
      </c>
      <c r="E239" s="4">
        <f t="shared" si="3"/>
        <v>1.05925</v>
      </c>
      <c r="F239" s="2">
        <f t="shared" si="4"/>
        <v>34759</v>
      </c>
      <c r="H239" s="4">
        <v>2.7954</v>
      </c>
      <c r="I239" s="2">
        <v>40299.0</v>
      </c>
      <c r="K239" s="2">
        <v>36008.0</v>
      </c>
      <c r="L239" s="4">
        <v>0.09</v>
      </c>
    </row>
    <row r="240" ht="12.75" customHeight="1">
      <c r="A240" s="2">
        <v>34771.0</v>
      </c>
      <c r="B240" s="77">
        <f t="shared" si="1"/>
        <v>3</v>
      </c>
      <c r="C240" s="78">
        <f t="shared" si="2"/>
        <v>1995</v>
      </c>
      <c r="D240" s="77">
        <v>1.056</v>
      </c>
      <c r="E240" s="4">
        <f t="shared" si="3"/>
        <v>1.05925</v>
      </c>
      <c r="F240" s="2">
        <f t="shared" si="4"/>
        <v>34759</v>
      </c>
      <c r="H240" s="4">
        <v>2.6835</v>
      </c>
      <c r="I240" s="2">
        <v>40330.0</v>
      </c>
      <c r="K240" s="2">
        <v>36039.0</v>
      </c>
      <c r="L240" s="4">
        <v>0.089</v>
      </c>
    </row>
    <row r="241" ht="12.75" customHeight="1">
      <c r="A241" s="2">
        <v>34778.0</v>
      </c>
      <c r="B241" s="77">
        <f t="shared" si="1"/>
        <v>3</v>
      </c>
      <c r="C241" s="78">
        <f t="shared" si="2"/>
        <v>1995</v>
      </c>
      <c r="D241" s="77">
        <v>1.055</v>
      </c>
      <c r="E241" s="4">
        <f t="shared" si="3"/>
        <v>1.05925</v>
      </c>
      <c r="F241" s="2">
        <f t="shared" si="4"/>
        <v>34759</v>
      </c>
      <c r="H241" s="4">
        <v>2.67925</v>
      </c>
      <c r="I241" s="2">
        <v>40360.0</v>
      </c>
      <c r="K241" s="2">
        <v>36069.0</v>
      </c>
      <c r="L241" s="4">
        <v>0.086</v>
      </c>
    </row>
    <row r="242" ht="12.75" customHeight="1">
      <c r="A242" s="2">
        <v>34785.0</v>
      </c>
      <c r="B242" s="77">
        <f t="shared" si="1"/>
        <v>3</v>
      </c>
      <c r="C242" s="78">
        <f t="shared" si="2"/>
        <v>1995</v>
      </c>
      <c r="D242" s="77">
        <v>1.063</v>
      </c>
      <c r="E242" s="4">
        <f t="shared" si="3"/>
        <v>1.05925</v>
      </c>
      <c r="F242" s="2">
        <f t="shared" si="4"/>
        <v>34759</v>
      </c>
      <c r="H242" s="4">
        <v>2.6832000000000003</v>
      </c>
      <c r="I242" s="2">
        <v>40391.0</v>
      </c>
      <c r="K242" s="2">
        <v>36100.0</v>
      </c>
      <c r="L242" s="4">
        <v>0.084</v>
      </c>
    </row>
    <row r="243" ht="12.75" customHeight="1">
      <c r="A243" s="2">
        <v>34792.0</v>
      </c>
      <c r="B243" s="77">
        <f t="shared" si="1"/>
        <v>4</v>
      </c>
      <c r="C243" s="78">
        <f t="shared" si="2"/>
        <v>1995</v>
      </c>
      <c r="D243" s="77">
        <v>1.077</v>
      </c>
      <c r="E243" s="4">
        <f t="shared" si="3"/>
        <v>1.1035</v>
      </c>
      <c r="F243" s="2">
        <f t="shared" si="4"/>
        <v>34790</v>
      </c>
      <c r="H243" s="4">
        <v>2.6782500000000002</v>
      </c>
      <c r="I243" s="2">
        <v>40422.0</v>
      </c>
      <c r="K243" s="2">
        <v>36130.0</v>
      </c>
      <c r="L243" s="4">
        <v>0.084</v>
      </c>
    </row>
    <row r="244" ht="12.75" customHeight="1">
      <c r="A244" s="2">
        <v>34799.0</v>
      </c>
      <c r="B244" s="77">
        <f t="shared" si="1"/>
        <v>4</v>
      </c>
      <c r="C244" s="78">
        <f t="shared" si="2"/>
        <v>1995</v>
      </c>
      <c r="D244" s="77">
        <v>1.094</v>
      </c>
      <c r="E244" s="4">
        <f t="shared" si="3"/>
        <v>1.1035</v>
      </c>
      <c r="F244" s="2">
        <f t="shared" si="4"/>
        <v>34790</v>
      </c>
      <c r="H244" s="4">
        <v>2.76625</v>
      </c>
      <c r="I244" s="2">
        <v>40452.0</v>
      </c>
      <c r="K244" s="2">
        <v>36161.0</v>
      </c>
      <c r="L244" s="4">
        <v>0.084</v>
      </c>
    </row>
    <row r="245" ht="12.75" customHeight="1">
      <c r="A245" s="2">
        <v>34806.0</v>
      </c>
      <c r="B245" s="77">
        <f t="shared" si="1"/>
        <v>4</v>
      </c>
      <c r="C245" s="78">
        <f t="shared" si="2"/>
        <v>1995</v>
      </c>
      <c r="D245" s="77">
        <v>1.11</v>
      </c>
      <c r="E245" s="4">
        <f t="shared" si="3"/>
        <v>1.1035</v>
      </c>
      <c r="F245" s="2">
        <f t="shared" si="4"/>
        <v>34790</v>
      </c>
      <c r="H245" s="4">
        <v>2.8147999999999995</v>
      </c>
      <c r="I245" s="2">
        <v>40483.0</v>
      </c>
      <c r="K245" s="2">
        <v>36192.0</v>
      </c>
      <c r="L245" s="4">
        <v>0.084</v>
      </c>
    </row>
    <row r="246" ht="12.75" customHeight="1">
      <c r="A246" s="2">
        <v>34813.0</v>
      </c>
      <c r="B246" s="77">
        <f t="shared" si="1"/>
        <v>4</v>
      </c>
      <c r="C246" s="78">
        <f t="shared" si="2"/>
        <v>1995</v>
      </c>
      <c r="D246" s="77">
        <v>1.133</v>
      </c>
      <c r="E246" s="4">
        <f t="shared" si="3"/>
        <v>1.1035</v>
      </c>
      <c r="F246" s="2">
        <f t="shared" si="4"/>
        <v>34790</v>
      </c>
      <c r="H246" s="4">
        <v>2.95075</v>
      </c>
      <c r="I246" s="2">
        <v>40513.0</v>
      </c>
      <c r="K246" s="2">
        <v>36220.0</v>
      </c>
      <c r="L246" s="4">
        <v>0.084</v>
      </c>
    </row>
    <row r="247" ht="12.75" customHeight="1">
      <c r="A247" s="2">
        <v>34820.0</v>
      </c>
      <c r="B247" s="77">
        <f t="shared" si="1"/>
        <v>5</v>
      </c>
      <c r="C247" s="78">
        <f t="shared" si="2"/>
        <v>1995</v>
      </c>
      <c r="D247" s="77">
        <v>1.141</v>
      </c>
      <c r="E247" s="4">
        <f t="shared" si="3"/>
        <v>1.1724</v>
      </c>
      <c r="F247" s="2">
        <f t="shared" si="4"/>
        <v>34820</v>
      </c>
      <c r="H247" s="4">
        <v>3.0578</v>
      </c>
      <c r="I247" s="2">
        <v>40544.0</v>
      </c>
      <c r="K247" s="2">
        <v>36251.0</v>
      </c>
      <c r="L247" s="4">
        <v>0.084</v>
      </c>
    </row>
    <row r="248" ht="12.75" customHeight="1">
      <c r="A248" s="2">
        <v>34827.0</v>
      </c>
      <c r="B248" s="77">
        <f t="shared" si="1"/>
        <v>5</v>
      </c>
      <c r="C248" s="78">
        <f t="shared" si="2"/>
        <v>1995</v>
      </c>
      <c r="D248" s="77">
        <v>1.164</v>
      </c>
      <c r="E248" s="4">
        <f t="shared" si="3"/>
        <v>1.1724</v>
      </c>
      <c r="F248" s="2">
        <f t="shared" si="4"/>
        <v>34820</v>
      </c>
      <c r="H248" s="4">
        <v>3.16775</v>
      </c>
      <c r="I248" s="2">
        <v>40575.0</v>
      </c>
      <c r="K248" s="2">
        <v>36281.0</v>
      </c>
      <c r="L248" s="4">
        <v>0.085</v>
      </c>
    </row>
    <row r="249" ht="12.75" customHeight="1">
      <c r="A249" s="2">
        <v>34834.0</v>
      </c>
      <c r="B249" s="77">
        <f t="shared" si="1"/>
        <v>5</v>
      </c>
      <c r="C249" s="78">
        <f t="shared" si="2"/>
        <v>1995</v>
      </c>
      <c r="D249" s="77">
        <v>1.173</v>
      </c>
      <c r="E249" s="4">
        <f t="shared" si="3"/>
        <v>1.1724</v>
      </c>
      <c r="F249" s="2">
        <f t="shared" si="4"/>
        <v>34820</v>
      </c>
      <c r="H249" s="4">
        <v>3.50875</v>
      </c>
      <c r="I249" s="2">
        <v>40603.0</v>
      </c>
      <c r="K249" s="2">
        <v>36312.0</v>
      </c>
      <c r="L249" s="4">
        <v>0.089</v>
      </c>
    </row>
    <row r="250" ht="12.75" customHeight="1">
      <c r="A250" s="2">
        <v>34841.0</v>
      </c>
      <c r="B250" s="77">
        <f t="shared" si="1"/>
        <v>5</v>
      </c>
      <c r="C250" s="78">
        <f t="shared" si="2"/>
        <v>1995</v>
      </c>
      <c r="D250" s="77">
        <v>1.191</v>
      </c>
      <c r="E250" s="4">
        <f t="shared" si="3"/>
        <v>1.1724</v>
      </c>
      <c r="F250" s="2">
        <f t="shared" si="4"/>
        <v>34820</v>
      </c>
      <c r="H250" s="4">
        <v>3.7455</v>
      </c>
      <c r="I250" s="2">
        <v>40634.0</v>
      </c>
      <c r="K250" s="2">
        <v>36342.0</v>
      </c>
      <c r="L250" s="4">
        <v>0.09</v>
      </c>
    </row>
    <row r="251" ht="12.75" customHeight="1">
      <c r="A251" s="2">
        <v>34848.0</v>
      </c>
      <c r="B251" s="77">
        <f t="shared" si="1"/>
        <v>5</v>
      </c>
      <c r="C251" s="78">
        <f t="shared" si="2"/>
        <v>1995</v>
      </c>
      <c r="D251" s="77">
        <v>1.193</v>
      </c>
      <c r="E251" s="4">
        <f t="shared" si="3"/>
        <v>1.1724</v>
      </c>
      <c r="F251" s="2">
        <f t="shared" si="4"/>
        <v>34820</v>
      </c>
      <c r="H251" s="4">
        <v>3.8494</v>
      </c>
      <c r="I251" s="2">
        <v>40664.0</v>
      </c>
      <c r="K251" s="2">
        <v>36373.0</v>
      </c>
      <c r="L251" s="4">
        <v>0.089</v>
      </c>
    </row>
    <row r="252" ht="12.75" customHeight="1">
      <c r="A252" s="2">
        <v>34855.0</v>
      </c>
      <c r="B252" s="77">
        <f t="shared" si="1"/>
        <v>6</v>
      </c>
      <c r="C252" s="78">
        <f t="shared" si="2"/>
        <v>1995</v>
      </c>
      <c r="D252" s="77">
        <v>1.194</v>
      </c>
      <c r="E252" s="4">
        <f t="shared" si="3"/>
        <v>1.186</v>
      </c>
      <c r="F252" s="2">
        <f t="shared" si="4"/>
        <v>34851</v>
      </c>
      <c r="H252" s="4">
        <v>3.628</v>
      </c>
      <c r="I252" s="2">
        <v>40695.0</v>
      </c>
      <c r="K252" s="2">
        <v>36404.0</v>
      </c>
      <c r="L252" s="4">
        <v>0.09</v>
      </c>
    </row>
    <row r="253" ht="12.75" customHeight="1">
      <c r="A253" s="2">
        <v>34862.0</v>
      </c>
      <c r="B253" s="77">
        <f t="shared" si="1"/>
        <v>6</v>
      </c>
      <c r="C253" s="78">
        <f t="shared" si="2"/>
        <v>1995</v>
      </c>
      <c r="D253" s="77">
        <v>1.19</v>
      </c>
      <c r="E253" s="4">
        <f t="shared" si="3"/>
        <v>1.186</v>
      </c>
      <c r="F253" s="2">
        <f t="shared" si="4"/>
        <v>34851</v>
      </c>
      <c r="H253" s="4">
        <v>3.6142499999999997</v>
      </c>
      <c r="I253" s="2">
        <v>40725.0</v>
      </c>
      <c r="K253" s="2">
        <v>36434.0</v>
      </c>
      <c r="L253" s="4">
        <v>0.087</v>
      </c>
    </row>
    <row r="254" ht="12.75" customHeight="1">
      <c r="A254" s="2">
        <v>34869.0</v>
      </c>
      <c r="B254" s="77">
        <f t="shared" si="1"/>
        <v>6</v>
      </c>
      <c r="C254" s="78">
        <f t="shared" si="2"/>
        <v>1995</v>
      </c>
      <c r="D254" s="77">
        <v>1.183</v>
      </c>
      <c r="E254" s="4">
        <f t="shared" si="3"/>
        <v>1.186</v>
      </c>
      <c r="F254" s="2">
        <f t="shared" si="4"/>
        <v>34851</v>
      </c>
      <c r="H254" s="4">
        <v>3.6118</v>
      </c>
      <c r="I254" s="2">
        <v>40756.0</v>
      </c>
      <c r="K254" s="2">
        <v>36465.0</v>
      </c>
      <c r="L254" s="4">
        <v>0.085</v>
      </c>
    </row>
    <row r="255" ht="12.75" customHeight="1">
      <c r="A255" s="2">
        <v>34876.0</v>
      </c>
      <c r="B255" s="77">
        <f t="shared" si="1"/>
        <v>6</v>
      </c>
      <c r="C255" s="78">
        <f t="shared" si="2"/>
        <v>1995</v>
      </c>
      <c r="D255" s="77">
        <v>1.177</v>
      </c>
      <c r="E255" s="4">
        <f t="shared" si="3"/>
        <v>1.186</v>
      </c>
      <c r="F255" s="2">
        <f t="shared" si="4"/>
        <v>34851</v>
      </c>
      <c r="H255" s="4">
        <v>3.5732500000000003</v>
      </c>
      <c r="I255" s="2">
        <v>40787.0</v>
      </c>
      <c r="K255" s="2">
        <v>36495.0</v>
      </c>
      <c r="L255" s="4">
        <v>0.085</v>
      </c>
    </row>
    <row r="256" ht="12.75" customHeight="1">
      <c r="A256" s="2">
        <v>34883.0</v>
      </c>
      <c r="B256" s="77">
        <f t="shared" si="1"/>
        <v>7</v>
      </c>
      <c r="C256" s="78">
        <f t="shared" si="2"/>
        <v>1995</v>
      </c>
      <c r="D256" s="77">
        <v>1.169</v>
      </c>
      <c r="E256" s="4">
        <f t="shared" si="3"/>
        <v>1.148</v>
      </c>
      <c r="F256" s="2">
        <f t="shared" si="4"/>
        <v>34881</v>
      </c>
      <c r="H256" s="4">
        <v>3.4</v>
      </c>
      <c r="I256" s="2">
        <v>40817.0</v>
      </c>
      <c r="K256" s="2">
        <v>36526.0</v>
      </c>
      <c r="L256" s="4">
        <v>0.084</v>
      </c>
    </row>
    <row r="257" ht="12.75" customHeight="1">
      <c r="A257" s="2">
        <v>34890.0</v>
      </c>
      <c r="B257" s="77">
        <f t="shared" si="1"/>
        <v>7</v>
      </c>
      <c r="C257" s="78">
        <f t="shared" si="2"/>
        <v>1995</v>
      </c>
      <c r="D257" s="77">
        <v>1.159</v>
      </c>
      <c r="E257" s="4">
        <f t="shared" si="3"/>
        <v>1.148</v>
      </c>
      <c r="F257" s="2">
        <f t="shared" si="4"/>
        <v>34881</v>
      </c>
      <c r="H257" s="4">
        <v>3.3295000000000003</v>
      </c>
      <c r="I257" s="2">
        <v>40848.0</v>
      </c>
      <c r="K257" s="2">
        <v>36557.0</v>
      </c>
      <c r="L257" s="4">
        <v>0.085</v>
      </c>
    </row>
    <row r="258" ht="12.75" customHeight="1">
      <c r="A258" s="2">
        <v>34897.0</v>
      </c>
      <c r="B258" s="77">
        <f t="shared" si="1"/>
        <v>7</v>
      </c>
      <c r="C258" s="78">
        <f t="shared" si="2"/>
        <v>1995</v>
      </c>
      <c r="D258" s="77">
        <v>1.148</v>
      </c>
      <c r="E258" s="4">
        <f t="shared" si="3"/>
        <v>1.148</v>
      </c>
      <c r="F258" s="2">
        <f t="shared" si="4"/>
        <v>34881</v>
      </c>
      <c r="H258" s="4">
        <v>3.2199999999999998</v>
      </c>
      <c r="I258" s="2">
        <v>40878.0</v>
      </c>
      <c r="K258" s="2">
        <v>36586.0</v>
      </c>
      <c r="L258" s="4">
        <v>0.085</v>
      </c>
    </row>
    <row r="259" ht="12.75" customHeight="1">
      <c r="A259" s="2">
        <v>34904.0</v>
      </c>
      <c r="B259" s="77">
        <f t="shared" si="1"/>
        <v>7</v>
      </c>
      <c r="C259" s="78">
        <f t="shared" si="2"/>
        <v>1995</v>
      </c>
      <c r="D259" s="77">
        <v>1.138</v>
      </c>
      <c r="E259" s="4">
        <f t="shared" si="3"/>
        <v>1.148</v>
      </c>
      <c r="F259" s="2">
        <f t="shared" si="4"/>
        <v>34881</v>
      </c>
      <c r="H259" s="4">
        <v>3.3296</v>
      </c>
      <c r="I259" s="2">
        <v>40909.0</v>
      </c>
      <c r="K259" s="2">
        <v>36617.0</v>
      </c>
      <c r="L259" s="4">
        <v>0.085</v>
      </c>
    </row>
    <row r="260" ht="12.75" customHeight="1">
      <c r="A260" s="2">
        <v>34911.0</v>
      </c>
      <c r="B260" s="77">
        <f t="shared" si="1"/>
        <v>7</v>
      </c>
      <c r="C260" s="78">
        <f t="shared" si="2"/>
        <v>1995</v>
      </c>
      <c r="D260" s="77">
        <v>1.126</v>
      </c>
      <c r="E260" s="4">
        <f t="shared" si="3"/>
        <v>1.148</v>
      </c>
      <c r="F260" s="2">
        <f t="shared" si="4"/>
        <v>34881</v>
      </c>
      <c r="H260" s="4">
        <v>3.5165</v>
      </c>
      <c r="I260" s="2">
        <v>40940.0</v>
      </c>
      <c r="K260" s="2">
        <v>36647.0</v>
      </c>
      <c r="L260" s="4">
        <v>0.085</v>
      </c>
    </row>
    <row r="261" ht="12.75" customHeight="1">
      <c r="A261" s="2">
        <v>34918.0</v>
      </c>
      <c r="B261" s="77">
        <f t="shared" si="1"/>
        <v>8</v>
      </c>
      <c r="C261" s="78">
        <f t="shared" si="2"/>
        <v>1995</v>
      </c>
      <c r="D261" s="77">
        <v>1.124</v>
      </c>
      <c r="E261" s="4">
        <f t="shared" si="3"/>
        <v>1.12</v>
      </c>
      <c r="F261" s="2">
        <f t="shared" si="4"/>
        <v>34912</v>
      </c>
      <c r="H261" s="4">
        <v>3.7735000000000003</v>
      </c>
      <c r="I261" s="2">
        <v>40969.0</v>
      </c>
      <c r="K261" s="2">
        <v>36678.0</v>
      </c>
      <c r="L261" s="4">
        <v>0.09</v>
      </c>
    </row>
    <row r="262" ht="12.75" customHeight="1">
      <c r="A262" s="2">
        <v>34925.0</v>
      </c>
      <c r="B262" s="77">
        <f t="shared" si="1"/>
        <v>8</v>
      </c>
      <c r="C262" s="78">
        <f t="shared" si="2"/>
        <v>1995</v>
      </c>
      <c r="D262" s="77">
        <v>1.121</v>
      </c>
      <c r="E262" s="4">
        <f t="shared" si="3"/>
        <v>1.12</v>
      </c>
      <c r="F262" s="2">
        <f t="shared" si="4"/>
        <v>34912</v>
      </c>
      <c r="H262" s="4">
        <v>3.8373999999999997</v>
      </c>
      <c r="I262" s="2">
        <v>41000.0</v>
      </c>
      <c r="K262" s="2">
        <v>36708.0</v>
      </c>
      <c r="L262" s="4">
        <v>0.091</v>
      </c>
    </row>
    <row r="263" ht="12.75" customHeight="1">
      <c r="A263" s="2">
        <v>34932.0</v>
      </c>
      <c r="B263" s="77">
        <f t="shared" si="1"/>
        <v>8</v>
      </c>
      <c r="C263" s="78">
        <f t="shared" si="2"/>
        <v>1995</v>
      </c>
      <c r="D263" s="77">
        <v>1.122</v>
      </c>
      <c r="E263" s="4">
        <f t="shared" si="3"/>
        <v>1.12</v>
      </c>
      <c r="F263" s="2">
        <f t="shared" si="4"/>
        <v>34912</v>
      </c>
      <c r="H263" s="4">
        <v>3.64325</v>
      </c>
      <c r="I263" s="2">
        <v>41030.0</v>
      </c>
      <c r="K263" s="2">
        <v>36739.0</v>
      </c>
      <c r="L263" s="4">
        <v>0.091</v>
      </c>
    </row>
    <row r="264" ht="12.75" customHeight="1">
      <c r="A264" s="2">
        <v>34939.0</v>
      </c>
      <c r="B264" s="77">
        <f t="shared" si="1"/>
        <v>8</v>
      </c>
      <c r="C264" s="78">
        <f t="shared" si="2"/>
        <v>1995</v>
      </c>
      <c r="D264" s="77">
        <v>1.113</v>
      </c>
      <c r="E264" s="4">
        <f t="shared" si="3"/>
        <v>1.12</v>
      </c>
      <c r="F264" s="2">
        <f t="shared" si="4"/>
        <v>34912</v>
      </c>
      <c r="H264" s="4">
        <v>3.4645</v>
      </c>
      <c r="I264" s="2">
        <v>41061.0</v>
      </c>
      <c r="K264" s="2">
        <v>36770.0</v>
      </c>
      <c r="L264" s="4">
        <v>0.091</v>
      </c>
    </row>
    <row r="265" ht="12.75" customHeight="1">
      <c r="A265" s="2">
        <v>34946.0</v>
      </c>
      <c r="B265" s="77">
        <f t="shared" si="1"/>
        <v>9</v>
      </c>
      <c r="C265" s="78">
        <f t="shared" si="2"/>
        <v>1995</v>
      </c>
      <c r="D265" s="77">
        <v>1.111</v>
      </c>
      <c r="E265" s="4">
        <f t="shared" si="3"/>
        <v>1.1075</v>
      </c>
      <c r="F265" s="2">
        <f t="shared" si="4"/>
        <v>34943</v>
      </c>
      <c r="H265" s="4">
        <v>3.3794000000000004</v>
      </c>
      <c r="I265" s="2">
        <v>41091.0</v>
      </c>
      <c r="K265" s="2">
        <v>36800.0</v>
      </c>
      <c r="L265" s="4">
        <v>0.088</v>
      </c>
    </row>
    <row r="266" ht="12.75" customHeight="1">
      <c r="A266" s="2">
        <v>34953.0</v>
      </c>
      <c r="B266" s="77">
        <f t="shared" si="1"/>
        <v>9</v>
      </c>
      <c r="C266" s="78">
        <f t="shared" si="2"/>
        <v>1995</v>
      </c>
      <c r="D266" s="77">
        <v>1.107</v>
      </c>
      <c r="E266" s="4">
        <f t="shared" si="3"/>
        <v>1.1075</v>
      </c>
      <c r="F266" s="2">
        <f t="shared" si="4"/>
        <v>34943</v>
      </c>
      <c r="H266" s="4">
        <v>3.6679999999999997</v>
      </c>
      <c r="I266" s="2">
        <v>41122.0</v>
      </c>
      <c r="K266" s="2">
        <v>36831.0</v>
      </c>
      <c r="L266" s="4">
        <v>0.086</v>
      </c>
    </row>
    <row r="267" ht="12.75" customHeight="1">
      <c r="A267" s="2">
        <v>34960.0</v>
      </c>
      <c r="B267" s="77">
        <f t="shared" si="1"/>
        <v>9</v>
      </c>
      <c r="C267" s="78">
        <f t="shared" si="2"/>
        <v>1995</v>
      </c>
      <c r="D267" s="77">
        <v>1.106</v>
      </c>
      <c r="E267" s="4">
        <f t="shared" si="3"/>
        <v>1.1075</v>
      </c>
      <c r="F267" s="2">
        <f t="shared" si="4"/>
        <v>34943</v>
      </c>
      <c r="H267" s="4">
        <v>3.8007500000000003</v>
      </c>
      <c r="I267" s="2">
        <v>41153.0</v>
      </c>
      <c r="K267" s="2">
        <v>36861.0</v>
      </c>
      <c r="L267" s="4">
        <v>0.086</v>
      </c>
    </row>
    <row r="268" ht="12.75" customHeight="1">
      <c r="A268" s="2">
        <v>34967.0</v>
      </c>
      <c r="B268" s="77">
        <f t="shared" si="1"/>
        <v>9</v>
      </c>
      <c r="C268" s="78">
        <f t="shared" si="2"/>
        <v>1995</v>
      </c>
      <c r="D268" s="77">
        <v>1.106</v>
      </c>
      <c r="E268" s="4">
        <f t="shared" si="3"/>
        <v>1.1075</v>
      </c>
      <c r="F268" s="2">
        <f t="shared" si="4"/>
        <v>34943</v>
      </c>
      <c r="H268" s="4">
        <v>3.6534</v>
      </c>
      <c r="I268" s="2">
        <v>41183.0</v>
      </c>
      <c r="K268" s="2">
        <v>36892.0</v>
      </c>
      <c r="L268" s="4">
        <v>0.088</v>
      </c>
    </row>
    <row r="269" ht="12.75" customHeight="1">
      <c r="A269" s="2">
        <v>34974.0</v>
      </c>
      <c r="B269" s="77">
        <f t="shared" si="1"/>
        <v>10</v>
      </c>
      <c r="C269" s="78">
        <f t="shared" si="2"/>
        <v>1995</v>
      </c>
      <c r="D269" s="77">
        <v>1.1</v>
      </c>
      <c r="E269" s="4">
        <f t="shared" si="3"/>
        <v>1.0816</v>
      </c>
      <c r="F269" s="2">
        <f t="shared" si="4"/>
        <v>34973</v>
      </c>
      <c r="H269" s="4">
        <v>3.38</v>
      </c>
      <c r="I269" s="2">
        <v>41214.0</v>
      </c>
      <c r="K269" s="2">
        <v>36923.0</v>
      </c>
      <c r="L269" s="4">
        <v>0.088</v>
      </c>
    </row>
    <row r="270" ht="12.75" customHeight="1">
      <c r="A270" s="2">
        <v>34981.0</v>
      </c>
      <c r="B270" s="77">
        <f t="shared" si="1"/>
        <v>10</v>
      </c>
      <c r="C270" s="78">
        <f t="shared" si="2"/>
        <v>1995</v>
      </c>
      <c r="D270" s="77">
        <v>1.092</v>
      </c>
      <c r="E270" s="4">
        <f t="shared" si="3"/>
        <v>1.0816</v>
      </c>
      <c r="F270" s="2">
        <f t="shared" si="4"/>
        <v>34973</v>
      </c>
      <c r="H270" s="4">
        <v>3.2564</v>
      </c>
      <c r="I270" s="2">
        <v>41244.0</v>
      </c>
      <c r="K270" s="2">
        <v>36951.0</v>
      </c>
      <c r="L270" s="4">
        <v>0.089</v>
      </c>
    </row>
    <row r="271" ht="12.75" customHeight="1">
      <c r="A271" s="2">
        <v>34988.0</v>
      </c>
      <c r="B271" s="77">
        <f t="shared" si="1"/>
        <v>10</v>
      </c>
      <c r="C271" s="78">
        <f t="shared" si="2"/>
        <v>1995</v>
      </c>
      <c r="D271" s="77">
        <v>1.081</v>
      </c>
      <c r="E271" s="4">
        <f t="shared" si="3"/>
        <v>1.0816</v>
      </c>
      <c r="F271" s="2">
        <f t="shared" si="4"/>
        <v>34973</v>
      </c>
      <c r="H271" s="4">
        <v>3.25475</v>
      </c>
      <c r="I271" s="2">
        <v>41275.0</v>
      </c>
      <c r="K271" s="2">
        <v>36982.0</v>
      </c>
      <c r="L271" s="4">
        <v>0.089</v>
      </c>
    </row>
    <row r="272" ht="12.75" customHeight="1">
      <c r="A272" s="2">
        <v>34995.0</v>
      </c>
      <c r="B272" s="77">
        <f t="shared" si="1"/>
        <v>10</v>
      </c>
      <c r="C272" s="78">
        <f t="shared" si="2"/>
        <v>1995</v>
      </c>
      <c r="D272" s="77">
        <v>1.073</v>
      </c>
      <c r="E272" s="4">
        <f t="shared" si="3"/>
        <v>1.0816</v>
      </c>
      <c r="F272" s="2">
        <f t="shared" si="4"/>
        <v>34973</v>
      </c>
      <c r="H272" s="4">
        <v>3.605</v>
      </c>
      <c r="I272" s="2">
        <v>41306.0</v>
      </c>
      <c r="K272" s="2">
        <v>37012.0</v>
      </c>
      <c r="L272" s="4">
        <v>0.09</v>
      </c>
    </row>
    <row r="273" ht="12.75" customHeight="1">
      <c r="A273" s="2">
        <v>35002.0</v>
      </c>
      <c r="B273" s="77">
        <f t="shared" si="1"/>
        <v>10</v>
      </c>
      <c r="C273" s="78">
        <f t="shared" si="2"/>
        <v>1995</v>
      </c>
      <c r="D273" s="77">
        <v>1.062</v>
      </c>
      <c r="E273" s="4">
        <f t="shared" si="3"/>
        <v>1.0816</v>
      </c>
      <c r="F273" s="2">
        <f t="shared" si="4"/>
        <v>34973</v>
      </c>
      <c r="H273" s="4">
        <v>3.6477500000000003</v>
      </c>
      <c r="I273" s="2">
        <v>41334.0</v>
      </c>
      <c r="K273" s="2">
        <v>37043.0</v>
      </c>
      <c r="L273" s="4">
        <v>0.097</v>
      </c>
    </row>
    <row r="274" ht="12.75" customHeight="1">
      <c r="A274" s="2">
        <v>35009.0</v>
      </c>
      <c r="B274" s="77">
        <f t="shared" si="1"/>
        <v>11</v>
      </c>
      <c r="C274" s="78">
        <f t="shared" si="2"/>
        <v>1995</v>
      </c>
      <c r="D274" s="77">
        <v>1.06</v>
      </c>
      <c r="E274" s="4">
        <f t="shared" si="3"/>
        <v>1.058</v>
      </c>
      <c r="F274" s="2">
        <f t="shared" si="4"/>
        <v>35004</v>
      </c>
      <c r="H274" s="4">
        <v>3.5013999999999994</v>
      </c>
      <c r="I274" s="2">
        <v>41365.0</v>
      </c>
      <c r="K274" s="2">
        <v>37073.0</v>
      </c>
      <c r="L274" s="4">
        <v>0.099</v>
      </c>
    </row>
    <row r="275" ht="12.75" customHeight="1">
      <c r="A275" s="2">
        <v>35016.0</v>
      </c>
      <c r="B275" s="77">
        <f t="shared" si="1"/>
        <v>11</v>
      </c>
      <c r="C275" s="78">
        <f t="shared" si="2"/>
        <v>1995</v>
      </c>
      <c r="D275" s="77">
        <v>1.059</v>
      </c>
      <c r="E275" s="4">
        <f t="shared" si="3"/>
        <v>1.058</v>
      </c>
      <c r="F275" s="2">
        <f t="shared" si="4"/>
        <v>35004</v>
      </c>
      <c r="H275" s="4">
        <v>3.5645</v>
      </c>
      <c r="I275" s="2">
        <v>41395.0</v>
      </c>
      <c r="K275" s="2">
        <v>37104.0</v>
      </c>
      <c r="L275" s="4">
        <v>0.098</v>
      </c>
    </row>
    <row r="276" ht="12.75" customHeight="1">
      <c r="A276" s="2">
        <v>35023.0</v>
      </c>
      <c r="B276" s="77">
        <f t="shared" si="1"/>
        <v>11</v>
      </c>
      <c r="C276" s="78">
        <f t="shared" si="2"/>
        <v>1995</v>
      </c>
      <c r="D276" s="77">
        <v>1.056</v>
      </c>
      <c r="E276" s="4">
        <f t="shared" si="3"/>
        <v>1.058</v>
      </c>
      <c r="F276" s="2">
        <f t="shared" si="4"/>
        <v>35004</v>
      </c>
      <c r="H276" s="4">
        <v>3.5760000000000005</v>
      </c>
      <c r="I276" s="2">
        <v>41426.0</v>
      </c>
      <c r="K276" s="2">
        <v>37135.0</v>
      </c>
      <c r="L276" s="4">
        <v>0.097</v>
      </c>
    </row>
    <row r="277" ht="12.75" customHeight="1">
      <c r="A277" s="2">
        <v>35030.0</v>
      </c>
      <c r="B277" s="77">
        <f t="shared" si="1"/>
        <v>11</v>
      </c>
      <c r="C277" s="78">
        <f t="shared" si="2"/>
        <v>1995</v>
      </c>
      <c r="D277" s="77">
        <v>1.057</v>
      </c>
      <c r="E277" s="4">
        <f t="shared" si="3"/>
        <v>1.058</v>
      </c>
      <c r="F277" s="2">
        <f t="shared" si="4"/>
        <v>35004</v>
      </c>
      <c r="H277" s="4">
        <v>3.5149999999999997</v>
      </c>
      <c r="I277" s="2">
        <v>41456.0</v>
      </c>
      <c r="K277" s="2">
        <v>37165.0</v>
      </c>
      <c r="L277" s="4">
        <v>0.093</v>
      </c>
    </row>
    <row r="278" ht="12.75" customHeight="1">
      <c r="A278" s="2">
        <v>35037.0</v>
      </c>
      <c r="B278" s="77">
        <f t="shared" si="1"/>
        <v>12</v>
      </c>
      <c r="C278" s="78">
        <f t="shared" si="2"/>
        <v>1995</v>
      </c>
      <c r="D278" s="77">
        <v>1.058</v>
      </c>
      <c r="E278" s="4">
        <f t="shared" si="3"/>
        <v>1.0655</v>
      </c>
      <c r="F278" s="2">
        <f t="shared" si="4"/>
        <v>35034</v>
      </c>
      <c r="H278" s="4">
        <v>3.51475</v>
      </c>
      <c r="I278" s="2">
        <v>41487.0</v>
      </c>
      <c r="K278" s="2">
        <v>37196.0</v>
      </c>
      <c r="L278" s="4">
        <v>0.09</v>
      </c>
    </row>
    <row r="279" ht="12.75" customHeight="1">
      <c r="A279" s="2">
        <v>35044.0</v>
      </c>
      <c r="B279" s="77">
        <f t="shared" si="1"/>
        <v>12</v>
      </c>
      <c r="C279" s="78">
        <f t="shared" si="2"/>
        <v>1995</v>
      </c>
      <c r="D279" s="77">
        <v>1.057</v>
      </c>
      <c r="E279" s="4">
        <f t="shared" si="3"/>
        <v>1.0655</v>
      </c>
      <c r="F279" s="2">
        <f t="shared" si="4"/>
        <v>35034</v>
      </c>
      <c r="H279" s="4">
        <v>3.4737999999999998</v>
      </c>
      <c r="I279" s="2">
        <v>41518.0</v>
      </c>
      <c r="K279" s="2">
        <v>37226.0</v>
      </c>
      <c r="L279" s="4">
        <v>0.09</v>
      </c>
    </row>
    <row r="280" ht="12.75" customHeight="1">
      <c r="A280" s="2">
        <v>35051.0</v>
      </c>
      <c r="B280" s="77">
        <f t="shared" si="1"/>
        <v>12</v>
      </c>
      <c r="C280" s="78">
        <f t="shared" si="2"/>
        <v>1995</v>
      </c>
      <c r="D280" s="77">
        <v>1.072</v>
      </c>
      <c r="E280" s="4">
        <f t="shared" si="3"/>
        <v>1.0655</v>
      </c>
      <c r="F280" s="2">
        <f t="shared" si="4"/>
        <v>35034</v>
      </c>
      <c r="H280" s="4">
        <v>3.28475</v>
      </c>
      <c r="I280" s="2">
        <v>41548.0</v>
      </c>
      <c r="K280" s="2">
        <v>37257.0</v>
      </c>
      <c r="L280" s="4">
        <v>0.089</v>
      </c>
    </row>
    <row r="281" ht="12.75" customHeight="1">
      <c r="A281" s="2">
        <v>35058.0</v>
      </c>
      <c r="B281" s="77">
        <f t="shared" si="1"/>
        <v>12</v>
      </c>
      <c r="C281" s="78">
        <f t="shared" si="2"/>
        <v>1995</v>
      </c>
      <c r="D281" s="77">
        <v>1.075</v>
      </c>
      <c r="E281" s="4">
        <f t="shared" si="3"/>
        <v>1.0655</v>
      </c>
      <c r="F281" s="2">
        <f t="shared" si="4"/>
        <v>35034</v>
      </c>
      <c r="H281" s="4">
        <v>3.186</v>
      </c>
      <c r="I281" s="2">
        <v>41579.0</v>
      </c>
      <c r="K281" s="2">
        <v>37288.0</v>
      </c>
      <c r="L281" s="4">
        <v>0.089</v>
      </c>
    </row>
    <row r="282" ht="12.75" customHeight="1">
      <c r="A282" s="2">
        <v>35065.0</v>
      </c>
      <c r="B282" s="77">
        <f t="shared" si="1"/>
        <v>1</v>
      </c>
      <c r="C282" s="78">
        <f t="shared" si="2"/>
        <v>1996</v>
      </c>
      <c r="D282" s="77">
        <v>1.077</v>
      </c>
      <c r="E282" s="4">
        <f t="shared" si="3"/>
        <v>1.0836</v>
      </c>
      <c r="F282" s="2">
        <f t="shared" si="4"/>
        <v>35065</v>
      </c>
      <c r="H282" s="4">
        <v>3.2088</v>
      </c>
      <c r="I282" s="2">
        <v>41609.0</v>
      </c>
      <c r="K282" s="2">
        <v>37316.0</v>
      </c>
      <c r="L282" s="4">
        <v>0.089</v>
      </c>
    </row>
    <row r="283" ht="12.75" customHeight="1">
      <c r="A283" s="2">
        <v>35072.0</v>
      </c>
      <c r="B283" s="77">
        <f t="shared" si="1"/>
        <v>1</v>
      </c>
      <c r="C283" s="78">
        <f t="shared" si="2"/>
        <v>1996</v>
      </c>
      <c r="D283" s="77">
        <v>1.086</v>
      </c>
      <c r="E283" s="4">
        <f t="shared" si="3"/>
        <v>1.0836</v>
      </c>
      <c r="F283" s="2">
        <f t="shared" si="4"/>
        <v>35065</v>
      </c>
      <c r="H283" s="4">
        <v>3.25225</v>
      </c>
      <c r="I283" s="2">
        <v>41640.0</v>
      </c>
      <c r="K283" s="2">
        <v>37347.0</v>
      </c>
      <c r="L283" s="4">
        <v>0.088</v>
      </c>
    </row>
    <row r="284" ht="12.75" customHeight="1">
      <c r="A284" s="2">
        <v>35079.0</v>
      </c>
      <c r="B284" s="77">
        <f t="shared" si="1"/>
        <v>1</v>
      </c>
      <c r="C284" s="78">
        <f t="shared" si="2"/>
        <v>1996</v>
      </c>
      <c r="D284" s="77">
        <v>1.092</v>
      </c>
      <c r="E284" s="4">
        <f t="shared" si="3"/>
        <v>1.0836</v>
      </c>
      <c r="F284" s="2">
        <f t="shared" si="4"/>
        <v>35065</v>
      </c>
      <c r="H284" s="4">
        <v>3.305</v>
      </c>
      <c r="I284" s="2">
        <v>41671.0</v>
      </c>
      <c r="K284" s="2">
        <v>37377.0</v>
      </c>
      <c r="L284" s="4">
        <v>0.089</v>
      </c>
    </row>
    <row r="285" ht="12.75" customHeight="1">
      <c r="A285" s="2">
        <v>35086.0</v>
      </c>
      <c r="B285" s="77">
        <f t="shared" si="1"/>
        <v>1</v>
      </c>
      <c r="C285" s="78">
        <f t="shared" si="2"/>
        <v>1996</v>
      </c>
      <c r="D285" s="77">
        <v>1.084</v>
      </c>
      <c r="E285" s="4">
        <f t="shared" si="3"/>
        <v>1.0836</v>
      </c>
      <c r="F285" s="2">
        <f t="shared" si="4"/>
        <v>35065</v>
      </c>
      <c r="H285" s="4">
        <v>3.4739999999999993</v>
      </c>
      <c r="I285" s="2">
        <v>41699.0</v>
      </c>
      <c r="K285" s="2">
        <v>37408.0</v>
      </c>
      <c r="L285" s="4">
        <v>0.095</v>
      </c>
    </row>
    <row r="286" ht="12.75" customHeight="1">
      <c r="A286" s="2">
        <v>35093.0</v>
      </c>
      <c r="B286" s="77">
        <f t="shared" si="1"/>
        <v>1</v>
      </c>
      <c r="C286" s="78">
        <f t="shared" si="2"/>
        <v>1996</v>
      </c>
      <c r="D286" s="77">
        <v>1.079</v>
      </c>
      <c r="E286" s="4">
        <f t="shared" si="3"/>
        <v>1.0836</v>
      </c>
      <c r="F286" s="2">
        <f t="shared" si="4"/>
        <v>35065</v>
      </c>
      <c r="H286" s="4">
        <v>3.5902499999999997</v>
      </c>
      <c r="I286" s="2">
        <v>41730.0</v>
      </c>
      <c r="K286" s="2">
        <v>37438.0</v>
      </c>
      <c r="L286" s="4">
        <v>0.095</v>
      </c>
    </row>
    <row r="287" ht="12.75" customHeight="1">
      <c r="A287" s="2">
        <v>35100.0</v>
      </c>
      <c r="B287" s="77">
        <f t="shared" si="1"/>
        <v>2</v>
      </c>
      <c r="C287" s="78">
        <f t="shared" si="2"/>
        <v>1996</v>
      </c>
      <c r="D287" s="77">
        <v>1.076</v>
      </c>
      <c r="E287" s="4">
        <f t="shared" si="3"/>
        <v>1.0815</v>
      </c>
      <c r="F287" s="2">
        <f t="shared" si="4"/>
        <v>35096</v>
      </c>
      <c r="H287" s="4">
        <v>3.6007499999999997</v>
      </c>
      <c r="I287" s="2">
        <v>41760.0</v>
      </c>
      <c r="K287" s="2">
        <v>37469.0</v>
      </c>
      <c r="L287" s="4">
        <v>0.095</v>
      </c>
    </row>
    <row r="288" ht="12.75" customHeight="1">
      <c r="A288" s="2">
        <v>35107.0</v>
      </c>
      <c r="B288" s="77">
        <f t="shared" si="1"/>
        <v>2</v>
      </c>
      <c r="C288" s="78">
        <f t="shared" si="2"/>
        <v>1996</v>
      </c>
      <c r="D288" s="77">
        <v>1.073</v>
      </c>
      <c r="E288" s="4">
        <f t="shared" si="3"/>
        <v>1.0815</v>
      </c>
      <c r="F288" s="2">
        <f t="shared" si="4"/>
        <v>35096</v>
      </c>
      <c r="H288" s="4">
        <v>3.6257999999999995</v>
      </c>
      <c r="I288" s="2">
        <v>41791.0</v>
      </c>
      <c r="K288" s="2">
        <v>37500.0</v>
      </c>
      <c r="L288" s="4">
        <v>0.095</v>
      </c>
    </row>
    <row r="289" ht="12.75" customHeight="1">
      <c r="A289" s="2">
        <v>35114.0</v>
      </c>
      <c r="B289" s="77">
        <f t="shared" si="1"/>
        <v>2</v>
      </c>
      <c r="C289" s="78">
        <f t="shared" si="2"/>
        <v>1996</v>
      </c>
      <c r="D289" s="77">
        <v>1.078</v>
      </c>
      <c r="E289" s="4">
        <f t="shared" si="3"/>
        <v>1.0815</v>
      </c>
      <c r="F289" s="2">
        <f t="shared" si="4"/>
        <v>35096</v>
      </c>
      <c r="H289" s="4">
        <v>3.539</v>
      </c>
      <c r="I289" s="2">
        <v>41821.0</v>
      </c>
      <c r="K289" s="2">
        <v>37530.0</v>
      </c>
      <c r="L289" s="4">
        <v>0.091</v>
      </c>
    </row>
    <row r="290" ht="12.75" customHeight="1">
      <c r="A290" s="2">
        <v>35121.0</v>
      </c>
      <c r="B290" s="77">
        <f t="shared" si="1"/>
        <v>2</v>
      </c>
      <c r="C290" s="78">
        <f t="shared" si="2"/>
        <v>1996</v>
      </c>
      <c r="D290" s="77">
        <v>1.099</v>
      </c>
      <c r="E290" s="4">
        <f t="shared" si="3"/>
        <v>1.0815</v>
      </c>
      <c r="F290" s="2">
        <f t="shared" si="4"/>
        <v>35096</v>
      </c>
      <c r="H290" s="4">
        <v>3.42525</v>
      </c>
      <c r="I290" s="2">
        <v>41852.0</v>
      </c>
      <c r="K290" s="2">
        <v>37561.0</v>
      </c>
      <c r="L290" s="4">
        <v>0.089</v>
      </c>
    </row>
    <row r="291" ht="12.75" customHeight="1">
      <c r="A291" s="2">
        <v>35128.0</v>
      </c>
      <c r="B291" s="77">
        <f t="shared" si="1"/>
        <v>3</v>
      </c>
      <c r="C291" s="78">
        <f t="shared" si="2"/>
        <v>1996</v>
      </c>
      <c r="D291" s="77">
        <v>1.115</v>
      </c>
      <c r="E291" s="4">
        <f t="shared" si="3"/>
        <v>1.12925</v>
      </c>
      <c r="F291" s="2">
        <f t="shared" si="4"/>
        <v>35125</v>
      </c>
      <c r="H291" s="4">
        <v>3.3536</v>
      </c>
      <c r="I291" s="2">
        <v>41883.0</v>
      </c>
      <c r="K291" s="2">
        <v>37591.0</v>
      </c>
      <c r="L291" s="4">
        <v>0.089</v>
      </c>
    </row>
    <row r="292" ht="12.75" customHeight="1">
      <c r="A292" s="2">
        <v>35135.0</v>
      </c>
      <c r="B292" s="77">
        <f t="shared" si="1"/>
        <v>3</v>
      </c>
      <c r="C292" s="78">
        <f t="shared" si="2"/>
        <v>1996</v>
      </c>
      <c r="D292" s="77">
        <v>1.116</v>
      </c>
      <c r="E292" s="4">
        <f t="shared" si="3"/>
        <v>1.12925</v>
      </c>
      <c r="F292" s="2">
        <f t="shared" si="4"/>
        <v>35125</v>
      </c>
      <c r="H292" s="4">
        <v>3.11975</v>
      </c>
      <c r="I292" s="2">
        <v>41913.0</v>
      </c>
      <c r="K292" s="2">
        <v>37622.0</v>
      </c>
      <c r="L292" s="4">
        <v>0.089</v>
      </c>
    </row>
    <row r="293" ht="12.75" customHeight="1">
      <c r="A293" s="2">
        <v>35142.0</v>
      </c>
      <c r="B293" s="77">
        <f t="shared" si="1"/>
        <v>3</v>
      </c>
      <c r="C293" s="78">
        <f t="shared" si="2"/>
        <v>1996</v>
      </c>
      <c r="D293" s="77">
        <v>1.128</v>
      </c>
      <c r="E293" s="4">
        <f t="shared" si="3"/>
        <v>1.12925</v>
      </c>
      <c r="F293" s="2">
        <f t="shared" si="4"/>
        <v>35125</v>
      </c>
      <c r="H293" s="4">
        <v>2.875</v>
      </c>
      <c r="I293" s="2">
        <v>41944.0</v>
      </c>
      <c r="K293" s="2">
        <v>37653.0</v>
      </c>
      <c r="L293" s="4">
        <v>0.089</v>
      </c>
    </row>
    <row r="294" ht="12.75" customHeight="1">
      <c r="A294" s="2">
        <v>35149.0</v>
      </c>
      <c r="B294" s="77">
        <f t="shared" si="1"/>
        <v>3</v>
      </c>
      <c r="C294" s="78">
        <f t="shared" si="2"/>
        <v>1996</v>
      </c>
      <c r="D294" s="77">
        <v>1.158</v>
      </c>
      <c r="E294" s="4">
        <f t="shared" si="3"/>
        <v>1.12925</v>
      </c>
      <c r="F294" s="2">
        <f t="shared" si="4"/>
        <v>35125</v>
      </c>
      <c r="H294" s="4">
        <v>2.4882</v>
      </c>
      <c r="I294" s="2">
        <v>41974.0</v>
      </c>
      <c r="K294" s="2">
        <v>37681.0</v>
      </c>
      <c r="L294" s="4">
        <v>0.089</v>
      </c>
    </row>
    <row r="295" ht="12.75" customHeight="1">
      <c r="A295" s="2">
        <v>35156.0</v>
      </c>
      <c r="B295" s="77">
        <f t="shared" si="1"/>
        <v>4</v>
      </c>
      <c r="C295" s="78">
        <f t="shared" si="2"/>
        <v>1996</v>
      </c>
      <c r="D295" s="77">
        <v>1.172</v>
      </c>
      <c r="E295" s="4">
        <f t="shared" si="3"/>
        <v>1.2202</v>
      </c>
      <c r="F295" s="2">
        <f t="shared" si="4"/>
        <v>35156</v>
      </c>
      <c r="H295" s="4">
        <v>2.04575</v>
      </c>
      <c r="I295" s="2">
        <v>42005.0</v>
      </c>
      <c r="K295" s="2">
        <v>37712.0</v>
      </c>
      <c r="L295" s="4">
        <v>0.091</v>
      </c>
    </row>
    <row r="296" ht="12.75" customHeight="1">
      <c r="A296" s="2">
        <v>35163.0</v>
      </c>
      <c r="B296" s="77">
        <f t="shared" si="1"/>
        <v>4</v>
      </c>
      <c r="C296" s="78">
        <f t="shared" si="2"/>
        <v>1996</v>
      </c>
      <c r="D296" s="77">
        <v>1.195</v>
      </c>
      <c r="E296" s="4">
        <f t="shared" si="3"/>
        <v>1.2202</v>
      </c>
      <c r="F296" s="2">
        <f t="shared" si="4"/>
        <v>35156</v>
      </c>
      <c r="H296" s="4">
        <v>2.152</v>
      </c>
      <c r="I296" s="2">
        <v>42036.0</v>
      </c>
      <c r="K296" s="2">
        <v>37742.0</v>
      </c>
      <c r="L296" s="4">
        <v>0.092</v>
      </c>
    </row>
    <row r="297" ht="12.75" customHeight="1">
      <c r="A297" s="2">
        <v>35170.0</v>
      </c>
      <c r="B297" s="77">
        <f t="shared" si="1"/>
        <v>4</v>
      </c>
      <c r="C297" s="78">
        <f t="shared" si="2"/>
        <v>1996</v>
      </c>
      <c r="D297" s="77">
        <v>1.234</v>
      </c>
      <c r="E297" s="4">
        <f t="shared" si="3"/>
        <v>1.2202</v>
      </c>
      <c r="F297" s="2">
        <f t="shared" si="4"/>
        <v>35156</v>
      </c>
      <c r="H297" s="4">
        <v>2.3522</v>
      </c>
      <c r="I297" s="2">
        <v>42064.0</v>
      </c>
      <c r="K297" s="2">
        <v>37773.0</v>
      </c>
      <c r="L297" s="4">
        <v>0.097</v>
      </c>
    </row>
    <row r="298" ht="12.75" customHeight="1">
      <c r="A298" s="2">
        <v>35177.0</v>
      </c>
      <c r="B298" s="77">
        <f t="shared" si="1"/>
        <v>4</v>
      </c>
      <c r="C298" s="78">
        <f t="shared" si="2"/>
        <v>1996</v>
      </c>
      <c r="D298" s="77">
        <v>1.243</v>
      </c>
      <c r="E298" s="4">
        <f t="shared" si="3"/>
        <v>1.2202</v>
      </c>
      <c r="F298" s="2">
        <f t="shared" si="4"/>
        <v>35156</v>
      </c>
      <c r="H298" s="4">
        <v>2.3689999999999998</v>
      </c>
      <c r="I298" s="2">
        <v>42095.0</v>
      </c>
      <c r="K298" s="2">
        <v>37803.0</v>
      </c>
      <c r="L298" s="4">
        <v>0.098</v>
      </c>
    </row>
    <row r="299" ht="12.75" customHeight="1">
      <c r="A299" s="2">
        <v>35184.0</v>
      </c>
      <c r="B299" s="77">
        <f t="shared" si="1"/>
        <v>4</v>
      </c>
      <c r="C299" s="78">
        <f t="shared" si="2"/>
        <v>1996</v>
      </c>
      <c r="D299" s="77">
        <v>1.257</v>
      </c>
      <c r="E299" s="4">
        <f t="shared" si="3"/>
        <v>1.2202</v>
      </c>
      <c r="F299" s="2">
        <f t="shared" si="4"/>
        <v>35156</v>
      </c>
      <c r="H299" s="4">
        <v>2.5775</v>
      </c>
      <c r="I299" s="2">
        <v>42125.0</v>
      </c>
      <c r="K299" s="2">
        <v>37834.0</v>
      </c>
      <c r="L299" s="4">
        <v>0.098</v>
      </c>
    </row>
    <row r="300" ht="12.75" customHeight="1">
      <c r="A300" s="2">
        <v>35191.0</v>
      </c>
      <c r="B300" s="77">
        <f t="shared" si="1"/>
        <v>5</v>
      </c>
      <c r="C300" s="78">
        <f t="shared" si="2"/>
        <v>1996</v>
      </c>
      <c r="D300" s="77">
        <v>1.259</v>
      </c>
      <c r="E300" s="4">
        <f t="shared" si="3"/>
        <v>1.2625</v>
      </c>
      <c r="F300" s="2">
        <f t="shared" si="4"/>
        <v>35186</v>
      </c>
      <c r="H300" s="4">
        <v>2.7002</v>
      </c>
      <c r="I300" s="2">
        <v>42156.0</v>
      </c>
      <c r="K300" s="2">
        <v>37865.0</v>
      </c>
      <c r="L300" s="4">
        <v>0.098</v>
      </c>
    </row>
    <row r="301" ht="12.75" customHeight="1">
      <c r="A301" s="2">
        <v>35198.0</v>
      </c>
      <c r="B301" s="77">
        <f t="shared" si="1"/>
        <v>5</v>
      </c>
      <c r="C301" s="78">
        <f t="shared" si="2"/>
        <v>1996</v>
      </c>
      <c r="D301" s="77">
        <v>1.262</v>
      </c>
      <c r="E301" s="4">
        <f t="shared" si="3"/>
        <v>1.2625</v>
      </c>
      <c r="F301" s="2">
        <f t="shared" si="4"/>
        <v>35186</v>
      </c>
      <c r="H301" s="4">
        <v>2.6655</v>
      </c>
      <c r="I301" s="2">
        <v>42186.0</v>
      </c>
      <c r="K301" s="2">
        <v>37895.0</v>
      </c>
      <c r="L301" s="4">
        <v>0.093</v>
      </c>
    </row>
    <row r="302" ht="12.75" customHeight="1">
      <c r="A302" s="2">
        <v>35205.0</v>
      </c>
      <c r="B302" s="77">
        <f t="shared" si="1"/>
        <v>5</v>
      </c>
      <c r="C302" s="78">
        <f t="shared" si="2"/>
        <v>1996</v>
      </c>
      <c r="D302" s="77">
        <v>1.269</v>
      </c>
      <c r="E302" s="4">
        <f t="shared" si="3"/>
        <v>1.2625</v>
      </c>
      <c r="F302" s="2">
        <f t="shared" si="4"/>
        <v>35186</v>
      </c>
      <c r="H302" s="4">
        <v>2.5216000000000003</v>
      </c>
      <c r="I302" s="2">
        <v>42217.0</v>
      </c>
      <c r="K302" s="2">
        <v>37926.0</v>
      </c>
      <c r="L302" s="4">
        <v>0.09</v>
      </c>
    </row>
    <row r="303" ht="12.75" customHeight="1">
      <c r="A303" s="2">
        <v>35212.0</v>
      </c>
      <c r="B303" s="77">
        <f t="shared" si="1"/>
        <v>5</v>
      </c>
      <c r="C303" s="78">
        <f t="shared" si="2"/>
        <v>1996</v>
      </c>
      <c r="D303" s="77">
        <v>1.26</v>
      </c>
      <c r="E303" s="4">
        <f t="shared" si="3"/>
        <v>1.2625</v>
      </c>
      <c r="F303" s="2">
        <f t="shared" si="4"/>
        <v>35186</v>
      </c>
      <c r="H303" s="4">
        <v>2.275</v>
      </c>
      <c r="I303" s="2">
        <v>42248.0</v>
      </c>
      <c r="K303" s="2">
        <v>37956.0</v>
      </c>
      <c r="L303" s="4">
        <v>0.09</v>
      </c>
    </row>
    <row r="304" ht="12.75" customHeight="1">
      <c r="A304" s="2">
        <v>35219.0</v>
      </c>
      <c r="B304" s="77">
        <f t="shared" si="1"/>
        <v>6</v>
      </c>
      <c r="C304" s="78">
        <f t="shared" si="2"/>
        <v>1996</v>
      </c>
      <c r="D304" s="77">
        <v>1.252</v>
      </c>
      <c r="E304" s="4">
        <f t="shared" si="3"/>
        <v>1.2425</v>
      </c>
      <c r="F304" s="2">
        <f t="shared" si="4"/>
        <v>35217</v>
      </c>
      <c r="H304" s="4">
        <v>2.2302500000000003</v>
      </c>
      <c r="I304" s="2">
        <v>42278.0</v>
      </c>
      <c r="K304" s="2">
        <v>37987.0</v>
      </c>
      <c r="L304" s="4">
        <v>0.091</v>
      </c>
    </row>
    <row r="305" ht="12.75" customHeight="1">
      <c r="A305" s="2">
        <v>35226.0</v>
      </c>
      <c r="B305" s="77">
        <f t="shared" si="1"/>
        <v>6</v>
      </c>
      <c r="C305" s="78">
        <f t="shared" si="2"/>
        <v>1996</v>
      </c>
      <c r="D305" s="77">
        <v>1.247</v>
      </c>
      <c r="E305" s="4">
        <f t="shared" si="3"/>
        <v>1.2425</v>
      </c>
      <c r="F305" s="2">
        <f t="shared" si="4"/>
        <v>35217</v>
      </c>
      <c r="H305" s="4">
        <v>2.0882</v>
      </c>
      <c r="I305" s="2">
        <v>42309.0</v>
      </c>
      <c r="K305" s="2">
        <v>38018.0</v>
      </c>
      <c r="L305" s="4">
        <v>0.091</v>
      </c>
    </row>
    <row r="306" ht="12.75" customHeight="1">
      <c r="A306" s="2">
        <v>35233.0</v>
      </c>
      <c r="B306" s="77">
        <f t="shared" si="1"/>
        <v>6</v>
      </c>
      <c r="C306" s="78">
        <f t="shared" si="2"/>
        <v>1996</v>
      </c>
      <c r="D306" s="77">
        <v>1.241</v>
      </c>
      <c r="E306" s="4">
        <f t="shared" si="3"/>
        <v>1.2425</v>
      </c>
      <c r="F306" s="2">
        <f t="shared" si="4"/>
        <v>35217</v>
      </c>
      <c r="H306" s="4">
        <v>1.946</v>
      </c>
      <c r="I306" s="2">
        <v>42339.0</v>
      </c>
      <c r="K306" s="2">
        <v>38047.0</v>
      </c>
      <c r="L306" s="4">
        <v>0.091</v>
      </c>
    </row>
    <row r="307" ht="12.75" customHeight="1">
      <c r="A307" s="2">
        <v>35240.0</v>
      </c>
      <c r="B307" s="77">
        <f t="shared" si="1"/>
        <v>6</v>
      </c>
      <c r="C307" s="78">
        <f t="shared" si="2"/>
        <v>1996</v>
      </c>
      <c r="D307" s="77">
        <v>1.23</v>
      </c>
      <c r="E307" s="4">
        <f t="shared" si="3"/>
        <v>1.2425</v>
      </c>
      <c r="F307" s="2">
        <f t="shared" si="4"/>
        <v>35217</v>
      </c>
      <c r="H307" s="4">
        <v>1.8429999999999997</v>
      </c>
      <c r="I307" s="2">
        <v>42370.0</v>
      </c>
      <c r="K307" s="2">
        <v>38078.0</v>
      </c>
      <c r="L307" s="4">
        <v>0.091</v>
      </c>
    </row>
    <row r="308" ht="12.75" customHeight="1">
      <c r="A308" s="2">
        <v>35247.0</v>
      </c>
      <c r="B308" s="77">
        <f t="shared" si="1"/>
        <v>7</v>
      </c>
      <c r="C308" s="78">
        <f t="shared" si="2"/>
        <v>1996</v>
      </c>
      <c r="D308" s="77">
        <v>1.219</v>
      </c>
      <c r="E308" s="4">
        <f t="shared" si="3"/>
        <v>1.215</v>
      </c>
      <c r="F308" s="2">
        <f t="shared" si="4"/>
        <v>35247</v>
      </c>
      <c r="H308" s="4">
        <v>1.6812</v>
      </c>
      <c r="I308" s="2">
        <v>42401.0</v>
      </c>
      <c r="K308" s="2">
        <v>38108.0</v>
      </c>
      <c r="L308" s="4">
        <v>0.093</v>
      </c>
    </row>
    <row r="309" ht="12.75" customHeight="1">
      <c r="A309" s="2">
        <v>35254.0</v>
      </c>
      <c r="B309" s="77">
        <f t="shared" si="1"/>
        <v>7</v>
      </c>
      <c r="C309" s="78">
        <f t="shared" si="2"/>
        <v>1996</v>
      </c>
      <c r="D309" s="77">
        <v>1.217</v>
      </c>
      <c r="E309" s="4">
        <f t="shared" si="3"/>
        <v>1.215</v>
      </c>
      <c r="F309" s="2">
        <f t="shared" si="4"/>
        <v>35247</v>
      </c>
      <c r="H309" s="4">
        <v>1.89525</v>
      </c>
      <c r="I309" s="2">
        <v>42430.0</v>
      </c>
      <c r="K309" s="2">
        <v>38139.0</v>
      </c>
      <c r="L309" s="4">
        <v>0.099</v>
      </c>
    </row>
    <row r="310" ht="12.75" customHeight="1">
      <c r="A310" s="2">
        <v>35261.0</v>
      </c>
      <c r="B310" s="77">
        <f t="shared" si="1"/>
        <v>7</v>
      </c>
      <c r="C310" s="78">
        <f t="shared" si="2"/>
        <v>1996</v>
      </c>
      <c r="D310" s="77">
        <v>1.215</v>
      </c>
      <c r="E310" s="4">
        <f t="shared" si="3"/>
        <v>1.215</v>
      </c>
      <c r="F310" s="2">
        <f t="shared" si="4"/>
        <v>35247</v>
      </c>
      <c r="H310" s="4">
        <v>2.027</v>
      </c>
      <c r="I310" s="2">
        <v>42461.0</v>
      </c>
      <c r="K310" s="2">
        <v>38169.0</v>
      </c>
      <c r="L310" s="4">
        <v>0.099</v>
      </c>
    </row>
    <row r="311" ht="12.75" customHeight="1">
      <c r="A311" s="2">
        <v>35268.0</v>
      </c>
      <c r="B311" s="77">
        <f t="shared" si="1"/>
        <v>7</v>
      </c>
      <c r="C311" s="78">
        <f t="shared" si="2"/>
        <v>1996</v>
      </c>
      <c r="D311" s="77">
        <v>1.215</v>
      </c>
      <c r="E311" s="4">
        <f t="shared" si="3"/>
        <v>1.215</v>
      </c>
      <c r="F311" s="2">
        <f t="shared" si="4"/>
        <v>35247</v>
      </c>
      <c r="H311" s="4">
        <v>2.1994</v>
      </c>
      <c r="I311" s="2">
        <v>42491.0</v>
      </c>
      <c r="K311" s="2">
        <v>38200.0</v>
      </c>
      <c r="L311" s="4">
        <v>0.1</v>
      </c>
    </row>
    <row r="312" ht="12.75" customHeight="1">
      <c r="A312" s="2">
        <v>35275.0</v>
      </c>
      <c r="B312" s="77">
        <f t="shared" si="1"/>
        <v>7</v>
      </c>
      <c r="C312" s="78">
        <f t="shared" si="2"/>
        <v>1996</v>
      </c>
      <c r="D312" s="77">
        <v>1.209</v>
      </c>
      <c r="E312" s="4">
        <f t="shared" si="3"/>
        <v>1.215</v>
      </c>
      <c r="F312" s="2">
        <f t="shared" si="4"/>
        <v>35247</v>
      </c>
      <c r="H312" s="4">
        <v>2.3027499999999996</v>
      </c>
      <c r="I312" s="2">
        <v>42522.0</v>
      </c>
      <c r="K312" s="2">
        <v>38231.0</v>
      </c>
      <c r="L312" s="4">
        <v>0.099</v>
      </c>
    </row>
    <row r="313" ht="12.75" customHeight="1">
      <c r="A313" s="2">
        <v>35282.0</v>
      </c>
      <c r="B313" s="77">
        <f t="shared" si="1"/>
        <v>8</v>
      </c>
      <c r="C313" s="78">
        <f t="shared" si="2"/>
        <v>1996</v>
      </c>
      <c r="D313" s="77">
        <v>1.199</v>
      </c>
      <c r="E313" s="4">
        <f t="shared" si="3"/>
        <v>1.19875</v>
      </c>
      <c r="F313" s="2">
        <f t="shared" si="4"/>
        <v>35278</v>
      </c>
      <c r="H313" s="4">
        <v>2.15725</v>
      </c>
      <c r="I313" s="2">
        <v>42552.0</v>
      </c>
      <c r="K313" s="2">
        <v>38261.0</v>
      </c>
      <c r="L313" s="4">
        <v>0.094</v>
      </c>
    </row>
    <row r="314" ht="12.75" customHeight="1">
      <c r="A314" s="2">
        <v>35289.0</v>
      </c>
      <c r="B314" s="77">
        <f t="shared" si="1"/>
        <v>8</v>
      </c>
      <c r="C314" s="78">
        <f t="shared" si="2"/>
        <v>1996</v>
      </c>
      <c r="D314" s="77">
        <v>1.196</v>
      </c>
      <c r="E314" s="4">
        <f t="shared" si="3"/>
        <v>1.19875</v>
      </c>
      <c r="F314" s="2">
        <f t="shared" si="4"/>
        <v>35278</v>
      </c>
      <c r="H314" s="4">
        <v>2.1193999999999997</v>
      </c>
      <c r="I314" s="2">
        <v>42583.0</v>
      </c>
      <c r="K314" s="2">
        <v>38292.0</v>
      </c>
      <c r="L314" s="4">
        <v>0.092</v>
      </c>
    </row>
    <row r="315" ht="12.75" customHeight="1">
      <c r="A315" s="2">
        <v>35296.0</v>
      </c>
      <c r="B315" s="77">
        <f t="shared" si="1"/>
        <v>8</v>
      </c>
      <c r="C315" s="78">
        <f t="shared" si="2"/>
        <v>1996</v>
      </c>
      <c r="D315" s="77">
        <v>1.199</v>
      </c>
      <c r="E315" s="4">
        <f t="shared" si="3"/>
        <v>1.19875</v>
      </c>
      <c r="F315" s="2">
        <f t="shared" si="4"/>
        <v>35278</v>
      </c>
      <c r="H315" s="4">
        <v>2.161</v>
      </c>
      <c r="I315" s="2">
        <v>42614.0</v>
      </c>
      <c r="K315" s="2">
        <v>38322.0</v>
      </c>
      <c r="L315" s="4">
        <v>0.092</v>
      </c>
    </row>
    <row r="316" ht="12.75" customHeight="1">
      <c r="A316" s="2">
        <v>35303.0</v>
      </c>
      <c r="B316" s="77">
        <f t="shared" si="1"/>
        <v>8</v>
      </c>
      <c r="C316" s="78">
        <f t="shared" si="2"/>
        <v>1996</v>
      </c>
      <c r="D316" s="77">
        <v>1.201</v>
      </c>
      <c r="E316" s="4">
        <f t="shared" si="3"/>
        <v>1.19875</v>
      </c>
      <c r="F316" s="2">
        <f t="shared" si="4"/>
        <v>35278</v>
      </c>
      <c r="H316" s="4">
        <v>2.1864</v>
      </c>
      <c r="I316" s="2">
        <v>42644.0</v>
      </c>
      <c r="K316" s="2">
        <v>38353.0</v>
      </c>
      <c r="L316" s="4">
        <v>0.094</v>
      </c>
    </row>
    <row r="317" ht="12.75" customHeight="1">
      <c r="A317" s="2">
        <v>35310.0</v>
      </c>
      <c r="B317" s="77">
        <f t="shared" si="1"/>
        <v>9</v>
      </c>
      <c r="C317" s="78">
        <f t="shared" si="2"/>
        <v>1996</v>
      </c>
      <c r="D317" s="77">
        <v>1.193</v>
      </c>
      <c r="E317" s="4">
        <f t="shared" si="3"/>
        <v>1.1998</v>
      </c>
      <c r="F317" s="2">
        <f t="shared" si="4"/>
        <v>35309</v>
      </c>
      <c r="H317" s="4">
        <v>2.10475</v>
      </c>
      <c r="I317" s="2">
        <v>42675.0</v>
      </c>
      <c r="K317" s="2">
        <v>38384.0</v>
      </c>
      <c r="L317" s="4">
        <v>0.094</v>
      </c>
    </row>
    <row r="318" ht="12.75" customHeight="1">
      <c r="A318" s="2">
        <v>35317.0</v>
      </c>
      <c r="B318" s="77">
        <f t="shared" si="1"/>
        <v>9</v>
      </c>
      <c r="C318" s="78">
        <f t="shared" si="2"/>
        <v>1996</v>
      </c>
      <c r="D318" s="77">
        <v>1.201</v>
      </c>
      <c r="E318" s="4">
        <f t="shared" si="3"/>
        <v>1.1998</v>
      </c>
      <c r="F318" s="2">
        <f t="shared" si="4"/>
        <v>35309</v>
      </c>
      <c r="H318" s="4">
        <v>2.1919999999999997</v>
      </c>
      <c r="I318" s="2">
        <v>42705.0</v>
      </c>
      <c r="K318" s="2">
        <v>38412.0</v>
      </c>
      <c r="L318" s="4">
        <v>0.094</v>
      </c>
    </row>
    <row r="319" ht="12.75" customHeight="1">
      <c r="A319" s="2">
        <v>35324.0</v>
      </c>
      <c r="B319" s="77">
        <f t="shared" si="1"/>
        <v>9</v>
      </c>
      <c r="C319" s="78">
        <f t="shared" si="2"/>
        <v>1996</v>
      </c>
      <c r="D319" s="77">
        <v>1.203</v>
      </c>
      <c r="E319" s="4">
        <f t="shared" si="3"/>
        <v>1.1998</v>
      </c>
      <c r="F319" s="2">
        <f t="shared" si="4"/>
        <v>35309</v>
      </c>
      <c r="H319" s="4">
        <v>2.2854</v>
      </c>
      <c r="I319" s="2">
        <v>42736.0</v>
      </c>
      <c r="K319" s="2">
        <v>38443.0</v>
      </c>
      <c r="L319" s="4">
        <v>0.095</v>
      </c>
    </row>
    <row r="320" ht="12.75" customHeight="1">
      <c r="A320" s="2">
        <v>35331.0</v>
      </c>
      <c r="B320" s="77">
        <f t="shared" si="1"/>
        <v>9</v>
      </c>
      <c r="C320" s="78">
        <f t="shared" si="2"/>
        <v>1996</v>
      </c>
      <c r="D320" s="77">
        <v>1.203</v>
      </c>
      <c r="E320" s="4">
        <f t="shared" si="3"/>
        <v>1.1998</v>
      </c>
      <c r="F320" s="2">
        <f t="shared" si="4"/>
        <v>35309</v>
      </c>
      <c r="H320" s="4">
        <v>2.2265</v>
      </c>
      <c r="I320" s="2">
        <v>42767.0</v>
      </c>
      <c r="K320" s="2">
        <v>38473.0</v>
      </c>
      <c r="L320" s="4">
        <v>0.097</v>
      </c>
    </row>
    <row r="321" ht="12.75" customHeight="1">
      <c r="A321" s="2">
        <v>35338.0</v>
      </c>
      <c r="B321" s="77">
        <f t="shared" si="1"/>
        <v>9</v>
      </c>
      <c r="C321" s="78">
        <f t="shared" si="2"/>
        <v>1996</v>
      </c>
      <c r="D321" s="77">
        <v>1.199</v>
      </c>
      <c r="E321" s="4">
        <f t="shared" si="3"/>
        <v>1.1998</v>
      </c>
      <c r="F321" s="2">
        <f t="shared" si="4"/>
        <v>35309</v>
      </c>
      <c r="H321" s="4">
        <v>2.243</v>
      </c>
      <c r="I321" s="2">
        <v>42795.0</v>
      </c>
      <c r="K321" s="2">
        <v>38504.0</v>
      </c>
      <c r="L321" s="4">
        <v>0.104</v>
      </c>
    </row>
    <row r="322" ht="12.75" customHeight="1">
      <c r="A322" s="2">
        <v>35345.0</v>
      </c>
      <c r="B322" s="77">
        <f t="shared" si="1"/>
        <v>10</v>
      </c>
      <c r="C322" s="78">
        <f t="shared" si="2"/>
        <v>1996</v>
      </c>
      <c r="D322" s="77">
        <v>1.191</v>
      </c>
      <c r="E322" s="4">
        <f t="shared" si="3"/>
        <v>1.204</v>
      </c>
      <c r="F322" s="2">
        <f t="shared" si="4"/>
        <v>35339</v>
      </c>
      <c r="H322" s="4">
        <v>2.34</v>
      </c>
      <c r="I322" s="2">
        <v>42826.0</v>
      </c>
      <c r="K322" s="2">
        <v>38534.0</v>
      </c>
      <c r="L322" s="4">
        <v>0.105</v>
      </c>
    </row>
    <row r="323" ht="12.75" customHeight="1">
      <c r="A323" s="2">
        <v>35352.0</v>
      </c>
      <c r="B323" s="77">
        <f t="shared" si="1"/>
        <v>10</v>
      </c>
      <c r="C323" s="78">
        <f t="shared" si="2"/>
        <v>1996</v>
      </c>
      <c r="D323" s="77">
        <v>1.203</v>
      </c>
      <c r="E323" s="4">
        <f t="shared" si="3"/>
        <v>1.204</v>
      </c>
      <c r="F323" s="2">
        <f t="shared" si="4"/>
        <v>35339</v>
      </c>
      <c r="H323" s="4">
        <v>2.3031999999999995</v>
      </c>
      <c r="I323" s="2">
        <v>42856.0</v>
      </c>
      <c r="K323" s="2">
        <v>38565.0</v>
      </c>
      <c r="L323" s="4">
        <v>0.105</v>
      </c>
    </row>
    <row r="324" ht="12.75" customHeight="1">
      <c r="A324" s="2">
        <v>35359.0</v>
      </c>
      <c r="B324" s="77">
        <f t="shared" si="1"/>
        <v>10</v>
      </c>
      <c r="C324" s="78">
        <f t="shared" si="2"/>
        <v>1996</v>
      </c>
      <c r="D324" s="77">
        <v>1.205</v>
      </c>
      <c r="E324" s="4">
        <f t="shared" si="3"/>
        <v>1.204</v>
      </c>
      <c r="F324" s="2">
        <f t="shared" si="4"/>
        <v>35339</v>
      </c>
      <c r="H324" s="4">
        <v>2.2565</v>
      </c>
      <c r="I324" s="2">
        <v>42887.0</v>
      </c>
      <c r="K324" s="2">
        <v>38596.0</v>
      </c>
      <c r="L324" s="4">
        <v>0.106</v>
      </c>
    </row>
    <row r="325" ht="12.75" customHeight="1">
      <c r="A325" s="2">
        <v>35366.0</v>
      </c>
      <c r="B325" s="77">
        <f t="shared" si="1"/>
        <v>10</v>
      </c>
      <c r="C325" s="78">
        <f t="shared" si="2"/>
        <v>1996</v>
      </c>
      <c r="D325" s="77">
        <v>1.217</v>
      </c>
      <c r="E325" s="4">
        <f t="shared" si="3"/>
        <v>1.204</v>
      </c>
      <c r="F325" s="2">
        <f t="shared" si="4"/>
        <v>35339</v>
      </c>
      <c r="H325" s="4">
        <v>2.2108</v>
      </c>
      <c r="I325" s="2">
        <v>42917.0</v>
      </c>
      <c r="K325" s="2">
        <v>38626.0</v>
      </c>
      <c r="L325" s="4">
        <v>0.102</v>
      </c>
    </row>
    <row r="326" ht="12.75" customHeight="1">
      <c r="A326" s="2">
        <v>35373.0</v>
      </c>
      <c r="B326" s="77">
        <f t="shared" si="1"/>
        <v>11</v>
      </c>
      <c r="C326" s="78">
        <f t="shared" si="2"/>
        <v>1996</v>
      </c>
      <c r="D326" s="77">
        <v>1.225</v>
      </c>
      <c r="E326" s="4">
        <f t="shared" si="3"/>
        <v>1.2345</v>
      </c>
      <c r="F326" s="2">
        <f t="shared" si="4"/>
        <v>35370</v>
      </c>
      <c r="H326" s="4">
        <v>2.2965</v>
      </c>
      <c r="I326" s="2">
        <v>42948.0</v>
      </c>
      <c r="K326" s="2">
        <v>38657.0</v>
      </c>
      <c r="L326" s="4">
        <v>0.102</v>
      </c>
    </row>
    <row r="327" ht="12.75" customHeight="1">
      <c r="A327" s="2">
        <v>35380.0</v>
      </c>
      <c r="B327" s="77">
        <f t="shared" si="1"/>
        <v>11</v>
      </c>
      <c r="C327" s="78">
        <f t="shared" si="2"/>
        <v>1996</v>
      </c>
      <c r="D327" s="77">
        <v>1.229</v>
      </c>
      <c r="E327" s="4">
        <f t="shared" si="3"/>
        <v>1.2345</v>
      </c>
      <c r="F327" s="2">
        <f t="shared" si="4"/>
        <v>35370</v>
      </c>
      <c r="H327" s="4">
        <v>2.57025</v>
      </c>
      <c r="I327" s="2">
        <v>42979.0</v>
      </c>
      <c r="K327" s="2">
        <v>38687.0</v>
      </c>
      <c r="L327" s="4">
        <v>0.102</v>
      </c>
    </row>
    <row r="328" ht="12.75" customHeight="1">
      <c r="A328" s="2">
        <v>35387.0</v>
      </c>
      <c r="B328" s="77">
        <f t="shared" si="1"/>
        <v>11</v>
      </c>
      <c r="C328" s="78">
        <f t="shared" si="2"/>
        <v>1996</v>
      </c>
      <c r="D328" s="77">
        <v>1.238</v>
      </c>
      <c r="E328" s="4">
        <f t="shared" si="3"/>
        <v>1.2345</v>
      </c>
      <c r="F328" s="2">
        <f t="shared" si="4"/>
        <v>35370</v>
      </c>
      <c r="H328" s="4">
        <v>2.4296</v>
      </c>
      <c r="I328" s="2">
        <v>43009.0</v>
      </c>
      <c r="K328" s="2">
        <v>38718.0</v>
      </c>
      <c r="L328" s="4">
        <v>0.108</v>
      </c>
    </row>
    <row r="329" ht="12.75" customHeight="1">
      <c r="A329" s="2">
        <v>35394.0</v>
      </c>
      <c r="B329" s="77">
        <f t="shared" si="1"/>
        <v>11</v>
      </c>
      <c r="C329" s="78">
        <f t="shared" si="2"/>
        <v>1996</v>
      </c>
      <c r="D329" s="77">
        <v>1.246</v>
      </c>
      <c r="E329" s="4">
        <f t="shared" si="3"/>
        <v>1.2345</v>
      </c>
      <c r="F329" s="2">
        <f t="shared" si="4"/>
        <v>35370</v>
      </c>
      <c r="H329" s="4">
        <v>2.474</v>
      </c>
      <c r="I329" s="2">
        <v>43040.0</v>
      </c>
      <c r="K329" s="2">
        <v>38749.0</v>
      </c>
      <c r="L329" s="4">
        <v>0.108</v>
      </c>
    </row>
    <row r="330" ht="12.75" customHeight="1">
      <c r="A330" s="2">
        <v>35401.0</v>
      </c>
      <c r="B330" s="77">
        <f t="shared" si="1"/>
        <v>12</v>
      </c>
      <c r="C330" s="78">
        <f t="shared" si="2"/>
        <v>1996</v>
      </c>
      <c r="D330" s="77">
        <v>1.242</v>
      </c>
      <c r="E330" s="4">
        <f t="shared" si="3"/>
        <v>1.2334</v>
      </c>
      <c r="F330" s="2">
        <f t="shared" si="4"/>
        <v>35400</v>
      </c>
      <c r="H330" s="4">
        <v>2.38825</v>
      </c>
      <c r="I330" s="2">
        <v>43070.0</v>
      </c>
      <c r="K330" s="2">
        <v>38777.0</v>
      </c>
      <c r="L330" s="4">
        <v>0.109</v>
      </c>
    </row>
    <row r="331" ht="12.75" customHeight="1">
      <c r="A331" s="2">
        <v>35408.0</v>
      </c>
      <c r="B331" s="77">
        <f t="shared" si="1"/>
        <v>12</v>
      </c>
      <c r="C331" s="78">
        <f t="shared" si="2"/>
        <v>1996</v>
      </c>
      <c r="D331" s="77">
        <v>1.241</v>
      </c>
      <c r="E331" s="4">
        <f t="shared" si="3"/>
        <v>1.2334</v>
      </c>
      <c r="F331" s="2">
        <f t="shared" si="4"/>
        <v>35400</v>
      </c>
      <c r="H331" s="4">
        <v>2.4672</v>
      </c>
      <c r="I331" s="2">
        <v>43101.0</v>
      </c>
      <c r="K331" s="2">
        <v>38808.0</v>
      </c>
      <c r="L331" s="4">
        <v>0.109</v>
      </c>
    </row>
    <row r="332" ht="12.75" customHeight="1">
      <c r="A332" s="2">
        <v>35415.0</v>
      </c>
      <c r="B332" s="77">
        <f t="shared" si="1"/>
        <v>12</v>
      </c>
      <c r="C332" s="78">
        <f t="shared" si="2"/>
        <v>1996</v>
      </c>
      <c r="D332" s="77">
        <v>1.233</v>
      </c>
      <c r="E332" s="4">
        <f t="shared" si="3"/>
        <v>1.2334</v>
      </c>
      <c r="F332" s="2">
        <f t="shared" si="4"/>
        <v>35400</v>
      </c>
      <c r="H332" s="4">
        <v>2.488</v>
      </c>
      <c r="I332" s="2">
        <v>43132.0</v>
      </c>
      <c r="K332" s="2">
        <v>38838.0</v>
      </c>
      <c r="L332" s="4">
        <v>0.11</v>
      </c>
    </row>
    <row r="333" ht="12.75" customHeight="1">
      <c r="A333" s="2">
        <v>35422.0</v>
      </c>
      <c r="B333" s="77">
        <f t="shared" si="1"/>
        <v>12</v>
      </c>
      <c r="C333" s="78">
        <f t="shared" si="2"/>
        <v>1996</v>
      </c>
      <c r="D333" s="77">
        <v>1.227</v>
      </c>
      <c r="E333" s="4">
        <f t="shared" si="3"/>
        <v>1.2334</v>
      </c>
      <c r="F333" s="2">
        <f t="shared" si="4"/>
        <v>35400</v>
      </c>
      <c r="H333" s="4">
        <v>2.488</v>
      </c>
      <c r="I333" s="2">
        <v>43160.0</v>
      </c>
      <c r="K333" s="2">
        <v>38869.0</v>
      </c>
      <c r="L333" s="4">
        <v>0.118</v>
      </c>
    </row>
    <row r="334" ht="12.75" customHeight="1">
      <c r="A334" s="2">
        <v>35429.0</v>
      </c>
      <c r="B334" s="77">
        <f t="shared" si="1"/>
        <v>12</v>
      </c>
      <c r="C334" s="78">
        <f t="shared" si="2"/>
        <v>1996</v>
      </c>
      <c r="D334" s="77">
        <v>1.224</v>
      </c>
      <c r="E334" s="4">
        <f t="shared" si="3"/>
        <v>1.2334</v>
      </c>
      <c r="F334" s="2">
        <f t="shared" si="4"/>
        <v>35400</v>
      </c>
      <c r="H334" s="4">
        <v>2.652</v>
      </c>
      <c r="I334" s="2">
        <v>43191.0</v>
      </c>
      <c r="K334" s="2">
        <v>38899.0</v>
      </c>
      <c r="L334" s="4">
        <v>0.118</v>
      </c>
    </row>
    <row r="335" ht="12.75" customHeight="1">
      <c r="A335" s="2">
        <v>35436.0</v>
      </c>
      <c r="B335" s="77">
        <f t="shared" si="1"/>
        <v>1</v>
      </c>
      <c r="C335" s="78">
        <f t="shared" si="2"/>
        <v>1997</v>
      </c>
      <c r="D335" s="77">
        <v>1.22</v>
      </c>
      <c r="E335" s="4">
        <f t="shared" si="3"/>
        <v>1.23075</v>
      </c>
      <c r="F335" s="2">
        <f t="shared" si="4"/>
        <v>35431</v>
      </c>
      <c r="H335" s="4">
        <v>2.8075</v>
      </c>
      <c r="I335" s="2">
        <v>43221.0</v>
      </c>
      <c r="K335" s="2">
        <v>38930.0</v>
      </c>
      <c r="L335" s="4">
        <v>0.118</v>
      </c>
    </row>
    <row r="336" ht="12.75" customHeight="1">
      <c r="A336" s="2">
        <v>35443.0</v>
      </c>
      <c r="B336" s="77">
        <f t="shared" si="1"/>
        <v>1</v>
      </c>
      <c r="C336" s="78">
        <f t="shared" si="2"/>
        <v>1997</v>
      </c>
      <c r="D336" s="77">
        <v>1.235</v>
      </c>
      <c r="E336" s="4">
        <f t="shared" si="3"/>
        <v>1.23075</v>
      </c>
      <c r="F336" s="2">
        <f t="shared" si="4"/>
        <v>35431</v>
      </c>
      <c r="H336" s="4">
        <v>2.8015</v>
      </c>
      <c r="I336" s="2">
        <v>43252.0</v>
      </c>
      <c r="K336" s="2">
        <v>38961.0</v>
      </c>
      <c r="L336" s="4">
        <v>0.118</v>
      </c>
    </row>
    <row r="337" ht="12.75" customHeight="1">
      <c r="A337" s="2">
        <v>35450.0</v>
      </c>
      <c r="B337" s="77">
        <f t="shared" si="1"/>
        <v>1</v>
      </c>
      <c r="C337" s="78">
        <f t="shared" si="2"/>
        <v>1997</v>
      </c>
      <c r="D337" s="77">
        <v>1.236</v>
      </c>
      <c r="E337" s="4">
        <f t="shared" si="3"/>
        <v>1.23075</v>
      </c>
      <c r="F337" s="2">
        <f t="shared" si="4"/>
        <v>35431</v>
      </c>
      <c r="H337" s="4">
        <v>2.7704</v>
      </c>
      <c r="I337" s="2">
        <v>43282.0</v>
      </c>
      <c r="K337" s="2">
        <v>38991.0</v>
      </c>
      <c r="L337" s="4">
        <v>0.112</v>
      </c>
    </row>
    <row r="338" ht="12.75" customHeight="1">
      <c r="A338" s="2">
        <v>35457.0</v>
      </c>
      <c r="B338" s="77">
        <f t="shared" si="1"/>
        <v>1</v>
      </c>
      <c r="C338" s="78">
        <f t="shared" si="2"/>
        <v>1997</v>
      </c>
      <c r="D338" s="77">
        <v>1.232</v>
      </c>
      <c r="E338" s="4">
        <f t="shared" si="3"/>
        <v>1.23075</v>
      </c>
      <c r="F338" s="2">
        <f t="shared" si="4"/>
        <v>35431</v>
      </c>
      <c r="H338" s="4">
        <v>2.7677499999999995</v>
      </c>
      <c r="I338" s="2">
        <v>43313.0</v>
      </c>
      <c r="K338" s="2">
        <v>39022.0</v>
      </c>
      <c r="L338" s="4">
        <v>0.11</v>
      </c>
    </row>
    <row r="339" ht="12.75" customHeight="1">
      <c r="A339" s="2">
        <v>35464.0</v>
      </c>
      <c r="B339" s="77">
        <f t="shared" si="1"/>
        <v>2</v>
      </c>
      <c r="C339" s="78">
        <f t="shared" si="2"/>
        <v>1997</v>
      </c>
      <c r="D339" s="77">
        <v>1.23</v>
      </c>
      <c r="E339" s="4">
        <f t="shared" si="3"/>
        <v>1.2235</v>
      </c>
      <c r="F339" s="2">
        <f t="shared" si="4"/>
        <v>35462</v>
      </c>
      <c r="H339" s="4">
        <v>2.7685</v>
      </c>
      <c r="I339" s="2">
        <v>43344.0</v>
      </c>
      <c r="K339" s="2">
        <v>39052.0</v>
      </c>
      <c r="L339" s="4">
        <v>0.11</v>
      </c>
    </row>
    <row r="340" ht="12.75" customHeight="1">
      <c r="A340" s="2">
        <v>35471.0</v>
      </c>
      <c r="B340" s="77">
        <f t="shared" si="1"/>
        <v>2</v>
      </c>
      <c r="C340" s="78">
        <f t="shared" si="2"/>
        <v>1997</v>
      </c>
      <c r="D340" s="77">
        <v>1.227</v>
      </c>
      <c r="E340" s="4">
        <f t="shared" si="3"/>
        <v>1.2235</v>
      </c>
      <c r="F340" s="2">
        <f t="shared" si="4"/>
        <v>35462</v>
      </c>
      <c r="H340" s="4">
        <v>2.7852000000000006</v>
      </c>
      <c r="I340" s="2">
        <v>43374.0</v>
      </c>
      <c r="K340" s="2">
        <v>39083.0</v>
      </c>
      <c r="L340" s="4">
        <v>0.113</v>
      </c>
    </row>
    <row r="341" ht="12.75" customHeight="1">
      <c r="A341" s="2">
        <v>35478.0</v>
      </c>
      <c r="B341" s="77">
        <f t="shared" si="1"/>
        <v>2</v>
      </c>
      <c r="C341" s="78">
        <f t="shared" si="2"/>
        <v>1997</v>
      </c>
      <c r="D341" s="77">
        <v>1.22</v>
      </c>
      <c r="E341" s="4">
        <f t="shared" si="3"/>
        <v>1.2235</v>
      </c>
      <c r="F341" s="2">
        <f t="shared" si="4"/>
        <v>35462</v>
      </c>
      <c r="H341" s="4">
        <v>2.561</v>
      </c>
      <c r="I341" s="2">
        <v>43405.0</v>
      </c>
      <c r="K341" s="2">
        <v>39114.0</v>
      </c>
      <c r="L341" s="4">
        <v>0.113</v>
      </c>
    </row>
    <row r="342" ht="12.75" customHeight="1">
      <c r="A342" s="2">
        <v>35485.0</v>
      </c>
      <c r="B342" s="77">
        <f t="shared" si="1"/>
        <v>2</v>
      </c>
      <c r="C342" s="78">
        <f t="shared" si="2"/>
        <v>1997</v>
      </c>
      <c r="D342" s="77">
        <v>1.217</v>
      </c>
      <c r="E342" s="4">
        <f t="shared" si="3"/>
        <v>1.2235</v>
      </c>
      <c r="F342" s="2">
        <f t="shared" si="4"/>
        <v>35462</v>
      </c>
      <c r="H342" s="4">
        <v>2.2630000000000003</v>
      </c>
      <c r="I342" s="2">
        <v>43435.0</v>
      </c>
      <c r="K342" s="2">
        <v>39142.0</v>
      </c>
      <c r="L342" s="4">
        <v>0.113</v>
      </c>
    </row>
    <row r="343" ht="12.75" customHeight="1">
      <c r="A343" s="2">
        <v>35492.0</v>
      </c>
      <c r="B343" s="77">
        <f t="shared" si="1"/>
        <v>3</v>
      </c>
      <c r="C343" s="78">
        <f t="shared" si="2"/>
        <v>1997</v>
      </c>
      <c r="D343" s="77">
        <v>1.208</v>
      </c>
      <c r="E343" s="4">
        <f t="shared" si="3"/>
        <v>1.197</v>
      </c>
      <c r="F343" s="2">
        <f t="shared" si="4"/>
        <v>35490</v>
      </c>
      <c r="H343" s="4">
        <v>2.1449999999999996</v>
      </c>
      <c r="I343" s="2">
        <v>43466.0</v>
      </c>
      <c r="K343" s="2">
        <v>39173.0</v>
      </c>
      <c r="L343" s="4">
        <v>0.113</v>
      </c>
    </row>
    <row r="344" ht="12.75" customHeight="1">
      <c r="A344" s="2">
        <v>35499.0</v>
      </c>
      <c r="B344" s="77">
        <f t="shared" si="1"/>
        <v>3</v>
      </c>
      <c r="C344" s="78">
        <f t="shared" si="2"/>
        <v>1997</v>
      </c>
      <c r="D344" s="77">
        <v>1.199</v>
      </c>
      <c r="E344" s="4">
        <f t="shared" si="3"/>
        <v>1.197</v>
      </c>
      <c r="F344" s="2">
        <f t="shared" si="4"/>
        <v>35490</v>
      </c>
      <c r="H344" s="4">
        <v>2.2225</v>
      </c>
      <c r="I344" s="2">
        <v>43497.0</v>
      </c>
      <c r="K344" s="2">
        <v>39203.0</v>
      </c>
      <c r="L344" s="4">
        <v>0.115</v>
      </c>
    </row>
    <row r="345" ht="12.75" customHeight="1">
      <c r="A345" s="2">
        <v>35506.0</v>
      </c>
      <c r="B345" s="77">
        <f t="shared" si="1"/>
        <v>3</v>
      </c>
      <c r="C345" s="78">
        <f t="shared" si="2"/>
        <v>1997</v>
      </c>
      <c r="D345" s="77">
        <v>1.191</v>
      </c>
      <c r="E345" s="4">
        <f t="shared" si="3"/>
        <v>1.197</v>
      </c>
      <c r="F345" s="2">
        <f t="shared" si="4"/>
        <v>35490</v>
      </c>
      <c r="H345" s="4">
        <v>2.443</v>
      </c>
      <c r="I345" s="2">
        <v>43525.0</v>
      </c>
      <c r="K345" s="2">
        <v>39234.0</v>
      </c>
      <c r="L345" s="4">
        <v>0.122</v>
      </c>
    </row>
    <row r="346" ht="12.75" customHeight="1">
      <c r="A346" s="2">
        <v>35513.0</v>
      </c>
      <c r="B346" s="77">
        <f t="shared" si="1"/>
        <v>3</v>
      </c>
      <c r="C346" s="78">
        <f t="shared" si="2"/>
        <v>1997</v>
      </c>
      <c r="D346" s="77">
        <v>1.196</v>
      </c>
      <c r="E346" s="4">
        <f t="shared" si="3"/>
        <v>1.197</v>
      </c>
      <c r="F346" s="2">
        <f t="shared" si="4"/>
        <v>35490</v>
      </c>
      <c r="H346" s="4">
        <v>2.694</v>
      </c>
      <c r="I346" s="2">
        <v>43556.0</v>
      </c>
      <c r="K346" s="2">
        <v>39264.0</v>
      </c>
      <c r="L346" s="4">
        <v>0.122</v>
      </c>
    </row>
    <row r="347" ht="12.75" customHeight="1">
      <c r="A347" s="2">
        <v>35520.0</v>
      </c>
      <c r="B347" s="77">
        <f t="shared" si="1"/>
        <v>3</v>
      </c>
      <c r="C347" s="78">
        <f t="shared" si="2"/>
        <v>1997</v>
      </c>
      <c r="D347" s="77">
        <v>1.191</v>
      </c>
      <c r="E347" s="4">
        <f t="shared" si="3"/>
        <v>1.197</v>
      </c>
      <c r="F347" s="2">
        <f t="shared" si="4"/>
        <v>35490</v>
      </c>
      <c r="H347" s="4">
        <v>2.7312499999999997</v>
      </c>
      <c r="I347" s="2">
        <v>43586.0</v>
      </c>
      <c r="K347" s="2">
        <v>39295.0</v>
      </c>
      <c r="L347" s="4">
        <v>0.121</v>
      </c>
    </row>
    <row r="348" ht="12.75" customHeight="1">
      <c r="A348" s="2">
        <v>35527.0</v>
      </c>
      <c r="B348" s="77">
        <f t="shared" si="1"/>
        <v>4</v>
      </c>
      <c r="C348" s="78">
        <f t="shared" si="2"/>
        <v>1997</v>
      </c>
      <c r="D348" s="77">
        <v>1.192</v>
      </c>
      <c r="E348" s="4">
        <f t="shared" si="3"/>
        <v>1.188</v>
      </c>
      <c r="F348" s="2">
        <f t="shared" si="4"/>
        <v>35521</v>
      </c>
      <c r="H348" s="4">
        <v>2.60125</v>
      </c>
      <c r="I348" s="2">
        <v>43617.0</v>
      </c>
      <c r="K348" s="2">
        <v>39326.0</v>
      </c>
      <c r="L348" s="4">
        <v>0.121</v>
      </c>
    </row>
    <row r="349" ht="12.75" customHeight="1">
      <c r="A349" s="2">
        <v>35534.0</v>
      </c>
      <c r="B349" s="77">
        <f t="shared" si="1"/>
        <v>4</v>
      </c>
      <c r="C349" s="78">
        <f t="shared" si="2"/>
        <v>1997</v>
      </c>
      <c r="D349" s="77">
        <v>1.187</v>
      </c>
      <c r="E349" s="4">
        <f t="shared" si="3"/>
        <v>1.188</v>
      </c>
      <c r="F349" s="2">
        <f t="shared" si="4"/>
        <v>35521</v>
      </c>
      <c r="H349" s="4">
        <v>2.6404000000000005</v>
      </c>
      <c r="I349" s="2">
        <v>43647.0</v>
      </c>
      <c r="K349" s="2">
        <v>39356.0</v>
      </c>
      <c r="L349" s="4">
        <v>0.117</v>
      </c>
    </row>
    <row r="350" ht="12.75" customHeight="1">
      <c r="A350" s="2">
        <v>35541.0</v>
      </c>
      <c r="B350" s="77">
        <f t="shared" si="1"/>
        <v>4</v>
      </c>
      <c r="C350" s="78">
        <f t="shared" si="2"/>
        <v>1997</v>
      </c>
      <c r="D350" s="77">
        <v>1.188</v>
      </c>
      <c r="E350" s="4">
        <f t="shared" si="3"/>
        <v>1.188</v>
      </c>
      <c r="F350" s="2">
        <f t="shared" si="4"/>
        <v>35521</v>
      </c>
      <c r="H350" s="4">
        <v>2.521</v>
      </c>
      <c r="I350" s="2">
        <v>43678.0</v>
      </c>
      <c r="K350" s="2">
        <v>39387.0</v>
      </c>
      <c r="L350" s="4">
        <v>0.115</v>
      </c>
    </row>
    <row r="351" ht="12.75" customHeight="1">
      <c r="A351" s="2">
        <v>35548.0</v>
      </c>
      <c r="B351" s="77">
        <f t="shared" si="1"/>
        <v>4</v>
      </c>
      <c r="C351" s="78">
        <f t="shared" si="2"/>
        <v>1997</v>
      </c>
      <c r="D351" s="77">
        <v>1.185</v>
      </c>
      <c r="E351" s="4">
        <f t="shared" si="3"/>
        <v>1.188</v>
      </c>
      <c r="F351" s="2">
        <f t="shared" si="4"/>
        <v>35521</v>
      </c>
      <c r="H351" s="4">
        <v>2.4888</v>
      </c>
      <c r="I351" s="2">
        <v>43709.0</v>
      </c>
      <c r="K351" s="2">
        <v>39417.0</v>
      </c>
      <c r="L351" s="4">
        <v>0.115</v>
      </c>
    </row>
    <row r="352" ht="12.75" customHeight="1">
      <c r="A352" s="2">
        <v>35555.0</v>
      </c>
      <c r="B352" s="77">
        <f t="shared" si="1"/>
        <v>5</v>
      </c>
      <c r="C352" s="78">
        <f t="shared" si="2"/>
        <v>1997</v>
      </c>
      <c r="D352" s="77">
        <v>1.182</v>
      </c>
      <c r="E352" s="4">
        <f t="shared" si="3"/>
        <v>1.19075</v>
      </c>
      <c r="F352" s="2">
        <f t="shared" si="4"/>
        <v>35551</v>
      </c>
      <c r="H352" s="4">
        <v>2.4972499999999997</v>
      </c>
      <c r="I352" s="2">
        <v>43739.0</v>
      </c>
      <c r="K352" s="2">
        <v>39448.0</v>
      </c>
      <c r="L352" s="4">
        <v>0.116</v>
      </c>
    </row>
    <row r="353" ht="12.75" customHeight="1">
      <c r="A353" s="2">
        <v>35562.0</v>
      </c>
      <c r="B353" s="77">
        <f t="shared" si="1"/>
        <v>5</v>
      </c>
      <c r="C353" s="78">
        <f t="shared" si="2"/>
        <v>1997</v>
      </c>
      <c r="D353" s="77">
        <v>1.182</v>
      </c>
      <c r="E353" s="4">
        <f t="shared" si="3"/>
        <v>1.19075</v>
      </c>
      <c r="F353" s="2">
        <f t="shared" si="4"/>
        <v>35551</v>
      </c>
      <c r="H353" s="4">
        <v>2.48</v>
      </c>
      <c r="I353" s="2">
        <v>43770.0</v>
      </c>
      <c r="K353" s="2">
        <v>39479.0</v>
      </c>
      <c r="L353" s="4">
        <v>0.116</v>
      </c>
    </row>
    <row r="354" ht="12.75" customHeight="1">
      <c r="A354" s="2">
        <v>35569.0</v>
      </c>
      <c r="B354" s="77">
        <f t="shared" si="1"/>
        <v>5</v>
      </c>
      <c r="C354" s="78">
        <f t="shared" si="2"/>
        <v>1997</v>
      </c>
      <c r="D354" s="77">
        <v>1.195</v>
      </c>
      <c r="E354" s="4">
        <f t="shared" si="3"/>
        <v>1.19075</v>
      </c>
      <c r="F354" s="2">
        <f t="shared" si="4"/>
        <v>35551</v>
      </c>
      <c r="H354" s="4">
        <v>2.4692</v>
      </c>
      <c r="I354" s="2">
        <v>43800.0</v>
      </c>
      <c r="K354" s="2">
        <v>39508.0</v>
      </c>
      <c r="L354" s="4">
        <v>0.116</v>
      </c>
    </row>
    <row r="355" ht="12.75" customHeight="1">
      <c r="A355" s="2">
        <v>35576.0</v>
      </c>
      <c r="B355" s="77">
        <f t="shared" si="1"/>
        <v>5</v>
      </c>
      <c r="C355" s="78">
        <f t="shared" si="2"/>
        <v>1997</v>
      </c>
      <c r="D355" s="77">
        <v>1.204</v>
      </c>
      <c r="E355" s="4">
        <f t="shared" si="3"/>
        <v>1.19075</v>
      </c>
      <c r="F355" s="2">
        <f t="shared" si="4"/>
        <v>35551</v>
      </c>
      <c r="H355" s="4">
        <v>2.4590000000000005</v>
      </c>
      <c r="I355" s="2">
        <v>43831.0</v>
      </c>
      <c r="K355" s="2">
        <v>39539.0</v>
      </c>
      <c r="L355" s="4">
        <v>0.118</v>
      </c>
    </row>
    <row r="356" ht="12.75" customHeight="1">
      <c r="A356" s="2">
        <v>35583.0</v>
      </c>
      <c r="B356" s="77">
        <f t="shared" si="1"/>
        <v>6</v>
      </c>
      <c r="C356" s="78">
        <f t="shared" si="2"/>
        <v>1997</v>
      </c>
      <c r="D356" s="77">
        <v>1.206</v>
      </c>
      <c r="E356" s="4">
        <f t="shared" si="3"/>
        <v>1.1886</v>
      </c>
      <c r="F356" s="2">
        <f t="shared" si="4"/>
        <v>35582</v>
      </c>
      <c r="H356" s="4">
        <v>2.348</v>
      </c>
      <c r="I356" s="2">
        <v>43862.0</v>
      </c>
      <c r="K356" s="2">
        <v>39569.0</v>
      </c>
      <c r="L356" s="4">
        <v>0.12</v>
      </c>
    </row>
    <row r="357" ht="12.75" customHeight="1">
      <c r="A357" s="2">
        <v>35590.0</v>
      </c>
      <c r="B357" s="77">
        <f t="shared" si="1"/>
        <v>6</v>
      </c>
      <c r="C357" s="78">
        <f t="shared" si="2"/>
        <v>1997</v>
      </c>
      <c r="D357" s="77">
        <v>1.198</v>
      </c>
      <c r="E357" s="4">
        <f t="shared" si="3"/>
        <v>1.1886</v>
      </c>
      <c r="F357" s="2">
        <f t="shared" si="4"/>
        <v>35582</v>
      </c>
      <c r="H357" s="4">
        <v>2.1255999999999995</v>
      </c>
      <c r="I357" s="2">
        <v>43891.0</v>
      </c>
      <c r="K357" s="2">
        <v>39600.0</v>
      </c>
      <c r="L357" s="4">
        <v>0.128</v>
      </c>
    </row>
    <row r="358" ht="12.75" customHeight="1">
      <c r="A358" s="2">
        <v>35597.0</v>
      </c>
      <c r="B358" s="77">
        <f t="shared" si="1"/>
        <v>6</v>
      </c>
      <c r="C358" s="78">
        <f t="shared" si="2"/>
        <v>1997</v>
      </c>
      <c r="D358" s="77">
        <v>1.189</v>
      </c>
      <c r="E358" s="4">
        <f t="shared" si="3"/>
        <v>1.1886</v>
      </c>
      <c r="F358" s="2">
        <f t="shared" si="4"/>
        <v>35582</v>
      </c>
      <c r="H358" s="4">
        <v>1.721</v>
      </c>
      <c r="I358" s="2">
        <v>43922.0</v>
      </c>
      <c r="K358" s="2">
        <v>39630.0</v>
      </c>
      <c r="L358" s="4">
        <v>0.131</v>
      </c>
    </row>
    <row r="359" ht="12.75" customHeight="1">
      <c r="A359" s="2">
        <v>35604.0</v>
      </c>
      <c r="B359" s="77">
        <f t="shared" si="1"/>
        <v>6</v>
      </c>
      <c r="C359" s="78">
        <f t="shared" si="2"/>
        <v>1997</v>
      </c>
      <c r="D359" s="77">
        <v>1.179</v>
      </c>
      <c r="E359" s="4">
        <f t="shared" si="3"/>
        <v>1.1886</v>
      </c>
      <c r="F359" s="2">
        <f t="shared" si="4"/>
        <v>35582</v>
      </c>
      <c r="H359" s="4">
        <v>1.769</v>
      </c>
      <c r="I359" s="2">
        <v>43952.0</v>
      </c>
      <c r="K359" s="2">
        <v>39661.0</v>
      </c>
      <c r="L359" s="4">
        <v>0.132</v>
      </c>
    </row>
    <row r="360" ht="12.75" customHeight="1">
      <c r="A360" s="2">
        <v>35611.0</v>
      </c>
      <c r="B360" s="77">
        <f t="shared" si="1"/>
        <v>6</v>
      </c>
      <c r="C360" s="78">
        <f t="shared" si="2"/>
        <v>1997</v>
      </c>
      <c r="D360" s="77">
        <v>1.171</v>
      </c>
      <c r="E360" s="4">
        <f t="shared" si="3"/>
        <v>1.1886</v>
      </c>
      <c r="F360" s="2">
        <f t="shared" si="4"/>
        <v>35582</v>
      </c>
      <c r="H360" s="4">
        <v>1.9977999999999998</v>
      </c>
      <c r="I360" s="2">
        <v>43983.0</v>
      </c>
      <c r="K360" s="2">
        <v>39692.0</v>
      </c>
      <c r="L360" s="4">
        <v>0.13</v>
      </c>
    </row>
    <row r="361" ht="12.75" customHeight="1">
      <c r="A361" s="2">
        <v>35618.0</v>
      </c>
      <c r="B361" s="77">
        <f t="shared" si="1"/>
        <v>7</v>
      </c>
      <c r="C361" s="78">
        <f t="shared" si="2"/>
        <v>1997</v>
      </c>
      <c r="D361" s="77">
        <v>1.169</v>
      </c>
      <c r="E361" s="4">
        <f t="shared" si="3"/>
        <v>1.167</v>
      </c>
      <c r="F361" s="2">
        <f t="shared" si="4"/>
        <v>35612</v>
      </c>
      <c r="H361" s="4">
        <v>2.09925</v>
      </c>
      <c r="I361" s="2">
        <v>44013.0</v>
      </c>
      <c r="K361" s="2">
        <v>39722.0</v>
      </c>
      <c r="L361" s="4">
        <v>0.126</v>
      </c>
    </row>
    <row r="362" ht="12.75" customHeight="1">
      <c r="A362" s="2">
        <v>35625.0</v>
      </c>
      <c r="B362" s="77">
        <f t="shared" si="1"/>
        <v>7</v>
      </c>
      <c r="C362" s="78">
        <f t="shared" si="2"/>
        <v>1997</v>
      </c>
      <c r="D362" s="77">
        <v>1.165</v>
      </c>
      <c r="E362" s="4">
        <f t="shared" si="3"/>
        <v>1.167</v>
      </c>
      <c r="F362" s="2">
        <f t="shared" si="4"/>
        <v>35612</v>
      </c>
      <c r="H362" s="4">
        <v>2.093</v>
      </c>
      <c r="I362" s="2">
        <v>44044.0</v>
      </c>
      <c r="K362" s="2">
        <v>39753.0</v>
      </c>
      <c r="L362" s="4">
        <v>0.123</v>
      </c>
    </row>
    <row r="363" ht="12.75" customHeight="1">
      <c r="A363" s="2">
        <v>35632.0</v>
      </c>
      <c r="B363" s="77">
        <f t="shared" si="1"/>
        <v>7</v>
      </c>
      <c r="C363" s="78">
        <f t="shared" si="2"/>
        <v>1997</v>
      </c>
      <c r="D363" s="77">
        <v>1.17</v>
      </c>
      <c r="E363" s="4">
        <f t="shared" si="3"/>
        <v>1.167</v>
      </c>
      <c r="F363" s="2">
        <f t="shared" si="4"/>
        <v>35612</v>
      </c>
      <c r="H363" s="4">
        <v>2.0947500000000003</v>
      </c>
      <c r="I363" s="2">
        <v>44075.0</v>
      </c>
      <c r="K363" s="2">
        <v>39783.0</v>
      </c>
      <c r="L363" s="4">
        <v>0.124</v>
      </c>
    </row>
    <row r="364" ht="12.75" customHeight="1">
      <c r="A364" s="2">
        <v>35639.0</v>
      </c>
      <c r="B364" s="77">
        <f t="shared" si="1"/>
        <v>7</v>
      </c>
      <c r="C364" s="78">
        <f t="shared" si="2"/>
        <v>1997</v>
      </c>
      <c r="D364" s="77">
        <v>1.164</v>
      </c>
      <c r="E364" s="4">
        <f t="shared" si="3"/>
        <v>1.167</v>
      </c>
      <c r="F364" s="2">
        <f t="shared" si="4"/>
        <v>35612</v>
      </c>
      <c r="H364" s="4">
        <v>2.0730000000000004</v>
      </c>
      <c r="I364" s="2">
        <v>44105.0</v>
      </c>
      <c r="K364" s="2">
        <v>39814.0</v>
      </c>
      <c r="L364" s="4">
        <v>0.126</v>
      </c>
    </row>
    <row r="365" ht="12.75" customHeight="1">
      <c r="A365" s="2">
        <v>35646.0</v>
      </c>
      <c r="B365" s="77">
        <f t="shared" si="1"/>
        <v>8</v>
      </c>
      <c r="C365" s="78">
        <f t="shared" si="2"/>
        <v>1997</v>
      </c>
      <c r="D365" s="77">
        <v>1.185</v>
      </c>
      <c r="E365" s="4">
        <f t="shared" si="3"/>
        <v>1.213</v>
      </c>
      <c r="F365" s="2">
        <f t="shared" si="4"/>
        <v>35643</v>
      </c>
      <c r="H365" s="4">
        <v>2.0148</v>
      </c>
      <c r="I365" s="2">
        <v>44136.0</v>
      </c>
      <c r="K365" s="2">
        <v>39845.0</v>
      </c>
      <c r="L365" s="4">
        <v>0.126</v>
      </c>
    </row>
    <row r="366" ht="12.75" customHeight="1">
      <c r="A366" s="2">
        <v>35653.0</v>
      </c>
      <c r="B366" s="77">
        <f t="shared" si="1"/>
        <v>8</v>
      </c>
      <c r="C366" s="78">
        <f t="shared" si="2"/>
        <v>1997</v>
      </c>
      <c r="D366" s="77">
        <v>1.219</v>
      </c>
      <c r="E366" s="4">
        <f t="shared" si="3"/>
        <v>1.213</v>
      </c>
      <c r="F366" s="2">
        <f t="shared" si="4"/>
        <v>35643</v>
      </c>
      <c r="H366" s="4">
        <v>2.10525</v>
      </c>
      <c r="I366" s="2">
        <v>44166.0</v>
      </c>
      <c r="K366" s="2">
        <v>39873.0</v>
      </c>
      <c r="L366" s="4">
        <v>0.126</v>
      </c>
    </row>
    <row r="367" ht="12.75" customHeight="1">
      <c r="A367" s="2">
        <v>35660.0</v>
      </c>
      <c r="B367" s="77">
        <f t="shared" si="1"/>
        <v>8</v>
      </c>
      <c r="C367" s="78">
        <f t="shared" si="2"/>
        <v>1997</v>
      </c>
      <c r="D367" s="77">
        <v>1.218</v>
      </c>
      <c r="E367" s="4">
        <f t="shared" si="3"/>
        <v>1.213</v>
      </c>
      <c r="F367" s="2">
        <f t="shared" si="4"/>
        <v>35643</v>
      </c>
      <c r="H367" s="4">
        <v>2.2437500000000004</v>
      </c>
      <c r="I367" s="2">
        <v>44197.0</v>
      </c>
      <c r="K367" s="2">
        <v>39904.0</v>
      </c>
      <c r="L367" s="4">
        <v>0.125</v>
      </c>
    </row>
    <row r="368" ht="12.75" customHeight="1">
      <c r="A368" s="2">
        <v>35667.0</v>
      </c>
      <c r="B368" s="77">
        <f t="shared" si="1"/>
        <v>8</v>
      </c>
      <c r="C368" s="78">
        <f t="shared" si="2"/>
        <v>1997</v>
      </c>
      <c r="D368" s="77">
        <v>1.23</v>
      </c>
      <c r="E368" s="4">
        <f t="shared" si="3"/>
        <v>1.213</v>
      </c>
      <c r="F368" s="2">
        <f t="shared" si="4"/>
        <v>35643</v>
      </c>
      <c r="H368" s="4">
        <v>2.4114999999999998</v>
      </c>
      <c r="I368" s="2">
        <v>44228.0</v>
      </c>
      <c r="K368" s="2">
        <v>39934.0</v>
      </c>
      <c r="L368" s="4">
        <v>0.126</v>
      </c>
    </row>
    <row r="369" ht="12.75" customHeight="1">
      <c r="A369" s="2">
        <v>35674.0</v>
      </c>
      <c r="B369" s="77">
        <f t="shared" si="1"/>
        <v>9</v>
      </c>
      <c r="C369" s="78">
        <f t="shared" si="2"/>
        <v>1997</v>
      </c>
      <c r="D369" s="77">
        <v>1.229</v>
      </c>
      <c r="E369" s="4">
        <f t="shared" si="3"/>
        <v>1.2156</v>
      </c>
      <c r="F369" s="2">
        <f t="shared" si="4"/>
        <v>35674</v>
      </c>
      <c r="H369" s="4">
        <v>2.7251999999999996</v>
      </c>
      <c r="I369" s="2">
        <v>44256.0</v>
      </c>
      <c r="K369" s="2">
        <v>39965.0</v>
      </c>
      <c r="L369" s="4">
        <v>0.132</v>
      </c>
    </row>
    <row r="370" ht="12.75" customHeight="1">
      <c r="A370" s="2">
        <v>35681.0</v>
      </c>
      <c r="B370" s="77">
        <f t="shared" si="1"/>
        <v>9</v>
      </c>
      <c r="C370" s="78">
        <f t="shared" si="2"/>
        <v>1997</v>
      </c>
      <c r="D370" s="77">
        <v>1.227</v>
      </c>
      <c r="E370" s="4">
        <f t="shared" si="3"/>
        <v>1.2156</v>
      </c>
      <c r="F370" s="2">
        <f t="shared" si="4"/>
        <v>35674</v>
      </c>
      <c r="H370" s="4">
        <v>2.77075</v>
      </c>
      <c r="I370" s="2">
        <v>44287.0</v>
      </c>
      <c r="K370" s="2">
        <v>39995.0</v>
      </c>
      <c r="L370" s="4">
        <v>0.131</v>
      </c>
    </row>
    <row r="371" ht="12.75" customHeight="1">
      <c r="A371" s="2">
        <v>35688.0</v>
      </c>
      <c r="B371" s="77">
        <f t="shared" si="1"/>
        <v>9</v>
      </c>
      <c r="C371" s="78">
        <f t="shared" si="2"/>
        <v>1997</v>
      </c>
      <c r="D371" s="77">
        <v>1.219</v>
      </c>
      <c r="E371" s="4">
        <f t="shared" si="3"/>
        <v>1.2156</v>
      </c>
      <c r="F371" s="2">
        <f t="shared" si="4"/>
        <v>35674</v>
      </c>
      <c r="H371" s="4">
        <v>2.885</v>
      </c>
      <c r="I371" s="2">
        <v>44317.0</v>
      </c>
      <c r="K371" s="2">
        <v>40026.0</v>
      </c>
      <c r="L371" s="4">
        <v>0.13</v>
      </c>
    </row>
    <row r="372" ht="12.75" customHeight="1">
      <c r="A372" s="2">
        <v>35695.0</v>
      </c>
      <c r="B372" s="77">
        <f t="shared" si="1"/>
        <v>9</v>
      </c>
      <c r="C372" s="78">
        <f t="shared" si="2"/>
        <v>1997</v>
      </c>
      <c r="D372" s="77">
        <v>1.208</v>
      </c>
      <c r="E372" s="4">
        <f t="shared" si="3"/>
        <v>1.2156</v>
      </c>
      <c r="F372" s="2">
        <f t="shared" si="4"/>
        <v>35674</v>
      </c>
      <c r="H372" s="4">
        <v>2.964</v>
      </c>
      <c r="I372" s="2">
        <v>44348.0</v>
      </c>
      <c r="K372" s="2">
        <v>40057.0</v>
      </c>
      <c r="L372" s="4">
        <v>0.13</v>
      </c>
    </row>
    <row r="373" ht="12.75" customHeight="1">
      <c r="A373" s="2">
        <v>35702.0</v>
      </c>
      <c r="B373" s="77">
        <f t="shared" si="1"/>
        <v>9</v>
      </c>
      <c r="C373" s="78">
        <f t="shared" si="2"/>
        <v>1997</v>
      </c>
      <c r="D373" s="77">
        <v>1.195</v>
      </c>
      <c r="E373" s="4">
        <f t="shared" si="3"/>
        <v>1.2156</v>
      </c>
      <c r="F373" s="2">
        <f t="shared" si="4"/>
        <v>35674</v>
      </c>
      <c r="H373" s="4">
        <v>3.044</v>
      </c>
      <c r="I373" s="2">
        <v>44378.0</v>
      </c>
      <c r="K373" s="2">
        <v>40087.0</v>
      </c>
      <c r="L373" s="4">
        <v>0.126</v>
      </c>
    </row>
    <row r="374" ht="12.75" customHeight="1">
      <c r="A374" s="2">
        <v>35709.0</v>
      </c>
      <c r="B374" s="77">
        <f t="shared" si="1"/>
        <v>10</v>
      </c>
      <c r="C374" s="78">
        <f t="shared" si="2"/>
        <v>1997</v>
      </c>
      <c r="D374" s="77">
        <v>1.195</v>
      </c>
      <c r="E374" s="4">
        <f t="shared" si="3"/>
        <v>1.182</v>
      </c>
      <c r="F374" s="2">
        <f t="shared" si="4"/>
        <v>35704</v>
      </c>
      <c r="H374" s="4">
        <v>3.0616000000000003</v>
      </c>
      <c r="I374" s="2">
        <v>44409.0</v>
      </c>
      <c r="K374" s="2">
        <v>40118.0</v>
      </c>
      <c r="L374" s="4">
        <v>0.124</v>
      </c>
    </row>
    <row r="375" ht="12.75" customHeight="1">
      <c r="A375" s="2">
        <v>35716.0</v>
      </c>
      <c r="B375" s="77">
        <f t="shared" si="1"/>
        <v>10</v>
      </c>
      <c r="C375" s="78">
        <f t="shared" si="2"/>
        <v>1997</v>
      </c>
      <c r="D375" s="77">
        <v>1.187</v>
      </c>
      <c r="E375" s="4">
        <f t="shared" si="3"/>
        <v>1.182</v>
      </c>
      <c r="F375" s="2">
        <f t="shared" si="4"/>
        <v>35704</v>
      </c>
      <c r="H375" s="4">
        <v>3.0805</v>
      </c>
      <c r="I375" s="2">
        <v>44440.0</v>
      </c>
      <c r="K375" s="2">
        <v>40148.0</v>
      </c>
      <c r="L375" s="4">
        <v>0.124</v>
      </c>
    </row>
    <row r="376" ht="12.75" customHeight="1">
      <c r="A376" s="2">
        <v>35723.0</v>
      </c>
      <c r="B376" s="77">
        <f t="shared" si="1"/>
        <v>10</v>
      </c>
      <c r="C376" s="78">
        <f t="shared" si="2"/>
        <v>1997</v>
      </c>
      <c r="D376" s="77">
        <v>1.178</v>
      </c>
      <c r="E376" s="4">
        <f t="shared" si="3"/>
        <v>1.182</v>
      </c>
      <c r="F376" s="2">
        <f t="shared" si="4"/>
        <v>35704</v>
      </c>
      <c r="H376" s="4">
        <v>3.1925</v>
      </c>
      <c r="I376" s="2">
        <v>44470.0</v>
      </c>
      <c r="K376" s="2">
        <v>40179.0</v>
      </c>
      <c r="L376" s="4">
        <v>0.124</v>
      </c>
    </row>
    <row r="377" ht="12.75" customHeight="1">
      <c r="A377" s="2">
        <v>35730.0</v>
      </c>
      <c r="B377" s="77">
        <f t="shared" si="1"/>
        <v>10</v>
      </c>
      <c r="C377" s="78">
        <f t="shared" si="2"/>
        <v>1997</v>
      </c>
      <c r="D377" s="77">
        <v>1.168</v>
      </c>
      <c r="E377" s="4">
        <f t="shared" si="3"/>
        <v>1.182</v>
      </c>
      <c r="F377" s="2">
        <f t="shared" si="4"/>
        <v>35704</v>
      </c>
      <c r="H377" s="4">
        <v>3.275</v>
      </c>
      <c r="I377" s="2">
        <v>44501.0</v>
      </c>
      <c r="K377" s="2">
        <v>40210.0</v>
      </c>
      <c r="L377" s="4">
        <v>0.123</v>
      </c>
    </row>
    <row r="378" ht="12.75" customHeight="1">
      <c r="A378" s="2">
        <v>35737.0</v>
      </c>
      <c r="B378" s="77">
        <f t="shared" si="1"/>
        <v>11</v>
      </c>
      <c r="C378" s="78">
        <f t="shared" si="2"/>
        <v>1997</v>
      </c>
      <c r="D378" s="77">
        <v>1.163</v>
      </c>
      <c r="E378" s="4">
        <f t="shared" si="3"/>
        <v>1.15825</v>
      </c>
      <c r="F378" s="2">
        <f t="shared" si="4"/>
        <v>35735</v>
      </c>
      <c r="H378" s="4">
        <v>3.168</v>
      </c>
      <c r="I378" s="2">
        <v>44531.0</v>
      </c>
      <c r="K378" s="2">
        <v>40238.0</v>
      </c>
      <c r="L378" s="4">
        <v>0.125</v>
      </c>
    </row>
    <row r="379" ht="12.75" customHeight="1">
      <c r="A379" s="2">
        <v>35744.0</v>
      </c>
      <c r="B379" s="77">
        <f t="shared" si="1"/>
        <v>11</v>
      </c>
      <c r="C379" s="78">
        <f t="shared" si="2"/>
        <v>1997</v>
      </c>
      <c r="D379" s="77">
        <v>1.164</v>
      </c>
      <c r="E379" s="4">
        <f t="shared" si="3"/>
        <v>1.15825</v>
      </c>
      <c r="F379" s="2">
        <f t="shared" si="4"/>
        <v>35735</v>
      </c>
      <c r="H379" s="4">
        <v>3.1870000000000003</v>
      </c>
      <c r="I379" s="2">
        <v>44562.0</v>
      </c>
      <c r="K379" s="2">
        <v>40269.0</v>
      </c>
      <c r="L379" s="4">
        <v>0.126</v>
      </c>
    </row>
    <row r="380" ht="12.75" customHeight="1">
      <c r="A380" s="2">
        <v>35751.0</v>
      </c>
      <c r="B380" s="77">
        <f t="shared" si="1"/>
        <v>11</v>
      </c>
      <c r="C380" s="78">
        <f t="shared" si="2"/>
        <v>1997</v>
      </c>
      <c r="D380" s="77">
        <v>1.156</v>
      </c>
      <c r="E380" s="4">
        <f t="shared" si="3"/>
        <v>1.15825</v>
      </c>
      <c r="F380" s="2">
        <f t="shared" si="4"/>
        <v>35735</v>
      </c>
      <c r="H380" s="4">
        <v>3.3995</v>
      </c>
      <c r="I380" s="2">
        <v>44593.0</v>
      </c>
      <c r="K380" s="2">
        <v>40299.0</v>
      </c>
      <c r="L380" s="4">
        <v>0.127</v>
      </c>
    </row>
    <row r="381" ht="12.75" customHeight="1">
      <c r="A381" s="2">
        <v>35758.0</v>
      </c>
      <c r="B381" s="77">
        <f t="shared" si="1"/>
        <v>11</v>
      </c>
      <c r="C381" s="78">
        <f t="shared" si="2"/>
        <v>1997</v>
      </c>
      <c r="D381" s="77">
        <v>1.15</v>
      </c>
      <c r="E381" s="4">
        <f t="shared" si="3"/>
        <v>1.15825</v>
      </c>
      <c r="F381" s="2">
        <f t="shared" si="4"/>
        <v>35735</v>
      </c>
      <c r="H381" s="4">
        <v>4.078</v>
      </c>
      <c r="I381" s="2">
        <v>44621.0</v>
      </c>
      <c r="K381" s="2">
        <v>40330.0</v>
      </c>
      <c r="L381" s="4">
        <v>0.132</v>
      </c>
    </row>
    <row r="382" ht="12.75" customHeight="1">
      <c r="A382" s="2">
        <v>35765.0</v>
      </c>
      <c r="B382" s="77">
        <f t="shared" si="1"/>
        <v>12</v>
      </c>
      <c r="C382" s="78">
        <f t="shared" si="2"/>
        <v>1997</v>
      </c>
      <c r="D382" s="77">
        <v>1.14</v>
      </c>
      <c r="E382" s="4">
        <f t="shared" si="3"/>
        <v>1.1186</v>
      </c>
      <c r="F382" s="2">
        <f t="shared" si="4"/>
        <v>35765</v>
      </c>
      <c r="H382" s="4">
        <v>3.9595000000000002</v>
      </c>
      <c r="I382" s="2">
        <v>44652.0</v>
      </c>
      <c r="K382" s="2">
        <v>40360.0</v>
      </c>
      <c r="L382" s="4">
        <v>0.133</v>
      </c>
    </row>
    <row r="383" ht="12.75" customHeight="1">
      <c r="A383" s="2">
        <v>35772.0</v>
      </c>
      <c r="B383" s="77">
        <f t="shared" si="1"/>
        <v>12</v>
      </c>
      <c r="C383" s="78">
        <f t="shared" si="2"/>
        <v>1997</v>
      </c>
      <c r="D383" s="77">
        <v>1.128</v>
      </c>
      <c r="E383" s="4">
        <f t="shared" si="3"/>
        <v>1.1186</v>
      </c>
      <c r="F383" s="2">
        <f t="shared" si="4"/>
        <v>35765</v>
      </c>
      <c r="H383" s="4">
        <v>4.2722</v>
      </c>
      <c r="I383" s="2">
        <v>44682.0</v>
      </c>
      <c r="K383" s="2">
        <v>40391.0</v>
      </c>
      <c r="L383" s="4">
        <v>0.133</v>
      </c>
    </row>
    <row r="384" ht="12.75" customHeight="1">
      <c r="A384" s="2">
        <v>35779.0</v>
      </c>
      <c r="B384" s="77">
        <f t="shared" si="1"/>
        <v>12</v>
      </c>
      <c r="C384" s="78">
        <f t="shared" si="2"/>
        <v>1997</v>
      </c>
      <c r="D384" s="77">
        <v>1.118</v>
      </c>
      <c r="E384" s="4">
        <f t="shared" si="3"/>
        <v>1.1186</v>
      </c>
      <c r="F384" s="2">
        <f t="shared" si="4"/>
        <v>35765</v>
      </c>
      <c r="H384" s="4">
        <v>4.7635</v>
      </c>
      <c r="I384" s="2">
        <v>44713.0</v>
      </c>
      <c r="K384" s="2">
        <v>40422.0</v>
      </c>
      <c r="L384" s="4">
        <v>0.132</v>
      </c>
    </row>
    <row r="385" ht="12.75" customHeight="1">
      <c r="A385" s="2">
        <v>35786.0</v>
      </c>
      <c r="B385" s="77">
        <f t="shared" si="1"/>
        <v>12</v>
      </c>
      <c r="C385" s="78">
        <f t="shared" si="2"/>
        <v>1997</v>
      </c>
      <c r="D385" s="77">
        <v>1.108</v>
      </c>
      <c r="E385" s="4">
        <f t="shared" si="3"/>
        <v>1.1186</v>
      </c>
      <c r="F385" s="2">
        <f t="shared" si="4"/>
        <v>35765</v>
      </c>
      <c r="H385" s="4">
        <v>4.41325</v>
      </c>
      <c r="I385" s="2">
        <v>44743.0</v>
      </c>
      <c r="K385" s="2">
        <v>40452.0</v>
      </c>
      <c r="L385" s="4">
        <v>0.127</v>
      </c>
    </row>
    <row r="386" ht="12.75" customHeight="1">
      <c r="A386" s="2">
        <v>35793.0</v>
      </c>
      <c r="B386" s="77">
        <f t="shared" si="1"/>
        <v>12</v>
      </c>
      <c r="C386" s="78">
        <f t="shared" si="2"/>
        <v>1997</v>
      </c>
      <c r="D386" s="77">
        <v>1.099</v>
      </c>
      <c r="E386" s="4">
        <f t="shared" si="3"/>
        <v>1.1186</v>
      </c>
      <c r="F386" s="2">
        <f t="shared" si="4"/>
        <v>35765</v>
      </c>
      <c r="H386" s="4">
        <v>3.8216</v>
      </c>
      <c r="I386" s="2">
        <v>44774.0</v>
      </c>
      <c r="K386" s="2">
        <v>40483.0</v>
      </c>
      <c r="L386" s="4">
        <v>0.125</v>
      </c>
    </row>
    <row r="387" ht="12.75" customHeight="1">
      <c r="A387" s="2">
        <v>35800.0</v>
      </c>
      <c r="B387" s="77">
        <f t="shared" si="1"/>
        <v>1</v>
      </c>
      <c r="C387" s="78">
        <f t="shared" si="2"/>
        <v>1998</v>
      </c>
      <c r="D387" s="77">
        <v>1.089</v>
      </c>
      <c r="E387" s="4">
        <f t="shared" si="3"/>
        <v>1.07475</v>
      </c>
      <c r="F387" s="2">
        <f t="shared" si="4"/>
        <v>35796</v>
      </c>
      <c r="H387" s="4">
        <v>3.5625</v>
      </c>
      <c r="I387" s="2">
        <v>44805.0</v>
      </c>
      <c r="K387" s="2">
        <v>40513.0</v>
      </c>
      <c r="L387" s="4">
        <v>0.125</v>
      </c>
    </row>
    <row r="388" ht="12.75" customHeight="1">
      <c r="A388" s="2">
        <v>35807.0</v>
      </c>
      <c r="B388" s="77">
        <f t="shared" si="1"/>
        <v>1</v>
      </c>
      <c r="C388" s="78">
        <f t="shared" si="2"/>
        <v>1998</v>
      </c>
      <c r="D388" s="77">
        <v>1.083</v>
      </c>
      <c r="E388" s="4">
        <f t="shared" si="3"/>
        <v>1.07475</v>
      </c>
      <c r="F388" s="2">
        <f t="shared" si="4"/>
        <v>35796</v>
      </c>
      <c r="H388" s="4">
        <v>3.6372</v>
      </c>
      <c r="I388" s="2">
        <v>44835.0</v>
      </c>
      <c r="K388" s="2">
        <v>40544.0</v>
      </c>
      <c r="L388" s="4">
        <v>0.125</v>
      </c>
    </row>
    <row r="389" ht="12.75" customHeight="1">
      <c r="A389" s="2">
        <v>35814.0</v>
      </c>
      <c r="B389" s="77">
        <f t="shared" si="1"/>
        <v>1</v>
      </c>
      <c r="C389" s="78">
        <f t="shared" si="2"/>
        <v>1998</v>
      </c>
      <c r="D389" s="77">
        <v>1.072</v>
      </c>
      <c r="E389" s="4">
        <f t="shared" si="3"/>
        <v>1.07475</v>
      </c>
      <c r="F389" s="2">
        <f t="shared" si="4"/>
        <v>35796</v>
      </c>
      <c r="H389" s="4">
        <v>3.5302499999999997</v>
      </c>
      <c r="I389" s="2">
        <v>44866.0</v>
      </c>
      <c r="K389" s="2">
        <v>40575.0</v>
      </c>
      <c r="L389" s="4">
        <v>0.125</v>
      </c>
    </row>
    <row r="390" ht="12.75" customHeight="1">
      <c r="A390" s="2">
        <v>35821.0</v>
      </c>
      <c r="B390" s="77">
        <f t="shared" si="1"/>
        <v>1</v>
      </c>
      <c r="C390" s="78">
        <f t="shared" si="2"/>
        <v>1998</v>
      </c>
      <c r="D390" s="77">
        <v>1.055</v>
      </c>
      <c r="E390" s="4">
        <f t="shared" si="3"/>
        <v>1.07475</v>
      </c>
      <c r="F390" s="2">
        <f t="shared" si="4"/>
        <v>35796</v>
      </c>
      <c r="H390" s="4">
        <v>3.0835</v>
      </c>
      <c r="I390" s="2">
        <v>44896.0</v>
      </c>
      <c r="K390" s="2">
        <v>40603.0</v>
      </c>
      <c r="L390" s="4">
        <v>0.127</v>
      </c>
    </row>
    <row r="391" ht="12.75" customHeight="1">
      <c r="A391" s="2">
        <v>35828.0</v>
      </c>
      <c r="B391" s="77">
        <f t="shared" si="1"/>
        <v>2</v>
      </c>
      <c r="C391" s="78">
        <f t="shared" si="2"/>
        <v>1998</v>
      </c>
      <c r="D391" s="77">
        <v>1.051</v>
      </c>
      <c r="E391" s="4">
        <f t="shared" si="3"/>
        <v>1.0415</v>
      </c>
      <c r="F391" s="2">
        <f t="shared" si="4"/>
        <v>35827</v>
      </c>
      <c r="H391" s="4">
        <v>3.2543999999999995</v>
      </c>
      <c r="I391" s="2">
        <v>44927.0</v>
      </c>
      <c r="K391" s="2">
        <v>40634.0</v>
      </c>
      <c r="L391" s="4">
        <v>0.127</v>
      </c>
    </row>
    <row r="392" ht="12.75" customHeight="1">
      <c r="A392" s="2">
        <v>35835.0</v>
      </c>
      <c r="B392" s="77">
        <f t="shared" si="1"/>
        <v>2</v>
      </c>
      <c r="C392" s="78">
        <f t="shared" si="2"/>
        <v>1998</v>
      </c>
      <c r="D392" s="77">
        <v>1.045</v>
      </c>
      <c r="E392" s="4">
        <f t="shared" si="3"/>
        <v>1.0415</v>
      </c>
      <c r="F392" s="2">
        <f t="shared" si="4"/>
        <v>35827</v>
      </c>
      <c r="H392" s="4">
        <v>3.3040000000000003</v>
      </c>
      <c r="I392" s="2">
        <v>44958.0</v>
      </c>
      <c r="K392" s="2">
        <v>40664.0</v>
      </c>
      <c r="L392" s="4">
        <v>0.129</v>
      </c>
    </row>
    <row r="393" ht="12.75" customHeight="1">
      <c r="A393" s="2">
        <v>35842.0</v>
      </c>
      <c r="B393" s="77">
        <f t="shared" si="1"/>
        <v>2</v>
      </c>
      <c r="C393" s="78">
        <f t="shared" si="2"/>
        <v>1998</v>
      </c>
      <c r="D393" s="77">
        <v>1.032</v>
      </c>
      <c r="E393" s="4">
        <f t="shared" si="3"/>
        <v>1.0415</v>
      </c>
      <c r="F393" s="2">
        <f t="shared" si="4"/>
        <v>35827</v>
      </c>
      <c r="H393" s="4">
        <v>3.31575</v>
      </c>
      <c r="I393" s="2">
        <v>44986.0</v>
      </c>
      <c r="K393" s="2">
        <v>40695.0</v>
      </c>
      <c r="L393" s="4">
        <v>0.134</v>
      </c>
    </row>
    <row r="394" ht="12.75" customHeight="1">
      <c r="A394" s="2">
        <v>35849.0</v>
      </c>
      <c r="B394" s="77">
        <f t="shared" si="1"/>
        <v>2</v>
      </c>
      <c r="C394" s="78">
        <f t="shared" si="2"/>
        <v>1998</v>
      </c>
      <c r="D394" s="77">
        <v>1.038</v>
      </c>
      <c r="E394" s="4">
        <f t="shared" si="3"/>
        <v>1.0415</v>
      </c>
      <c r="F394" s="2">
        <f t="shared" si="4"/>
        <v>35827</v>
      </c>
      <c r="H394" s="4">
        <v>3.493</v>
      </c>
      <c r="I394" s="2">
        <v>45017.0</v>
      </c>
      <c r="K394" s="2">
        <v>40725.0</v>
      </c>
      <c r="L394" s="4">
        <v>0.135</v>
      </c>
    </row>
    <row r="395" ht="12.75" customHeight="1">
      <c r="A395" s="2">
        <v>35856.0</v>
      </c>
      <c r="B395" s="77">
        <f t="shared" si="1"/>
        <v>3</v>
      </c>
      <c r="C395" s="78">
        <f t="shared" si="2"/>
        <v>1998</v>
      </c>
      <c r="D395" s="77">
        <v>1.025</v>
      </c>
      <c r="E395" s="4">
        <f t="shared" si="3"/>
        <v>1.0144</v>
      </c>
      <c r="F395" s="2">
        <f t="shared" si="4"/>
        <v>35855</v>
      </c>
      <c r="H395" s="4">
        <v>3.4322000000000004</v>
      </c>
      <c r="I395" s="2">
        <v>45047.0</v>
      </c>
      <c r="K395" s="2">
        <v>40756.0</v>
      </c>
      <c r="L395" s="4">
        <v>0.135</v>
      </c>
    </row>
    <row r="396" ht="12.75" customHeight="1">
      <c r="A396" s="2">
        <v>35863.0</v>
      </c>
      <c r="B396" s="77">
        <f t="shared" si="1"/>
        <v>3</v>
      </c>
      <c r="C396" s="78">
        <f t="shared" si="2"/>
        <v>1998</v>
      </c>
      <c r="D396" s="77">
        <v>1.017</v>
      </c>
      <c r="E396" s="4">
        <f t="shared" si="3"/>
        <v>1.0144</v>
      </c>
      <c r="F396" s="2">
        <f t="shared" si="4"/>
        <v>35855</v>
      </c>
      <c r="H396" s="4">
        <v>3.4457500000000003</v>
      </c>
      <c r="I396" s="2">
        <v>45078.0</v>
      </c>
      <c r="K396" s="2">
        <v>40787.0</v>
      </c>
      <c r="L396" s="4">
        <v>0.135</v>
      </c>
    </row>
    <row r="397" ht="12.75" customHeight="1">
      <c r="A397" s="2">
        <v>35870.0</v>
      </c>
      <c r="B397" s="77">
        <f t="shared" si="1"/>
        <v>3</v>
      </c>
      <c r="C397" s="78">
        <f t="shared" si="2"/>
        <v>1998</v>
      </c>
      <c r="D397" s="77">
        <v>1.006</v>
      </c>
      <c r="E397" s="4">
        <f t="shared" si="3"/>
        <v>1.0144</v>
      </c>
      <c r="F397" s="2">
        <f t="shared" si="4"/>
        <v>35855</v>
      </c>
      <c r="H397" s="4">
        <v>3.4768</v>
      </c>
      <c r="I397" s="2">
        <v>45108.0</v>
      </c>
      <c r="K397" s="2">
        <v>40817.0</v>
      </c>
      <c r="L397" s="4">
        <v>0.13</v>
      </c>
    </row>
    <row r="398" ht="12.75" customHeight="1">
      <c r="A398" s="2">
        <v>35877.0</v>
      </c>
      <c r="B398" s="77">
        <f t="shared" si="1"/>
        <v>3</v>
      </c>
      <c r="C398" s="78">
        <f t="shared" si="2"/>
        <v>1998</v>
      </c>
      <c r="D398" s="77">
        <v>0.998</v>
      </c>
      <c r="E398" s="4">
        <f t="shared" si="3"/>
        <v>1.0144</v>
      </c>
      <c r="F398" s="2">
        <f t="shared" si="4"/>
        <v>35855</v>
      </c>
      <c r="H398" s="4">
        <v>3.72675</v>
      </c>
      <c r="I398" s="2">
        <v>45139.0</v>
      </c>
      <c r="K398" s="2">
        <v>40848.0</v>
      </c>
      <c r="L398" s="4">
        <v>0.128</v>
      </c>
    </row>
    <row r="399" ht="12.75" customHeight="1">
      <c r="A399" s="2">
        <v>35884.0</v>
      </c>
      <c r="B399" s="77">
        <f t="shared" si="1"/>
        <v>3</v>
      </c>
      <c r="C399" s="78">
        <f t="shared" si="2"/>
        <v>1998</v>
      </c>
      <c r="D399" s="77">
        <v>1.026</v>
      </c>
      <c r="E399" s="4">
        <f t="shared" si="3"/>
        <v>1.0144</v>
      </c>
      <c r="F399" s="2">
        <f t="shared" si="4"/>
        <v>35855</v>
      </c>
      <c r="H399" s="4">
        <v>3.68975</v>
      </c>
      <c r="I399" s="2">
        <v>45170.0</v>
      </c>
      <c r="K399" s="2">
        <v>40878.0</v>
      </c>
      <c r="L399" s="4">
        <v>0.127</v>
      </c>
    </row>
    <row r="400" ht="12.75" customHeight="1">
      <c r="A400" s="2">
        <v>35891.0</v>
      </c>
      <c r="B400" s="77">
        <f t="shared" si="1"/>
        <v>4</v>
      </c>
      <c r="C400" s="78">
        <f t="shared" si="2"/>
        <v>1998</v>
      </c>
      <c r="D400" s="77">
        <v>1.023</v>
      </c>
      <c r="E400" s="4">
        <f t="shared" si="3"/>
        <v>1.0235</v>
      </c>
      <c r="F400" s="2">
        <f t="shared" si="4"/>
        <v>35886</v>
      </c>
      <c r="H400" s="4">
        <v>3.4394</v>
      </c>
      <c r="I400" s="2">
        <v>45200.0</v>
      </c>
      <c r="K400" s="2">
        <v>40909.0</v>
      </c>
      <c r="L400" s="4">
        <v>0.128</v>
      </c>
    </row>
    <row r="401" ht="12.75" customHeight="1">
      <c r="A401" s="2">
        <v>35898.0</v>
      </c>
      <c r="B401" s="77">
        <f t="shared" si="1"/>
        <v>4</v>
      </c>
      <c r="C401" s="78">
        <f t="shared" si="2"/>
        <v>1998</v>
      </c>
      <c r="D401" s="77">
        <v>1.018</v>
      </c>
      <c r="E401" s="4">
        <f t="shared" si="3"/>
        <v>1.0235</v>
      </c>
      <c r="F401" s="2">
        <f t="shared" si="4"/>
        <v>35886</v>
      </c>
      <c r="H401" s="4">
        <v>3.17225</v>
      </c>
      <c r="I401" s="2">
        <v>45231.0</v>
      </c>
      <c r="K401" s="2">
        <v>40940.0</v>
      </c>
      <c r="L401" s="4">
        <v>0.128</v>
      </c>
    </row>
    <row r="402" ht="12.75" customHeight="1">
      <c r="A402" s="2">
        <v>35905.0</v>
      </c>
      <c r="B402" s="77">
        <f t="shared" si="1"/>
        <v>4</v>
      </c>
      <c r="C402" s="78">
        <f t="shared" si="2"/>
        <v>1998</v>
      </c>
      <c r="D402" s="77">
        <v>1.021</v>
      </c>
      <c r="E402" s="4">
        <f t="shared" si="3"/>
        <v>1.0235</v>
      </c>
      <c r="F402" s="2">
        <f t="shared" si="4"/>
        <v>35886</v>
      </c>
      <c r="H402" s="4">
        <v>3.0134999999999996</v>
      </c>
      <c r="I402" s="2">
        <v>45261.0</v>
      </c>
      <c r="K402" s="2">
        <v>40969.0</v>
      </c>
      <c r="L402" s="4">
        <v>0.127</v>
      </c>
    </row>
    <row r="403" ht="12.75" customHeight="1">
      <c r="A403" s="2">
        <v>35912.0</v>
      </c>
      <c r="B403" s="77">
        <f t="shared" si="1"/>
        <v>4</v>
      </c>
      <c r="C403" s="78">
        <f t="shared" si="2"/>
        <v>1998</v>
      </c>
      <c r="D403" s="77">
        <v>1.032</v>
      </c>
      <c r="E403" s="4">
        <f t="shared" si="3"/>
        <v>1.0235</v>
      </c>
      <c r="F403" s="2">
        <f t="shared" si="4"/>
        <v>35886</v>
      </c>
      <c r="H403" s="4">
        <v>2.9568</v>
      </c>
      <c r="I403" s="2">
        <v>45292.0</v>
      </c>
      <c r="K403" s="2">
        <v>41000.0</v>
      </c>
      <c r="L403" s="4">
        <v>0.127</v>
      </c>
    </row>
    <row r="404" ht="12.75" customHeight="1">
      <c r="A404" s="2">
        <v>35919.0</v>
      </c>
      <c r="B404" s="77">
        <f t="shared" si="1"/>
        <v>5</v>
      </c>
      <c r="C404" s="78">
        <f t="shared" si="2"/>
        <v>1998</v>
      </c>
      <c r="D404" s="77">
        <v>1.038</v>
      </c>
      <c r="E404" s="4">
        <f t="shared" si="3"/>
        <v>1.04925</v>
      </c>
      <c r="F404" s="2">
        <f t="shared" si="4"/>
        <v>35916</v>
      </c>
      <c r="H404" s="4">
        <v>3.102</v>
      </c>
      <c r="I404" s="2">
        <v>45323.0</v>
      </c>
      <c r="K404" s="2">
        <v>41030.0</v>
      </c>
      <c r="L404" s="4">
        <v>0.129</v>
      </c>
    </row>
    <row r="405" ht="12.75" customHeight="1">
      <c r="A405" s="2">
        <v>35926.0</v>
      </c>
      <c r="B405" s="77">
        <f t="shared" si="1"/>
        <v>5</v>
      </c>
      <c r="C405" s="78">
        <f t="shared" si="2"/>
        <v>1998</v>
      </c>
      <c r="D405" s="77">
        <v>1.052</v>
      </c>
      <c r="E405" s="4">
        <f t="shared" si="3"/>
        <v>1.04925</v>
      </c>
      <c r="F405" s="2">
        <f t="shared" si="4"/>
        <v>35916</v>
      </c>
      <c r="H405" s="4">
        <v>3.3175</v>
      </c>
      <c r="I405" s="2">
        <v>45352.0</v>
      </c>
      <c r="K405" s="2">
        <v>41061.0</v>
      </c>
      <c r="L405" s="4">
        <v>0.135</v>
      </c>
    </row>
    <row r="406" ht="12.75" customHeight="1">
      <c r="A406" s="2">
        <v>35933.0</v>
      </c>
      <c r="B406" s="77">
        <f t="shared" si="1"/>
        <v>5</v>
      </c>
      <c r="C406" s="78">
        <f t="shared" si="2"/>
        <v>1998</v>
      </c>
      <c r="D406" s="77">
        <v>1.055</v>
      </c>
      <c r="E406" s="4">
        <f t="shared" si="3"/>
        <v>1.04925</v>
      </c>
      <c r="F406" s="2">
        <f t="shared" si="4"/>
        <v>35916</v>
      </c>
      <c r="H406" s="4">
        <v>3.4664</v>
      </c>
      <c r="I406" s="2">
        <v>45383.0</v>
      </c>
      <c r="K406" s="2">
        <v>41091.0</v>
      </c>
      <c r="L406" s="4">
        <v>0.133</v>
      </c>
    </row>
    <row r="407" ht="12.75" customHeight="1">
      <c r="A407" s="2">
        <v>35940.0</v>
      </c>
      <c r="B407" s="77">
        <f t="shared" si="1"/>
        <v>5</v>
      </c>
      <c r="C407" s="78">
        <f t="shared" si="2"/>
        <v>1998</v>
      </c>
      <c r="D407" s="77">
        <v>1.052</v>
      </c>
      <c r="E407" s="4">
        <f t="shared" si="3"/>
        <v>1.04925</v>
      </c>
      <c r="F407" s="2">
        <f t="shared" si="4"/>
        <v>35916</v>
      </c>
      <c r="H407" s="4">
        <v>3.45875</v>
      </c>
      <c r="I407" s="2">
        <v>45413.0</v>
      </c>
      <c r="K407" s="2">
        <v>41122.0</v>
      </c>
      <c r="L407" s="4">
        <v>0.133</v>
      </c>
    </row>
    <row r="408" ht="12.75" customHeight="1">
      <c r="A408" s="2">
        <v>35947.0</v>
      </c>
      <c r="B408" s="77">
        <f t="shared" si="1"/>
        <v>6</v>
      </c>
      <c r="C408" s="78">
        <f t="shared" si="2"/>
        <v>1998</v>
      </c>
      <c r="D408" s="77">
        <v>1.047</v>
      </c>
      <c r="E408" s="4">
        <f t="shared" si="3"/>
        <v>1.0478</v>
      </c>
      <c r="F408" s="2">
        <f t="shared" si="4"/>
        <v>35947</v>
      </c>
      <c r="H408" s="4">
        <v>3.32625</v>
      </c>
      <c r="I408" s="2">
        <v>45444.0</v>
      </c>
      <c r="K408" s="2">
        <v>41153.0</v>
      </c>
      <c r="L408" s="4">
        <v>0.133</v>
      </c>
    </row>
    <row r="409" ht="12.75" customHeight="1">
      <c r="A409" s="2">
        <v>35954.0</v>
      </c>
      <c r="B409" s="77">
        <f t="shared" si="1"/>
        <v>6</v>
      </c>
      <c r="C409" s="78">
        <f t="shared" si="2"/>
        <v>1998</v>
      </c>
      <c r="D409" s="77">
        <v>1.06</v>
      </c>
      <c r="E409" s="4">
        <f t="shared" si="3"/>
        <v>1.0478</v>
      </c>
      <c r="F409" s="2">
        <f t="shared" si="4"/>
        <v>35947</v>
      </c>
      <c r="H409" s="4">
        <v>3.3776</v>
      </c>
      <c r="I409" s="2">
        <v>45474.0</v>
      </c>
      <c r="K409" s="2">
        <v>41183.0</v>
      </c>
      <c r="L409" s="4">
        <v>0.128</v>
      </c>
    </row>
    <row r="410" ht="12.75" customHeight="1">
      <c r="A410" s="2">
        <v>35961.0</v>
      </c>
      <c r="B410" s="77">
        <f t="shared" si="1"/>
        <v>6</v>
      </c>
      <c r="C410" s="78">
        <f t="shared" si="2"/>
        <v>1998</v>
      </c>
      <c r="D410" s="77">
        <v>1.049</v>
      </c>
      <c r="E410" s="4">
        <f t="shared" si="3"/>
        <v>1.0478</v>
      </c>
      <c r="F410" s="2">
        <f t="shared" si="4"/>
        <v>35947</v>
      </c>
      <c r="H410" s="4">
        <v>3.29525</v>
      </c>
      <c r="I410" s="2">
        <v>45505.0</v>
      </c>
      <c r="K410" s="2">
        <v>41214.0</v>
      </c>
      <c r="L410" s="4">
        <v>0.127</v>
      </c>
    </row>
    <row r="411" ht="12.75" customHeight="1">
      <c r="A411" s="2">
        <v>35968.0</v>
      </c>
      <c r="B411" s="77">
        <f t="shared" si="1"/>
        <v>6</v>
      </c>
      <c r="C411" s="78">
        <f t="shared" si="2"/>
        <v>1998</v>
      </c>
      <c r="D411" s="77">
        <v>1.041</v>
      </c>
      <c r="E411" s="4">
        <f t="shared" si="3"/>
        <v>1.0478</v>
      </c>
      <c r="F411" s="2">
        <f t="shared" si="4"/>
        <v>35947</v>
      </c>
      <c r="H411" s="4">
        <v>3.1058</v>
      </c>
      <c r="I411" s="2">
        <v>45536.0</v>
      </c>
      <c r="K411" s="2">
        <v>41244.0</v>
      </c>
      <c r="L411" s="4">
        <v>0.127</v>
      </c>
    </row>
    <row r="412" ht="12.75" customHeight="1">
      <c r="A412" s="2">
        <v>35975.0</v>
      </c>
      <c r="B412" s="77">
        <f t="shared" si="1"/>
        <v>6</v>
      </c>
      <c r="C412" s="78">
        <f t="shared" si="2"/>
        <v>1998</v>
      </c>
      <c r="D412" s="77">
        <v>1.042</v>
      </c>
      <c r="E412" s="4">
        <f t="shared" si="3"/>
        <v>1.0478</v>
      </c>
      <c r="F412" s="2">
        <f t="shared" si="4"/>
        <v>35947</v>
      </c>
      <c r="H412" s="4">
        <v>3.0359999999999996</v>
      </c>
      <c r="I412" s="2">
        <v>45566.0</v>
      </c>
      <c r="K412" s="2">
        <v>41275.0</v>
      </c>
      <c r="L412" s="4">
        <v>0.129</v>
      </c>
    </row>
    <row r="413" ht="12.75" customHeight="1">
      <c r="A413" s="2">
        <v>35982.0</v>
      </c>
      <c r="B413" s="77">
        <f t="shared" si="1"/>
        <v>7</v>
      </c>
      <c r="C413" s="78">
        <f t="shared" si="2"/>
        <v>1998</v>
      </c>
      <c r="D413" s="77">
        <v>1.041</v>
      </c>
      <c r="E413" s="4">
        <f t="shared" si="3"/>
        <v>1.03925</v>
      </c>
      <c r="F413" s="2">
        <f t="shared" si="4"/>
        <v>35977</v>
      </c>
      <c r="H413" s="4">
        <v>2.9623333333333335</v>
      </c>
      <c r="I413" s="2">
        <v>45597.0</v>
      </c>
      <c r="K413" s="2">
        <v>41306.0</v>
      </c>
      <c r="L413" s="4">
        <v>0.129</v>
      </c>
    </row>
    <row r="414" ht="12.75" customHeight="1">
      <c r="A414" s="2">
        <v>35989.0</v>
      </c>
      <c r="B414" s="77">
        <f t="shared" si="1"/>
        <v>7</v>
      </c>
      <c r="C414" s="78">
        <f t="shared" si="2"/>
        <v>1998</v>
      </c>
      <c r="D414" s="77">
        <v>1.037</v>
      </c>
      <c r="E414" s="4">
        <f t="shared" si="3"/>
        <v>1.03925</v>
      </c>
      <c r="F414" s="2">
        <f t="shared" si="4"/>
        <v>35977</v>
      </c>
      <c r="K414" s="2">
        <v>41334.0</v>
      </c>
      <c r="L414" s="4">
        <v>0.128</v>
      </c>
    </row>
    <row r="415" ht="12.75" customHeight="1">
      <c r="A415" s="2">
        <v>35996.0</v>
      </c>
      <c r="B415" s="77">
        <f t="shared" si="1"/>
        <v>7</v>
      </c>
      <c r="C415" s="78">
        <f t="shared" si="2"/>
        <v>1998</v>
      </c>
      <c r="D415" s="77">
        <v>1.044</v>
      </c>
      <c r="E415" s="4">
        <f t="shared" si="3"/>
        <v>1.03925</v>
      </c>
      <c r="F415" s="2">
        <f t="shared" si="4"/>
        <v>35977</v>
      </c>
      <c r="K415" s="2">
        <v>41365.0</v>
      </c>
      <c r="L415" s="4">
        <v>0.128</v>
      </c>
    </row>
    <row r="416" ht="12.75" customHeight="1">
      <c r="A416" s="2">
        <v>36003.0</v>
      </c>
      <c r="B416" s="77">
        <f t="shared" si="1"/>
        <v>7</v>
      </c>
      <c r="C416" s="78">
        <f t="shared" si="2"/>
        <v>1998</v>
      </c>
      <c r="D416" s="77">
        <v>1.035</v>
      </c>
      <c r="E416" s="4">
        <f t="shared" si="3"/>
        <v>1.03925</v>
      </c>
      <c r="F416" s="2">
        <f t="shared" si="4"/>
        <v>35977</v>
      </c>
      <c r="K416" s="2">
        <v>41395.0</v>
      </c>
      <c r="L416" s="4">
        <v>0.131</v>
      </c>
    </row>
    <row r="417" ht="12.75" customHeight="1">
      <c r="A417" s="2">
        <v>36010.0</v>
      </c>
      <c r="B417" s="77">
        <f t="shared" si="1"/>
        <v>8</v>
      </c>
      <c r="C417" s="78">
        <f t="shared" si="2"/>
        <v>1998</v>
      </c>
      <c r="D417" s="77">
        <v>1.023</v>
      </c>
      <c r="E417" s="4">
        <f t="shared" si="3"/>
        <v>1.0108</v>
      </c>
      <c r="F417" s="2">
        <f t="shared" si="4"/>
        <v>36008</v>
      </c>
      <c r="K417" s="2">
        <v>41426.0</v>
      </c>
      <c r="L417" s="4">
        <v>0.137</v>
      </c>
    </row>
    <row r="418" ht="12.75" customHeight="1">
      <c r="A418" s="2">
        <v>36017.0</v>
      </c>
      <c r="B418" s="77">
        <f t="shared" si="1"/>
        <v>8</v>
      </c>
      <c r="C418" s="78">
        <f t="shared" si="2"/>
        <v>1998</v>
      </c>
      <c r="D418" s="77">
        <v>1.018</v>
      </c>
      <c r="E418" s="4">
        <f t="shared" si="3"/>
        <v>1.0108</v>
      </c>
      <c r="F418" s="2">
        <f t="shared" si="4"/>
        <v>36008</v>
      </c>
      <c r="K418" s="2">
        <v>41456.0</v>
      </c>
      <c r="L418" s="4">
        <v>0.137</v>
      </c>
    </row>
    <row r="419" ht="12.75" customHeight="1">
      <c r="A419" s="2">
        <v>36024.0</v>
      </c>
      <c r="B419" s="77">
        <f t="shared" si="1"/>
        <v>8</v>
      </c>
      <c r="C419" s="78">
        <f t="shared" si="2"/>
        <v>1998</v>
      </c>
      <c r="D419" s="77">
        <v>1.011</v>
      </c>
      <c r="E419" s="4">
        <f t="shared" si="3"/>
        <v>1.0108</v>
      </c>
      <c r="F419" s="2">
        <f t="shared" si="4"/>
        <v>36008</v>
      </c>
      <c r="K419" s="2">
        <v>41487.0</v>
      </c>
      <c r="L419" s="4">
        <v>0.137</v>
      </c>
    </row>
    <row r="420" ht="12.75" customHeight="1">
      <c r="A420" s="2">
        <v>36031.0</v>
      </c>
      <c r="B420" s="77">
        <f t="shared" si="1"/>
        <v>8</v>
      </c>
      <c r="C420" s="78">
        <f t="shared" si="2"/>
        <v>1998</v>
      </c>
      <c r="D420" s="77">
        <v>1.004</v>
      </c>
      <c r="E420" s="4">
        <f t="shared" si="3"/>
        <v>1.0108</v>
      </c>
      <c r="F420" s="2">
        <f t="shared" si="4"/>
        <v>36008</v>
      </c>
      <c r="K420" s="2">
        <v>41518.0</v>
      </c>
      <c r="L420" s="4">
        <v>0.137</v>
      </c>
    </row>
    <row r="421" ht="12.75" customHeight="1">
      <c r="A421" s="2">
        <v>36038.0</v>
      </c>
      <c r="B421" s="77">
        <f t="shared" si="1"/>
        <v>8</v>
      </c>
      <c r="C421" s="78">
        <f t="shared" si="2"/>
        <v>1998</v>
      </c>
      <c r="D421" s="77">
        <v>0.998</v>
      </c>
      <c r="E421" s="4">
        <f t="shared" si="3"/>
        <v>1.0108</v>
      </c>
      <c r="F421" s="2">
        <f t="shared" si="4"/>
        <v>36008</v>
      </c>
      <c r="K421" s="2">
        <v>41548.0</v>
      </c>
      <c r="L421" s="4">
        <v>0.132</v>
      </c>
    </row>
    <row r="422" ht="12.75" customHeight="1">
      <c r="A422" s="2">
        <v>36045.0</v>
      </c>
      <c r="B422" s="77">
        <f t="shared" si="1"/>
        <v>9</v>
      </c>
      <c r="C422" s="78">
        <f t="shared" si="2"/>
        <v>1998</v>
      </c>
      <c r="D422" s="77">
        <v>0.991</v>
      </c>
      <c r="E422" s="4">
        <f t="shared" si="3"/>
        <v>0.994</v>
      </c>
      <c r="F422" s="2">
        <f t="shared" si="4"/>
        <v>36039</v>
      </c>
      <c r="K422" s="2">
        <v>41579.0</v>
      </c>
      <c r="L422" s="4">
        <v>0.13</v>
      </c>
    </row>
    <row r="423" ht="12.75" customHeight="1">
      <c r="A423" s="2">
        <v>36052.0</v>
      </c>
      <c r="B423" s="77">
        <f t="shared" si="1"/>
        <v>9</v>
      </c>
      <c r="C423" s="78">
        <f t="shared" si="2"/>
        <v>1998</v>
      </c>
      <c r="D423" s="77">
        <v>0.987</v>
      </c>
      <c r="E423" s="4">
        <f t="shared" si="3"/>
        <v>0.994</v>
      </c>
      <c r="F423" s="2">
        <f t="shared" si="4"/>
        <v>36039</v>
      </c>
      <c r="K423" s="2">
        <v>41609.0</v>
      </c>
      <c r="L423" s="4">
        <v>0.131</v>
      </c>
    </row>
    <row r="424" ht="12.75" customHeight="1">
      <c r="A424" s="2">
        <v>36059.0</v>
      </c>
      <c r="B424" s="77">
        <f t="shared" si="1"/>
        <v>9</v>
      </c>
      <c r="C424" s="78">
        <f t="shared" si="2"/>
        <v>1998</v>
      </c>
      <c r="D424" s="77">
        <v>0.999</v>
      </c>
      <c r="E424" s="4">
        <f t="shared" si="3"/>
        <v>0.994</v>
      </c>
      <c r="F424" s="2">
        <f t="shared" si="4"/>
        <v>36039</v>
      </c>
      <c r="K424" s="2">
        <v>41640.0</v>
      </c>
      <c r="L424" s="4">
        <v>0.134</v>
      </c>
    </row>
    <row r="425" ht="12.75" customHeight="1">
      <c r="A425" s="2">
        <v>36066.0</v>
      </c>
      <c r="B425" s="77">
        <f t="shared" si="1"/>
        <v>9</v>
      </c>
      <c r="C425" s="78">
        <f t="shared" si="2"/>
        <v>1998</v>
      </c>
      <c r="D425" s="77">
        <v>0.999</v>
      </c>
      <c r="E425" s="4">
        <f t="shared" si="3"/>
        <v>0.994</v>
      </c>
      <c r="F425" s="2">
        <f t="shared" si="4"/>
        <v>36039</v>
      </c>
      <c r="K425" s="2">
        <v>41671.0</v>
      </c>
      <c r="L425" s="4">
        <v>0.134</v>
      </c>
    </row>
    <row r="426" ht="12.75" customHeight="1">
      <c r="A426" s="2">
        <v>36073.0</v>
      </c>
      <c r="B426" s="77">
        <f t="shared" si="1"/>
        <v>10</v>
      </c>
      <c r="C426" s="78">
        <f t="shared" si="2"/>
        <v>1998</v>
      </c>
      <c r="D426" s="77">
        <v>1.006</v>
      </c>
      <c r="E426" s="4">
        <f t="shared" si="3"/>
        <v>1.006</v>
      </c>
      <c r="F426" s="2">
        <f t="shared" si="4"/>
        <v>36069</v>
      </c>
      <c r="K426" s="2">
        <v>41699.0</v>
      </c>
      <c r="L426" s="4">
        <v>0.135</v>
      </c>
    </row>
    <row r="427" ht="12.75" customHeight="1">
      <c r="A427" s="2">
        <v>36080.0</v>
      </c>
      <c r="B427" s="77">
        <f t="shared" si="1"/>
        <v>10</v>
      </c>
      <c r="C427" s="78">
        <f t="shared" si="2"/>
        <v>1998</v>
      </c>
      <c r="D427" s="77">
        <v>1.01</v>
      </c>
      <c r="E427" s="4">
        <f t="shared" si="3"/>
        <v>1.006</v>
      </c>
      <c r="F427" s="2">
        <f t="shared" si="4"/>
        <v>36069</v>
      </c>
      <c r="K427" s="2">
        <v>41730.0</v>
      </c>
      <c r="L427" s="4">
        <v>0.131</v>
      </c>
    </row>
    <row r="428" ht="12.75" customHeight="1">
      <c r="A428" s="2">
        <v>36087.0</v>
      </c>
      <c r="B428" s="77">
        <f t="shared" si="1"/>
        <v>10</v>
      </c>
      <c r="C428" s="78">
        <f t="shared" si="2"/>
        <v>1998</v>
      </c>
      <c r="D428" s="77">
        <v>1.007</v>
      </c>
      <c r="E428" s="4">
        <f t="shared" si="3"/>
        <v>1.006</v>
      </c>
      <c r="F428" s="2">
        <f t="shared" si="4"/>
        <v>36069</v>
      </c>
      <c r="K428" s="2">
        <v>41760.0</v>
      </c>
      <c r="L428" s="4">
        <v>0.136</v>
      </c>
    </row>
    <row r="429" ht="12.75" customHeight="1">
      <c r="A429" s="2">
        <v>36094.0</v>
      </c>
      <c r="B429" s="77">
        <f t="shared" si="1"/>
        <v>10</v>
      </c>
      <c r="C429" s="78">
        <f t="shared" si="2"/>
        <v>1998</v>
      </c>
      <c r="D429" s="77">
        <v>1.001</v>
      </c>
      <c r="E429" s="4">
        <f t="shared" si="3"/>
        <v>1.006</v>
      </c>
      <c r="F429" s="2">
        <f t="shared" si="4"/>
        <v>36069</v>
      </c>
      <c r="K429" s="2">
        <v>41791.0</v>
      </c>
      <c r="L429" s="4">
        <v>0.143</v>
      </c>
    </row>
    <row r="430" ht="12.75" customHeight="1">
      <c r="A430" s="2">
        <v>36101.0</v>
      </c>
      <c r="B430" s="77">
        <f t="shared" si="1"/>
        <v>11</v>
      </c>
      <c r="C430" s="78">
        <f t="shared" si="2"/>
        <v>1998</v>
      </c>
      <c r="D430" s="77">
        <v>0.997</v>
      </c>
      <c r="E430" s="4">
        <f t="shared" si="3"/>
        <v>0.9794</v>
      </c>
      <c r="F430" s="2">
        <f t="shared" si="4"/>
        <v>36100</v>
      </c>
      <c r="K430" s="2">
        <v>41821.0</v>
      </c>
      <c r="L430" s="4">
        <v>0.143</v>
      </c>
    </row>
    <row r="431" ht="12.75" customHeight="1">
      <c r="A431" s="2">
        <v>36108.0</v>
      </c>
      <c r="B431" s="77">
        <f t="shared" si="1"/>
        <v>11</v>
      </c>
      <c r="C431" s="78">
        <f t="shared" si="2"/>
        <v>1998</v>
      </c>
      <c r="D431" s="77">
        <v>0.994</v>
      </c>
      <c r="E431" s="4">
        <f t="shared" si="3"/>
        <v>0.9794</v>
      </c>
      <c r="F431" s="2">
        <f t="shared" si="4"/>
        <v>36100</v>
      </c>
      <c r="K431" s="2">
        <v>41852.0</v>
      </c>
      <c r="L431" s="4">
        <v>0.143</v>
      </c>
    </row>
    <row r="432" ht="12.75" customHeight="1">
      <c r="A432" s="2">
        <v>36115.0</v>
      </c>
      <c r="B432" s="77">
        <f t="shared" si="1"/>
        <v>11</v>
      </c>
      <c r="C432" s="78">
        <f t="shared" si="2"/>
        <v>1998</v>
      </c>
      <c r="D432" s="77">
        <v>0.981</v>
      </c>
      <c r="E432" s="4">
        <f t="shared" si="3"/>
        <v>0.9794</v>
      </c>
      <c r="F432" s="2">
        <f t="shared" si="4"/>
        <v>36100</v>
      </c>
      <c r="K432" s="2">
        <v>41883.0</v>
      </c>
      <c r="L432" s="4">
        <v>0.141</v>
      </c>
    </row>
    <row r="433" ht="12.75" customHeight="1">
      <c r="A433" s="2">
        <v>36122.0</v>
      </c>
      <c r="B433" s="77">
        <f t="shared" si="1"/>
        <v>11</v>
      </c>
      <c r="C433" s="78">
        <f t="shared" si="2"/>
        <v>1998</v>
      </c>
      <c r="D433" s="77">
        <v>0.971</v>
      </c>
      <c r="E433" s="4">
        <f t="shared" si="3"/>
        <v>0.9794</v>
      </c>
      <c r="F433" s="2">
        <f t="shared" si="4"/>
        <v>36100</v>
      </c>
      <c r="K433" s="2">
        <v>41913.0</v>
      </c>
      <c r="L433" s="4">
        <v>0.136</v>
      </c>
    </row>
    <row r="434" ht="12.75" customHeight="1">
      <c r="A434" s="2">
        <v>36129.0</v>
      </c>
      <c r="B434" s="77">
        <f t="shared" si="1"/>
        <v>11</v>
      </c>
      <c r="C434" s="78">
        <f t="shared" si="2"/>
        <v>1998</v>
      </c>
      <c r="D434" s="77">
        <v>0.954</v>
      </c>
      <c r="E434" s="4">
        <f t="shared" si="3"/>
        <v>0.9794</v>
      </c>
      <c r="F434" s="2">
        <f t="shared" si="4"/>
        <v>36100</v>
      </c>
      <c r="K434" s="2">
        <v>41944.0</v>
      </c>
      <c r="L434" s="4">
        <v>0.134</v>
      </c>
    </row>
    <row r="435" ht="12.75" customHeight="1">
      <c r="A435" s="2">
        <v>36136.0</v>
      </c>
      <c r="B435" s="77">
        <f t="shared" si="1"/>
        <v>12</v>
      </c>
      <c r="C435" s="78">
        <f t="shared" si="2"/>
        <v>1998</v>
      </c>
      <c r="D435" s="77">
        <v>0.933</v>
      </c>
      <c r="E435" s="4">
        <f t="shared" si="3"/>
        <v>0.92275</v>
      </c>
      <c r="F435" s="2">
        <f t="shared" si="4"/>
        <v>36130</v>
      </c>
      <c r="K435" s="2">
        <v>41974.0</v>
      </c>
      <c r="L435" s="4">
        <v>0.135</v>
      </c>
    </row>
    <row r="436" ht="12.75" customHeight="1">
      <c r="A436" s="2">
        <v>36143.0</v>
      </c>
      <c r="B436" s="77">
        <f t="shared" si="1"/>
        <v>12</v>
      </c>
      <c r="C436" s="78">
        <f t="shared" si="2"/>
        <v>1998</v>
      </c>
      <c r="D436" s="77">
        <v>0.923</v>
      </c>
      <c r="E436" s="4">
        <f t="shared" si="3"/>
        <v>0.92275</v>
      </c>
      <c r="F436" s="2">
        <f t="shared" si="4"/>
        <v>36130</v>
      </c>
      <c r="K436" s="2">
        <v>42005.0</v>
      </c>
      <c r="L436" s="4">
        <v>0.138</v>
      </c>
    </row>
    <row r="437" ht="12.75" customHeight="1">
      <c r="A437" s="2">
        <v>36150.0</v>
      </c>
      <c r="B437" s="77">
        <f t="shared" si="1"/>
        <v>12</v>
      </c>
      <c r="C437" s="78">
        <f t="shared" si="2"/>
        <v>1998</v>
      </c>
      <c r="D437" s="77">
        <v>0.921</v>
      </c>
      <c r="E437" s="4">
        <f t="shared" si="3"/>
        <v>0.92275</v>
      </c>
      <c r="F437" s="2">
        <f t="shared" si="4"/>
        <v>36130</v>
      </c>
      <c r="K437" s="2">
        <v>42036.0</v>
      </c>
      <c r="L437" s="4">
        <v>0.138</v>
      </c>
    </row>
    <row r="438" ht="12.75" customHeight="1">
      <c r="A438" s="2">
        <v>36157.0</v>
      </c>
      <c r="B438" s="77">
        <f t="shared" si="1"/>
        <v>12</v>
      </c>
      <c r="C438" s="78">
        <f t="shared" si="2"/>
        <v>1998</v>
      </c>
      <c r="D438" s="77">
        <v>0.914</v>
      </c>
      <c r="E438" s="4">
        <f t="shared" si="3"/>
        <v>0.92275</v>
      </c>
      <c r="F438" s="2">
        <f t="shared" si="4"/>
        <v>36130</v>
      </c>
      <c r="K438" s="2">
        <v>42064.0</v>
      </c>
      <c r="L438" s="4">
        <v>0.136</v>
      </c>
    </row>
    <row r="439" ht="12.75" customHeight="1">
      <c r="A439" s="2">
        <v>36164.0</v>
      </c>
      <c r="B439" s="77">
        <f t="shared" si="1"/>
        <v>1</v>
      </c>
      <c r="C439" s="78">
        <f t="shared" si="2"/>
        <v>1999</v>
      </c>
      <c r="D439" s="77">
        <v>0.913</v>
      </c>
      <c r="E439" s="4">
        <f t="shared" si="3"/>
        <v>0.91675</v>
      </c>
      <c r="F439" s="2">
        <f t="shared" si="4"/>
        <v>36161</v>
      </c>
      <c r="K439" s="2">
        <v>42095.0</v>
      </c>
      <c r="L439" s="4">
        <v>0.137</v>
      </c>
    </row>
    <row r="440" ht="12.75" customHeight="1">
      <c r="A440" s="2">
        <v>36171.0</v>
      </c>
      <c r="B440" s="77">
        <f t="shared" si="1"/>
        <v>1</v>
      </c>
      <c r="C440" s="78">
        <f t="shared" si="2"/>
        <v>1999</v>
      </c>
      <c r="D440" s="77">
        <v>0.92</v>
      </c>
      <c r="E440" s="4">
        <f t="shared" si="3"/>
        <v>0.91675</v>
      </c>
      <c r="F440" s="2">
        <f t="shared" si="4"/>
        <v>36161</v>
      </c>
      <c r="K440" s="2">
        <v>42125.0</v>
      </c>
      <c r="L440" s="4">
        <v>0.137</v>
      </c>
    </row>
    <row r="441" ht="12.75" customHeight="1">
      <c r="A441" s="2">
        <v>36178.0</v>
      </c>
      <c r="B441" s="77">
        <f t="shared" si="1"/>
        <v>1</v>
      </c>
      <c r="C441" s="78">
        <f t="shared" si="2"/>
        <v>1999</v>
      </c>
      <c r="D441" s="77">
        <v>0.921</v>
      </c>
      <c r="E441" s="4">
        <f t="shared" si="3"/>
        <v>0.91675</v>
      </c>
      <c r="F441" s="2">
        <f t="shared" si="4"/>
        <v>36161</v>
      </c>
      <c r="K441" s="2">
        <v>42156.0</v>
      </c>
      <c r="L441" s="4">
        <v>0.143</v>
      </c>
    </row>
    <row r="442" ht="12.75" customHeight="1">
      <c r="A442" s="2">
        <v>36185.0</v>
      </c>
      <c r="B442" s="77">
        <f t="shared" si="1"/>
        <v>1</v>
      </c>
      <c r="C442" s="78">
        <f t="shared" si="2"/>
        <v>1999</v>
      </c>
      <c r="D442" s="77">
        <v>0.913</v>
      </c>
      <c r="E442" s="4">
        <f t="shared" si="3"/>
        <v>0.91675</v>
      </c>
      <c r="F442" s="2">
        <f t="shared" si="4"/>
        <v>36161</v>
      </c>
      <c r="K442" s="2">
        <v>42186.0</v>
      </c>
      <c r="L442" s="4">
        <v>0.142</v>
      </c>
    </row>
    <row r="443" ht="12.75" customHeight="1">
      <c r="A443" s="2">
        <v>36192.0</v>
      </c>
      <c r="B443" s="77">
        <f t="shared" si="1"/>
        <v>2</v>
      </c>
      <c r="C443" s="78">
        <f t="shared" si="2"/>
        <v>1999</v>
      </c>
      <c r="D443" s="77">
        <v>0.908</v>
      </c>
      <c r="E443" s="4">
        <f t="shared" si="3"/>
        <v>0.89975</v>
      </c>
      <c r="F443" s="2">
        <f t="shared" si="4"/>
        <v>36192</v>
      </c>
      <c r="K443" s="2">
        <v>42217.0</v>
      </c>
      <c r="L443" s="4">
        <v>0.142</v>
      </c>
    </row>
    <row r="444" ht="12.75" customHeight="1">
      <c r="A444" s="2">
        <v>36199.0</v>
      </c>
      <c r="B444" s="77">
        <f t="shared" si="1"/>
        <v>2</v>
      </c>
      <c r="C444" s="78">
        <f t="shared" si="2"/>
        <v>1999</v>
      </c>
      <c r="D444" s="77">
        <v>0.907</v>
      </c>
      <c r="E444" s="4">
        <f t="shared" si="3"/>
        <v>0.89975</v>
      </c>
      <c r="F444" s="2">
        <f t="shared" si="4"/>
        <v>36192</v>
      </c>
      <c r="K444" s="2">
        <v>42248.0</v>
      </c>
      <c r="L444" s="4">
        <v>0.141</v>
      </c>
    </row>
    <row r="445" ht="12.75" customHeight="1">
      <c r="A445" s="2">
        <v>36206.0</v>
      </c>
      <c r="B445" s="77">
        <f t="shared" si="1"/>
        <v>2</v>
      </c>
      <c r="C445" s="78">
        <f t="shared" si="2"/>
        <v>1999</v>
      </c>
      <c r="D445" s="77">
        <v>0.899</v>
      </c>
      <c r="E445" s="4">
        <f t="shared" si="3"/>
        <v>0.89975</v>
      </c>
      <c r="F445" s="2">
        <f t="shared" si="4"/>
        <v>36192</v>
      </c>
      <c r="K445" s="2">
        <v>42278.0</v>
      </c>
      <c r="L445" s="4">
        <v>0.136</v>
      </c>
    </row>
    <row r="446" ht="12.75" customHeight="1">
      <c r="A446" s="2">
        <v>36213.0</v>
      </c>
      <c r="B446" s="77">
        <f t="shared" si="1"/>
        <v>2</v>
      </c>
      <c r="C446" s="78">
        <f t="shared" si="2"/>
        <v>1999</v>
      </c>
      <c r="D446" s="77">
        <v>0.885</v>
      </c>
      <c r="E446" s="4">
        <f t="shared" si="3"/>
        <v>0.89975</v>
      </c>
      <c r="F446" s="2">
        <f t="shared" si="4"/>
        <v>36192</v>
      </c>
      <c r="K446" s="2">
        <v>42309.0</v>
      </c>
      <c r="L446" s="4">
        <v>0.134</v>
      </c>
    </row>
    <row r="447" ht="12.75" customHeight="1">
      <c r="A447" s="2">
        <v>36220.0</v>
      </c>
      <c r="B447" s="77">
        <f t="shared" si="1"/>
        <v>3</v>
      </c>
      <c r="C447" s="78">
        <f t="shared" si="2"/>
        <v>1999</v>
      </c>
      <c r="D447" s="77">
        <v>0.891</v>
      </c>
      <c r="E447" s="4">
        <f t="shared" si="3"/>
        <v>0.9606</v>
      </c>
      <c r="F447" s="2">
        <f t="shared" si="4"/>
        <v>36220</v>
      </c>
      <c r="K447" s="2">
        <v>42339.0</v>
      </c>
      <c r="L447" s="4">
        <v>0.133</v>
      </c>
    </row>
    <row r="448" ht="12.75" customHeight="1">
      <c r="A448" s="2">
        <v>36227.0</v>
      </c>
      <c r="B448" s="77">
        <f t="shared" si="1"/>
        <v>3</v>
      </c>
      <c r="C448" s="78">
        <f t="shared" si="2"/>
        <v>1999</v>
      </c>
      <c r="D448" s="77">
        <v>0.9</v>
      </c>
      <c r="E448" s="4">
        <f t="shared" si="3"/>
        <v>0.9606</v>
      </c>
      <c r="F448" s="2">
        <f t="shared" si="4"/>
        <v>36220</v>
      </c>
      <c r="K448" s="2">
        <v>42370.0</v>
      </c>
      <c r="L448" s="4">
        <v>0.134</v>
      </c>
    </row>
    <row r="449" ht="12.75" customHeight="1">
      <c r="A449" s="2">
        <v>36234.0</v>
      </c>
      <c r="B449" s="77">
        <f t="shared" si="1"/>
        <v>3</v>
      </c>
      <c r="C449" s="78">
        <f t="shared" si="2"/>
        <v>1999</v>
      </c>
      <c r="D449" s="77">
        <v>0.958</v>
      </c>
      <c r="E449" s="4">
        <f t="shared" si="3"/>
        <v>0.9606</v>
      </c>
      <c r="F449" s="2">
        <f t="shared" si="4"/>
        <v>36220</v>
      </c>
      <c r="K449" s="2">
        <v>42401.0</v>
      </c>
      <c r="L449" s="4">
        <v>0.134</v>
      </c>
    </row>
    <row r="450" ht="12.75" customHeight="1">
      <c r="A450" s="2">
        <v>36241.0</v>
      </c>
      <c r="B450" s="77">
        <f t="shared" si="1"/>
        <v>3</v>
      </c>
      <c r="C450" s="78">
        <f t="shared" si="2"/>
        <v>1999</v>
      </c>
      <c r="D450" s="77">
        <v>0.999</v>
      </c>
      <c r="E450" s="4">
        <f t="shared" si="3"/>
        <v>0.9606</v>
      </c>
      <c r="F450" s="2">
        <f t="shared" si="4"/>
        <v>36220</v>
      </c>
      <c r="K450" s="2">
        <v>42430.0</v>
      </c>
      <c r="L450" s="4">
        <v>0.134</v>
      </c>
    </row>
    <row r="451" ht="12.75" customHeight="1">
      <c r="A451" s="2">
        <v>36248.0</v>
      </c>
      <c r="B451" s="77">
        <f t="shared" si="1"/>
        <v>3</v>
      </c>
      <c r="C451" s="78">
        <f t="shared" si="2"/>
        <v>1999</v>
      </c>
      <c r="D451" s="77">
        <v>1.055</v>
      </c>
      <c r="E451" s="4">
        <f t="shared" si="3"/>
        <v>0.9606</v>
      </c>
      <c r="F451" s="2">
        <f t="shared" si="4"/>
        <v>36220</v>
      </c>
      <c r="K451" s="2">
        <v>42461.0</v>
      </c>
      <c r="L451" s="4">
        <v>0.134</v>
      </c>
    </row>
    <row r="452" ht="12.75" customHeight="1">
      <c r="A452" s="2">
        <v>36255.0</v>
      </c>
      <c r="B452" s="77">
        <f t="shared" si="1"/>
        <v>4</v>
      </c>
      <c r="C452" s="78">
        <f t="shared" si="2"/>
        <v>1999</v>
      </c>
      <c r="D452" s="77">
        <v>1.087</v>
      </c>
      <c r="E452" s="4">
        <f t="shared" si="3"/>
        <v>1.099</v>
      </c>
      <c r="F452" s="2">
        <f t="shared" si="4"/>
        <v>36251</v>
      </c>
      <c r="K452" s="2">
        <v>42491.0</v>
      </c>
      <c r="L452" s="4">
        <v>0.133</v>
      </c>
    </row>
    <row r="453" ht="12.75" customHeight="1">
      <c r="A453" s="2">
        <v>36262.0</v>
      </c>
      <c r="B453" s="77">
        <f t="shared" si="1"/>
        <v>4</v>
      </c>
      <c r="C453" s="78">
        <f t="shared" si="2"/>
        <v>1999</v>
      </c>
      <c r="D453" s="77">
        <v>1.107</v>
      </c>
      <c r="E453" s="4">
        <f t="shared" si="3"/>
        <v>1.099</v>
      </c>
      <c r="F453" s="2">
        <f t="shared" si="4"/>
        <v>36251</v>
      </c>
      <c r="K453" s="2">
        <v>42522.0</v>
      </c>
      <c r="L453" s="4">
        <v>0.138</v>
      </c>
    </row>
    <row r="454" ht="12.75" customHeight="1">
      <c r="A454" s="2">
        <v>36269.0</v>
      </c>
      <c r="B454" s="77">
        <f t="shared" si="1"/>
        <v>4</v>
      </c>
      <c r="C454" s="78">
        <f t="shared" si="2"/>
        <v>1999</v>
      </c>
      <c r="D454" s="77">
        <v>1.103</v>
      </c>
      <c r="E454" s="4">
        <f t="shared" si="3"/>
        <v>1.099</v>
      </c>
      <c r="F454" s="2">
        <f t="shared" si="4"/>
        <v>36251</v>
      </c>
      <c r="K454" s="2">
        <v>42552.0</v>
      </c>
      <c r="L454" s="4">
        <v>0.139</v>
      </c>
    </row>
    <row r="455" ht="12.75" customHeight="1">
      <c r="A455" s="2">
        <v>36276.0</v>
      </c>
      <c r="B455" s="77">
        <f t="shared" si="1"/>
        <v>4</v>
      </c>
      <c r="C455" s="78">
        <f t="shared" si="2"/>
        <v>1999</v>
      </c>
      <c r="D455" s="77">
        <v>1.099</v>
      </c>
      <c r="E455" s="4">
        <f t="shared" si="3"/>
        <v>1.099</v>
      </c>
      <c r="F455" s="2">
        <f t="shared" si="4"/>
        <v>36251</v>
      </c>
      <c r="K455" s="2">
        <v>42583.0</v>
      </c>
      <c r="L455" s="4">
        <v>0.139</v>
      </c>
    </row>
    <row r="456" ht="12.75" customHeight="1">
      <c r="A456" s="2">
        <v>36283.0</v>
      </c>
      <c r="B456" s="77">
        <f t="shared" si="1"/>
        <v>5</v>
      </c>
      <c r="C456" s="78">
        <f t="shared" si="2"/>
        <v>1999</v>
      </c>
      <c r="D456" s="77">
        <v>1.107</v>
      </c>
      <c r="E456" s="4">
        <f t="shared" si="3"/>
        <v>1.1034</v>
      </c>
      <c r="F456" s="2">
        <f t="shared" si="4"/>
        <v>36281</v>
      </c>
      <c r="K456" s="2">
        <v>42614.0</v>
      </c>
      <c r="L456" s="4">
        <v>0.139</v>
      </c>
    </row>
    <row r="457" ht="12.75" customHeight="1">
      <c r="A457" s="2">
        <v>36290.0</v>
      </c>
      <c r="B457" s="77">
        <f t="shared" si="1"/>
        <v>5</v>
      </c>
      <c r="C457" s="78">
        <f t="shared" si="2"/>
        <v>1999</v>
      </c>
      <c r="D457" s="77">
        <v>1.109</v>
      </c>
      <c r="E457" s="4">
        <f t="shared" si="3"/>
        <v>1.1034</v>
      </c>
      <c r="F457" s="2">
        <f t="shared" si="4"/>
        <v>36281</v>
      </c>
      <c r="K457" s="2">
        <v>42644.0</v>
      </c>
      <c r="L457" s="4">
        <v>0.134</v>
      </c>
    </row>
    <row r="458" ht="12.75" customHeight="1">
      <c r="A458" s="2">
        <v>36297.0</v>
      </c>
      <c r="B458" s="77">
        <f t="shared" si="1"/>
        <v>5</v>
      </c>
      <c r="C458" s="78">
        <f t="shared" si="2"/>
        <v>1999</v>
      </c>
      <c r="D458" s="77">
        <v>1.112</v>
      </c>
      <c r="E458" s="4">
        <f t="shared" si="3"/>
        <v>1.1034</v>
      </c>
      <c r="F458" s="2">
        <f t="shared" si="4"/>
        <v>36281</v>
      </c>
      <c r="K458" s="2">
        <v>42675.0</v>
      </c>
      <c r="L458" s="4">
        <v>0.131</v>
      </c>
    </row>
    <row r="459" ht="12.75" customHeight="1">
      <c r="A459" s="2">
        <v>36304.0</v>
      </c>
      <c r="B459" s="77">
        <f t="shared" si="1"/>
        <v>5</v>
      </c>
      <c r="C459" s="78">
        <f t="shared" si="2"/>
        <v>1999</v>
      </c>
      <c r="D459" s="77">
        <v>1.101</v>
      </c>
      <c r="E459" s="4">
        <f t="shared" si="3"/>
        <v>1.1034</v>
      </c>
      <c r="F459" s="2">
        <f t="shared" si="4"/>
        <v>36281</v>
      </c>
      <c r="K459" s="2">
        <v>42705.0</v>
      </c>
      <c r="L459" s="4">
        <v>0.133</v>
      </c>
    </row>
    <row r="460" ht="12.75" customHeight="1">
      <c r="A460" s="2">
        <v>36311.0</v>
      </c>
      <c r="B460" s="77">
        <f t="shared" si="1"/>
        <v>5</v>
      </c>
      <c r="C460" s="78">
        <f t="shared" si="2"/>
        <v>1999</v>
      </c>
      <c r="D460" s="77">
        <v>1.088</v>
      </c>
      <c r="E460" s="4">
        <f t="shared" si="3"/>
        <v>1.1034</v>
      </c>
      <c r="F460" s="2">
        <f t="shared" si="4"/>
        <v>36281</v>
      </c>
      <c r="K460" s="2">
        <v>42736.0</v>
      </c>
      <c r="L460" s="4">
        <v>0.134</v>
      </c>
    </row>
    <row r="461" ht="12.75" customHeight="1">
      <c r="A461" s="2">
        <v>36318.0</v>
      </c>
      <c r="B461" s="77">
        <f t="shared" si="1"/>
        <v>6</v>
      </c>
      <c r="C461" s="78">
        <f t="shared" si="2"/>
        <v>1999</v>
      </c>
      <c r="D461" s="77">
        <v>1.092</v>
      </c>
      <c r="E461" s="4">
        <f t="shared" si="3"/>
        <v>1.095</v>
      </c>
      <c r="F461" s="2">
        <f t="shared" si="4"/>
        <v>36312</v>
      </c>
      <c r="K461" s="2">
        <v>42767.0</v>
      </c>
      <c r="L461" s="4">
        <v>0.135</v>
      </c>
    </row>
    <row r="462" ht="12.75" customHeight="1">
      <c r="A462" s="2">
        <v>36325.0</v>
      </c>
      <c r="B462" s="77">
        <f t="shared" si="1"/>
        <v>6</v>
      </c>
      <c r="C462" s="78">
        <f t="shared" si="2"/>
        <v>1999</v>
      </c>
      <c r="D462" s="77">
        <v>1.088</v>
      </c>
      <c r="E462" s="4">
        <f t="shared" si="3"/>
        <v>1.095</v>
      </c>
      <c r="F462" s="2">
        <f t="shared" si="4"/>
        <v>36312</v>
      </c>
      <c r="K462" s="2">
        <v>42795.0</v>
      </c>
      <c r="L462" s="4">
        <v>0.134</v>
      </c>
    </row>
    <row r="463" ht="12.75" customHeight="1">
      <c r="A463" s="2">
        <v>36332.0</v>
      </c>
      <c r="B463" s="77">
        <f t="shared" si="1"/>
        <v>6</v>
      </c>
      <c r="C463" s="78">
        <f t="shared" si="2"/>
        <v>1999</v>
      </c>
      <c r="D463" s="77">
        <v>1.105</v>
      </c>
      <c r="E463" s="4">
        <f t="shared" si="3"/>
        <v>1.095</v>
      </c>
      <c r="F463" s="2">
        <f t="shared" si="4"/>
        <v>36312</v>
      </c>
      <c r="K463" s="2">
        <v>42826.0</v>
      </c>
      <c r="L463" s="4">
        <v>0.135</v>
      </c>
    </row>
    <row r="464" ht="12.75" customHeight="1">
      <c r="A464" s="2">
        <v>36339.0</v>
      </c>
      <c r="B464" s="77">
        <f t="shared" si="1"/>
        <v>6</v>
      </c>
      <c r="C464" s="78">
        <f t="shared" si="2"/>
        <v>1999</v>
      </c>
      <c r="D464" s="77">
        <v>1.095</v>
      </c>
      <c r="E464" s="4">
        <f t="shared" si="3"/>
        <v>1.095</v>
      </c>
      <c r="F464" s="2">
        <f t="shared" si="4"/>
        <v>36312</v>
      </c>
      <c r="K464" s="2">
        <v>42856.0</v>
      </c>
      <c r="L464" s="4">
        <v>0.137</v>
      </c>
    </row>
    <row r="465" ht="12.75" customHeight="1">
      <c r="A465" s="2">
        <v>36346.0</v>
      </c>
      <c r="B465" s="77">
        <f t="shared" si="1"/>
        <v>7</v>
      </c>
      <c r="C465" s="78">
        <f t="shared" si="2"/>
        <v>1999</v>
      </c>
      <c r="D465" s="77">
        <v>1.11</v>
      </c>
      <c r="E465" s="4">
        <f t="shared" si="3"/>
        <v>1.13825</v>
      </c>
      <c r="F465" s="2">
        <f t="shared" si="4"/>
        <v>36342</v>
      </c>
      <c r="K465" s="2">
        <v>42887.0</v>
      </c>
      <c r="L465" s="4">
        <v>0.142</v>
      </c>
    </row>
    <row r="466" ht="12.75" customHeight="1">
      <c r="A466" s="2">
        <v>36353.0</v>
      </c>
      <c r="B466" s="77">
        <f t="shared" si="1"/>
        <v>7</v>
      </c>
      <c r="C466" s="78">
        <f t="shared" si="2"/>
        <v>1999</v>
      </c>
      <c r="D466" s="77">
        <v>1.123</v>
      </c>
      <c r="E466" s="4">
        <f t="shared" si="3"/>
        <v>1.13825</v>
      </c>
      <c r="F466" s="2">
        <f t="shared" si="4"/>
        <v>36342</v>
      </c>
      <c r="K466" s="2">
        <v>42917.0</v>
      </c>
      <c r="L466" s="4">
        <v>0.143</v>
      </c>
    </row>
    <row r="467" ht="12.75" customHeight="1">
      <c r="A467" s="2">
        <v>36360.0</v>
      </c>
      <c r="B467" s="77">
        <f t="shared" si="1"/>
        <v>7</v>
      </c>
      <c r="C467" s="78">
        <f t="shared" si="2"/>
        <v>1999</v>
      </c>
      <c r="D467" s="77">
        <v>1.148</v>
      </c>
      <c r="E467" s="4">
        <f t="shared" si="3"/>
        <v>1.13825</v>
      </c>
      <c r="F467" s="2">
        <f t="shared" si="4"/>
        <v>36342</v>
      </c>
      <c r="K467" s="2">
        <v>42948.0</v>
      </c>
      <c r="L467" s="4">
        <v>0.142</v>
      </c>
    </row>
    <row r="468" ht="12.75" customHeight="1">
      <c r="A468" s="2">
        <v>36367.0</v>
      </c>
      <c r="B468" s="77">
        <f t="shared" si="1"/>
        <v>7</v>
      </c>
      <c r="C468" s="78">
        <f t="shared" si="2"/>
        <v>1999</v>
      </c>
      <c r="D468" s="77">
        <v>1.172</v>
      </c>
      <c r="E468" s="4">
        <f t="shared" si="3"/>
        <v>1.13825</v>
      </c>
      <c r="F468" s="2">
        <f t="shared" si="4"/>
        <v>36342</v>
      </c>
      <c r="K468" s="2">
        <v>42979.0</v>
      </c>
      <c r="L468" s="4">
        <v>0.142</v>
      </c>
    </row>
    <row r="469" ht="12.75" customHeight="1">
      <c r="A469" s="2">
        <v>36374.0</v>
      </c>
      <c r="B469" s="77">
        <f t="shared" si="1"/>
        <v>8</v>
      </c>
      <c r="C469" s="78">
        <f t="shared" si="2"/>
        <v>1999</v>
      </c>
      <c r="D469" s="77">
        <v>1.172</v>
      </c>
      <c r="E469" s="4">
        <f t="shared" si="3"/>
        <v>1.199</v>
      </c>
      <c r="F469" s="2">
        <f t="shared" si="4"/>
        <v>36373</v>
      </c>
      <c r="K469" s="2">
        <v>43009.0</v>
      </c>
      <c r="L469" s="4">
        <v>0.137</v>
      </c>
    </row>
    <row r="470" ht="12.75" customHeight="1">
      <c r="A470" s="2">
        <v>36381.0</v>
      </c>
      <c r="B470" s="77">
        <f t="shared" si="1"/>
        <v>8</v>
      </c>
      <c r="C470" s="78">
        <f t="shared" si="2"/>
        <v>1999</v>
      </c>
      <c r="D470" s="77">
        <v>1.183</v>
      </c>
      <c r="E470" s="4">
        <f t="shared" si="3"/>
        <v>1.199</v>
      </c>
      <c r="F470" s="2">
        <f t="shared" si="4"/>
        <v>36373</v>
      </c>
      <c r="K470" s="2">
        <v>43040.0</v>
      </c>
      <c r="L470" s="4">
        <v>0.136</v>
      </c>
    </row>
    <row r="471" ht="12.75" customHeight="1">
      <c r="A471" s="2">
        <v>36388.0</v>
      </c>
      <c r="B471" s="77">
        <f t="shared" si="1"/>
        <v>8</v>
      </c>
      <c r="C471" s="78">
        <f t="shared" si="2"/>
        <v>1999</v>
      </c>
      <c r="D471" s="77">
        <v>1.214</v>
      </c>
      <c r="E471" s="4">
        <f t="shared" si="3"/>
        <v>1.199</v>
      </c>
      <c r="F471" s="2">
        <f t="shared" si="4"/>
        <v>36373</v>
      </c>
      <c r="K471" s="2">
        <v>43070.0</v>
      </c>
      <c r="L471" s="4">
        <v>0.136</v>
      </c>
    </row>
    <row r="472" ht="12.75" customHeight="1">
      <c r="A472" s="2">
        <v>36395.0</v>
      </c>
      <c r="B472" s="77">
        <f t="shared" si="1"/>
        <v>8</v>
      </c>
      <c r="C472" s="78">
        <f t="shared" si="2"/>
        <v>1999</v>
      </c>
      <c r="D472" s="77">
        <v>1.212</v>
      </c>
      <c r="E472" s="4">
        <f t="shared" si="3"/>
        <v>1.199</v>
      </c>
      <c r="F472" s="2">
        <f t="shared" si="4"/>
        <v>36373</v>
      </c>
      <c r="K472" s="2">
        <v>43101.0</v>
      </c>
      <c r="L472" s="4">
        <v>0.135</v>
      </c>
    </row>
    <row r="473" ht="12.75" customHeight="1">
      <c r="A473" s="2">
        <v>36402.0</v>
      </c>
      <c r="B473" s="77">
        <f t="shared" si="1"/>
        <v>8</v>
      </c>
      <c r="C473" s="78">
        <f t="shared" si="2"/>
        <v>1999</v>
      </c>
      <c r="D473" s="77">
        <v>1.214</v>
      </c>
      <c r="E473" s="4">
        <f t="shared" si="3"/>
        <v>1.199</v>
      </c>
      <c r="F473" s="2">
        <f t="shared" si="4"/>
        <v>36373</v>
      </c>
      <c r="K473" s="2">
        <v>43132.0</v>
      </c>
      <c r="L473" s="4">
        <v>0.135</v>
      </c>
    </row>
    <row r="474" ht="12.75" customHeight="1">
      <c r="A474" s="2">
        <v>36409.0</v>
      </c>
      <c r="B474" s="77">
        <f t="shared" si="1"/>
        <v>9</v>
      </c>
      <c r="C474" s="78">
        <f t="shared" si="2"/>
        <v>1999</v>
      </c>
      <c r="D474" s="77">
        <v>1.223</v>
      </c>
      <c r="E474" s="4">
        <f t="shared" si="3"/>
        <v>1.23925</v>
      </c>
      <c r="F474" s="2">
        <f t="shared" si="4"/>
        <v>36404</v>
      </c>
      <c r="K474" s="2">
        <v>43160.0</v>
      </c>
      <c r="L474" s="4">
        <v>0.135</v>
      </c>
    </row>
    <row r="475" ht="12.75" customHeight="1">
      <c r="A475" s="2">
        <v>36416.0</v>
      </c>
      <c r="B475" s="77">
        <f t="shared" si="1"/>
        <v>9</v>
      </c>
      <c r="C475" s="78">
        <f t="shared" si="2"/>
        <v>1999</v>
      </c>
      <c r="D475" s="77">
        <v>1.234</v>
      </c>
      <c r="E475" s="4">
        <f t="shared" si="3"/>
        <v>1.23925</v>
      </c>
      <c r="F475" s="2">
        <f t="shared" si="4"/>
        <v>36404</v>
      </c>
      <c r="K475" s="2">
        <v>43191.0</v>
      </c>
      <c r="L475" s="4">
        <v>0.134</v>
      </c>
    </row>
    <row r="476" ht="12.75" customHeight="1">
      <c r="A476" s="2">
        <v>36423.0</v>
      </c>
      <c r="B476" s="77">
        <f t="shared" si="1"/>
        <v>9</v>
      </c>
      <c r="C476" s="78">
        <f t="shared" si="2"/>
        <v>1999</v>
      </c>
      <c r="D476" s="77">
        <v>1.252</v>
      </c>
      <c r="E476" s="4">
        <f t="shared" si="3"/>
        <v>1.23925</v>
      </c>
      <c r="F476" s="2">
        <f t="shared" si="4"/>
        <v>36404</v>
      </c>
      <c r="K476" s="2">
        <v>43221.0</v>
      </c>
      <c r="L476" s="4">
        <v>0.136</v>
      </c>
    </row>
    <row r="477" ht="12.75" customHeight="1">
      <c r="A477" s="2">
        <v>36430.0</v>
      </c>
      <c r="B477" s="77">
        <f t="shared" si="1"/>
        <v>9</v>
      </c>
      <c r="C477" s="78">
        <f t="shared" si="2"/>
        <v>1999</v>
      </c>
      <c r="D477" s="77">
        <v>1.248</v>
      </c>
      <c r="E477" s="4">
        <f t="shared" si="3"/>
        <v>1.23925</v>
      </c>
      <c r="F477" s="2">
        <f t="shared" si="4"/>
        <v>36404</v>
      </c>
      <c r="K477" s="2">
        <v>43252.0</v>
      </c>
      <c r="L477" s="4">
        <v>0.139</v>
      </c>
    </row>
    <row r="478" ht="12.75" customHeight="1">
      <c r="A478" s="2">
        <v>36437.0</v>
      </c>
      <c r="B478" s="77">
        <f t="shared" si="1"/>
        <v>10</v>
      </c>
      <c r="C478" s="78">
        <f t="shared" si="2"/>
        <v>1999</v>
      </c>
      <c r="D478" s="77">
        <v>1.242</v>
      </c>
      <c r="E478" s="4">
        <f t="shared" si="3"/>
        <v>1.23025</v>
      </c>
      <c r="F478" s="2">
        <f t="shared" si="4"/>
        <v>36434</v>
      </c>
      <c r="K478" s="2">
        <v>43282.0</v>
      </c>
      <c r="L478" s="4">
        <v>0.139</v>
      </c>
    </row>
    <row r="479" ht="12.75" customHeight="1">
      <c r="A479" s="2">
        <v>36444.0</v>
      </c>
      <c r="B479" s="77">
        <f t="shared" si="1"/>
        <v>10</v>
      </c>
      <c r="C479" s="78">
        <f t="shared" si="2"/>
        <v>1999</v>
      </c>
      <c r="D479" s="77">
        <v>1.234</v>
      </c>
      <c r="E479" s="4">
        <f t="shared" si="3"/>
        <v>1.23025</v>
      </c>
      <c r="F479" s="2">
        <f t="shared" si="4"/>
        <v>36434</v>
      </c>
      <c r="K479" s="2">
        <v>43313.0</v>
      </c>
      <c r="L479" s="4">
        <v>0.139</v>
      </c>
    </row>
    <row r="480" ht="12.75" customHeight="1">
      <c r="A480" s="2">
        <v>36451.0</v>
      </c>
      <c r="B480" s="77">
        <f t="shared" si="1"/>
        <v>10</v>
      </c>
      <c r="C480" s="78">
        <f t="shared" si="2"/>
        <v>1999</v>
      </c>
      <c r="D480" s="77">
        <v>1.22</v>
      </c>
      <c r="E480" s="4">
        <f t="shared" si="3"/>
        <v>1.23025</v>
      </c>
      <c r="F480" s="2">
        <f t="shared" si="4"/>
        <v>36434</v>
      </c>
      <c r="K480" s="2">
        <v>43344.0</v>
      </c>
      <c r="L480" s="4">
        <v>0.138</v>
      </c>
    </row>
    <row r="481" ht="12.75" customHeight="1">
      <c r="A481" s="2">
        <v>36458.0</v>
      </c>
      <c r="B481" s="77">
        <f t="shared" si="1"/>
        <v>10</v>
      </c>
      <c r="C481" s="78">
        <f t="shared" si="2"/>
        <v>1999</v>
      </c>
      <c r="D481" s="77">
        <v>1.225</v>
      </c>
      <c r="E481" s="4">
        <f t="shared" si="3"/>
        <v>1.23025</v>
      </c>
      <c r="F481" s="2">
        <f t="shared" si="4"/>
        <v>36434</v>
      </c>
      <c r="K481" s="2">
        <v>43374.0</v>
      </c>
      <c r="L481" s="4">
        <v>0.136</v>
      </c>
    </row>
    <row r="482" ht="12.75" customHeight="1">
      <c r="A482" s="2">
        <v>36465.0</v>
      </c>
      <c r="B482" s="77">
        <f t="shared" si="1"/>
        <v>11</v>
      </c>
      <c r="C482" s="78">
        <f t="shared" si="2"/>
        <v>1999</v>
      </c>
      <c r="D482" s="77">
        <v>1.218</v>
      </c>
      <c r="E482" s="4">
        <f t="shared" si="3"/>
        <v>1.24</v>
      </c>
      <c r="F482" s="2">
        <f t="shared" si="4"/>
        <v>36465</v>
      </c>
      <c r="K482" s="2">
        <v>43405.0</v>
      </c>
      <c r="L482" s="4">
        <v>0.134</v>
      </c>
    </row>
    <row r="483" ht="12.75" customHeight="1">
      <c r="A483" s="2">
        <v>36472.0</v>
      </c>
      <c r="B483" s="77">
        <f t="shared" si="1"/>
        <v>11</v>
      </c>
      <c r="C483" s="78">
        <f t="shared" si="2"/>
        <v>1999</v>
      </c>
      <c r="D483" s="77">
        <v>1.222</v>
      </c>
      <c r="E483" s="4">
        <f t="shared" si="3"/>
        <v>1.24</v>
      </c>
      <c r="F483" s="2">
        <f t="shared" si="4"/>
        <v>36465</v>
      </c>
      <c r="K483" s="2">
        <v>43435.0</v>
      </c>
      <c r="L483" s="4">
        <v>0.135</v>
      </c>
    </row>
    <row r="484" ht="12.75" customHeight="1">
      <c r="A484" s="2">
        <v>36479.0</v>
      </c>
      <c r="B484" s="77">
        <f t="shared" si="1"/>
        <v>11</v>
      </c>
      <c r="C484" s="78">
        <f t="shared" si="2"/>
        <v>1999</v>
      </c>
      <c r="D484" s="77">
        <v>1.24</v>
      </c>
      <c r="E484" s="4">
        <f t="shared" si="3"/>
        <v>1.24</v>
      </c>
      <c r="F484" s="2">
        <f t="shared" si="4"/>
        <v>36465</v>
      </c>
      <c r="K484" s="2">
        <v>43466.0</v>
      </c>
      <c r="L484" s="4">
        <v>0.135</v>
      </c>
    </row>
    <row r="485" ht="12.75" customHeight="1">
      <c r="A485" s="2">
        <v>36486.0</v>
      </c>
      <c r="B485" s="77">
        <f t="shared" si="1"/>
        <v>11</v>
      </c>
      <c r="C485" s="78">
        <f t="shared" si="2"/>
        <v>1999</v>
      </c>
      <c r="D485" s="77">
        <v>1.258</v>
      </c>
      <c r="E485" s="4">
        <f t="shared" si="3"/>
        <v>1.24</v>
      </c>
      <c r="F485" s="2">
        <f t="shared" si="4"/>
        <v>36465</v>
      </c>
      <c r="K485" s="2">
        <v>43497.0</v>
      </c>
      <c r="L485" s="4">
        <v>0.136</v>
      </c>
    </row>
    <row r="486" ht="12.75" customHeight="1">
      <c r="A486" s="2">
        <v>36493.0</v>
      </c>
      <c r="B486" s="77">
        <f t="shared" si="1"/>
        <v>11</v>
      </c>
      <c r="C486" s="78">
        <f t="shared" si="2"/>
        <v>1999</v>
      </c>
      <c r="D486" s="77">
        <v>1.262</v>
      </c>
      <c r="E486" s="4">
        <f t="shared" si="3"/>
        <v>1.24</v>
      </c>
      <c r="F486" s="2">
        <f t="shared" si="4"/>
        <v>36465</v>
      </c>
      <c r="K486" s="2">
        <v>43525.0</v>
      </c>
      <c r="L486" s="4">
        <v>0.135</v>
      </c>
    </row>
    <row r="487" ht="12.75" customHeight="1">
      <c r="A487" s="2">
        <v>36500.0</v>
      </c>
      <c r="B487" s="77">
        <f t="shared" si="1"/>
        <v>12</v>
      </c>
      <c r="C487" s="78">
        <f t="shared" si="2"/>
        <v>1999</v>
      </c>
      <c r="D487" s="77">
        <v>1.26</v>
      </c>
      <c r="E487" s="4">
        <f t="shared" si="3"/>
        <v>1.26075</v>
      </c>
      <c r="F487" s="2">
        <f t="shared" si="4"/>
        <v>36495</v>
      </c>
      <c r="K487" s="2">
        <v>43556.0</v>
      </c>
      <c r="L487" s="4">
        <v>0.135</v>
      </c>
    </row>
    <row r="488" ht="12.75" customHeight="1">
      <c r="A488" s="2">
        <v>36507.0</v>
      </c>
      <c r="B488" s="77">
        <f t="shared" si="1"/>
        <v>12</v>
      </c>
      <c r="C488" s="78">
        <f t="shared" si="2"/>
        <v>1999</v>
      </c>
      <c r="D488" s="77">
        <v>1.263</v>
      </c>
      <c r="E488" s="4">
        <f t="shared" si="3"/>
        <v>1.26075</v>
      </c>
      <c r="F488" s="2">
        <f t="shared" si="4"/>
        <v>36495</v>
      </c>
      <c r="K488" s="2">
        <v>43586.0</v>
      </c>
      <c r="L488" s="4">
        <v>0.136</v>
      </c>
    </row>
    <row r="489" ht="12.75" customHeight="1">
      <c r="A489" s="2">
        <v>36514.0</v>
      </c>
      <c r="B489" s="77">
        <f t="shared" si="1"/>
        <v>12</v>
      </c>
      <c r="C489" s="78">
        <f t="shared" si="2"/>
        <v>1999</v>
      </c>
      <c r="D489" s="77">
        <v>1.257</v>
      </c>
      <c r="E489" s="4">
        <f t="shared" si="3"/>
        <v>1.26075</v>
      </c>
      <c r="F489" s="2">
        <f t="shared" si="4"/>
        <v>36495</v>
      </c>
      <c r="K489" s="2">
        <v>43617.0</v>
      </c>
      <c r="L489" s="4">
        <v>0.139</v>
      </c>
    </row>
    <row r="490" ht="12.75" customHeight="1">
      <c r="A490" s="2">
        <v>36521.0</v>
      </c>
      <c r="B490" s="77">
        <f t="shared" si="1"/>
        <v>12</v>
      </c>
      <c r="C490" s="78">
        <f t="shared" si="2"/>
        <v>1999</v>
      </c>
      <c r="D490" s="77">
        <v>1.263</v>
      </c>
      <c r="E490" s="4">
        <f t="shared" si="3"/>
        <v>1.26075</v>
      </c>
      <c r="F490" s="2">
        <f t="shared" si="4"/>
        <v>36495</v>
      </c>
      <c r="K490" s="2">
        <v>43647.0</v>
      </c>
      <c r="L490" s="4">
        <v>0.14</v>
      </c>
    </row>
    <row r="491" ht="12.75" customHeight="1">
      <c r="A491" s="2">
        <v>36528.0</v>
      </c>
      <c r="B491" s="77">
        <f t="shared" si="1"/>
        <v>1</v>
      </c>
      <c r="C491" s="78">
        <f t="shared" si="2"/>
        <v>2000</v>
      </c>
      <c r="D491" s="77">
        <v>1.26</v>
      </c>
      <c r="E491" s="4">
        <f t="shared" si="3"/>
        <v>1.2788</v>
      </c>
      <c r="F491" s="2">
        <f t="shared" si="4"/>
        <v>36526</v>
      </c>
      <c r="K491" s="2">
        <v>43678.0</v>
      </c>
      <c r="L491" s="4">
        <v>0.139</v>
      </c>
    </row>
    <row r="492" ht="12.75" customHeight="1">
      <c r="A492" s="2">
        <v>36535.0</v>
      </c>
      <c r="B492" s="77">
        <f t="shared" si="1"/>
        <v>1</v>
      </c>
      <c r="C492" s="78">
        <f t="shared" si="2"/>
        <v>2000</v>
      </c>
      <c r="D492" s="77">
        <v>1.252</v>
      </c>
      <c r="E492" s="4">
        <f t="shared" si="3"/>
        <v>1.2788</v>
      </c>
      <c r="F492" s="2">
        <f t="shared" si="4"/>
        <v>36526</v>
      </c>
      <c r="K492" s="2">
        <v>43709.0</v>
      </c>
      <c r="L492" s="4">
        <v>0.139</v>
      </c>
    </row>
    <row r="493" ht="12.75" customHeight="1">
      <c r="A493" s="2">
        <v>36542.0</v>
      </c>
      <c r="B493" s="77">
        <f t="shared" si="1"/>
        <v>1</v>
      </c>
      <c r="C493" s="78">
        <f t="shared" si="2"/>
        <v>2000</v>
      </c>
      <c r="D493" s="77">
        <v>1.268</v>
      </c>
      <c r="E493" s="4">
        <f t="shared" si="3"/>
        <v>1.2788</v>
      </c>
      <c r="F493" s="2">
        <f t="shared" si="4"/>
        <v>36526</v>
      </c>
      <c r="K493" s="2">
        <v>43739.0</v>
      </c>
      <c r="L493" s="4">
        <v>0.136</v>
      </c>
    </row>
    <row r="494" ht="12.75" customHeight="1">
      <c r="A494" s="2">
        <v>36549.0</v>
      </c>
      <c r="B494" s="77">
        <f t="shared" si="1"/>
        <v>1</v>
      </c>
      <c r="C494" s="78">
        <f t="shared" si="2"/>
        <v>2000</v>
      </c>
      <c r="D494" s="77">
        <v>1.307</v>
      </c>
      <c r="E494" s="4">
        <f t="shared" si="3"/>
        <v>1.2788</v>
      </c>
      <c r="F494" s="2">
        <f t="shared" si="4"/>
        <v>36526</v>
      </c>
      <c r="K494" s="2">
        <v>43770.0</v>
      </c>
      <c r="L494" s="4">
        <v>0.133</v>
      </c>
    </row>
    <row r="495" ht="12.75" customHeight="1">
      <c r="A495" s="2">
        <v>36556.0</v>
      </c>
      <c r="B495" s="77">
        <f t="shared" si="1"/>
        <v>1</v>
      </c>
      <c r="C495" s="78">
        <f t="shared" si="2"/>
        <v>2000</v>
      </c>
      <c r="D495" s="77">
        <v>1.307</v>
      </c>
      <c r="E495" s="4">
        <f t="shared" si="3"/>
        <v>1.2788</v>
      </c>
      <c r="F495" s="2">
        <f t="shared" si="4"/>
        <v>36526</v>
      </c>
      <c r="K495" s="2">
        <v>43800.0</v>
      </c>
      <c r="L495" s="4">
        <v>0.133</v>
      </c>
    </row>
    <row r="496" ht="12.75" customHeight="1">
      <c r="A496" s="2">
        <v>36563.0</v>
      </c>
      <c r="B496" s="77">
        <f t="shared" si="1"/>
        <v>2</v>
      </c>
      <c r="C496" s="78">
        <f t="shared" si="2"/>
        <v>2000</v>
      </c>
      <c r="D496" s="77">
        <v>1.319</v>
      </c>
      <c r="E496" s="4">
        <f t="shared" si="3"/>
        <v>1.3705</v>
      </c>
      <c r="F496" s="2">
        <f t="shared" si="4"/>
        <v>36557</v>
      </c>
      <c r="K496" s="2">
        <v>43831.0</v>
      </c>
      <c r="L496" s="4">
        <v>0.134</v>
      </c>
    </row>
    <row r="497" ht="12.75" customHeight="1">
      <c r="A497" s="2">
        <v>36570.0</v>
      </c>
      <c r="B497" s="77">
        <f t="shared" si="1"/>
        <v>2</v>
      </c>
      <c r="C497" s="78">
        <f t="shared" si="2"/>
        <v>2000</v>
      </c>
      <c r="D497" s="77">
        <v>1.35</v>
      </c>
      <c r="E497" s="4">
        <f t="shared" si="3"/>
        <v>1.3705</v>
      </c>
      <c r="F497" s="2">
        <f t="shared" si="4"/>
        <v>36557</v>
      </c>
      <c r="K497" s="2">
        <v>43862.0</v>
      </c>
      <c r="L497" s="4">
        <v>0.134</v>
      </c>
    </row>
    <row r="498" ht="12.75" customHeight="1">
      <c r="A498" s="2">
        <v>36577.0</v>
      </c>
      <c r="B498" s="77">
        <f t="shared" si="1"/>
        <v>2</v>
      </c>
      <c r="C498" s="78">
        <f t="shared" si="2"/>
        <v>2000</v>
      </c>
      <c r="D498" s="77">
        <v>1.4</v>
      </c>
      <c r="E498" s="4">
        <f t="shared" si="3"/>
        <v>1.3705</v>
      </c>
      <c r="F498" s="2">
        <f t="shared" si="4"/>
        <v>36557</v>
      </c>
      <c r="K498" s="2">
        <v>43891.0</v>
      </c>
      <c r="L498" s="4">
        <v>0.134</v>
      </c>
    </row>
    <row r="499" ht="12.75" customHeight="1">
      <c r="A499" s="2">
        <v>36584.0</v>
      </c>
      <c r="B499" s="77">
        <f t="shared" si="1"/>
        <v>2</v>
      </c>
      <c r="C499" s="78">
        <f t="shared" si="2"/>
        <v>2000</v>
      </c>
      <c r="D499" s="77">
        <v>1.413</v>
      </c>
      <c r="E499" s="4">
        <f t="shared" si="3"/>
        <v>1.3705</v>
      </c>
      <c r="F499" s="2">
        <f t="shared" si="4"/>
        <v>36557</v>
      </c>
      <c r="K499" s="2">
        <v>43922.0</v>
      </c>
      <c r="L499" s="4">
        <v>0.133</v>
      </c>
    </row>
    <row r="500" ht="12.75" customHeight="1">
      <c r="A500" s="2">
        <v>36591.0</v>
      </c>
      <c r="B500" s="77">
        <f t="shared" si="1"/>
        <v>3</v>
      </c>
      <c r="C500" s="78">
        <f t="shared" si="2"/>
        <v>2000</v>
      </c>
      <c r="D500" s="77">
        <v>1.49</v>
      </c>
      <c r="E500" s="4">
        <f t="shared" si="3"/>
        <v>1.49825</v>
      </c>
      <c r="F500" s="2">
        <f t="shared" si="4"/>
        <v>36586</v>
      </c>
      <c r="K500" s="2">
        <v>43952.0</v>
      </c>
      <c r="L500" s="4">
        <v>0.134</v>
      </c>
    </row>
    <row r="501" ht="12.75" customHeight="1">
      <c r="A501" s="2">
        <v>36598.0</v>
      </c>
      <c r="B501" s="77">
        <f t="shared" si="1"/>
        <v>3</v>
      </c>
      <c r="C501" s="78">
        <f t="shared" si="2"/>
        <v>2000</v>
      </c>
      <c r="D501" s="77">
        <v>1.511</v>
      </c>
      <c r="E501" s="4">
        <f t="shared" si="3"/>
        <v>1.49825</v>
      </c>
      <c r="F501" s="2">
        <f t="shared" si="4"/>
        <v>36586</v>
      </c>
      <c r="K501" s="2">
        <v>43983.0</v>
      </c>
      <c r="L501" s="4">
        <v>0.137</v>
      </c>
    </row>
    <row r="502" ht="12.75" customHeight="1">
      <c r="A502" s="2">
        <v>36605.0</v>
      </c>
      <c r="B502" s="77">
        <f t="shared" si="1"/>
        <v>3</v>
      </c>
      <c r="C502" s="78">
        <f t="shared" si="2"/>
        <v>2000</v>
      </c>
      <c r="D502" s="77">
        <v>1.508</v>
      </c>
      <c r="E502" s="4">
        <f t="shared" si="3"/>
        <v>1.49825</v>
      </c>
      <c r="F502" s="2">
        <f t="shared" si="4"/>
        <v>36586</v>
      </c>
      <c r="K502" s="2">
        <v>44013.0</v>
      </c>
      <c r="L502" s="4">
        <v>0.137</v>
      </c>
    </row>
    <row r="503" ht="12.75" customHeight="1">
      <c r="A503" s="2">
        <v>36612.0</v>
      </c>
      <c r="B503" s="77">
        <f t="shared" si="1"/>
        <v>3</v>
      </c>
      <c r="C503" s="78">
        <f t="shared" si="2"/>
        <v>2000</v>
      </c>
      <c r="D503" s="77">
        <v>1.484</v>
      </c>
      <c r="E503" s="4">
        <f t="shared" si="3"/>
        <v>1.49825</v>
      </c>
      <c r="F503" s="2">
        <f t="shared" si="4"/>
        <v>36586</v>
      </c>
      <c r="K503" s="2">
        <v>44044.0</v>
      </c>
      <c r="L503" s="4">
        <v>0.137</v>
      </c>
    </row>
    <row r="504" ht="12.75" customHeight="1">
      <c r="A504" s="2">
        <v>36619.0</v>
      </c>
      <c r="B504" s="77">
        <f t="shared" si="1"/>
        <v>4</v>
      </c>
      <c r="C504" s="78">
        <f t="shared" si="2"/>
        <v>2000</v>
      </c>
      <c r="D504" s="77">
        <v>1.478</v>
      </c>
      <c r="E504" s="4">
        <f t="shared" si="3"/>
        <v>1.4365</v>
      </c>
      <c r="F504" s="2">
        <f t="shared" si="4"/>
        <v>36617</v>
      </c>
      <c r="K504" s="2">
        <v>44075.0</v>
      </c>
      <c r="L504" s="4">
        <v>0.137</v>
      </c>
    </row>
    <row r="505" ht="12.75" customHeight="1">
      <c r="A505" s="2">
        <v>36626.0</v>
      </c>
      <c r="B505" s="77">
        <f t="shared" si="1"/>
        <v>4</v>
      </c>
      <c r="C505" s="78">
        <f t="shared" si="2"/>
        <v>2000</v>
      </c>
      <c r="D505" s="77">
        <v>1.447</v>
      </c>
      <c r="E505" s="4">
        <f t="shared" si="3"/>
        <v>1.4365</v>
      </c>
      <c r="F505" s="2">
        <f t="shared" si="4"/>
        <v>36617</v>
      </c>
      <c r="K505" s="2">
        <v>44105.0</v>
      </c>
      <c r="L505" s="4">
        <v>0.135</v>
      </c>
    </row>
    <row r="506" ht="12.75" customHeight="1">
      <c r="A506" s="2">
        <v>36633.0</v>
      </c>
      <c r="B506" s="77">
        <f t="shared" si="1"/>
        <v>4</v>
      </c>
      <c r="C506" s="78">
        <f t="shared" si="2"/>
        <v>2000</v>
      </c>
      <c r="D506" s="77">
        <v>1.415</v>
      </c>
      <c r="E506" s="4">
        <f t="shared" si="3"/>
        <v>1.4365</v>
      </c>
      <c r="F506" s="2">
        <f t="shared" si="4"/>
        <v>36617</v>
      </c>
      <c r="K506" s="2">
        <v>44136.0</v>
      </c>
      <c r="L506" s="4">
        <v>0.136</v>
      </c>
    </row>
    <row r="507" ht="12.75" customHeight="1">
      <c r="A507" s="2">
        <v>36640.0</v>
      </c>
      <c r="B507" s="77">
        <f t="shared" si="1"/>
        <v>4</v>
      </c>
      <c r="C507" s="78">
        <f t="shared" si="2"/>
        <v>2000</v>
      </c>
      <c r="D507" s="77">
        <v>1.406</v>
      </c>
      <c r="E507" s="4">
        <f t="shared" si="3"/>
        <v>1.4365</v>
      </c>
      <c r="F507" s="2">
        <f t="shared" si="4"/>
        <v>36617</v>
      </c>
      <c r="K507" s="2">
        <v>44166.0</v>
      </c>
      <c r="L507" s="4">
        <v>0.136</v>
      </c>
    </row>
    <row r="508" ht="12.75" customHeight="1">
      <c r="A508" s="2">
        <v>36647.0</v>
      </c>
      <c r="B508" s="77">
        <f t="shared" si="1"/>
        <v>5</v>
      </c>
      <c r="C508" s="78">
        <f t="shared" si="2"/>
        <v>2000</v>
      </c>
      <c r="D508" s="77">
        <v>1.386</v>
      </c>
      <c r="E508" s="4">
        <f t="shared" si="3"/>
        <v>1.4564</v>
      </c>
      <c r="F508" s="2">
        <f t="shared" si="4"/>
        <v>36647</v>
      </c>
      <c r="K508" s="2">
        <v>44197.0</v>
      </c>
      <c r="L508" s="4">
        <v>0.136</v>
      </c>
    </row>
    <row r="509" ht="12.75" customHeight="1">
      <c r="A509" s="2">
        <v>36654.0</v>
      </c>
      <c r="B509" s="77">
        <f t="shared" si="1"/>
        <v>5</v>
      </c>
      <c r="C509" s="78">
        <f t="shared" si="2"/>
        <v>2000</v>
      </c>
      <c r="D509" s="77">
        <v>1.427</v>
      </c>
      <c r="E509" s="4">
        <f t="shared" si="3"/>
        <v>1.4564</v>
      </c>
      <c r="F509" s="2">
        <f t="shared" si="4"/>
        <v>36647</v>
      </c>
      <c r="K509" s="2">
        <v>44228.0</v>
      </c>
      <c r="L509" s="4">
        <v>0.137</v>
      </c>
    </row>
    <row r="510" ht="12.75" customHeight="1">
      <c r="A510" s="2">
        <v>36661.0</v>
      </c>
      <c r="B510" s="77">
        <f t="shared" si="1"/>
        <v>5</v>
      </c>
      <c r="C510" s="78">
        <f t="shared" si="2"/>
        <v>2000</v>
      </c>
      <c r="D510" s="77">
        <v>1.466</v>
      </c>
      <c r="E510" s="4">
        <f t="shared" si="3"/>
        <v>1.4564</v>
      </c>
      <c r="F510" s="2">
        <f t="shared" si="4"/>
        <v>36647</v>
      </c>
      <c r="K510" s="2">
        <v>44256.0</v>
      </c>
      <c r="L510" s="4">
        <v>0.138</v>
      </c>
    </row>
    <row r="511" ht="12.75" customHeight="1">
      <c r="A511" s="2">
        <v>36668.0</v>
      </c>
      <c r="B511" s="77">
        <f t="shared" si="1"/>
        <v>5</v>
      </c>
      <c r="C511" s="78">
        <f t="shared" si="2"/>
        <v>2000</v>
      </c>
      <c r="D511" s="77">
        <v>1.494</v>
      </c>
      <c r="E511" s="4">
        <f t="shared" si="3"/>
        <v>1.4564</v>
      </c>
      <c r="F511" s="2">
        <f t="shared" si="4"/>
        <v>36647</v>
      </c>
      <c r="K511" s="2">
        <v>44287.0</v>
      </c>
      <c r="L511" s="4">
        <v>0.139</v>
      </c>
    </row>
    <row r="512" ht="12.75" customHeight="1">
      <c r="A512" s="2">
        <v>36675.0</v>
      </c>
      <c r="B512" s="77">
        <f t="shared" si="1"/>
        <v>5</v>
      </c>
      <c r="C512" s="78">
        <f t="shared" si="2"/>
        <v>2000</v>
      </c>
      <c r="D512" s="77">
        <v>1.509</v>
      </c>
      <c r="E512" s="4">
        <f t="shared" si="3"/>
        <v>1.4564</v>
      </c>
      <c r="F512" s="2">
        <f t="shared" si="4"/>
        <v>36647</v>
      </c>
      <c r="K512" s="2">
        <v>44317.0</v>
      </c>
      <c r="L512" s="4">
        <v>0.14</v>
      </c>
    </row>
    <row r="513" ht="12.75" customHeight="1">
      <c r="A513" s="2">
        <v>36682.0</v>
      </c>
      <c r="B513" s="77">
        <f t="shared" si="1"/>
        <v>6</v>
      </c>
      <c r="C513" s="78">
        <f t="shared" si="2"/>
        <v>2000</v>
      </c>
      <c r="D513" s="77">
        <v>1.535</v>
      </c>
      <c r="E513" s="4">
        <f t="shared" si="3"/>
        <v>1.61175</v>
      </c>
      <c r="F513" s="2">
        <f t="shared" si="4"/>
        <v>36678</v>
      </c>
      <c r="K513" s="2">
        <v>44348.0</v>
      </c>
      <c r="L513" s="4">
        <v>0.142</v>
      </c>
    </row>
    <row r="514" ht="12.75" customHeight="1">
      <c r="A514" s="2">
        <v>36689.0</v>
      </c>
      <c r="B514" s="77">
        <f t="shared" si="1"/>
        <v>6</v>
      </c>
      <c r="C514" s="78">
        <f t="shared" si="2"/>
        <v>2000</v>
      </c>
      <c r="D514" s="77">
        <v>1.607</v>
      </c>
      <c r="E514" s="4">
        <f t="shared" si="3"/>
        <v>1.61175</v>
      </c>
      <c r="F514" s="2">
        <f t="shared" si="4"/>
        <v>36678</v>
      </c>
      <c r="K514" s="2">
        <v>44378.0</v>
      </c>
      <c r="L514" s="4">
        <v>0.143</v>
      </c>
    </row>
    <row r="515" ht="12.75" customHeight="1">
      <c r="A515" s="2">
        <v>36696.0</v>
      </c>
      <c r="B515" s="77">
        <f t="shared" si="1"/>
        <v>6</v>
      </c>
      <c r="C515" s="78">
        <f t="shared" si="2"/>
        <v>2000</v>
      </c>
      <c r="D515" s="77">
        <v>1.664</v>
      </c>
      <c r="E515" s="4">
        <f t="shared" si="3"/>
        <v>1.61175</v>
      </c>
      <c r="F515" s="2">
        <f t="shared" si="4"/>
        <v>36678</v>
      </c>
      <c r="K515" s="2">
        <v>44409.0</v>
      </c>
      <c r="L515" s="4">
        <v>0.144</v>
      </c>
    </row>
    <row r="516" ht="12.75" customHeight="1">
      <c r="A516" s="2">
        <v>36703.0</v>
      </c>
      <c r="B516" s="77">
        <f t="shared" si="1"/>
        <v>6</v>
      </c>
      <c r="C516" s="78">
        <f t="shared" si="2"/>
        <v>2000</v>
      </c>
      <c r="D516" s="77">
        <v>1.641</v>
      </c>
      <c r="E516" s="4">
        <f t="shared" si="3"/>
        <v>1.61175</v>
      </c>
      <c r="F516" s="2">
        <f t="shared" si="4"/>
        <v>36678</v>
      </c>
      <c r="K516" s="2">
        <v>44440.0</v>
      </c>
      <c r="L516" s="4">
        <v>0.144</v>
      </c>
    </row>
    <row r="517" ht="12.75" customHeight="1">
      <c r="A517" s="2">
        <v>36710.0</v>
      </c>
      <c r="B517" s="77">
        <f t="shared" si="1"/>
        <v>7</v>
      </c>
      <c r="C517" s="78">
        <f t="shared" si="2"/>
        <v>2000</v>
      </c>
      <c r="D517" s="77">
        <v>1.606</v>
      </c>
      <c r="E517" s="4">
        <f t="shared" si="3"/>
        <v>1.5288</v>
      </c>
      <c r="F517" s="2">
        <f t="shared" si="4"/>
        <v>36708</v>
      </c>
      <c r="K517" s="2">
        <v>44470.0</v>
      </c>
      <c r="L517" s="4">
        <v>0.142</v>
      </c>
    </row>
    <row r="518" ht="12.75" customHeight="1">
      <c r="A518" s="2">
        <v>36717.0</v>
      </c>
      <c r="B518" s="77">
        <f t="shared" si="1"/>
        <v>7</v>
      </c>
      <c r="C518" s="78">
        <f t="shared" si="2"/>
        <v>2000</v>
      </c>
      <c r="D518" s="77">
        <v>1.571</v>
      </c>
      <c r="E518" s="4">
        <f t="shared" si="3"/>
        <v>1.5288</v>
      </c>
      <c r="F518" s="2">
        <f t="shared" si="4"/>
        <v>36708</v>
      </c>
      <c r="K518" s="2">
        <v>44501.0</v>
      </c>
      <c r="L518" s="4">
        <v>0.142</v>
      </c>
    </row>
    <row r="519" ht="12.75" customHeight="1">
      <c r="A519" s="2">
        <v>36724.0</v>
      </c>
      <c r="B519" s="77">
        <f t="shared" si="1"/>
        <v>7</v>
      </c>
      <c r="C519" s="78">
        <f t="shared" si="2"/>
        <v>2000</v>
      </c>
      <c r="D519" s="77">
        <v>1.521</v>
      </c>
      <c r="E519" s="4">
        <f t="shared" si="3"/>
        <v>1.5288</v>
      </c>
      <c r="F519" s="2">
        <f t="shared" si="4"/>
        <v>36708</v>
      </c>
      <c r="K519" s="2">
        <v>44531.0</v>
      </c>
      <c r="L519" s="4">
        <v>0.142</v>
      </c>
    </row>
    <row r="520" ht="12.75" customHeight="1">
      <c r="A520" s="2">
        <v>36731.0</v>
      </c>
      <c r="B520" s="77">
        <f t="shared" si="1"/>
        <v>7</v>
      </c>
      <c r="C520" s="78">
        <f t="shared" si="2"/>
        <v>2000</v>
      </c>
      <c r="D520" s="77">
        <v>1.499</v>
      </c>
      <c r="E520" s="4">
        <f t="shared" si="3"/>
        <v>1.5288</v>
      </c>
      <c r="F520" s="2">
        <f t="shared" si="4"/>
        <v>36708</v>
      </c>
      <c r="K520" s="2">
        <v>44562.0</v>
      </c>
      <c r="L520" s="4">
        <v>0.147</v>
      </c>
    </row>
    <row r="521" ht="12.75" customHeight="1">
      <c r="A521" s="2">
        <v>36738.0</v>
      </c>
      <c r="B521" s="77">
        <f t="shared" si="1"/>
        <v>7</v>
      </c>
      <c r="C521" s="78">
        <f t="shared" si="2"/>
        <v>2000</v>
      </c>
      <c r="D521" s="77">
        <v>1.447</v>
      </c>
      <c r="E521" s="4">
        <f t="shared" si="3"/>
        <v>1.5288</v>
      </c>
      <c r="F521" s="2">
        <f t="shared" si="4"/>
        <v>36708</v>
      </c>
      <c r="K521" s="2">
        <v>44593.0</v>
      </c>
      <c r="L521" s="4">
        <v>0.148</v>
      </c>
    </row>
    <row r="522" ht="12.75" customHeight="1">
      <c r="A522" s="2">
        <v>36745.0</v>
      </c>
      <c r="B522" s="77">
        <f t="shared" si="1"/>
        <v>8</v>
      </c>
      <c r="C522" s="78">
        <f t="shared" si="2"/>
        <v>2000</v>
      </c>
      <c r="D522" s="77">
        <v>1.437</v>
      </c>
      <c r="E522" s="4">
        <f t="shared" si="3"/>
        <v>1.43925</v>
      </c>
      <c r="F522" s="2">
        <f t="shared" si="4"/>
        <v>36739</v>
      </c>
      <c r="K522" s="2">
        <v>44621.0</v>
      </c>
      <c r="L522" s="4">
        <v>0.15</v>
      </c>
    </row>
    <row r="523" ht="12.75" customHeight="1">
      <c r="A523" s="2">
        <v>36752.0</v>
      </c>
      <c r="B523" s="77">
        <f t="shared" si="1"/>
        <v>8</v>
      </c>
      <c r="C523" s="78">
        <f t="shared" si="2"/>
        <v>2000</v>
      </c>
      <c r="D523" s="77">
        <v>1.42</v>
      </c>
      <c r="E523" s="4">
        <f t="shared" si="3"/>
        <v>1.43925</v>
      </c>
      <c r="F523" s="2">
        <f t="shared" si="4"/>
        <v>36739</v>
      </c>
      <c r="K523" s="2">
        <v>44652.0</v>
      </c>
      <c r="L523" s="4">
        <v>0.151</v>
      </c>
    </row>
    <row r="524" ht="12.75" customHeight="1">
      <c r="A524" s="2">
        <v>36759.0</v>
      </c>
      <c r="B524" s="77">
        <f t="shared" si="1"/>
        <v>8</v>
      </c>
      <c r="C524" s="78">
        <f t="shared" si="2"/>
        <v>2000</v>
      </c>
      <c r="D524" s="77">
        <v>1.444</v>
      </c>
      <c r="E524" s="4">
        <f t="shared" si="3"/>
        <v>1.43925</v>
      </c>
      <c r="F524" s="2">
        <f t="shared" si="4"/>
        <v>36739</v>
      </c>
      <c r="K524" s="2">
        <v>44682.0</v>
      </c>
      <c r="L524" s="4">
        <v>0.154</v>
      </c>
    </row>
    <row r="525" ht="12.75" customHeight="1">
      <c r="A525" s="2">
        <v>36766.0</v>
      </c>
      <c r="B525" s="77">
        <f t="shared" si="1"/>
        <v>8</v>
      </c>
      <c r="C525" s="78">
        <f t="shared" si="2"/>
        <v>2000</v>
      </c>
      <c r="D525" s="77">
        <v>1.456</v>
      </c>
      <c r="E525" s="4">
        <f t="shared" si="3"/>
        <v>1.43925</v>
      </c>
      <c r="F525" s="2">
        <f t="shared" si="4"/>
        <v>36739</v>
      </c>
      <c r="K525" s="2">
        <v>44713.0</v>
      </c>
      <c r="L525" s="4">
        <v>0.16</v>
      </c>
    </row>
    <row r="526" ht="12.75" customHeight="1">
      <c r="A526" s="2">
        <v>36773.0</v>
      </c>
      <c r="B526" s="77">
        <f t="shared" si="1"/>
        <v>9</v>
      </c>
      <c r="C526" s="78">
        <f t="shared" si="2"/>
        <v>2000</v>
      </c>
      <c r="D526" s="77">
        <v>1.502</v>
      </c>
      <c r="E526" s="4">
        <f t="shared" si="3"/>
        <v>1.52525</v>
      </c>
      <c r="F526" s="2">
        <f t="shared" si="4"/>
        <v>36770</v>
      </c>
      <c r="K526" s="2">
        <v>44743.0</v>
      </c>
      <c r="L526" s="4">
        <v>0.164</v>
      </c>
    </row>
    <row r="527" ht="12.75" customHeight="1">
      <c r="A527" s="2">
        <v>36780.0</v>
      </c>
      <c r="B527" s="77">
        <f t="shared" si="1"/>
        <v>9</v>
      </c>
      <c r="C527" s="78">
        <f t="shared" si="2"/>
        <v>2000</v>
      </c>
      <c r="D527" s="77">
        <v>1.535</v>
      </c>
      <c r="E527" s="4">
        <f t="shared" si="3"/>
        <v>1.52525</v>
      </c>
      <c r="F527" s="2">
        <f t="shared" si="4"/>
        <v>36770</v>
      </c>
      <c r="K527" s="2">
        <v>44774.0</v>
      </c>
      <c r="L527" s="4">
        <v>0.167</v>
      </c>
    </row>
    <row r="528" ht="12.75" customHeight="1">
      <c r="A528" s="2">
        <v>36787.0</v>
      </c>
      <c r="B528" s="77">
        <f t="shared" si="1"/>
        <v>9</v>
      </c>
      <c r="C528" s="78">
        <f t="shared" si="2"/>
        <v>2000</v>
      </c>
      <c r="D528" s="77">
        <v>1.539</v>
      </c>
      <c r="E528" s="4">
        <f t="shared" si="3"/>
        <v>1.52525</v>
      </c>
      <c r="F528" s="2">
        <f t="shared" si="4"/>
        <v>36770</v>
      </c>
      <c r="K528" s="2">
        <v>44805.0</v>
      </c>
      <c r="L528" s="4">
        <v>0.167</v>
      </c>
    </row>
    <row r="529" ht="12.75" customHeight="1">
      <c r="A529" s="2">
        <v>36794.0</v>
      </c>
      <c r="B529" s="77">
        <f t="shared" si="1"/>
        <v>9</v>
      </c>
      <c r="C529" s="78">
        <f t="shared" si="2"/>
        <v>2000</v>
      </c>
      <c r="D529" s="77">
        <v>1.525</v>
      </c>
      <c r="E529" s="4">
        <f t="shared" si="3"/>
        <v>1.52525</v>
      </c>
      <c r="F529" s="2">
        <f t="shared" si="4"/>
        <v>36770</v>
      </c>
      <c r="K529" s="2">
        <v>44835.0</v>
      </c>
      <c r="L529" s="4">
        <v>0.166</v>
      </c>
    </row>
    <row r="530" ht="12.75" customHeight="1">
      <c r="A530" s="2">
        <v>36801.0</v>
      </c>
      <c r="B530" s="77">
        <f t="shared" si="1"/>
        <v>10</v>
      </c>
      <c r="C530" s="78">
        <f t="shared" si="2"/>
        <v>2000</v>
      </c>
      <c r="D530" s="77">
        <v>1.498</v>
      </c>
      <c r="E530" s="4">
        <f t="shared" si="3"/>
        <v>1.5084</v>
      </c>
      <c r="F530" s="2">
        <f t="shared" si="4"/>
        <v>36800</v>
      </c>
      <c r="K530" s="2">
        <v>44866.0</v>
      </c>
      <c r="L530" s="4">
        <v>0.163</v>
      </c>
    </row>
    <row r="531" ht="12.75" customHeight="1">
      <c r="A531" s="2">
        <v>36808.0</v>
      </c>
      <c r="B531" s="77">
        <f t="shared" si="1"/>
        <v>10</v>
      </c>
      <c r="C531" s="78">
        <f t="shared" si="2"/>
        <v>2000</v>
      </c>
      <c r="D531" s="77">
        <v>1.473</v>
      </c>
      <c r="E531" s="4">
        <f t="shared" si="3"/>
        <v>1.5084</v>
      </c>
      <c r="F531" s="2">
        <f t="shared" si="4"/>
        <v>36800</v>
      </c>
      <c r="K531" s="2">
        <v>44896.0</v>
      </c>
      <c r="L531" s="4">
        <v>0.165</v>
      </c>
    </row>
    <row r="532" ht="12.75" customHeight="1">
      <c r="A532" s="2">
        <v>36815.0</v>
      </c>
      <c r="B532" s="77">
        <f t="shared" si="1"/>
        <v>10</v>
      </c>
      <c r="C532" s="78">
        <f t="shared" si="2"/>
        <v>2000</v>
      </c>
      <c r="D532" s="77">
        <v>1.516</v>
      </c>
      <c r="E532" s="4">
        <f t="shared" si="3"/>
        <v>1.5084</v>
      </c>
      <c r="F532" s="2">
        <f t="shared" si="4"/>
        <v>36800</v>
      </c>
      <c r="K532" s="2">
        <v>44927.0</v>
      </c>
      <c r="L532" s="4">
        <v>0.168</v>
      </c>
    </row>
    <row r="533" ht="12.75" customHeight="1">
      <c r="A533" s="2">
        <v>36822.0</v>
      </c>
      <c r="B533" s="77">
        <f t="shared" si="1"/>
        <v>10</v>
      </c>
      <c r="C533" s="78">
        <f t="shared" si="2"/>
        <v>2000</v>
      </c>
      <c r="D533" s="77">
        <v>1.532</v>
      </c>
      <c r="E533" s="4">
        <f t="shared" si="3"/>
        <v>1.5084</v>
      </c>
      <c r="F533" s="2">
        <f t="shared" si="4"/>
        <v>36800</v>
      </c>
      <c r="K533" s="2">
        <v>44958.0</v>
      </c>
      <c r="L533" s="4">
        <v>0.168</v>
      </c>
    </row>
    <row r="534" ht="12.75" customHeight="1">
      <c r="A534" s="2">
        <v>36829.0</v>
      </c>
      <c r="B534" s="77">
        <f t="shared" si="1"/>
        <v>10</v>
      </c>
      <c r="C534" s="78">
        <f t="shared" si="2"/>
        <v>2000</v>
      </c>
      <c r="D534" s="77">
        <v>1.523</v>
      </c>
      <c r="E534" s="4">
        <f t="shared" si="3"/>
        <v>1.5084</v>
      </c>
      <c r="F534" s="2">
        <f t="shared" si="4"/>
        <v>36800</v>
      </c>
      <c r="K534" s="2">
        <v>44986.0</v>
      </c>
      <c r="L534" s="4">
        <v>0.166</v>
      </c>
    </row>
    <row r="535" ht="12.75" customHeight="1">
      <c r="A535" s="2">
        <v>36836.0</v>
      </c>
      <c r="B535" s="77">
        <f t="shared" si="1"/>
        <v>11</v>
      </c>
      <c r="C535" s="78">
        <f t="shared" si="2"/>
        <v>2000</v>
      </c>
      <c r="D535" s="77">
        <v>1.502</v>
      </c>
      <c r="E535" s="4">
        <f t="shared" si="3"/>
        <v>1.49475</v>
      </c>
      <c r="F535" s="2">
        <f t="shared" si="4"/>
        <v>36831</v>
      </c>
      <c r="K535" s="2">
        <v>45017.0</v>
      </c>
      <c r="L535" s="4">
        <v>0.165</v>
      </c>
    </row>
    <row r="536" ht="12.75" customHeight="1">
      <c r="A536" s="2">
        <v>36843.0</v>
      </c>
      <c r="B536" s="77">
        <f t="shared" si="1"/>
        <v>11</v>
      </c>
      <c r="C536" s="78">
        <f t="shared" si="2"/>
        <v>2000</v>
      </c>
      <c r="D536" s="77">
        <v>1.501</v>
      </c>
      <c r="E536" s="4">
        <f t="shared" si="3"/>
        <v>1.49475</v>
      </c>
      <c r="F536" s="2">
        <f t="shared" si="4"/>
        <v>36831</v>
      </c>
      <c r="K536" s="2">
        <v>45047.0</v>
      </c>
      <c r="L536" s="4">
        <v>0.165</v>
      </c>
    </row>
    <row r="537" ht="12.75" customHeight="1">
      <c r="A537" s="2">
        <v>36850.0</v>
      </c>
      <c r="B537" s="77">
        <f t="shared" si="1"/>
        <v>11</v>
      </c>
      <c r="C537" s="78">
        <f t="shared" si="2"/>
        <v>2000</v>
      </c>
      <c r="D537" s="77">
        <v>1.487</v>
      </c>
      <c r="E537" s="4">
        <f t="shared" si="3"/>
        <v>1.49475</v>
      </c>
      <c r="F537" s="2">
        <f t="shared" si="4"/>
        <v>36831</v>
      </c>
      <c r="K537" s="2">
        <v>45078.0</v>
      </c>
      <c r="L537" s="4">
        <v>0.17</v>
      </c>
    </row>
    <row r="538" ht="12.75" customHeight="1">
      <c r="A538" s="2">
        <v>36857.0</v>
      </c>
      <c r="B538" s="77">
        <f t="shared" si="1"/>
        <v>11</v>
      </c>
      <c r="C538" s="78">
        <f t="shared" si="2"/>
        <v>2000</v>
      </c>
      <c r="D538" s="77">
        <v>1.489</v>
      </c>
      <c r="E538" s="4">
        <f t="shared" si="3"/>
        <v>1.49475</v>
      </c>
      <c r="F538" s="2">
        <f t="shared" si="4"/>
        <v>36831</v>
      </c>
      <c r="K538" s="2">
        <v>45108.0</v>
      </c>
      <c r="L538" s="4">
        <v>0.169</v>
      </c>
    </row>
    <row r="539" ht="12.75" customHeight="1">
      <c r="A539" s="2">
        <v>36864.0</v>
      </c>
      <c r="B539" s="77">
        <f t="shared" si="1"/>
        <v>12</v>
      </c>
      <c r="C539" s="78">
        <f t="shared" si="2"/>
        <v>2000</v>
      </c>
      <c r="D539" s="77">
        <v>1.464</v>
      </c>
      <c r="E539" s="4">
        <f t="shared" si="3"/>
        <v>1.41825</v>
      </c>
      <c r="F539" s="2">
        <f t="shared" si="4"/>
        <v>36861</v>
      </c>
      <c r="K539" s="2">
        <v>45139.0</v>
      </c>
      <c r="L539" s="4">
        <v>0.17</v>
      </c>
    </row>
    <row r="540" ht="12.75" customHeight="1">
      <c r="A540" s="2">
        <v>36871.0</v>
      </c>
      <c r="B540" s="77">
        <f t="shared" si="1"/>
        <v>12</v>
      </c>
      <c r="C540" s="78">
        <f t="shared" si="2"/>
        <v>2000</v>
      </c>
      <c r="D540" s="77">
        <v>1.425</v>
      </c>
      <c r="E540" s="4">
        <f t="shared" si="3"/>
        <v>1.41825</v>
      </c>
      <c r="F540" s="2">
        <f t="shared" si="4"/>
        <v>36861</v>
      </c>
      <c r="K540" s="2">
        <v>45170.0</v>
      </c>
      <c r="L540" s="4">
        <v>0.171</v>
      </c>
    </row>
    <row r="541" ht="12.75" customHeight="1">
      <c r="A541" s="2">
        <v>36878.0</v>
      </c>
      <c r="B541" s="77">
        <f t="shared" si="1"/>
        <v>12</v>
      </c>
      <c r="C541" s="78">
        <f t="shared" si="2"/>
        <v>2000</v>
      </c>
      <c r="D541" s="77">
        <v>1.396</v>
      </c>
      <c r="E541" s="4">
        <f t="shared" si="3"/>
        <v>1.41825</v>
      </c>
      <c r="F541" s="2">
        <f t="shared" si="4"/>
        <v>36861</v>
      </c>
      <c r="K541" s="2">
        <v>45200.0</v>
      </c>
      <c r="L541" s="4">
        <v>0.169</v>
      </c>
    </row>
    <row r="542" ht="12.75" customHeight="1">
      <c r="A542" s="2">
        <v>36885.0</v>
      </c>
      <c r="B542" s="77">
        <f t="shared" si="1"/>
        <v>12</v>
      </c>
      <c r="C542" s="78">
        <f t="shared" si="2"/>
        <v>2000</v>
      </c>
      <c r="D542" s="77">
        <v>1.388</v>
      </c>
      <c r="E542" s="4">
        <f t="shared" si="3"/>
        <v>1.41825</v>
      </c>
      <c r="F542" s="2">
        <f t="shared" si="4"/>
        <v>36861</v>
      </c>
      <c r="K542" s="2">
        <v>45231.0</v>
      </c>
      <c r="L542" s="4">
        <v>0.168</v>
      </c>
    </row>
    <row r="543" ht="12.75" customHeight="1">
      <c r="A543" s="2">
        <v>36892.0</v>
      </c>
      <c r="B543" s="77">
        <f t="shared" si="1"/>
        <v>1</v>
      </c>
      <c r="C543" s="78">
        <f t="shared" si="2"/>
        <v>2001</v>
      </c>
      <c r="D543" s="77">
        <v>1.377</v>
      </c>
      <c r="E543" s="4">
        <f t="shared" si="3"/>
        <v>1.4274</v>
      </c>
      <c r="F543" s="2">
        <f t="shared" si="4"/>
        <v>36892</v>
      </c>
      <c r="K543" s="2">
        <v>45261.0</v>
      </c>
      <c r="L543" s="4">
        <v>0.169</v>
      </c>
    </row>
    <row r="544" ht="12.75" customHeight="1">
      <c r="A544" s="2">
        <v>36899.0</v>
      </c>
      <c r="B544" s="77">
        <f t="shared" si="1"/>
        <v>1</v>
      </c>
      <c r="C544" s="78">
        <f t="shared" si="2"/>
        <v>2001</v>
      </c>
      <c r="D544" s="77">
        <v>1.4</v>
      </c>
      <c r="E544" s="4">
        <f t="shared" si="3"/>
        <v>1.4274</v>
      </c>
      <c r="F544" s="2">
        <f t="shared" si="4"/>
        <v>36892</v>
      </c>
      <c r="K544" s="2">
        <v>45292.0</v>
      </c>
      <c r="L544" s="4">
        <v>0.173</v>
      </c>
    </row>
    <row r="545" ht="12.75" customHeight="1">
      <c r="A545" s="2">
        <v>36906.0</v>
      </c>
      <c r="B545" s="77">
        <f t="shared" si="1"/>
        <v>1</v>
      </c>
      <c r="C545" s="78">
        <f t="shared" si="2"/>
        <v>2001</v>
      </c>
      <c r="D545" s="77">
        <v>1.458</v>
      </c>
      <c r="E545" s="4">
        <f t="shared" si="3"/>
        <v>1.4274</v>
      </c>
      <c r="F545" s="2">
        <f t="shared" si="4"/>
        <v>36892</v>
      </c>
      <c r="K545" s="2">
        <v>45323.0</v>
      </c>
      <c r="L545" s="4">
        <v>0.173</v>
      </c>
    </row>
    <row r="546" ht="12.75" customHeight="1">
      <c r="A546" s="2">
        <v>36913.0</v>
      </c>
      <c r="B546" s="77">
        <f t="shared" si="1"/>
        <v>1</v>
      </c>
      <c r="C546" s="78">
        <f t="shared" si="2"/>
        <v>2001</v>
      </c>
      <c r="D546" s="77">
        <v>1.456</v>
      </c>
      <c r="E546" s="4">
        <f t="shared" si="3"/>
        <v>1.4274</v>
      </c>
      <c r="F546" s="2">
        <f t="shared" si="4"/>
        <v>36892</v>
      </c>
      <c r="K546" s="2">
        <v>45352.0</v>
      </c>
      <c r="L546" s="4">
        <v>0.174</v>
      </c>
    </row>
    <row r="547" ht="12.75" customHeight="1">
      <c r="A547" s="2">
        <v>36920.0</v>
      </c>
      <c r="B547" s="77">
        <f t="shared" si="1"/>
        <v>1</v>
      </c>
      <c r="C547" s="78">
        <f t="shared" si="2"/>
        <v>2001</v>
      </c>
      <c r="D547" s="77">
        <v>1.446</v>
      </c>
      <c r="E547" s="4">
        <f t="shared" si="3"/>
        <v>1.4274</v>
      </c>
      <c r="F547" s="2">
        <f t="shared" si="4"/>
        <v>36892</v>
      </c>
      <c r="K547" s="2">
        <v>45383.0</v>
      </c>
      <c r="L547" s="4">
        <v>0.173</v>
      </c>
    </row>
    <row r="548" ht="12.75" customHeight="1">
      <c r="A548" s="2">
        <v>36927.0</v>
      </c>
      <c r="B548" s="77">
        <f t="shared" si="1"/>
        <v>2</v>
      </c>
      <c r="C548" s="78">
        <f t="shared" si="2"/>
        <v>2001</v>
      </c>
      <c r="D548" s="77">
        <v>1.426</v>
      </c>
      <c r="E548" s="4">
        <f t="shared" si="3"/>
        <v>1.43125</v>
      </c>
      <c r="F548" s="2">
        <f t="shared" si="4"/>
        <v>36923</v>
      </c>
      <c r="K548" s="2">
        <v>45413.0</v>
      </c>
      <c r="L548" s="4">
        <v>0.175</v>
      </c>
    </row>
    <row r="549" ht="12.75" customHeight="1">
      <c r="A549" s="2">
        <v>36934.0</v>
      </c>
      <c r="B549" s="77">
        <f t="shared" si="1"/>
        <v>2</v>
      </c>
      <c r="C549" s="78">
        <f t="shared" si="2"/>
        <v>2001</v>
      </c>
      <c r="D549" s="77">
        <v>1.46</v>
      </c>
      <c r="E549" s="4">
        <f t="shared" si="3"/>
        <v>1.43125</v>
      </c>
      <c r="F549" s="2">
        <f t="shared" si="4"/>
        <v>36923</v>
      </c>
      <c r="K549" s="2">
        <v>45444.0</v>
      </c>
      <c r="L549" s="4">
        <v>0.178</v>
      </c>
    </row>
    <row r="550" ht="12.75" customHeight="1">
      <c r="A550" s="2">
        <v>36941.0</v>
      </c>
      <c r="B550" s="77">
        <f t="shared" si="1"/>
        <v>2</v>
      </c>
      <c r="C550" s="78">
        <f t="shared" si="2"/>
        <v>2001</v>
      </c>
      <c r="D550" s="77">
        <v>1.429</v>
      </c>
      <c r="E550" s="4">
        <f t="shared" si="3"/>
        <v>1.43125</v>
      </c>
      <c r="F550" s="2">
        <f t="shared" si="4"/>
        <v>36923</v>
      </c>
      <c r="K550" s="2">
        <v>45474.0</v>
      </c>
      <c r="L550" s="4">
        <v>0.178</v>
      </c>
    </row>
    <row r="551" ht="12.75" customHeight="1">
      <c r="A551" s="2">
        <v>36948.0</v>
      </c>
      <c r="B551" s="77">
        <f t="shared" si="1"/>
        <v>2</v>
      </c>
      <c r="C551" s="78">
        <f t="shared" si="2"/>
        <v>2001</v>
      </c>
      <c r="D551" s="77">
        <v>1.41</v>
      </c>
      <c r="E551" s="4">
        <f t="shared" si="3"/>
        <v>1.43125</v>
      </c>
      <c r="F551" s="2">
        <f t="shared" si="4"/>
        <v>36923</v>
      </c>
      <c r="K551" s="2">
        <v>45505.0</v>
      </c>
      <c r="L551" s="4">
        <v>0.177</v>
      </c>
    </row>
    <row r="552" ht="12.75" customHeight="1">
      <c r="A552" s="2">
        <v>36955.0</v>
      </c>
      <c r="B552" s="77">
        <f t="shared" si="1"/>
        <v>3</v>
      </c>
      <c r="C552" s="78">
        <f t="shared" si="2"/>
        <v>2001</v>
      </c>
      <c r="D552" s="77">
        <v>1.393</v>
      </c>
      <c r="E552" s="4">
        <f t="shared" si="3"/>
        <v>1.384</v>
      </c>
      <c r="F552" s="2">
        <f t="shared" si="4"/>
        <v>36951</v>
      </c>
      <c r="K552" s="2">
        <v>45536.0</v>
      </c>
      <c r="L552" s="4">
        <v>0.178</v>
      </c>
    </row>
    <row r="553" ht="12.75" customHeight="1">
      <c r="A553" s="2">
        <v>36962.0</v>
      </c>
      <c r="B553" s="77">
        <f t="shared" si="1"/>
        <v>3</v>
      </c>
      <c r="C553" s="78">
        <f t="shared" si="2"/>
        <v>2001</v>
      </c>
      <c r="D553" s="77">
        <v>1.387</v>
      </c>
      <c r="E553" s="4">
        <f t="shared" si="3"/>
        <v>1.384</v>
      </c>
      <c r="F553" s="2">
        <f t="shared" si="4"/>
        <v>36951</v>
      </c>
      <c r="K553" s="2">
        <v>45566.0</v>
      </c>
      <c r="L553" s="4">
        <v>0.177</v>
      </c>
    </row>
    <row r="554" ht="12.75" customHeight="1">
      <c r="A554" s="2">
        <v>36969.0</v>
      </c>
      <c r="B554" s="77">
        <f t="shared" si="1"/>
        <v>3</v>
      </c>
      <c r="C554" s="78">
        <f t="shared" si="2"/>
        <v>2001</v>
      </c>
      <c r="D554" s="77">
        <v>1.377</v>
      </c>
      <c r="E554" s="4">
        <f t="shared" si="3"/>
        <v>1.384</v>
      </c>
      <c r="F554" s="2">
        <f t="shared" si="4"/>
        <v>36951</v>
      </c>
    </row>
    <row r="555" ht="12.75" customHeight="1">
      <c r="A555" s="2">
        <v>36976.0</v>
      </c>
      <c r="B555" s="77">
        <f t="shared" si="1"/>
        <v>3</v>
      </c>
      <c r="C555" s="78">
        <f t="shared" si="2"/>
        <v>2001</v>
      </c>
      <c r="D555" s="77">
        <v>1.379</v>
      </c>
      <c r="E555" s="4">
        <f t="shared" si="3"/>
        <v>1.384</v>
      </c>
      <c r="F555" s="2">
        <f t="shared" si="4"/>
        <v>36951</v>
      </c>
    </row>
    <row r="556" ht="12.75" customHeight="1">
      <c r="A556" s="2">
        <v>36983.0</v>
      </c>
      <c r="B556" s="77">
        <f t="shared" si="1"/>
        <v>4</v>
      </c>
      <c r="C556" s="78">
        <f t="shared" si="2"/>
        <v>2001</v>
      </c>
      <c r="D556" s="77">
        <v>1.411</v>
      </c>
      <c r="E556" s="4">
        <f t="shared" si="3"/>
        <v>1.5172</v>
      </c>
      <c r="F556" s="2">
        <f t="shared" si="4"/>
        <v>36982</v>
      </c>
    </row>
    <row r="557" ht="12.75" customHeight="1">
      <c r="A557" s="2">
        <v>36990.0</v>
      </c>
      <c r="B557" s="77">
        <f t="shared" si="1"/>
        <v>4</v>
      </c>
      <c r="C557" s="78">
        <f t="shared" si="2"/>
        <v>2001</v>
      </c>
      <c r="D557" s="77">
        <v>1.469</v>
      </c>
      <c r="E557" s="4">
        <f t="shared" si="3"/>
        <v>1.5172</v>
      </c>
      <c r="F557" s="2">
        <f t="shared" si="4"/>
        <v>36982</v>
      </c>
    </row>
    <row r="558" ht="12.75" customHeight="1">
      <c r="A558" s="2">
        <v>36997.0</v>
      </c>
      <c r="B558" s="77">
        <f t="shared" si="1"/>
        <v>4</v>
      </c>
      <c r="C558" s="78">
        <f t="shared" si="2"/>
        <v>2001</v>
      </c>
      <c r="D558" s="77">
        <v>1.535</v>
      </c>
      <c r="E558" s="4">
        <f t="shared" si="3"/>
        <v>1.5172</v>
      </c>
      <c r="F558" s="2">
        <f t="shared" si="4"/>
        <v>36982</v>
      </c>
    </row>
    <row r="559" ht="12.75" customHeight="1">
      <c r="A559" s="2">
        <v>37004.0</v>
      </c>
      <c r="B559" s="77">
        <f t="shared" si="1"/>
        <v>4</v>
      </c>
      <c r="C559" s="78">
        <f t="shared" si="2"/>
        <v>2001</v>
      </c>
      <c r="D559" s="77">
        <v>1.586</v>
      </c>
      <c r="E559" s="4">
        <f t="shared" si="3"/>
        <v>1.5172</v>
      </c>
      <c r="F559" s="2">
        <f t="shared" si="4"/>
        <v>36982</v>
      </c>
    </row>
    <row r="560" ht="12.75" customHeight="1">
      <c r="A560" s="2">
        <v>37011.0</v>
      </c>
      <c r="B560" s="77">
        <f t="shared" si="1"/>
        <v>4</v>
      </c>
      <c r="C560" s="78">
        <f t="shared" si="2"/>
        <v>2001</v>
      </c>
      <c r="D560" s="77">
        <v>1.585</v>
      </c>
      <c r="E560" s="4">
        <f t="shared" si="3"/>
        <v>1.5172</v>
      </c>
      <c r="F560" s="2">
        <f t="shared" si="4"/>
        <v>36982</v>
      </c>
    </row>
    <row r="561" ht="12.75" customHeight="1">
      <c r="A561" s="2">
        <v>37018.0</v>
      </c>
      <c r="B561" s="77">
        <f t="shared" si="1"/>
        <v>5</v>
      </c>
      <c r="C561" s="78">
        <f t="shared" si="2"/>
        <v>2001</v>
      </c>
      <c r="D561" s="77">
        <v>1.659</v>
      </c>
      <c r="E561" s="4">
        <f t="shared" si="3"/>
        <v>1.65375</v>
      </c>
      <c r="F561" s="2">
        <f t="shared" si="4"/>
        <v>37012</v>
      </c>
    </row>
    <row r="562" ht="12.75" customHeight="1">
      <c r="A562" s="2">
        <v>37025.0</v>
      </c>
      <c r="B562" s="77">
        <f t="shared" si="1"/>
        <v>5</v>
      </c>
      <c r="C562" s="78">
        <f t="shared" si="2"/>
        <v>2001</v>
      </c>
      <c r="D562" s="77">
        <v>1.663</v>
      </c>
      <c r="E562" s="4">
        <f t="shared" si="3"/>
        <v>1.65375</v>
      </c>
      <c r="F562" s="2">
        <f t="shared" si="4"/>
        <v>37012</v>
      </c>
    </row>
    <row r="563" ht="12.75" customHeight="1">
      <c r="A563" s="2">
        <v>37032.0</v>
      </c>
      <c r="B563" s="77">
        <f t="shared" si="1"/>
        <v>5</v>
      </c>
      <c r="C563" s="78">
        <f t="shared" si="2"/>
        <v>2001</v>
      </c>
      <c r="D563" s="77">
        <v>1.637</v>
      </c>
      <c r="E563" s="4">
        <f t="shared" si="3"/>
        <v>1.65375</v>
      </c>
      <c r="F563" s="2">
        <f t="shared" si="4"/>
        <v>37012</v>
      </c>
    </row>
    <row r="564" ht="12.75" customHeight="1">
      <c r="A564" s="2">
        <v>37039.0</v>
      </c>
      <c r="B564" s="77">
        <f t="shared" si="1"/>
        <v>5</v>
      </c>
      <c r="C564" s="78">
        <f t="shared" si="2"/>
        <v>2001</v>
      </c>
      <c r="D564" s="77">
        <v>1.656</v>
      </c>
      <c r="E564" s="4">
        <f t="shared" si="3"/>
        <v>1.65375</v>
      </c>
      <c r="F564" s="2">
        <f t="shared" si="4"/>
        <v>37012</v>
      </c>
    </row>
    <row r="565" ht="12.75" customHeight="1">
      <c r="A565" s="2">
        <v>37046.0</v>
      </c>
      <c r="B565" s="77">
        <f t="shared" si="1"/>
        <v>6</v>
      </c>
      <c r="C565" s="78">
        <f t="shared" si="2"/>
        <v>2001</v>
      </c>
      <c r="D565" s="77">
        <v>1.63</v>
      </c>
      <c r="E565" s="4">
        <f t="shared" si="3"/>
        <v>1.5475</v>
      </c>
      <c r="F565" s="2">
        <f t="shared" si="4"/>
        <v>37043</v>
      </c>
    </row>
    <row r="566" ht="12.75" customHeight="1">
      <c r="A566" s="2">
        <v>37053.0</v>
      </c>
      <c r="B566" s="77">
        <f t="shared" si="1"/>
        <v>6</v>
      </c>
      <c r="C566" s="78">
        <f t="shared" si="2"/>
        <v>2001</v>
      </c>
      <c r="D566" s="77">
        <v>1.58</v>
      </c>
      <c r="E566" s="4">
        <f t="shared" si="3"/>
        <v>1.5475</v>
      </c>
      <c r="F566" s="2">
        <f t="shared" si="4"/>
        <v>37043</v>
      </c>
    </row>
    <row r="567" ht="12.75" customHeight="1">
      <c r="A567" s="2">
        <v>37060.0</v>
      </c>
      <c r="B567" s="77">
        <f t="shared" si="1"/>
        <v>6</v>
      </c>
      <c r="C567" s="78">
        <f t="shared" si="2"/>
        <v>2001</v>
      </c>
      <c r="D567" s="77">
        <v>1.526</v>
      </c>
      <c r="E567" s="4">
        <f t="shared" si="3"/>
        <v>1.5475</v>
      </c>
      <c r="F567" s="2">
        <f t="shared" si="4"/>
        <v>37043</v>
      </c>
    </row>
    <row r="568" ht="12.75" customHeight="1">
      <c r="A568" s="2">
        <v>37067.0</v>
      </c>
      <c r="B568" s="77">
        <f t="shared" si="1"/>
        <v>6</v>
      </c>
      <c r="C568" s="78">
        <f t="shared" si="2"/>
        <v>2001</v>
      </c>
      <c r="D568" s="77">
        <v>1.454</v>
      </c>
      <c r="E568" s="4">
        <f t="shared" si="3"/>
        <v>1.5475</v>
      </c>
      <c r="F568" s="2">
        <f t="shared" si="4"/>
        <v>37043</v>
      </c>
    </row>
    <row r="569" ht="12.75" customHeight="1">
      <c r="A569" s="2">
        <v>37074.0</v>
      </c>
      <c r="B569" s="77">
        <f t="shared" si="1"/>
        <v>7</v>
      </c>
      <c r="C569" s="78">
        <f t="shared" si="2"/>
        <v>2001</v>
      </c>
      <c r="D569" s="77">
        <v>1.384</v>
      </c>
      <c r="E569" s="4">
        <f t="shared" si="3"/>
        <v>1.3402</v>
      </c>
      <c r="F569" s="2">
        <f t="shared" si="4"/>
        <v>37073</v>
      </c>
    </row>
    <row r="570" ht="12.75" customHeight="1">
      <c r="A570" s="2">
        <v>37081.0</v>
      </c>
      <c r="B570" s="77">
        <f t="shared" si="1"/>
        <v>7</v>
      </c>
      <c r="C570" s="78">
        <f t="shared" si="2"/>
        <v>2001</v>
      </c>
      <c r="D570" s="77">
        <v>1.35</v>
      </c>
      <c r="E570" s="4">
        <f t="shared" si="3"/>
        <v>1.3402</v>
      </c>
      <c r="F570" s="2">
        <f t="shared" si="4"/>
        <v>37073</v>
      </c>
    </row>
    <row r="571" ht="12.75" customHeight="1">
      <c r="A571" s="2">
        <v>37088.0</v>
      </c>
      <c r="B571" s="77">
        <f t="shared" si="1"/>
        <v>7</v>
      </c>
      <c r="C571" s="78">
        <f t="shared" si="2"/>
        <v>2001</v>
      </c>
      <c r="D571" s="77">
        <v>1.33</v>
      </c>
      <c r="E571" s="4">
        <f t="shared" si="3"/>
        <v>1.3402</v>
      </c>
      <c r="F571" s="2">
        <f t="shared" si="4"/>
        <v>37073</v>
      </c>
    </row>
    <row r="572" ht="12.75" customHeight="1">
      <c r="A572" s="2">
        <v>37095.0</v>
      </c>
      <c r="B572" s="77">
        <f t="shared" si="1"/>
        <v>7</v>
      </c>
      <c r="C572" s="78">
        <f t="shared" si="2"/>
        <v>2001</v>
      </c>
      <c r="D572" s="77">
        <v>1.318</v>
      </c>
      <c r="E572" s="4">
        <f t="shared" si="3"/>
        <v>1.3402</v>
      </c>
      <c r="F572" s="2">
        <f t="shared" si="4"/>
        <v>37073</v>
      </c>
    </row>
    <row r="573" ht="12.75" customHeight="1">
      <c r="A573" s="2">
        <v>37102.0</v>
      </c>
      <c r="B573" s="77">
        <f t="shared" si="1"/>
        <v>7</v>
      </c>
      <c r="C573" s="78">
        <f t="shared" si="2"/>
        <v>2001</v>
      </c>
      <c r="D573" s="77">
        <v>1.319</v>
      </c>
      <c r="E573" s="4">
        <f t="shared" si="3"/>
        <v>1.3402</v>
      </c>
      <c r="F573" s="2">
        <f t="shared" si="4"/>
        <v>37073</v>
      </c>
    </row>
    <row r="574" ht="12.75" customHeight="1">
      <c r="A574" s="2">
        <v>37109.0</v>
      </c>
      <c r="B574" s="77">
        <f t="shared" si="1"/>
        <v>8</v>
      </c>
      <c r="C574" s="78">
        <f t="shared" si="2"/>
        <v>2001</v>
      </c>
      <c r="D574" s="77">
        <v>1.319</v>
      </c>
      <c r="E574" s="4">
        <f t="shared" si="3"/>
        <v>1.38625</v>
      </c>
      <c r="F574" s="2">
        <f t="shared" si="4"/>
        <v>37104</v>
      </c>
    </row>
    <row r="575" ht="12.75" customHeight="1">
      <c r="A575" s="2">
        <v>37116.0</v>
      </c>
      <c r="B575" s="77">
        <f t="shared" si="1"/>
        <v>8</v>
      </c>
      <c r="C575" s="78">
        <f t="shared" si="2"/>
        <v>2001</v>
      </c>
      <c r="D575" s="77">
        <v>1.347</v>
      </c>
      <c r="E575" s="4">
        <f t="shared" si="3"/>
        <v>1.38625</v>
      </c>
      <c r="F575" s="2">
        <f t="shared" si="4"/>
        <v>37104</v>
      </c>
    </row>
    <row r="576" ht="12.75" customHeight="1">
      <c r="A576" s="2">
        <v>37123.0</v>
      </c>
      <c r="B576" s="77">
        <f t="shared" si="1"/>
        <v>8</v>
      </c>
      <c r="C576" s="78">
        <f t="shared" si="2"/>
        <v>2001</v>
      </c>
      <c r="D576" s="77">
        <v>1.399</v>
      </c>
      <c r="E576" s="4">
        <f t="shared" si="3"/>
        <v>1.38625</v>
      </c>
      <c r="F576" s="2">
        <f t="shared" si="4"/>
        <v>37104</v>
      </c>
    </row>
    <row r="577" ht="12.75" customHeight="1">
      <c r="A577" s="2">
        <v>37130.0</v>
      </c>
      <c r="B577" s="77">
        <f t="shared" si="1"/>
        <v>8</v>
      </c>
      <c r="C577" s="78">
        <f t="shared" si="2"/>
        <v>2001</v>
      </c>
      <c r="D577" s="77">
        <v>1.48</v>
      </c>
      <c r="E577" s="4">
        <f t="shared" si="3"/>
        <v>1.38625</v>
      </c>
      <c r="F577" s="2">
        <f t="shared" si="4"/>
        <v>37104</v>
      </c>
    </row>
    <row r="578" ht="12.75" customHeight="1">
      <c r="A578" s="2">
        <v>37137.0</v>
      </c>
      <c r="B578" s="77">
        <f t="shared" si="1"/>
        <v>9</v>
      </c>
      <c r="C578" s="78">
        <f t="shared" si="2"/>
        <v>2001</v>
      </c>
      <c r="D578" s="77">
        <v>1.538</v>
      </c>
      <c r="E578" s="4">
        <f t="shared" si="3"/>
        <v>1.50625</v>
      </c>
      <c r="F578" s="2">
        <f t="shared" si="4"/>
        <v>37135</v>
      </c>
    </row>
    <row r="579" ht="12.75" customHeight="1">
      <c r="A579" s="2">
        <v>37144.0</v>
      </c>
      <c r="B579" s="77">
        <f t="shared" si="1"/>
        <v>9</v>
      </c>
      <c r="C579" s="78">
        <f t="shared" si="2"/>
        <v>2001</v>
      </c>
      <c r="D579" s="77">
        <v>1.511</v>
      </c>
      <c r="E579" s="4">
        <f t="shared" si="3"/>
        <v>1.50625</v>
      </c>
      <c r="F579" s="2">
        <f t="shared" si="4"/>
        <v>37135</v>
      </c>
    </row>
    <row r="580" ht="12.75" customHeight="1">
      <c r="A580" s="2">
        <v>37151.0</v>
      </c>
      <c r="B580" s="77">
        <f t="shared" si="1"/>
        <v>9</v>
      </c>
      <c r="C580" s="78">
        <f t="shared" si="2"/>
        <v>2001</v>
      </c>
      <c r="D580" s="77">
        <v>1.516</v>
      </c>
      <c r="E580" s="4">
        <f t="shared" si="3"/>
        <v>1.50625</v>
      </c>
      <c r="F580" s="2">
        <f t="shared" si="4"/>
        <v>37135</v>
      </c>
    </row>
    <row r="581" ht="12.75" customHeight="1">
      <c r="A581" s="2">
        <v>37158.0</v>
      </c>
      <c r="B581" s="77">
        <f t="shared" si="1"/>
        <v>9</v>
      </c>
      <c r="C581" s="78">
        <f t="shared" si="2"/>
        <v>2001</v>
      </c>
      <c r="D581" s="77">
        <v>1.46</v>
      </c>
      <c r="E581" s="4">
        <f t="shared" si="3"/>
        <v>1.50625</v>
      </c>
      <c r="F581" s="2">
        <f t="shared" si="4"/>
        <v>37135</v>
      </c>
    </row>
    <row r="582" ht="12.75" customHeight="1">
      <c r="A582" s="2">
        <v>37165.0</v>
      </c>
      <c r="B582" s="77">
        <f t="shared" si="1"/>
        <v>10</v>
      </c>
      <c r="C582" s="78">
        <f t="shared" si="2"/>
        <v>2001</v>
      </c>
      <c r="D582" s="77">
        <v>1.381</v>
      </c>
      <c r="E582" s="4">
        <f t="shared" si="3"/>
        <v>1.2738</v>
      </c>
      <c r="F582" s="2">
        <f t="shared" si="4"/>
        <v>37165</v>
      </c>
    </row>
    <row r="583" ht="12.75" customHeight="1">
      <c r="A583" s="2">
        <v>37172.0</v>
      </c>
      <c r="B583" s="77">
        <f t="shared" si="1"/>
        <v>10</v>
      </c>
      <c r="C583" s="78">
        <f t="shared" si="2"/>
        <v>2001</v>
      </c>
      <c r="D583" s="77">
        <v>1.31</v>
      </c>
      <c r="E583" s="4">
        <f t="shared" si="3"/>
        <v>1.2738</v>
      </c>
      <c r="F583" s="2">
        <f t="shared" si="4"/>
        <v>37165</v>
      </c>
    </row>
    <row r="584" ht="12.75" customHeight="1">
      <c r="A584" s="2">
        <v>37179.0</v>
      </c>
      <c r="B584" s="77">
        <f t="shared" si="1"/>
        <v>10</v>
      </c>
      <c r="C584" s="78">
        <f t="shared" si="2"/>
        <v>2001</v>
      </c>
      <c r="D584" s="77">
        <v>1.264</v>
      </c>
      <c r="E584" s="4">
        <f t="shared" si="3"/>
        <v>1.2738</v>
      </c>
      <c r="F584" s="2">
        <f t="shared" si="4"/>
        <v>37165</v>
      </c>
    </row>
    <row r="585" ht="12.75" customHeight="1">
      <c r="A585" s="2">
        <v>37186.0</v>
      </c>
      <c r="B585" s="77">
        <f t="shared" si="1"/>
        <v>10</v>
      </c>
      <c r="C585" s="78">
        <f t="shared" si="2"/>
        <v>2001</v>
      </c>
      <c r="D585" s="77">
        <v>1.221</v>
      </c>
      <c r="E585" s="4">
        <f t="shared" si="3"/>
        <v>1.2738</v>
      </c>
      <c r="F585" s="2">
        <f t="shared" si="4"/>
        <v>37165</v>
      </c>
    </row>
    <row r="586" ht="12.75" customHeight="1">
      <c r="A586" s="2">
        <v>37193.0</v>
      </c>
      <c r="B586" s="77">
        <f t="shared" si="1"/>
        <v>10</v>
      </c>
      <c r="C586" s="78">
        <f t="shared" si="2"/>
        <v>2001</v>
      </c>
      <c r="D586" s="77">
        <v>1.193</v>
      </c>
      <c r="E586" s="4">
        <f t="shared" si="3"/>
        <v>1.2738</v>
      </c>
      <c r="F586" s="2">
        <f t="shared" si="4"/>
        <v>37165</v>
      </c>
    </row>
    <row r="587" ht="12.75" customHeight="1">
      <c r="A587" s="2">
        <v>37200.0</v>
      </c>
      <c r="B587" s="77">
        <f t="shared" si="1"/>
        <v>11</v>
      </c>
      <c r="C587" s="78">
        <f t="shared" si="2"/>
        <v>2001</v>
      </c>
      <c r="D587" s="77">
        <v>1.17</v>
      </c>
      <c r="E587" s="4">
        <f t="shared" si="3"/>
        <v>1.1385</v>
      </c>
      <c r="F587" s="2">
        <f t="shared" si="4"/>
        <v>37196</v>
      </c>
    </row>
    <row r="588" ht="12.75" customHeight="1">
      <c r="A588" s="2">
        <v>37207.0</v>
      </c>
      <c r="B588" s="77">
        <f t="shared" si="1"/>
        <v>11</v>
      </c>
      <c r="C588" s="78">
        <f t="shared" si="2"/>
        <v>2001</v>
      </c>
      <c r="D588" s="77">
        <v>1.147</v>
      </c>
      <c r="E588" s="4">
        <f t="shared" si="3"/>
        <v>1.1385</v>
      </c>
      <c r="F588" s="2">
        <f t="shared" si="4"/>
        <v>37196</v>
      </c>
    </row>
    <row r="589" ht="12.75" customHeight="1">
      <c r="A589" s="2">
        <v>37214.0</v>
      </c>
      <c r="B589" s="77">
        <f t="shared" si="1"/>
        <v>11</v>
      </c>
      <c r="C589" s="78">
        <f t="shared" si="2"/>
        <v>2001</v>
      </c>
      <c r="D589" s="77">
        <v>1.14</v>
      </c>
      <c r="E589" s="4">
        <f t="shared" si="3"/>
        <v>1.1385</v>
      </c>
      <c r="F589" s="2">
        <f t="shared" si="4"/>
        <v>37196</v>
      </c>
    </row>
    <row r="590" ht="12.75" customHeight="1">
      <c r="A590" s="2">
        <v>37221.0</v>
      </c>
      <c r="B590" s="77">
        <f t="shared" si="1"/>
        <v>11</v>
      </c>
      <c r="C590" s="78">
        <f t="shared" si="2"/>
        <v>2001</v>
      </c>
      <c r="D590" s="77">
        <v>1.097</v>
      </c>
      <c r="E590" s="4">
        <f t="shared" si="3"/>
        <v>1.1385</v>
      </c>
      <c r="F590" s="2">
        <f t="shared" si="4"/>
        <v>37196</v>
      </c>
    </row>
    <row r="591" ht="12.75" customHeight="1">
      <c r="A591" s="2">
        <v>37228.0</v>
      </c>
      <c r="B591" s="77">
        <f t="shared" si="1"/>
        <v>12</v>
      </c>
      <c r="C591" s="78">
        <f t="shared" si="2"/>
        <v>2001</v>
      </c>
      <c r="D591" s="77">
        <v>1.084</v>
      </c>
      <c r="E591" s="4">
        <f t="shared" si="3"/>
        <v>1.072</v>
      </c>
      <c r="F591" s="2">
        <f t="shared" si="4"/>
        <v>37226</v>
      </c>
    </row>
    <row r="592" ht="12.75" customHeight="1">
      <c r="A592" s="2">
        <v>37235.0</v>
      </c>
      <c r="B592" s="77">
        <f t="shared" si="1"/>
        <v>12</v>
      </c>
      <c r="C592" s="78">
        <f t="shared" si="2"/>
        <v>2001</v>
      </c>
      <c r="D592" s="77">
        <v>1.075</v>
      </c>
      <c r="E592" s="4">
        <f t="shared" si="3"/>
        <v>1.072</v>
      </c>
      <c r="F592" s="2">
        <f t="shared" si="4"/>
        <v>37226</v>
      </c>
    </row>
    <row r="593" ht="12.75" customHeight="1">
      <c r="A593" s="2">
        <v>37242.0</v>
      </c>
      <c r="B593" s="77">
        <f t="shared" si="1"/>
        <v>12</v>
      </c>
      <c r="C593" s="78">
        <f t="shared" si="2"/>
        <v>2001</v>
      </c>
      <c r="D593" s="77">
        <v>1.042</v>
      </c>
      <c r="E593" s="4">
        <f t="shared" si="3"/>
        <v>1.072</v>
      </c>
      <c r="F593" s="2">
        <f t="shared" si="4"/>
        <v>37226</v>
      </c>
    </row>
    <row r="594" ht="12.75" customHeight="1">
      <c r="A594" s="2">
        <v>37249.0</v>
      </c>
      <c r="B594" s="77">
        <f t="shared" si="1"/>
        <v>12</v>
      </c>
      <c r="C594" s="78">
        <f t="shared" si="2"/>
        <v>2001</v>
      </c>
      <c r="D594" s="77">
        <v>1.063</v>
      </c>
      <c r="E594" s="4">
        <f t="shared" si="3"/>
        <v>1.072</v>
      </c>
      <c r="F594" s="2">
        <f t="shared" si="4"/>
        <v>37226</v>
      </c>
    </row>
    <row r="595" ht="12.75" customHeight="1">
      <c r="A595" s="2">
        <v>37256.0</v>
      </c>
      <c r="B595" s="77">
        <f t="shared" si="1"/>
        <v>12</v>
      </c>
      <c r="C595" s="78">
        <f t="shared" si="2"/>
        <v>2001</v>
      </c>
      <c r="D595" s="77">
        <v>1.096</v>
      </c>
      <c r="E595" s="4">
        <f t="shared" si="3"/>
        <v>1.072</v>
      </c>
      <c r="F595" s="2">
        <f t="shared" si="4"/>
        <v>37226</v>
      </c>
    </row>
    <row r="596" ht="12.75" customHeight="1">
      <c r="A596" s="2">
        <v>37263.0</v>
      </c>
      <c r="B596" s="77">
        <f t="shared" si="1"/>
        <v>1</v>
      </c>
      <c r="C596" s="78">
        <f t="shared" si="2"/>
        <v>2002</v>
      </c>
      <c r="D596" s="77">
        <v>1.109</v>
      </c>
      <c r="E596" s="4">
        <f t="shared" si="3"/>
        <v>1.094</v>
      </c>
      <c r="F596" s="2">
        <f t="shared" si="4"/>
        <v>37257</v>
      </c>
    </row>
    <row r="597" ht="12.75" customHeight="1">
      <c r="A597" s="2">
        <v>37270.0</v>
      </c>
      <c r="B597" s="77">
        <f t="shared" si="1"/>
        <v>1</v>
      </c>
      <c r="C597" s="78">
        <f t="shared" si="2"/>
        <v>2002</v>
      </c>
      <c r="D597" s="77">
        <v>1.099</v>
      </c>
      <c r="E597" s="4">
        <f t="shared" si="3"/>
        <v>1.094</v>
      </c>
      <c r="F597" s="2">
        <f t="shared" si="4"/>
        <v>37257</v>
      </c>
    </row>
    <row r="598" ht="12.75" customHeight="1">
      <c r="A598" s="2">
        <v>37277.0</v>
      </c>
      <c r="B598" s="77">
        <f t="shared" si="1"/>
        <v>1</v>
      </c>
      <c r="C598" s="78">
        <f t="shared" si="2"/>
        <v>2002</v>
      </c>
      <c r="D598" s="77">
        <v>1.087</v>
      </c>
      <c r="E598" s="4">
        <f t="shared" si="3"/>
        <v>1.094</v>
      </c>
      <c r="F598" s="2">
        <f t="shared" si="4"/>
        <v>37257</v>
      </c>
    </row>
    <row r="599" ht="12.75" customHeight="1">
      <c r="A599" s="2">
        <v>37284.0</v>
      </c>
      <c r="B599" s="77">
        <f t="shared" si="1"/>
        <v>1</v>
      </c>
      <c r="C599" s="78">
        <f t="shared" si="2"/>
        <v>2002</v>
      </c>
      <c r="D599" s="77">
        <v>1.081</v>
      </c>
      <c r="E599" s="4">
        <f t="shared" si="3"/>
        <v>1.094</v>
      </c>
      <c r="F599" s="2">
        <f t="shared" si="4"/>
        <v>37257</v>
      </c>
    </row>
    <row r="600" ht="12.75" customHeight="1">
      <c r="A600" s="2">
        <v>37291.0</v>
      </c>
      <c r="B600" s="77">
        <f t="shared" si="1"/>
        <v>2</v>
      </c>
      <c r="C600" s="78">
        <f t="shared" si="2"/>
        <v>2002</v>
      </c>
      <c r="D600" s="77">
        <v>1.098</v>
      </c>
      <c r="E600" s="4">
        <f t="shared" si="3"/>
        <v>1.08975</v>
      </c>
      <c r="F600" s="2">
        <f t="shared" si="4"/>
        <v>37288</v>
      </c>
    </row>
    <row r="601" ht="12.75" customHeight="1">
      <c r="A601" s="2">
        <v>37298.0</v>
      </c>
      <c r="B601" s="77">
        <f t="shared" si="1"/>
        <v>2</v>
      </c>
      <c r="C601" s="78">
        <f t="shared" si="2"/>
        <v>2002</v>
      </c>
      <c r="D601" s="77">
        <v>1.085</v>
      </c>
      <c r="E601" s="4">
        <f t="shared" si="3"/>
        <v>1.08975</v>
      </c>
      <c r="F601" s="2">
        <f t="shared" si="4"/>
        <v>37288</v>
      </c>
    </row>
    <row r="602" ht="12.75" customHeight="1">
      <c r="A602" s="2">
        <v>37305.0</v>
      </c>
      <c r="B602" s="77">
        <f t="shared" si="1"/>
        <v>2</v>
      </c>
      <c r="C602" s="78">
        <f t="shared" si="2"/>
        <v>2002</v>
      </c>
      <c r="D602" s="77">
        <v>1.089</v>
      </c>
      <c r="E602" s="4">
        <f t="shared" si="3"/>
        <v>1.08975</v>
      </c>
      <c r="F602" s="2">
        <f t="shared" si="4"/>
        <v>37288</v>
      </c>
    </row>
    <row r="603" ht="12.75" customHeight="1">
      <c r="A603" s="2">
        <v>37312.0</v>
      </c>
      <c r="B603" s="77">
        <f t="shared" si="1"/>
        <v>2</v>
      </c>
      <c r="C603" s="78">
        <f t="shared" si="2"/>
        <v>2002</v>
      </c>
      <c r="D603" s="77">
        <v>1.087</v>
      </c>
      <c r="E603" s="4">
        <f t="shared" si="3"/>
        <v>1.08975</v>
      </c>
      <c r="F603" s="2">
        <f t="shared" si="4"/>
        <v>37288</v>
      </c>
    </row>
    <row r="604" ht="12.75" customHeight="1">
      <c r="A604" s="2">
        <v>37319.0</v>
      </c>
      <c r="B604" s="77">
        <f t="shared" si="1"/>
        <v>3</v>
      </c>
      <c r="C604" s="78">
        <f t="shared" si="2"/>
        <v>2002</v>
      </c>
      <c r="D604" s="77">
        <v>1.118</v>
      </c>
      <c r="E604" s="4">
        <f t="shared" si="3"/>
        <v>1.2205</v>
      </c>
      <c r="F604" s="2">
        <f t="shared" si="4"/>
        <v>37316</v>
      </c>
    </row>
    <row r="605" ht="12.75" customHeight="1">
      <c r="A605" s="2">
        <v>37326.0</v>
      </c>
      <c r="B605" s="77">
        <f t="shared" si="1"/>
        <v>3</v>
      </c>
      <c r="C605" s="78">
        <f t="shared" si="2"/>
        <v>2002</v>
      </c>
      <c r="D605" s="77">
        <v>1.194</v>
      </c>
      <c r="E605" s="4">
        <f t="shared" si="3"/>
        <v>1.2205</v>
      </c>
      <c r="F605" s="2">
        <f t="shared" si="4"/>
        <v>37316</v>
      </c>
    </row>
    <row r="606" ht="12.75" customHeight="1">
      <c r="A606" s="2">
        <v>37333.0</v>
      </c>
      <c r="B606" s="77">
        <f t="shared" si="1"/>
        <v>3</v>
      </c>
      <c r="C606" s="78">
        <f t="shared" si="2"/>
        <v>2002</v>
      </c>
      <c r="D606" s="77">
        <v>1.262</v>
      </c>
      <c r="E606" s="4">
        <f t="shared" si="3"/>
        <v>1.2205</v>
      </c>
      <c r="F606" s="2">
        <f t="shared" si="4"/>
        <v>37316</v>
      </c>
    </row>
    <row r="607" ht="12.75" customHeight="1">
      <c r="A607" s="2">
        <v>37340.0</v>
      </c>
      <c r="B607" s="77">
        <f t="shared" si="1"/>
        <v>3</v>
      </c>
      <c r="C607" s="78">
        <f t="shared" si="2"/>
        <v>2002</v>
      </c>
      <c r="D607" s="77">
        <v>1.308</v>
      </c>
      <c r="E607" s="4">
        <f t="shared" si="3"/>
        <v>1.2205</v>
      </c>
      <c r="F607" s="2">
        <f t="shared" si="4"/>
        <v>37316</v>
      </c>
    </row>
    <row r="608" ht="12.75" customHeight="1">
      <c r="A608" s="2">
        <v>37347.0</v>
      </c>
      <c r="B608" s="77">
        <f t="shared" si="1"/>
        <v>4</v>
      </c>
      <c r="C608" s="78">
        <f t="shared" si="2"/>
        <v>2002</v>
      </c>
      <c r="D608" s="77">
        <v>1.339</v>
      </c>
      <c r="E608" s="4">
        <f t="shared" si="3"/>
        <v>1.3618</v>
      </c>
      <c r="F608" s="2">
        <f t="shared" si="4"/>
        <v>37347</v>
      </c>
    </row>
    <row r="609" ht="12.75" customHeight="1">
      <c r="A609" s="2">
        <v>37354.0</v>
      </c>
      <c r="B609" s="77">
        <f t="shared" si="1"/>
        <v>4</v>
      </c>
      <c r="C609" s="78">
        <f t="shared" si="2"/>
        <v>2002</v>
      </c>
      <c r="D609" s="77">
        <v>1.382</v>
      </c>
      <c r="E609" s="4">
        <f t="shared" si="3"/>
        <v>1.3618</v>
      </c>
      <c r="F609" s="2">
        <f t="shared" si="4"/>
        <v>37347</v>
      </c>
    </row>
    <row r="610" ht="12.75" customHeight="1">
      <c r="A610" s="2">
        <v>37361.0</v>
      </c>
      <c r="B610" s="77">
        <f t="shared" si="1"/>
        <v>4</v>
      </c>
      <c r="C610" s="78">
        <f t="shared" si="2"/>
        <v>2002</v>
      </c>
      <c r="D610" s="77">
        <v>1.368</v>
      </c>
      <c r="E610" s="4">
        <f t="shared" si="3"/>
        <v>1.3618</v>
      </c>
      <c r="F610" s="2">
        <f t="shared" si="4"/>
        <v>37347</v>
      </c>
    </row>
    <row r="611" ht="12.75" customHeight="1">
      <c r="A611" s="2">
        <v>37368.0</v>
      </c>
      <c r="B611" s="77">
        <f t="shared" si="1"/>
        <v>4</v>
      </c>
      <c r="C611" s="78">
        <f t="shared" si="2"/>
        <v>2002</v>
      </c>
      <c r="D611" s="77">
        <v>1.367</v>
      </c>
      <c r="E611" s="4">
        <f t="shared" si="3"/>
        <v>1.3618</v>
      </c>
      <c r="F611" s="2">
        <f t="shared" si="4"/>
        <v>37347</v>
      </c>
    </row>
    <row r="612" ht="12.75" customHeight="1">
      <c r="A612" s="2">
        <v>37375.0</v>
      </c>
      <c r="B612" s="77">
        <f t="shared" si="1"/>
        <v>4</v>
      </c>
      <c r="C612" s="78">
        <f t="shared" si="2"/>
        <v>2002</v>
      </c>
      <c r="D612" s="77">
        <v>1.353</v>
      </c>
      <c r="E612" s="4">
        <f t="shared" si="3"/>
        <v>1.3618</v>
      </c>
      <c r="F612" s="2">
        <f t="shared" si="4"/>
        <v>37347</v>
      </c>
    </row>
    <row r="613" ht="12.75" customHeight="1">
      <c r="A613" s="2">
        <v>37382.0</v>
      </c>
      <c r="B613" s="77">
        <f t="shared" si="1"/>
        <v>5</v>
      </c>
      <c r="C613" s="78">
        <f t="shared" si="2"/>
        <v>2002</v>
      </c>
      <c r="D613" s="77">
        <v>1.356</v>
      </c>
      <c r="E613" s="4">
        <f t="shared" si="3"/>
        <v>1.35325</v>
      </c>
      <c r="F613" s="2">
        <f t="shared" si="4"/>
        <v>37377</v>
      </c>
    </row>
    <row r="614" ht="12.75" customHeight="1">
      <c r="A614" s="2">
        <v>37389.0</v>
      </c>
      <c r="B614" s="77">
        <f t="shared" si="1"/>
        <v>5</v>
      </c>
      <c r="C614" s="78">
        <f t="shared" si="2"/>
        <v>2002</v>
      </c>
      <c r="D614" s="77">
        <v>1.349</v>
      </c>
      <c r="E614" s="4">
        <f t="shared" si="3"/>
        <v>1.35325</v>
      </c>
      <c r="F614" s="2">
        <f t="shared" si="4"/>
        <v>37377</v>
      </c>
    </row>
    <row r="615" ht="12.75" customHeight="1">
      <c r="A615" s="2">
        <v>37396.0</v>
      </c>
      <c r="B615" s="77">
        <f t="shared" si="1"/>
        <v>5</v>
      </c>
      <c r="C615" s="78">
        <f t="shared" si="2"/>
        <v>2002</v>
      </c>
      <c r="D615" s="77">
        <v>1.36</v>
      </c>
      <c r="E615" s="4">
        <f t="shared" si="3"/>
        <v>1.35325</v>
      </c>
      <c r="F615" s="2">
        <f t="shared" si="4"/>
        <v>37377</v>
      </c>
    </row>
    <row r="616" ht="12.75" customHeight="1">
      <c r="A616" s="2">
        <v>37403.0</v>
      </c>
      <c r="B616" s="77">
        <f t="shared" si="1"/>
        <v>5</v>
      </c>
      <c r="C616" s="78">
        <f t="shared" si="2"/>
        <v>2002</v>
      </c>
      <c r="D616" s="77">
        <v>1.348</v>
      </c>
      <c r="E616" s="4">
        <f t="shared" si="3"/>
        <v>1.35325</v>
      </c>
      <c r="F616" s="2">
        <f t="shared" si="4"/>
        <v>37377</v>
      </c>
    </row>
    <row r="617" ht="12.75" customHeight="1">
      <c r="A617" s="2">
        <v>37410.0</v>
      </c>
      <c r="B617" s="77">
        <f t="shared" si="1"/>
        <v>6</v>
      </c>
      <c r="C617" s="78">
        <f t="shared" si="2"/>
        <v>2002</v>
      </c>
      <c r="D617" s="77">
        <v>1.353</v>
      </c>
      <c r="E617" s="4">
        <f t="shared" si="3"/>
        <v>1.3405</v>
      </c>
      <c r="F617" s="2">
        <f t="shared" si="4"/>
        <v>37408</v>
      </c>
    </row>
    <row r="618" ht="12.75" customHeight="1">
      <c r="A618" s="2">
        <v>37417.0</v>
      </c>
      <c r="B618" s="77">
        <f t="shared" si="1"/>
        <v>6</v>
      </c>
      <c r="C618" s="78">
        <f t="shared" si="2"/>
        <v>2002</v>
      </c>
      <c r="D618" s="77">
        <v>1.332</v>
      </c>
      <c r="E618" s="4">
        <f t="shared" si="3"/>
        <v>1.3405</v>
      </c>
      <c r="F618" s="2">
        <f t="shared" si="4"/>
        <v>37408</v>
      </c>
    </row>
    <row r="619" ht="12.75" customHeight="1">
      <c r="A619" s="2">
        <v>37424.0</v>
      </c>
      <c r="B619" s="77">
        <f t="shared" si="1"/>
        <v>6</v>
      </c>
      <c r="C619" s="78">
        <f t="shared" si="2"/>
        <v>2002</v>
      </c>
      <c r="D619" s="77">
        <v>1.335</v>
      </c>
      <c r="E619" s="4">
        <f t="shared" si="3"/>
        <v>1.3405</v>
      </c>
      <c r="F619" s="2">
        <f t="shared" si="4"/>
        <v>37408</v>
      </c>
    </row>
    <row r="620" ht="12.75" customHeight="1">
      <c r="A620" s="2">
        <v>37431.0</v>
      </c>
      <c r="B620" s="77">
        <f t="shared" si="1"/>
        <v>6</v>
      </c>
      <c r="C620" s="78">
        <f t="shared" si="2"/>
        <v>2002</v>
      </c>
      <c r="D620" s="77">
        <v>1.342</v>
      </c>
      <c r="E620" s="4">
        <f t="shared" si="3"/>
        <v>1.3405</v>
      </c>
      <c r="F620" s="2">
        <f t="shared" si="4"/>
        <v>37408</v>
      </c>
    </row>
    <row r="621" ht="12.75" customHeight="1">
      <c r="A621" s="2">
        <v>37438.0</v>
      </c>
      <c r="B621" s="77">
        <f t="shared" si="1"/>
        <v>7</v>
      </c>
      <c r="C621" s="78">
        <f t="shared" si="2"/>
        <v>2002</v>
      </c>
      <c r="D621" s="77">
        <v>1.357</v>
      </c>
      <c r="E621" s="4">
        <f t="shared" si="3"/>
        <v>1.364</v>
      </c>
      <c r="F621" s="2">
        <f t="shared" si="4"/>
        <v>37438</v>
      </c>
    </row>
    <row r="622" ht="12.75" customHeight="1">
      <c r="A622" s="2">
        <v>37445.0</v>
      </c>
      <c r="B622" s="77">
        <f t="shared" si="1"/>
        <v>7</v>
      </c>
      <c r="C622" s="78">
        <f t="shared" si="2"/>
        <v>2002</v>
      </c>
      <c r="D622" s="77">
        <v>1.345</v>
      </c>
      <c r="E622" s="4">
        <f t="shared" si="3"/>
        <v>1.364</v>
      </c>
      <c r="F622" s="2">
        <f t="shared" si="4"/>
        <v>37438</v>
      </c>
    </row>
    <row r="623" ht="12.75" customHeight="1">
      <c r="A623" s="2">
        <v>37452.0</v>
      </c>
      <c r="B623" s="77">
        <f t="shared" si="1"/>
        <v>7</v>
      </c>
      <c r="C623" s="78">
        <f t="shared" si="2"/>
        <v>2002</v>
      </c>
      <c r="D623" s="77">
        <v>1.361</v>
      </c>
      <c r="E623" s="4">
        <f t="shared" si="3"/>
        <v>1.364</v>
      </c>
      <c r="F623" s="2">
        <f t="shared" si="4"/>
        <v>37438</v>
      </c>
    </row>
    <row r="624" ht="12.75" customHeight="1">
      <c r="A624" s="2">
        <v>37459.0</v>
      </c>
      <c r="B624" s="77">
        <f t="shared" si="1"/>
        <v>7</v>
      </c>
      <c r="C624" s="78">
        <f t="shared" si="2"/>
        <v>2002</v>
      </c>
      <c r="D624" s="77">
        <v>1.381</v>
      </c>
      <c r="E624" s="4">
        <f t="shared" si="3"/>
        <v>1.364</v>
      </c>
      <c r="F624" s="2">
        <f t="shared" si="4"/>
        <v>37438</v>
      </c>
    </row>
    <row r="625" ht="12.75" customHeight="1">
      <c r="A625" s="2">
        <v>37466.0</v>
      </c>
      <c r="B625" s="77">
        <f t="shared" si="1"/>
        <v>7</v>
      </c>
      <c r="C625" s="78">
        <f t="shared" si="2"/>
        <v>2002</v>
      </c>
      <c r="D625" s="77">
        <v>1.376</v>
      </c>
      <c r="E625" s="4">
        <f t="shared" si="3"/>
        <v>1.364</v>
      </c>
      <c r="F625" s="2">
        <f t="shared" si="4"/>
        <v>37438</v>
      </c>
    </row>
    <row r="626" ht="12.75" customHeight="1">
      <c r="A626" s="2">
        <v>37473.0</v>
      </c>
      <c r="B626" s="77">
        <f t="shared" si="1"/>
        <v>8</v>
      </c>
      <c r="C626" s="78">
        <f t="shared" si="2"/>
        <v>2002</v>
      </c>
      <c r="D626" s="77">
        <v>1.355</v>
      </c>
      <c r="E626" s="4">
        <f t="shared" si="3"/>
        <v>1.358</v>
      </c>
      <c r="F626" s="2">
        <f t="shared" si="4"/>
        <v>37469</v>
      </c>
    </row>
    <row r="627" ht="12.75" customHeight="1">
      <c r="A627" s="2">
        <v>37480.0</v>
      </c>
      <c r="B627" s="77">
        <f t="shared" si="1"/>
        <v>8</v>
      </c>
      <c r="C627" s="78">
        <f t="shared" si="2"/>
        <v>2002</v>
      </c>
      <c r="D627" s="77">
        <v>1.355</v>
      </c>
      <c r="E627" s="4">
        <f t="shared" si="3"/>
        <v>1.358</v>
      </c>
      <c r="F627" s="2">
        <f t="shared" si="4"/>
        <v>37469</v>
      </c>
    </row>
    <row r="628" ht="12.75" customHeight="1">
      <c r="A628" s="2">
        <v>37487.0</v>
      </c>
      <c r="B628" s="77">
        <f t="shared" si="1"/>
        <v>8</v>
      </c>
      <c r="C628" s="78">
        <f t="shared" si="2"/>
        <v>2002</v>
      </c>
      <c r="D628" s="77">
        <v>1.357</v>
      </c>
      <c r="E628" s="4">
        <f t="shared" si="3"/>
        <v>1.358</v>
      </c>
      <c r="F628" s="2">
        <f t="shared" si="4"/>
        <v>37469</v>
      </c>
    </row>
    <row r="629" ht="12.75" customHeight="1">
      <c r="A629" s="2">
        <v>37494.0</v>
      </c>
      <c r="B629" s="77">
        <f t="shared" si="1"/>
        <v>8</v>
      </c>
      <c r="C629" s="78">
        <f t="shared" si="2"/>
        <v>2002</v>
      </c>
      <c r="D629" s="77">
        <v>1.365</v>
      </c>
      <c r="E629" s="4">
        <f t="shared" si="3"/>
        <v>1.358</v>
      </c>
      <c r="F629" s="2">
        <f t="shared" si="4"/>
        <v>37469</v>
      </c>
    </row>
    <row r="630" ht="12.75" customHeight="1">
      <c r="A630" s="2">
        <v>37501.0</v>
      </c>
      <c r="B630" s="77">
        <f t="shared" si="1"/>
        <v>9</v>
      </c>
      <c r="C630" s="78">
        <f t="shared" si="2"/>
        <v>2002</v>
      </c>
      <c r="D630" s="77">
        <v>1.353</v>
      </c>
      <c r="E630" s="4">
        <f t="shared" si="3"/>
        <v>1.3634</v>
      </c>
      <c r="F630" s="2">
        <f t="shared" si="4"/>
        <v>37500</v>
      </c>
    </row>
    <row r="631" ht="12.75" customHeight="1">
      <c r="A631" s="2">
        <v>37508.0</v>
      </c>
      <c r="B631" s="77">
        <f t="shared" si="1"/>
        <v>9</v>
      </c>
      <c r="C631" s="78">
        <f t="shared" si="2"/>
        <v>2002</v>
      </c>
      <c r="D631" s="77">
        <v>1.355</v>
      </c>
      <c r="E631" s="4">
        <f t="shared" si="3"/>
        <v>1.3634</v>
      </c>
      <c r="F631" s="2">
        <f t="shared" si="4"/>
        <v>37500</v>
      </c>
    </row>
    <row r="632" ht="12.75" customHeight="1">
      <c r="A632" s="2">
        <v>37515.0</v>
      </c>
      <c r="B632" s="77">
        <f t="shared" si="1"/>
        <v>9</v>
      </c>
      <c r="C632" s="78">
        <f t="shared" si="2"/>
        <v>2002</v>
      </c>
      <c r="D632" s="77">
        <v>1.367</v>
      </c>
      <c r="E632" s="4">
        <f t="shared" si="3"/>
        <v>1.3634</v>
      </c>
      <c r="F632" s="2">
        <f t="shared" si="4"/>
        <v>37500</v>
      </c>
    </row>
    <row r="633" ht="12.75" customHeight="1">
      <c r="A633" s="2">
        <v>37522.0</v>
      </c>
      <c r="B633" s="77">
        <f t="shared" si="1"/>
        <v>9</v>
      </c>
      <c r="C633" s="78">
        <f t="shared" si="2"/>
        <v>2002</v>
      </c>
      <c r="D633" s="77">
        <v>1.357</v>
      </c>
      <c r="E633" s="4">
        <f t="shared" si="3"/>
        <v>1.3634</v>
      </c>
      <c r="F633" s="2">
        <f t="shared" si="4"/>
        <v>37500</v>
      </c>
    </row>
    <row r="634" ht="12.75" customHeight="1">
      <c r="A634" s="2">
        <v>37529.0</v>
      </c>
      <c r="B634" s="77">
        <f t="shared" si="1"/>
        <v>9</v>
      </c>
      <c r="C634" s="78">
        <f t="shared" si="2"/>
        <v>2002</v>
      </c>
      <c r="D634" s="77">
        <v>1.385</v>
      </c>
      <c r="E634" s="4">
        <f t="shared" si="3"/>
        <v>1.3634</v>
      </c>
      <c r="F634" s="2">
        <f t="shared" si="4"/>
        <v>37500</v>
      </c>
    </row>
    <row r="635" ht="12.75" customHeight="1">
      <c r="A635" s="2">
        <v>37536.0</v>
      </c>
      <c r="B635" s="77">
        <f t="shared" si="1"/>
        <v>10</v>
      </c>
      <c r="C635" s="78">
        <f t="shared" si="2"/>
        <v>2002</v>
      </c>
      <c r="D635" s="77">
        <v>1.416</v>
      </c>
      <c r="E635" s="4">
        <f t="shared" si="3"/>
        <v>1.427</v>
      </c>
      <c r="F635" s="2">
        <f t="shared" si="4"/>
        <v>37530</v>
      </c>
    </row>
    <row r="636" ht="12.75" customHeight="1">
      <c r="A636" s="2">
        <v>37543.0</v>
      </c>
      <c r="B636" s="77">
        <f t="shared" si="1"/>
        <v>10</v>
      </c>
      <c r="C636" s="78">
        <f t="shared" si="2"/>
        <v>2002</v>
      </c>
      <c r="D636" s="77">
        <v>1.422</v>
      </c>
      <c r="E636" s="4">
        <f t="shared" si="3"/>
        <v>1.427</v>
      </c>
      <c r="F636" s="2">
        <f t="shared" si="4"/>
        <v>37530</v>
      </c>
    </row>
    <row r="637" ht="12.75" customHeight="1">
      <c r="A637" s="2">
        <v>37550.0</v>
      </c>
      <c r="B637" s="77">
        <f t="shared" si="1"/>
        <v>10</v>
      </c>
      <c r="C637" s="78">
        <f t="shared" si="2"/>
        <v>2002</v>
      </c>
      <c r="D637" s="77">
        <v>1.443</v>
      </c>
      <c r="E637" s="4">
        <f t="shared" si="3"/>
        <v>1.427</v>
      </c>
      <c r="F637" s="2">
        <f t="shared" si="4"/>
        <v>37530</v>
      </c>
    </row>
    <row r="638" ht="12.75" customHeight="1">
      <c r="A638" s="2">
        <v>37557.0</v>
      </c>
      <c r="B638" s="77">
        <f t="shared" si="1"/>
        <v>10</v>
      </c>
      <c r="C638" s="78">
        <f t="shared" si="2"/>
        <v>2002</v>
      </c>
      <c r="D638" s="77">
        <v>1.427</v>
      </c>
      <c r="E638" s="4">
        <f t="shared" si="3"/>
        <v>1.427</v>
      </c>
      <c r="F638" s="2">
        <f t="shared" si="4"/>
        <v>37530</v>
      </c>
    </row>
    <row r="639" ht="12.75" customHeight="1">
      <c r="A639" s="2">
        <v>37564.0</v>
      </c>
      <c r="B639" s="77">
        <f t="shared" si="1"/>
        <v>11</v>
      </c>
      <c r="C639" s="78">
        <f t="shared" si="2"/>
        <v>2002</v>
      </c>
      <c r="D639" s="77">
        <v>1.427</v>
      </c>
      <c r="E639" s="4">
        <f t="shared" si="3"/>
        <v>1.38475</v>
      </c>
      <c r="F639" s="2">
        <f t="shared" si="4"/>
        <v>37561</v>
      </c>
    </row>
    <row r="640" ht="12.75" customHeight="1">
      <c r="A640" s="2">
        <v>37571.0</v>
      </c>
      <c r="B640" s="77">
        <f t="shared" si="1"/>
        <v>11</v>
      </c>
      <c r="C640" s="78">
        <f t="shared" si="2"/>
        <v>2002</v>
      </c>
      <c r="D640" s="77">
        <v>1.406</v>
      </c>
      <c r="E640" s="4">
        <f t="shared" si="3"/>
        <v>1.38475</v>
      </c>
      <c r="F640" s="2">
        <f t="shared" si="4"/>
        <v>37561</v>
      </c>
    </row>
    <row r="641" ht="12.75" customHeight="1">
      <c r="A641" s="2">
        <v>37578.0</v>
      </c>
      <c r="B641" s="77">
        <f t="shared" si="1"/>
        <v>11</v>
      </c>
      <c r="C641" s="78">
        <f t="shared" si="2"/>
        <v>2002</v>
      </c>
      <c r="D641" s="77">
        <v>1.37</v>
      </c>
      <c r="E641" s="4">
        <f t="shared" si="3"/>
        <v>1.38475</v>
      </c>
      <c r="F641" s="2">
        <f t="shared" si="4"/>
        <v>37561</v>
      </c>
    </row>
    <row r="642" ht="12.75" customHeight="1">
      <c r="A642" s="2">
        <v>37585.0</v>
      </c>
      <c r="B642" s="77">
        <f t="shared" si="1"/>
        <v>11</v>
      </c>
      <c r="C642" s="78">
        <f t="shared" si="2"/>
        <v>2002</v>
      </c>
      <c r="D642" s="77">
        <v>1.336</v>
      </c>
      <c r="E642" s="4">
        <f t="shared" si="3"/>
        <v>1.38475</v>
      </c>
      <c r="F642" s="2">
        <f t="shared" si="4"/>
        <v>37561</v>
      </c>
    </row>
    <row r="643" ht="12.75" customHeight="1">
      <c r="A643" s="2">
        <v>37592.0</v>
      </c>
      <c r="B643" s="77">
        <f t="shared" si="1"/>
        <v>12</v>
      </c>
      <c r="C643" s="78">
        <f t="shared" si="2"/>
        <v>2002</v>
      </c>
      <c r="D643" s="77">
        <v>1.316</v>
      </c>
      <c r="E643" s="4">
        <f t="shared" si="3"/>
        <v>1.3484</v>
      </c>
      <c r="F643" s="2">
        <f t="shared" si="4"/>
        <v>37591</v>
      </c>
    </row>
    <row r="644" ht="12.75" customHeight="1">
      <c r="A644" s="2">
        <v>37599.0</v>
      </c>
      <c r="B644" s="77">
        <f t="shared" si="1"/>
        <v>12</v>
      </c>
      <c r="C644" s="78">
        <f t="shared" si="2"/>
        <v>2002</v>
      </c>
      <c r="D644" s="77">
        <v>1.316</v>
      </c>
      <c r="E644" s="4">
        <f t="shared" si="3"/>
        <v>1.3484</v>
      </c>
      <c r="F644" s="2">
        <f t="shared" si="4"/>
        <v>37591</v>
      </c>
    </row>
    <row r="645" ht="12.75" customHeight="1">
      <c r="A645" s="2">
        <v>37606.0</v>
      </c>
      <c r="B645" s="77">
        <f t="shared" si="1"/>
        <v>12</v>
      </c>
      <c r="C645" s="78">
        <f t="shared" si="2"/>
        <v>2002</v>
      </c>
      <c r="D645" s="77">
        <v>1.322</v>
      </c>
      <c r="E645" s="4">
        <f t="shared" si="3"/>
        <v>1.3484</v>
      </c>
      <c r="F645" s="2">
        <f t="shared" si="4"/>
        <v>37591</v>
      </c>
    </row>
    <row r="646" ht="12.75" customHeight="1">
      <c r="A646" s="2">
        <v>37613.0</v>
      </c>
      <c r="B646" s="77">
        <f t="shared" si="1"/>
        <v>12</v>
      </c>
      <c r="C646" s="78">
        <f t="shared" si="2"/>
        <v>2002</v>
      </c>
      <c r="D646" s="77">
        <v>1.371</v>
      </c>
      <c r="E646" s="4">
        <f t="shared" si="3"/>
        <v>1.3484</v>
      </c>
      <c r="F646" s="2">
        <f t="shared" si="4"/>
        <v>37591</v>
      </c>
    </row>
    <row r="647" ht="12.75" customHeight="1">
      <c r="A647" s="2">
        <v>37620.0</v>
      </c>
      <c r="B647" s="77">
        <f t="shared" si="1"/>
        <v>12</v>
      </c>
      <c r="C647" s="78">
        <f t="shared" si="2"/>
        <v>2002</v>
      </c>
      <c r="D647" s="77">
        <v>1.417</v>
      </c>
      <c r="E647" s="4">
        <f t="shared" si="3"/>
        <v>1.3484</v>
      </c>
      <c r="F647" s="2">
        <f t="shared" si="4"/>
        <v>37591</v>
      </c>
    </row>
    <row r="648" ht="12.75" customHeight="1">
      <c r="A648" s="2">
        <v>37627.0</v>
      </c>
      <c r="B648" s="77">
        <f t="shared" si="1"/>
        <v>1</v>
      </c>
      <c r="C648" s="78">
        <f t="shared" si="2"/>
        <v>2003</v>
      </c>
      <c r="D648" s="77">
        <v>1.412</v>
      </c>
      <c r="E648" s="4">
        <f t="shared" si="3"/>
        <v>1.4235</v>
      </c>
      <c r="F648" s="2">
        <f t="shared" si="4"/>
        <v>37622</v>
      </c>
    </row>
    <row r="649" ht="12.75" customHeight="1">
      <c r="A649" s="2">
        <v>37634.0</v>
      </c>
      <c r="B649" s="77">
        <f t="shared" si="1"/>
        <v>1</v>
      </c>
      <c r="C649" s="78">
        <f t="shared" si="2"/>
        <v>2003</v>
      </c>
      <c r="D649" s="77">
        <v>1.423</v>
      </c>
      <c r="E649" s="4">
        <f t="shared" si="3"/>
        <v>1.4235</v>
      </c>
      <c r="F649" s="2">
        <f t="shared" si="4"/>
        <v>37622</v>
      </c>
    </row>
    <row r="650" ht="12.75" customHeight="1">
      <c r="A650" s="2">
        <v>37641.0</v>
      </c>
      <c r="B650" s="77">
        <f t="shared" si="1"/>
        <v>1</v>
      </c>
      <c r="C650" s="78">
        <f t="shared" si="2"/>
        <v>2003</v>
      </c>
      <c r="D650" s="77">
        <v>1.422</v>
      </c>
      <c r="E650" s="4">
        <f t="shared" si="3"/>
        <v>1.4235</v>
      </c>
      <c r="F650" s="2">
        <f t="shared" si="4"/>
        <v>37622</v>
      </c>
    </row>
    <row r="651" ht="12.75" customHeight="1">
      <c r="A651" s="2">
        <v>37648.0</v>
      </c>
      <c r="B651" s="77">
        <f t="shared" si="1"/>
        <v>1</v>
      </c>
      <c r="C651" s="78">
        <f t="shared" si="2"/>
        <v>2003</v>
      </c>
      <c r="D651" s="77">
        <v>1.437</v>
      </c>
      <c r="E651" s="4">
        <f t="shared" si="3"/>
        <v>1.4235</v>
      </c>
      <c r="F651" s="2">
        <f t="shared" si="4"/>
        <v>37622</v>
      </c>
    </row>
    <row r="652" ht="12.75" customHeight="1">
      <c r="A652" s="2">
        <v>37655.0</v>
      </c>
      <c r="B652" s="77">
        <f t="shared" si="1"/>
        <v>2</v>
      </c>
      <c r="C652" s="78">
        <f t="shared" si="2"/>
        <v>2003</v>
      </c>
      <c r="D652" s="77">
        <v>1.499</v>
      </c>
      <c r="E652" s="4">
        <f t="shared" si="3"/>
        <v>1.582</v>
      </c>
      <c r="F652" s="2">
        <f t="shared" si="4"/>
        <v>37653</v>
      </c>
    </row>
    <row r="653" ht="12.75" customHeight="1">
      <c r="A653" s="2">
        <v>37662.0</v>
      </c>
      <c r="B653" s="77">
        <f t="shared" si="1"/>
        <v>2</v>
      </c>
      <c r="C653" s="78">
        <f t="shared" si="2"/>
        <v>2003</v>
      </c>
      <c r="D653" s="77">
        <v>1.582</v>
      </c>
      <c r="E653" s="4">
        <f t="shared" si="3"/>
        <v>1.582</v>
      </c>
      <c r="F653" s="2">
        <f t="shared" si="4"/>
        <v>37653</v>
      </c>
    </row>
    <row r="654" ht="12.75" customHeight="1">
      <c r="A654" s="2">
        <v>37669.0</v>
      </c>
      <c r="B654" s="77">
        <f t="shared" si="1"/>
        <v>2</v>
      </c>
      <c r="C654" s="78">
        <f t="shared" si="2"/>
        <v>2003</v>
      </c>
      <c r="D654" s="77">
        <v>1.63</v>
      </c>
      <c r="E654" s="4">
        <f t="shared" si="3"/>
        <v>1.582</v>
      </c>
      <c r="F654" s="2">
        <f t="shared" si="4"/>
        <v>37653</v>
      </c>
    </row>
    <row r="655" ht="12.75" customHeight="1">
      <c r="A655" s="2">
        <v>37676.0</v>
      </c>
      <c r="B655" s="77">
        <f t="shared" si="1"/>
        <v>2</v>
      </c>
      <c r="C655" s="78">
        <f t="shared" si="2"/>
        <v>2003</v>
      </c>
      <c r="D655" s="77">
        <v>1.617</v>
      </c>
      <c r="E655" s="4">
        <f t="shared" si="3"/>
        <v>1.582</v>
      </c>
      <c r="F655" s="2">
        <f t="shared" si="4"/>
        <v>37653</v>
      </c>
    </row>
    <row r="656" ht="12.75" customHeight="1">
      <c r="A656" s="2">
        <v>37683.0</v>
      </c>
      <c r="B656" s="77">
        <f t="shared" si="1"/>
        <v>3</v>
      </c>
      <c r="C656" s="78">
        <f t="shared" si="2"/>
        <v>2003</v>
      </c>
      <c r="D656" s="77">
        <v>1.641</v>
      </c>
      <c r="E656" s="4">
        <f t="shared" si="3"/>
        <v>1.636</v>
      </c>
      <c r="F656" s="2">
        <f t="shared" si="4"/>
        <v>37681</v>
      </c>
    </row>
    <row r="657" ht="12.75" customHeight="1">
      <c r="A657" s="2">
        <v>37690.0</v>
      </c>
      <c r="B657" s="77">
        <f t="shared" si="1"/>
        <v>3</v>
      </c>
      <c r="C657" s="78">
        <f t="shared" si="2"/>
        <v>2003</v>
      </c>
      <c r="D657" s="77">
        <v>1.663</v>
      </c>
      <c r="E657" s="4">
        <f t="shared" si="3"/>
        <v>1.636</v>
      </c>
      <c r="F657" s="2">
        <f t="shared" si="4"/>
        <v>37681</v>
      </c>
    </row>
    <row r="658" ht="12.75" customHeight="1">
      <c r="A658" s="2">
        <v>37697.0</v>
      </c>
      <c r="B658" s="77">
        <f t="shared" si="1"/>
        <v>3</v>
      </c>
      <c r="C658" s="78">
        <f t="shared" si="2"/>
        <v>2003</v>
      </c>
      <c r="D658" s="77">
        <v>1.673</v>
      </c>
      <c r="E658" s="4">
        <f t="shared" si="3"/>
        <v>1.636</v>
      </c>
      <c r="F658" s="2">
        <f t="shared" si="4"/>
        <v>37681</v>
      </c>
    </row>
    <row r="659" ht="12.75" customHeight="1">
      <c r="A659" s="2">
        <v>37704.0</v>
      </c>
      <c r="B659" s="77">
        <f t="shared" si="1"/>
        <v>3</v>
      </c>
      <c r="C659" s="78">
        <f t="shared" si="2"/>
        <v>2003</v>
      </c>
      <c r="D659" s="77">
        <v>1.626</v>
      </c>
      <c r="E659" s="4">
        <f t="shared" si="3"/>
        <v>1.636</v>
      </c>
      <c r="F659" s="2">
        <f t="shared" si="4"/>
        <v>37681</v>
      </c>
    </row>
    <row r="660" ht="12.75" customHeight="1">
      <c r="A660" s="2">
        <v>37711.0</v>
      </c>
      <c r="B660" s="77">
        <f t="shared" si="1"/>
        <v>3</v>
      </c>
      <c r="C660" s="78">
        <f t="shared" si="2"/>
        <v>2003</v>
      </c>
      <c r="D660" s="77">
        <v>1.577</v>
      </c>
      <c r="E660" s="4">
        <f t="shared" si="3"/>
        <v>1.636</v>
      </c>
      <c r="F660" s="2">
        <f t="shared" si="4"/>
        <v>37681</v>
      </c>
    </row>
    <row r="661" ht="12.75" customHeight="1">
      <c r="A661" s="2">
        <v>37718.0</v>
      </c>
      <c r="B661" s="77">
        <f t="shared" si="1"/>
        <v>4</v>
      </c>
      <c r="C661" s="78">
        <f t="shared" si="2"/>
        <v>2003</v>
      </c>
      <c r="D661" s="77">
        <v>1.557</v>
      </c>
      <c r="E661" s="4">
        <f t="shared" si="3"/>
        <v>1.517</v>
      </c>
      <c r="F661" s="2">
        <f t="shared" si="4"/>
        <v>37712</v>
      </c>
    </row>
    <row r="662" ht="12.75" customHeight="1">
      <c r="A662" s="2">
        <v>37725.0</v>
      </c>
      <c r="B662" s="77">
        <f t="shared" si="1"/>
        <v>4</v>
      </c>
      <c r="C662" s="78">
        <f t="shared" si="2"/>
        <v>2003</v>
      </c>
      <c r="D662" s="77">
        <v>1.521</v>
      </c>
      <c r="E662" s="4">
        <f t="shared" si="3"/>
        <v>1.517</v>
      </c>
      <c r="F662" s="2">
        <f t="shared" si="4"/>
        <v>37712</v>
      </c>
    </row>
    <row r="663" ht="12.75" customHeight="1">
      <c r="A663" s="2">
        <v>37732.0</v>
      </c>
      <c r="B663" s="77">
        <f t="shared" si="1"/>
        <v>4</v>
      </c>
      <c r="C663" s="78">
        <f t="shared" si="2"/>
        <v>2003</v>
      </c>
      <c r="D663" s="77">
        <v>1.504</v>
      </c>
      <c r="E663" s="4">
        <f t="shared" si="3"/>
        <v>1.517</v>
      </c>
      <c r="F663" s="2">
        <f t="shared" si="4"/>
        <v>37712</v>
      </c>
    </row>
    <row r="664" ht="12.75" customHeight="1">
      <c r="A664" s="2">
        <v>37739.0</v>
      </c>
      <c r="B664" s="77">
        <f t="shared" si="1"/>
        <v>4</v>
      </c>
      <c r="C664" s="78">
        <f t="shared" si="2"/>
        <v>2003</v>
      </c>
      <c r="D664" s="77">
        <v>1.486</v>
      </c>
      <c r="E664" s="4">
        <f t="shared" si="3"/>
        <v>1.517</v>
      </c>
      <c r="F664" s="2">
        <f t="shared" si="4"/>
        <v>37712</v>
      </c>
    </row>
    <row r="665" ht="12.75" customHeight="1">
      <c r="A665" s="2">
        <v>37746.0</v>
      </c>
      <c r="B665" s="77">
        <f t="shared" si="1"/>
        <v>5</v>
      </c>
      <c r="C665" s="78">
        <f t="shared" si="2"/>
        <v>2003</v>
      </c>
      <c r="D665" s="77">
        <v>1.441</v>
      </c>
      <c r="E665" s="4">
        <f t="shared" si="3"/>
        <v>1.43775</v>
      </c>
      <c r="F665" s="2">
        <f t="shared" si="4"/>
        <v>37742</v>
      </c>
    </row>
    <row r="666" ht="12.75" customHeight="1">
      <c r="A666" s="2">
        <v>37753.0</v>
      </c>
      <c r="B666" s="77">
        <f t="shared" si="1"/>
        <v>5</v>
      </c>
      <c r="C666" s="78">
        <f t="shared" si="2"/>
        <v>2003</v>
      </c>
      <c r="D666" s="77">
        <v>1.427</v>
      </c>
      <c r="E666" s="4">
        <f t="shared" si="3"/>
        <v>1.43775</v>
      </c>
      <c r="F666" s="2">
        <f t="shared" si="4"/>
        <v>37742</v>
      </c>
    </row>
    <row r="667" ht="12.75" customHeight="1">
      <c r="A667" s="2">
        <v>37760.0</v>
      </c>
      <c r="B667" s="77">
        <f t="shared" si="1"/>
        <v>5</v>
      </c>
      <c r="C667" s="78">
        <f t="shared" si="2"/>
        <v>2003</v>
      </c>
      <c r="D667" s="77">
        <v>1.444</v>
      </c>
      <c r="E667" s="4">
        <f t="shared" si="3"/>
        <v>1.43775</v>
      </c>
      <c r="F667" s="2">
        <f t="shared" si="4"/>
        <v>37742</v>
      </c>
    </row>
    <row r="668" ht="12.75" customHeight="1">
      <c r="A668" s="2">
        <v>37767.0</v>
      </c>
      <c r="B668" s="77">
        <f t="shared" si="1"/>
        <v>5</v>
      </c>
      <c r="C668" s="78">
        <f t="shared" si="2"/>
        <v>2003</v>
      </c>
      <c r="D668" s="77">
        <v>1.439</v>
      </c>
      <c r="E668" s="4">
        <f t="shared" si="3"/>
        <v>1.43775</v>
      </c>
      <c r="F668" s="2">
        <f t="shared" si="4"/>
        <v>37742</v>
      </c>
    </row>
    <row r="669" ht="12.75" customHeight="1">
      <c r="A669" s="2">
        <v>37774.0</v>
      </c>
      <c r="B669" s="77">
        <f t="shared" si="1"/>
        <v>6</v>
      </c>
      <c r="C669" s="78">
        <f t="shared" si="2"/>
        <v>2003</v>
      </c>
      <c r="D669" s="77">
        <v>1.428</v>
      </c>
      <c r="E669" s="4">
        <f t="shared" si="3"/>
        <v>1.4516</v>
      </c>
      <c r="F669" s="2">
        <f t="shared" si="4"/>
        <v>37773</v>
      </c>
    </row>
    <row r="670" ht="12.75" customHeight="1">
      <c r="A670" s="2">
        <v>37781.0</v>
      </c>
      <c r="B670" s="77">
        <f t="shared" si="1"/>
        <v>6</v>
      </c>
      <c r="C670" s="78">
        <f t="shared" si="2"/>
        <v>2003</v>
      </c>
      <c r="D670" s="77">
        <v>1.456</v>
      </c>
      <c r="E670" s="4">
        <f t="shared" si="3"/>
        <v>1.4516</v>
      </c>
      <c r="F670" s="2">
        <f t="shared" si="4"/>
        <v>37773</v>
      </c>
    </row>
    <row r="671" ht="12.75" customHeight="1">
      <c r="A671" s="2">
        <v>37788.0</v>
      </c>
      <c r="B671" s="77">
        <f t="shared" si="1"/>
        <v>6</v>
      </c>
      <c r="C671" s="78">
        <f t="shared" si="2"/>
        <v>2003</v>
      </c>
      <c r="D671" s="77">
        <v>1.48</v>
      </c>
      <c r="E671" s="4">
        <f t="shared" si="3"/>
        <v>1.4516</v>
      </c>
      <c r="F671" s="2">
        <f t="shared" si="4"/>
        <v>37773</v>
      </c>
    </row>
    <row r="672" ht="12.75" customHeight="1">
      <c r="A672" s="2">
        <v>37795.0</v>
      </c>
      <c r="B672" s="77">
        <f t="shared" si="1"/>
        <v>6</v>
      </c>
      <c r="C672" s="78">
        <f t="shared" si="2"/>
        <v>2003</v>
      </c>
      <c r="D672" s="77">
        <v>1.451</v>
      </c>
      <c r="E672" s="4">
        <f t="shared" si="3"/>
        <v>1.4516</v>
      </c>
      <c r="F672" s="2">
        <f t="shared" si="4"/>
        <v>37773</v>
      </c>
    </row>
    <row r="673" ht="12.75" customHeight="1">
      <c r="A673" s="2">
        <v>37802.0</v>
      </c>
      <c r="B673" s="77">
        <f t="shared" si="1"/>
        <v>6</v>
      </c>
      <c r="C673" s="78">
        <f t="shared" si="2"/>
        <v>2003</v>
      </c>
      <c r="D673" s="77">
        <v>1.443</v>
      </c>
      <c r="E673" s="4">
        <f t="shared" si="3"/>
        <v>1.4516</v>
      </c>
      <c r="F673" s="2">
        <f t="shared" si="4"/>
        <v>37773</v>
      </c>
    </row>
    <row r="674" ht="12.75" customHeight="1">
      <c r="A674" s="2">
        <v>37809.0</v>
      </c>
      <c r="B674" s="77">
        <f t="shared" si="1"/>
        <v>7</v>
      </c>
      <c r="C674" s="78">
        <f t="shared" si="2"/>
        <v>2003</v>
      </c>
      <c r="D674" s="77">
        <v>1.448</v>
      </c>
      <c r="E674" s="4">
        <f t="shared" si="3"/>
        <v>1.48025</v>
      </c>
      <c r="F674" s="2">
        <f t="shared" si="4"/>
        <v>37803</v>
      </c>
    </row>
    <row r="675" ht="12.75" customHeight="1">
      <c r="A675" s="2">
        <v>37816.0</v>
      </c>
      <c r="B675" s="77">
        <f t="shared" si="1"/>
        <v>7</v>
      </c>
      <c r="C675" s="78">
        <f t="shared" si="2"/>
        <v>2003</v>
      </c>
      <c r="D675" s="77">
        <v>1.489</v>
      </c>
      <c r="E675" s="4">
        <f t="shared" si="3"/>
        <v>1.48025</v>
      </c>
      <c r="F675" s="2">
        <f t="shared" si="4"/>
        <v>37803</v>
      </c>
    </row>
    <row r="676" ht="12.75" customHeight="1">
      <c r="A676" s="2">
        <v>37823.0</v>
      </c>
      <c r="B676" s="77">
        <f t="shared" si="1"/>
        <v>7</v>
      </c>
      <c r="C676" s="78">
        <f t="shared" si="2"/>
        <v>2003</v>
      </c>
      <c r="D676" s="77">
        <v>1.496</v>
      </c>
      <c r="E676" s="4">
        <f t="shared" si="3"/>
        <v>1.48025</v>
      </c>
      <c r="F676" s="2">
        <f t="shared" si="4"/>
        <v>37803</v>
      </c>
    </row>
    <row r="677" ht="12.75" customHeight="1">
      <c r="A677" s="2">
        <v>37830.0</v>
      </c>
      <c r="B677" s="77">
        <f t="shared" si="1"/>
        <v>7</v>
      </c>
      <c r="C677" s="78">
        <f t="shared" si="2"/>
        <v>2003</v>
      </c>
      <c r="D677" s="77">
        <v>1.488</v>
      </c>
      <c r="E677" s="4">
        <f t="shared" si="3"/>
        <v>1.48025</v>
      </c>
      <c r="F677" s="2">
        <f t="shared" si="4"/>
        <v>37803</v>
      </c>
    </row>
    <row r="678" ht="12.75" customHeight="1">
      <c r="A678" s="2">
        <v>37837.0</v>
      </c>
      <c r="B678" s="77">
        <f t="shared" si="1"/>
        <v>8</v>
      </c>
      <c r="C678" s="78">
        <f t="shared" si="2"/>
        <v>2003</v>
      </c>
      <c r="D678" s="77">
        <v>1.516</v>
      </c>
      <c r="E678" s="4">
        <f t="shared" si="3"/>
        <v>1.58825</v>
      </c>
      <c r="F678" s="2">
        <f t="shared" si="4"/>
        <v>37834</v>
      </c>
    </row>
    <row r="679" ht="12.75" customHeight="1">
      <c r="A679" s="2">
        <v>37844.0</v>
      </c>
      <c r="B679" s="77">
        <f t="shared" si="1"/>
        <v>8</v>
      </c>
      <c r="C679" s="78">
        <f t="shared" si="2"/>
        <v>2003</v>
      </c>
      <c r="D679" s="77">
        <v>1.55</v>
      </c>
      <c r="E679" s="4">
        <f t="shared" si="3"/>
        <v>1.58825</v>
      </c>
      <c r="F679" s="2">
        <f t="shared" si="4"/>
        <v>37834</v>
      </c>
    </row>
    <row r="680" ht="12.75" customHeight="1">
      <c r="A680" s="2">
        <v>37851.0</v>
      </c>
      <c r="B680" s="77">
        <f t="shared" si="1"/>
        <v>8</v>
      </c>
      <c r="C680" s="78">
        <f t="shared" si="2"/>
        <v>2003</v>
      </c>
      <c r="D680" s="77">
        <v>1.594</v>
      </c>
      <c r="E680" s="4">
        <f t="shared" si="3"/>
        <v>1.58825</v>
      </c>
      <c r="F680" s="2">
        <f t="shared" si="4"/>
        <v>37834</v>
      </c>
    </row>
    <row r="681" ht="12.75" customHeight="1">
      <c r="A681" s="2">
        <v>37858.0</v>
      </c>
      <c r="B681" s="77">
        <f t="shared" si="1"/>
        <v>8</v>
      </c>
      <c r="C681" s="78">
        <f t="shared" si="2"/>
        <v>2003</v>
      </c>
      <c r="D681" s="77">
        <v>1.693</v>
      </c>
      <c r="E681" s="4">
        <f t="shared" si="3"/>
        <v>1.58825</v>
      </c>
      <c r="F681" s="2">
        <f t="shared" si="4"/>
        <v>37834</v>
      </c>
    </row>
    <row r="682" ht="12.75" customHeight="1">
      <c r="A682" s="2">
        <v>37865.0</v>
      </c>
      <c r="B682" s="77">
        <f t="shared" si="1"/>
        <v>9</v>
      </c>
      <c r="C682" s="78">
        <f t="shared" si="2"/>
        <v>2003</v>
      </c>
      <c r="D682" s="77">
        <v>1.688</v>
      </c>
      <c r="E682" s="4">
        <f t="shared" si="3"/>
        <v>1.6162</v>
      </c>
      <c r="F682" s="2">
        <f t="shared" si="4"/>
        <v>37865</v>
      </c>
    </row>
    <row r="683" ht="12.75" customHeight="1">
      <c r="A683" s="2">
        <v>37872.0</v>
      </c>
      <c r="B683" s="77">
        <f t="shared" si="1"/>
        <v>9</v>
      </c>
      <c r="C683" s="78">
        <f t="shared" si="2"/>
        <v>2003</v>
      </c>
      <c r="D683" s="77">
        <v>1.653</v>
      </c>
      <c r="E683" s="4">
        <f t="shared" si="3"/>
        <v>1.6162</v>
      </c>
      <c r="F683" s="2">
        <f t="shared" si="4"/>
        <v>37865</v>
      </c>
    </row>
    <row r="684" ht="12.75" customHeight="1">
      <c r="A684" s="2">
        <v>37879.0</v>
      </c>
      <c r="B684" s="77">
        <f t="shared" si="1"/>
        <v>9</v>
      </c>
      <c r="C684" s="78">
        <f t="shared" si="2"/>
        <v>2003</v>
      </c>
      <c r="D684" s="77">
        <v>1.636</v>
      </c>
      <c r="E684" s="4">
        <f t="shared" si="3"/>
        <v>1.6162</v>
      </c>
      <c r="F684" s="2">
        <f t="shared" si="4"/>
        <v>37865</v>
      </c>
    </row>
    <row r="685" ht="12.75" customHeight="1">
      <c r="A685" s="2">
        <v>37886.0</v>
      </c>
      <c r="B685" s="77">
        <f t="shared" si="1"/>
        <v>9</v>
      </c>
      <c r="C685" s="78">
        <f t="shared" si="2"/>
        <v>2003</v>
      </c>
      <c r="D685" s="77">
        <v>1.58</v>
      </c>
      <c r="E685" s="4">
        <f t="shared" si="3"/>
        <v>1.6162</v>
      </c>
      <c r="F685" s="2">
        <f t="shared" si="4"/>
        <v>37865</v>
      </c>
    </row>
    <row r="686" ht="12.75" customHeight="1">
      <c r="A686" s="2">
        <v>37893.0</v>
      </c>
      <c r="B686" s="77">
        <f t="shared" si="1"/>
        <v>9</v>
      </c>
      <c r="C686" s="78">
        <f t="shared" si="2"/>
        <v>2003</v>
      </c>
      <c r="D686" s="77">
        <v>1.524</v>
      </c>
      <c r="E686" s="4">
        <f t="shared" si="3"/>
        <v>1.6162</v>
      </c>
      <c r="F686" s="2">
        <f t="shared" si="4"/>
        <v>37865</v>
      </c>
    </row>
    <row r="687" ht="12.75" customHeight="1">
      <c r="A687" s="2">
        <v>37900.0</v>
      </c>
      <c r="B687" s="77">
        <f t="shared" si="1"/>
        <v>10</v>
      </c>
      <c r="C687" s="78">
        <f t="shared" si="2"/>
        <v>2003</v>
      </c>
      <c r="D687" s="77">
        <v>1.511</v>
      </c>
      <c r="E687" s="4">
        <f t="shared" si="3"/>
        <v>1.513</v>
      </c>
      <c r="F687" s="2">
        <f t="shared" si="4"/>
        <v>37895</v>
      </c>
    </row>
    <row r="688" ht="12.75" customHeight="1">
      <c r="A688" s="2">
        <v>37907.0</v>
      </c>
      <c r="B688" s="77">
        <f t="shared" si="1"/>
        <v>10</v>
      </c>
      <c r="C688" s="78">
        <f t="shared" si="2"/>
        <v>2003</v>
      </c>
      <c r="D688" s="77">
        <v>1.515</v>
      </c>
      <c r="E688" s="4">
        <f t="shared" si="3"/>
        <v>1.513</v>
      </c>
      <c r="F688" s="2">
        <f t="shared" si="4"/>
        <v>37895</v>
      </c>
    </row>
    <row r="689" ht="12.75" customHeight="1">
      <c r="A689" s="2">
        <v>37914.0</v>
      </c>
      <c r="B689" s="77">
        <f t="shared" si="1"/>
        <v>10</v>
      </c>
      <c r="C689" s="78">
        <f t="shared" si="2"/>
        <v>2003</v>
      </c>
      <c r="D689" s="77">
        <v>1.527</v>
      </c>
      <c r="E689" s="4">
        <f t="shared" si="3"/>
        <v>1.513</v>
      </c>
      <c r="F689" s="2">
        <f t="shared" si="4"/>
        <v>37895</v>
      </c>
    </row>
    <row r="690" ht="12.75" customHeight="1">
      <c r="A690" s="2">
        <v>37921.0</v>
      </c>
      <c r="B690" s="77">
        <f t="shared" si="1"/>
        <v>10</v>
      </c>
      <c r="C690" s="78">
        <f t="shared" si="2"/>
        <v>2003</v>
      </c>
      <c r="D690" s="77">
        <v>1.499</v>
      </c>
      <c r="E690" s="4">
        <f t="shared" si="3"/>
        <v>1.513</v>
      </c>
      <c r="F690" s="2">
        <f t="shared" si="4"/>
        <v>37895</v>
      </c>
    </row>
    <row r="691" ht="12.75" customHeight="1">
      <c r="A691" s="2">
        <v>37928.0</v>
      </c>
      <c r="B691" s="77">
        <f t="shared" si="1"/>
        <v>11</v>
      </c>
      <c r="C691" s="78">
        <f t="shared" si="2"/>
        <v>2003</v>
      </c>
      <c r="D691" s="77">
        <v>1.494</v>
      </c>
      <c r="E691" s="4">
        <f t="shared" si="3"/>
        <v>1.47375</v>
      </c>
      <c r="F691" s="2">
        <f t="shared" si="4"/>
        <v>37926</v>
      </c>
    </row>
    <row r="692" ht="12.75" customHeight="1">
      <c r="A692" s="2">
        <v>37935.0</v>
      </c>
      <c r="B692" s="77">
        <f t="shared" si="1"/>
        <v>11</v>
      </c>
      <c r="C692" s="78">
        <f t="shared" si="2"/>
        <v>2003</v>
      </c>
      <c r="D692" s="77">
        <v>1.464</v>
      </c>
      <c r="E692" s="4">
        <f t="shared" si="3"/>
        <v>1.47375</v>
      </c>
      <c r="F692" s="2">
        <f t="shared" si="4"/>
        <v>37926</v>
      </c>
    </row>
    <row r="693" ht="12.75" customHeight="1">
      <c r="A693" s="2">
        <v>37942.0</v>
      </c>
      <c r="B693" s="77">
        <f t="shared" si="1"/>
        <v>11</v>
      </c>
      <c r="C693" s="78">
        <f t="shared" si="2"/>
        <v>2003</v>
      </c>
      <c r="D693" s="77">
        <v>1.459</v>
      </c>
      <c r="E693" s="4">
        <f t="shared" si="3"/>
        <v>1.47375</v>
      </c>
      <c r="F693" s="2">
        <f t="shared" si="4"/>
        <v>37926</v>
      </c>
    </row>
    <row r="694" ht="12.75" customHeight="1">
      <c r="A694" s="2">
        <v>37949.0</v>
      </c>
      <c r="B694" s="77">
        <f t="shared" si="1"/>
        <v>11</v>
      </c>
      <c r="C694" s="78">
        <f t="shared" si="2"/>
        <v>2003</v>
      </c>
      <c r="D694" s="77">
        <v>1.478</v>
      </c>
      <c r="E694" s="4">
        <f t="shared" si="3"/>
        <v>1.47375</v>
      </c>
      <c r="F694" s="2">
        <f t="shared" si="4"/>
        <v>37926</v>
      </c>
    </row>
    <row r="695" ht="12.75" customHeight="1">
      <c r="A695" s="2">
        <v>37956.0</v>
      </c>
      <c r="B695" s="77">
        <f t="shared" si="1"/>
        <v>12</v>
      </c>
      <c r="C695" s="78">
        <f t="shared" si="2"/>
        <v>2003</v>
      </c>
      <c r="D695" s="77">
        <v>1.454</v>
      </c>
      <c r="E695" s="4">
        <f t="shared" si="3"/>
        <v>1.4482</v>
      </c>
      <c r="F695" s="2">
        <f t="shared" si="4"/>
        <v>37956</v>
      </c>
    </row>
    <row r="696" ht="12.75" customHeight="1">
      <c r="A696" s="2">
        <v>37963.0</v>
      </c>
      <c r="B696" s="77">
        <f t="shared" si="1"/>
        <v>12</v>
      </c>
      <c r="C696" s="78">
        <f t="shared" si="2"/>
        <v>2003</v>
      </c>
      <c r="D696" s="77">
        <v>1.441</v>
      </c>
      <c r="E696" s="4">
        <f t="shared" si="3"/>
        <v>1.4482</v>
      </c>
      <c r="F696" s="2">
        <f t="shared" si="4"/>
        <v>37956</v>
      </c>
    </row>
    <row r="697" ht="12.75" customHeight="1">
      <c r="A697" s="2">
        <v>37970.0</v>
      </c>
      <c r="B697" s="77">
        <f t="shared" si="1"/>
        <v>12</v>
      </c>
      <c r="C697" s="78">
        <f t="shared" si="2"/>
        <v>2003</v>
      </c>
      <c r="D697" s="77">
        <v>1.433</v>
      </c>
      <c r="E697" s="4">
        <f t="shared" si="3"/>
        <v>1.4482</v>
      </c>
      <c r="F697" s="2">
        <f t="shared" si="4"/>
        <v>37956</v>
      </c>
    </row>
    <row r="698" ht="12.75" customHeight="1">
      <c r="A698" s="2">
        <v>37977.0</v>
      </c>
      <c r="B698" s="77">
        <f t="shared" si="1"/>
        <v>12</v>
      </c>
      <c r="C698" s="78">
        <f t="shared" si="2"/>
        <v>2003</v>
      </c>
      <c r="D698" s="77">
        <v>1.459</v>
      </c>
      <c r="E698" s="4">
        <f t="shared" si="3"/>
        <v>1.4482</v>
      </c>
      <c r="F698" s="2">
        <f t="shared" si="4"/>
        <v>37956</v>
      </c>
    </row>
    <row r="699" ht="12.75" customHeight="1">
      <c r="A699" s="2">
        <v>37984.0</v>
      </c>
      <c r="B699" s="77">
        <f t="shared" si="1"/>
        <v>12</v>
      </c>
      <c r="C699" s="78">
        <f t="shared" si="2"/>
        <v>2003</v>
      </c>
      <c r="D699" s="77">
        <v>1.454</v>
      </c>
      <c r="E699" s="4">
        <f t="shared" si="3"/>
        <v>1.4482</v>
      </c>
      <c r="F699" s="2">
        <f t="shared" si="4"/>
        <v>37956</v>
      </c>
    </row>
    <row r="700" ht="12.75" customHeight="1">
      <c r="A700" s="2">
        <v>37991.0</v>
      </c>
      <c r="B700" s="77">
        <f t="shared" si="1"/>
        <v>1</v>
      </c>
      <c r="C700" s="78">
        <f t="shared" si="2"/>
        <v>2004</v>
      </c>
      <c r="D700" s="77">
        <v>1.492</v>
      </c>
      <c r="E700" s="4">
        <f t="shared" si="3"/>
        <v>1.55475</v>
      </c>
      <c r="F700" s="2">
        <f t="shared" si="4"/>
        <v>37987</v>
      </c>
    </row>
    <row r="701" ht="12.75" customHeight="1">
      <c r="A701" s="2">
        <v>37998.0</v>
      </c>
      <c r="B701" s="77">
        <f t="shared" si="1"/>
        <v>1</v>
      </c>
      <c r="C701" s="78">
        <f t="shared" si="2"/>
        <v>2004</v>
      </c>
      <c r="D701" s="77">
        <v>1.544</v>
      </c>
      <c r="E701" s="4">
        <f t="shared" si="3"/>
        <v>1.55475</v>
      </c>
      <c r="F701" s="2">
        <f t="shared" si="4"/>
        <v>37987</v>
      </c>
    </row>
    <row r="702" ht="12.75" customHeight="1">
      <c r="A702" s="2">
        <v>38005.0</v>
      </c>
      <c r="B702" s="77">
        <f t="shared" si="1"/>
        <v>1</v>
      </c>
      <c r="C702" s="78">
        <f t="shared" si="2"/>
        <v>2004</v>
      </c>
      <c r="D702" s="77">
        <v>1.579</v>
      </c>
      <c r="E702" s="4">
        <f t="shared" si="3"/>
        <v>1.55475</v>
      </c>
      <c r="F702" s="2">
        <f t="shared" si="4"/>
        <v>37987</v>
      </c>
    </row>
    <row r="703" ht="12.75" customHeight="1">
      <c r="A703" s="2">
        <v>38012.0</v>
      </c>
      <c r="B703" s="77">
        <f t="shared" si="1"/>
        <v>1</v>
      </c>
      <c r="C703" s="78">
        <f t="shared" si="2"/>
        <v>2004</v>
      </c>
      <c r="D703" s="77">
        <v>1.604</v>
      </c>
      <c r="E703" s="4">
        <f t="shared" si="3"/>
        <v>1.55475</v>
      </c>
      <c r="F703" s="2">
        <f t="shared" si="4"/>
        <v>37987</v>
      </c>
    </row>
    <row r="704" ht="12.75" customHeight="1">
      <c r="A704" s="2">
        <v>38019.0</v>
      </c>
      <c r="B704" s="77">
        <f t="shared" si="1"/>
        <v>2</v>
      </c>
      <c r="C704" s="78">
        <f t="shared" si="2"/>
        <v>2004</v>
      </c>
      <c r="D704" s="77">
        <v>1.591</v>
      </c>
      <c r="E704" s="4">
        <f t="shared" si="3"/>
        <v>1.6145</v>
      </c>
      <c r="F704" s="2">
        <f t="shared" si="4"/>
        <v>38018</v>
      </c>
    </row>
    <row r="705" ht="12.75" customHeight="1">
      <c r="A705" s="2">
        <v>38026.0</v>
      </c>
      <c r="B705" s="77">
        <f t="shared" si="1"/>
        <v>2</v>
      </c>
      <c r="C705" s="78">
        <f t="shared" si="2"/>
        <v>2004</v>
      </c>
      <c r="D705" s="77">
        <v>1.609</v>
      </c>
      <c r="E705" s="4">
        <f t="shared" si="3"/>
        <v>1.6145</v>
      </c>
      <c r="F705" s="2">
        <f t="shared" si="4"/>
        <v>38018</v>
      </c>
    </row>
    <row r="706" ht="12.75" customHeight="1">
      <c r="A706" s="2">
        <v>38033.0</v>
      </c>
      <c r="B706" s="77">
        <f t="shared" si="1"/>
        <v>2</v>
      </c>
      <c r="C706" s="78">
        <f t="shared" si="2"/>
        <v>2004</v>
      </c>
      <c r="D706" s="77">
        <v>1.617</v>
      </c>
      <c r="E706" s="4">
        <f t="shared" si="3"/>
        <v>1.6145</v>
      </c>
      <c r="F706" s="2">
        <f t="shared" si="4"/>
        <v>38018</v>
      </c>
    </row>
    <row r="707" ht="12.75" customHeight="1">
      <c r="A707" s="2">
        <v>38040.0</v>
      </c>
      <c r="B707" s="77">
        <f t="shared" si="1"/>
        <v>2</v>
      </c>
      <c r="C707" s="78">
        <f t="shared" si="2"/>
        <v>2004</v>
      </c>
      <c r="D707" s="77">
        <v>1.641</v>
      </c>
      <c r="E707" s="4">
        <f t="shared" si="3"/>
        <v>1.6145</v>
      </c>
      <c r="F707" s="2">
        <f t="shared" si="4"/>
        <v>38018</v>
      </c>
    </row>
    <row r="708" ht="12.75" customHeight="1">
      <c r="A708" s="2">
        <v>38047.0</v>
      </c>
      <c r="B708" s="77">
        <f t="shared" si="1"/>
        <v>3</v>
      </c>
      <c r="C708" s="78">
        <f t="shared" si="2"/>
        <v>2004</v>
      </c>
      <c r="D708" s="77">
        <v>1.664</v>
      </c>
      <c r="E708" s="4">
        <f t="shared" si="3"/>
        <v>1.6886</v>
      </c>
      <c r="F708" s="2">
        <f t="shared" si="4"/>
        <v>38047</v>
      </c>
    </row>
    <row r="709" ht="12.75" customHeight="1">
      <c r="A709" s="2">
        <v>38054.0</v>
      </c>
      <c r="B709" s="77">
        <f t="shared" si="1"/>
        <v>3</v>
      </c>
      <c r="C709" s="78">
        <f t="shared" si="2"/>
        <v>2004</v>
      </c>
      <c r="D709" s="77">
        <v>1.69</v>
      </c>
      <c r="E709" s="4">
        <f t="shared" si="3"/>
        <v>1.6886</v>
      </c>
      <c r="F709" s="2">
        <f t="shared" si="4"/>
        <v>38047</v>
      </c>
    </row>
    <row r="710" ht="12.75" customHeight="1">
      <c r="A710" s="2">
        <v>38061.0</v>
      </c>
      <c r="B710" s="77">
        <f t="shared" si="1"/>
        <v>3</v>
      </c>
      <c r="C710" s="78">
        <f t="shared" si="2"/>
        <v>2004</v>
      </c>
      <c r="D710" s="77">
        <v>1.675</v>
      </c>
      <c r="E710" s="4">
        <f t="shared" si="3"/>
        <v>1.6886</v>
      </c>
      <c r="F710" s="2">
        <f t="shared" si="4"/>
        <v>38047</v>
      </c>
    </row>
    <row r="711" ht="12.75" customHeight="1">
      <c r="A711" s="2">
        <v>38068.0</v>
      </c>
      <c r="B711" s="77">
        <f t="shared" si="1"/>
        <v>3</v>
      </c>
      <c r="C711" s="78">
        <f t="shared" si="2"/>
        <v>2004</v>
      </c>
      <c r="D711" s="77">
        <v>1.698</v>
      </c>
      <c r="E711" s="4">
        <f t="shared" si="3"/>
        <v>1.6886</v>
      </c>
      <c r="F711" s="2">
        <f t="shared" si="4"/>
        <v>38047</v>
      </c>
    </row>
    <row r="712" ht="12.75" customHeight="1">
      <c r="A712" s="2">
        <v>38075.0</v>
      </c>
      <c r="B712" s="77">
        <f t="shared" si="1"/>
        <v>3</v>
      </c>
      <c r="C712" s="78">
        <f t="shared" si="2"/>
        <v>2004</v>
      </c>
      <c r="D712" s="77">
        <v>1.716</v>
      </c>
      <c r="E712" s="4">
        <f t="shared" si="3"/>
        <v>1.6886</v>
      </c>
      <c r="F712" s="2">
        <f t="shared" si="4"/>
        <v>38047</v>
      </c>
    </row>
    <row r="713" ht="12.75" customHeight="1">
      <c r="A713" s="2">
        <v>38082.0</v>
      </c>
      <c r="B713" s="77">
        <f t="shared" si="1"/>
        <v>4</v>
      </c>
      <c r="C713" s="78">
        <f t="shared" si="2"/>
        <v>2004</v>
      </c>
      <c r="D713" s="77">
        <v>1.737</v>
      </c>
      <c r="E713" s="4">
        <f t="shared" si="3"/>
        <v>1.756</v>
      </c>
      <c r="F713" s="2">
        <f t="shared" si="4"/>
        <v>38078</v>
      </c>
    </row>
    <row r="714" ht="12.75" customHeight="1">
      <c r="A714" s="2">
        <v>38089.0</v>
      </c>
      <c r="B714" s="77">
        <f t="shared" si="1"/>
        <v>4</v>
      </c>
      <c r="C714" s="78">
        <f t="shared" si="2"/>
        <v>2004</v>
      </c>
      <c r="D714" s="77">
        <v>1.74</v>
      </c>
      <c r="E714" s="4">
        <f t="shared" si="3"/>
        <v>1.756</v>
      </c>
      <c r="F714" s="2">
        <f t="shared" si="4"/>
        <v>38078</v>
      </c>
    </row>
    <row r="715" ht="12.75" customHeight="1">
      <c r="A715" s="2">
        <v>38096.0</v>
      </c>
      <c r="B715" s="77">
        <f t="shared" si="1"/>
        <v>4</v>
      </c>
      <c r="C715" s="78">
        <f t="shared" si="2"/>
        <v>2004</v>
      </c>
      <c r="D715" s="77">
        <v>1.773</v>
      </c>
      <c r="E715" s="4">
        <f t="shared" si="3"/>
        <v>1.756</v>
      </c>
      <c r="F715" s="2">
        <f t="shared" si="4"/>
        <v>38078</v>
      </c>
    </row>
    <row r="716" ht="12.75" customHeight="1">
      <c r="A716" s="2">
        <v>38103.0</v>
      </c>
      <c r="B716" s="77">
        <f t="shared" si="1"/>
        <v>4</v>
      </c>
      <c r="C716" s="78">
        <f t="shared" si="2"/>
        <v>2004</v>
      </c>
      <c r="D716" s="77">
        <v>1.774</v>
      </c>
      <c r="E716" s="4">
        <f t="shared" si="3"/>
        <v>1.756</v>
      </c>
      <c r="F716" s="2">
        <f t="shared" si="4"/>
        <v>38078</v>
      </c>
    </row>
    <row r="717" ht="12.75" customHeight="1">
      <c r="A717" s="2">
        <v>38110.0</v>
      </c>
      <c r="B717" s="77">
        <f t="shared" si="1"/>
        <v>5</v>
      </c>
      <c r="C717" s="78">
        <f t="shared" si="2"/>
        <v>2004</v>
      </c>
      <c r="D717" s="77">
        <v>1.811</v>
      </c>
      <c r="E717" s="4">
        <f t="shared" si="3"/>
        <v>1.9448</v>
      </c>
      <c r="F717" s="2">
        <f t="shared" si="4"/>
        <v>38108</v>
      </c>
    </row>
    <row r="718" ht="12.75" customHeight="1">
      <c r="A718" s="2">
        <v>38117.0</v>
      </c>
      <c r="B718" s="77">
        <f t="shared" si="1"/>
        <v>5</v>
      </c>
      <c r="C718" s="78">
        <f t="shared" si="2"/>
        <v>2004</v>
      </c>
      <c r="D718" s="77">
        <v>1.904</v>
      </c>
      <c r="E718" s="4">
        <f t="shared" si="3"/>
        <v>1.9448</v>
      </c>
      <c r="F718" s="2">
        <f t="shared" si="4"/>
        <v>38108</v>
      </c>
    </row>
    <row r="719" ht="12.75" customHeight="1">
      <c r="A719" s="2">
        <v>38124.0</v>
      </c>
      <c r="B719" s="77">
        <f t="shared" si="1"/>
        <v>5</v>
      </c>
      <c r="C719" s="78">
        <f t="shared" si="2"/>
        <v>2004</v>
      </c>
      <c r="D719" s="77">
        <v>1.979</v>
      </c>
      <c r="E719" s="4">
        <f t="shared" si="3"/>
        <v>1.9448</v>
      </c>
      <c r="F719" s="2">
        <f t="shared" si="4"/>
        <v>38108</v>
      </c>
    </row>
    <row r="720" ht="12.75" customHeight="1">
      <c r="A720" s="2">
        <v>38131.0</v>
      </c>
      <c r="B720" s="77">
        <f t="shared" si="1"/>
        <v>5</v>
      </c>
      <c r="C720" s="78">
        <f t="shared" si="2"/>
        <v>2004</v>
      </c>
      <c r="D720" s="77">
        <v>2.026</v>
      </c>
      <c r="E720" s="4">
        <f t="shared" si="3"/>
        <v>1.9448</v>
      </c>
      <c r="F720" s="2">
        <f t="shared" si="4"/>
        <v>38108</v>
      </c>
    </row>
    <row r="721" ht="12.75" customHeight="1">
      <c r="A721" s="2">
        <v>38138.0</v>
      </c>
      <c r="B721" s="77">
        <f t="shared" si="1"/>
        <v>5</v>
      </c>
      <c r="C721" s="78">
        <f t="shared" si="2"/>
        <v>2004</v>
      </c>
      <c r="D721" s="77">
        <v>2.004</v>
      </c>
      <c r="E721" s="4">
        <f t="shared" si="3"/>
        <v>1.9448</v>
      </c>
      <c r="F721" s="2">
        <f t="shared" si="4"/>
        <v>38108</v>
      </c>
    </row>
    <row r="722" ht="12.75" customHeight="1">
      <c r="A722" s="2">
        <v>38145.0</v>
      </c>
      <c r="B722" s="77">
        <f t="shared" si="1"/>
        <v>6</v>
      </c>
      <c r="C722" s="78">
        <f t="shared" si="2"/>
        <v>2004</v>
      </c>
      <c r="D722" s="77">
        <v>1.983</v>
      </c>
      <c r="E722" s="4">
        <f t="shared" si="3"/>
        <v>1.91025</v>
      </c>
      <c r="F722" s="2">
        <f t="shared" si="4"/>
        <v>38139</v>
      </c>
    </row>
    <row r="723" ht="12.75" customHeight="1">
      <c r="A723" s="2">
        <v>38152.0</v>
      </c>
      <c r="B723" s="77">
        <f t="shared" si="1"/>
        <v>6</v>
      </c>
      <c r="C723" s="78">
        <f t="shared" si="2"/>
        <v>2004</v>
      </c>
      <c r="D723" s="77">
        <v>1.926</v>
      </c>
      <c r="E723" s="4">
        <f t="shared" si="3"/>
        <v>1.91025</v>
      </c>
      <c r="F723" s="2">
        <f t="shared" si="4"/>
        <v>38139</v>
      </c>
    </row>
    <row r="724" ht="12.75" customHeight="1">
      <c r="A724" s="2">
        <v>38159.0</v>
      </c>
      <c r="B724" s="77">
        <f t="shared" si="1"/>
        <v>6</v>
      </c>
      <c r="C724" s="78">
        <f t="shared" si="2"/>
        <v>2004</v>
      </c>
      <c r="D724" s="77">
        <v>1.873</v>
      </c>
      <c r="E724" s="4">
        <f t="shared" si="3"/>
        <v>1.91025</v>
      </c>
      <c r="F724" s="2">
        <f t="shared" si="4"/>
        <v>38139</v>
      </c>
    </row>
    <row r="725" ht="12.75" customHeight="1">
      <c r="A725" s="2">
        <v>38166.0</v>
      </c>
      <c r="B725" s="77">
        <f t="shared" si="1"/>
        <v>6</v>
      </c>
      <c r="C725" s="78">
        <f t="shared" si="2"/>
        <v>2004</v>
      </c>
      <c r="D725" s="77">
        <v>1.859</v>
      </c>
      <c r="E725" s="4">
        <f t="shared" si="3"/>
        <v>1.91025</v>
      </c>
      <c r="F725" s="2">
        <f t="shared" si="4"/>
        <v>38139</v>
      </c>
    </row>
    <row r="726" ht="12.75" customHeight="1">
      <c r="A726" s="2">
        <v>38173.0</v>
      </c>
      <c r="B726" s="77">
        <f t="shared" si="1"/>
        <v>7</v>
      </c>
      <c r="C726" s="78">
        <f t="shared" si="2"/>
        <v>2004</v>
      </c>
      <c r="D726" s="77">
        <v>1.835</v>
      </c>
      <c r="E726" s="4">
        <f t="shared" si="3"/>
        <v>1.86325</v>
      </c>
      <c r="F726" s="2">
        <f t="shared" si="4"/>
        <v>38169</v>
      </c>
    </row>
    <row r="727" ht="12.75" customHeight="1">
      <c r="A727" s="2">
        <v>38180.0</v>
      </c>
      <c r="B727" s="77">
        <f t="shared" si="1"/>
        <v>7</v>
      </c>
      <c r="C727" s="78">
        <f t="shared" si="2"/>
        <v>2004</v>
      </c>
      <c r="D727" s="77">
        <v>1.869</v>
      </c>
      <c r="E727" s="4">
        <f t="shared" si="3"/>
        <v>1.86325</v>
      </c>
      <c r="F727" s="2">
        <f t="shared" si="4"/>
        <v>38169</v>
      </c>
    </row>
    <row r="728" ht="12.75" customHeight="1">
      <c r="A728" s="2">
        <v>38187.0</v>
      </c>
      <c r="B728" s="77">
        <f t="shared" si="1"/>
        <v>7</v>
      </c>
      <c r="C728" s="78">
        <f t="shared" si="2"/>
        <v>2004</v>
      </c>
      <c r="D728" s="77">
        <v>1.888</v>
      </c>
      <c r="E728" s="4">
        <f t="shared" si="3"/>
        <v>1.86325</v>
      </c>
      <c r="F728" s="2">
        <f t="shared" si="4"/>
        <v>38169</v>
      </c>
    </row>
    <row r="729" ht="12.75" customHeight="1">
      <c r="A729" s="2">
        <v>38194.0</v>
      </c>
      <c r="B729" s="77">
        <f t="shared" si="1"/>
        <v>7</v>
      </c>
      <c r="C729" s="78">
        <f t="shared" si="2"/>
        <v>2004</v>
      </c>
      <c r="D729" s="77">
        <v>1.861</v>
      </c>
      <c r="E729" s="4">
        <f t="shared" si="3"/>
        <v>1.86325</v>
      </c>
      <c r="F729" s="2">
        <f t="shared" si="4"/>
        <v>38169</v>
      </c>
    </row>
    <row r="730" ht="12.75" customHeight="1">
      <c r="A730" s="2">
        <v>38201.0</v>
      </c>
      <c r="B730" s="77">
        <f t="shared" si="1"/>
        <v>8</v>
      </c>
      <c r="C730" s="78">
        <f t="shared" si="2"/>
        <v>2004</v>
      </c>
      <c r="D730" s="77">
        <v>1.846</v>
      </c>
      <c r="E730" s="4">
        <f t="shared" si="3"/>
        <v>1.8416</v>
      </c>
      <c r="F730" s="2">
        <f t="shared" si="4"/>
        <v>38200</v>
      </c>
    </row>
    <row r="731" ht="12.75" customHeight="1">
      <c r="A731" s="2">
        <v>38208.0</v>
      </c>
      <c r="B731" s="77">
        <f t="shared" si="1"/>
        <v>8</v>
      </c>
      <c r="C731" s="78">
        <f t="shared" si="2"/>
        <v>2004</v>
      </c>
      <c r="D731" s="77">
        <v>1.839</v>
      </c>
      <c r="E731" s="4">
        <f t="shared" si="3"/>
        <v>1.8416</v>
      </c>
      <c r="F731" s="2">
        <f t="shared" si="4"/>
        <v>38200</v>
      </c>
    </row>
    <row r="732" ht="12.75" customHeight="1">
      <c r="A732" s="2">
        <v>38215.0</v>
      </c>
      <c r="B732" s="77">
        <f t="shared" si="1"/>
        <v>8</v>
      </c>
      <c r="C732" s="78">
        <f t="shared" si="2"/>
        <v>2004</v>
      </c>
      <c r="D732" s="77">
        <v>1.842</v>
      </c>
      <c r="E732" s="4">
        <f t="shared" si="3"/>
        <v>1.8416</v>
      </c>
      <c r="F732" s="2">
        <f t="shared" si="4"/>
        <v>38200</v>
      </c>
    </row>
    <row r="733" ht="12.75" customHeight="1">
      <c r="A733" s="2">
        <v>38222.0</v>
      </c>
      <c r="B733" s="77">
        <f t="shared" si="1"/>
        <v>8</v>
      </c>
      <c r="C733" s="78">
        <f t="shared" si="2"/>
        <v>2004</v>
      </c>
      <c r="D733" s="77">
        <v>1.854</v>
      </c>
      <c r="E733" s="4">
        <f t="shared" si="3"/>
        <v>1.8416</v>
      </c>
      <c r="F733" s="2">
        <f t="shared" si="4"/>
        <v>38200</v>
      </c>
    </row>
    <row r="734" ht="12.75" customHeight="1">
      <c r="A734" s="2">
        <v>38229.0</v>
      </c>
      <c r="B734" s="77">
        <f t="shared" si="1"/>
        <v>8</v>
      </c>
      <c r="C734" s="78">
        <f t="shared" si="2"/>
        <v>2004</v>
      </c>
      <c r="D734" s="77">
        <v>1.827</v>
      </c>
      <c r="E734" s="4">
        <f t="shared" si="3"/>
        <v>1.8416</v>
      </c>
      <c r="F734" s="2">
        <f t="shared" si="4"/>
        <v>38200</v>
      </c>
    </row>
    <row r="735" ht="12.75" customHeight="1">
      <c r="A735" s="2">
        <v>38236.0</v>
      </c>
      <c r="B735" s="77">
        <f t="shared" si="1"/>
        <v>9</v>
      </c>
      <c r="C735" s="78">
        <f t="shared" si="2"/>
        <v>2004</v>
      </c>
      <c r="D735" s="77">
        <v>1.815</v>
      </c>
      <c r="E735" s="4">
        <f t="shared" si="3"/>
        <v>1.8405</v>
      </c>
      <c r="F735" s="2">
        <f t="shared" si="4"/>
        <v>38231</v>
      </c>
    </row>
    <row r="736" ht="12.75" customHeight="1">
      <c r="A736" s="2">
        <v>38243.0</v>
      </c>
      <c r="B736" s="77">
        <f t="shared" si="1"/>
        <v>9</v>
      </c>
      <c r="C736" s="78">
        <f t="shared" si="2"/>
        <v>2004</v>
      </c>
      <c r="D736" s="77">
        <v>1.813</v>
      </c>
      <c r="E736" s="4">
        <f t="shared" si="3"/>
        <v>1.8405</v>
      </c>
      <c r="F736" s="2">
        <f t="shared" si="4"/>
        <v>38231</v>
      </c>
    </row>
    <row r="737" ht="12.75" customHeight="1">
      <c r="A737" s="2">
        <v>38250.0</v>
      </c>
      <c r="B737" s="77">
        <f t="shared" si="1"/>
        <v>9</v>
      </c>
      <c r="C737" s="78">
        <f t="shared" si="2"/>
        <v>2004</v>
      </c>
      <c r="D737" s="77">
        <v>1.839</v>
      </c>
      <c r="E737" s="4">
        <f t="shared" si="3"/>
        <v>1.8405</v>
      </c>
      <c r="F737" s="2">
        <f t="shared" si="4"/>
        <v>38231</v>
      </c>
    </row>
    <row r="738" ht="12.75" customHeight="1">
      <c r="A738" s="2">
        <v>38257.0</v>
      </c>
      <c r="B738" s="77">
        <f t="shared" si="1"/>
        <v>9</v>
      </c>
      <c r="C738" s="78">
        <f t="shared" si="2"/>
        <v>2004</v>
      </c>
      <c r="D738" s="77">
        <v>1.895</v>
      </c>
      <c r="E738" s="4">
        <f t="shared" si="3"/>
        <v>1.8405</v>
      </c>
      <c r="F738" s="2">
        <f t="shared" si="4"/>
        <v>38231</v>
      </c>
    </row>
    <row r="739" ht="12.75" customHeight="1">
      <c r="A739" s="2">
        <v>38264.0</v>
      </c>
      <c r="B739" s="77">
        <f t="shared" si="1"/>
        <v>10</v>
      </c>
      <c r="C739" s="78">
        <f t="shared" si="2"/>
        <v>2004</v>
      </c>
      <c r="D739" s="77">
        <v>1.902</v>
      </c>
      <c r="E739" s="4">
        <f t="shared" si="3"/>
        <v>1.95375</v>
      </c>
      <c r="F739" s="2">
        <f t="shared" si="4"/>
        <v>38261</v>
      </c>
    </row>
    <row r="740" ht="12.75" customHeight="1">
      <c r="A740" s="2">
        <v>38271.0</v>
      </c>
      <c r="B740" s="77">
        <f t="shared" si="1"/>
        <v>10</v>
      </c>
      <c r="C740" s="78">
        <f t="shared" si="2"/>
        <v>2004</v>
      </c>
      <c r="D740" s="77">
        <v>1.949</v>
      </c>
      <c r="E740" s="4">
        <f t="shared" si="3"/>
        <v>1.95375</v>
      </c>
      <c r="F740" s="2">
        <f t="shared" si="4"/>
        <v>38261</v>
      </c>
    </row>
    <row r="741" ht="12.75" customHeight="1">
      <c r="A741" s="2">
        <v>38278.0</v>
      </c>
      <c r="B741" s="77">
        <f t="shared" si="1"/>
        <v>10</v>
      </c>
      <c r="C741" s="78">
        <f t="shared" si="2"/>
        <v>2004</v>
      </c>
      <c r="D741" s="77">
        <v>1.984</v>
      </c>
      <c r="E741" s="4">
        <f t="shared" si="3"/>
        <v>1.95375</v>
      </c>
      <c r="F741" s="2">
        <f t="shared" si="4"/>
        <v>38261</v>
      </c>
    </row>
    <row r="742" ht="12.75" customHeight="1">
      <c r="A742" s="2">
        <v>38285.0</v>
      </c>
      <c r="B742" s="77">
        <f t="shared" si="1"/>
        <v>10</v>
      </c>
      <c r="C742" s="78">
        <f t="shared" si="2"/>
        <v>2004</v>
      </c>
      <c r="D742" s="77">
        <v>1.98</v>
      </c>
      <c r="E742" s="4">
        <f t="shared" si="3"/>
        <v>1.95375</v>
      </c>
      <c r="F742" s="2">
        <f t="shared" si="4"/>
        <v>38261</v>
      </c>
    </row>
    <row r="743" ht="12.75" customHeight="1">
      <c r="A743" s="2">
        <v>38292.0</v>
      </c>
      <c r="B743" s="77">
        <f t="shared" si="1"/>
        <v>11</v>
      </c>
      <c r="C743" s="78">
        <f t="shared" si="2"/>
        <v>2004</v>
      </c>
      <c r="D743" s="77">
        <v>1.986</v>
      </c>
      <c r="E743" s="4">
        <f t="shared" si="3"/>
        <v>1.9318</v>
      </c>
      <c r="F743" s="2">
        <f t="shared" si="4"/>
        <v>38292</v>
      </c>
    </row>
    <row r="744" ht="12.75" customHeight="1">
      <c r="A744" s="2">
        <v>38299.0</v>
      </c>
      <c r="B744" s="77">
        <f t="shared" si="1"/>
        <v>11</v>
      </c>
      <c r="C744" s="78">
        <f t="shared" si="2"/>
        <v>2004</v>
      </c>
      <c r="D744" s="77">
        <v>1.951</v>
      </c>
      <c r="E744" s="4">
        <f t="shared" si="3"/>
        <v>1.9318</v>
      </c>
      <c r="F744" s="2">
        <f t="shared" si="4"/>
        <v>38292</v>
      </c>
    </row>
    <row r="745" ht="12.75" customHeight="1">
      <c r="A745" s="2">
        <v>38306.0</v>
      </c>
      <c r="B745" s="77">
        <f t="shared" si="1"/>
        <v>11</v>
      </c>
      <c r="C745" s="78">
        <f t="shared" si="2"/>
        <v>2004</v>
      </c>
      <c r="D745" s="77">
        <v>1.918</v>
      </c>
      <c r="E745" s="4">
        <f t="shared" si="3"/>
        <v>1.9318</v>
      </c>
      <c r="F745" s="2">
        <f t="shared" si="4"/>
        <v>38292</v>
      </c>
    </row>
    <row r="746" ht="12.75" customHeight="1">
      <c r="A746" s="2">
        <v>38313.0</v>
      </c>
      <c r="B746" s="77">
        <f t="shared" si="1"/>
        <v>11</v>
      </c>
      <c r="C746" s="78">
        <f t="shared" si="2"/>
        <v>2004</v>
      </c>
      <c r="D746" s="77">
        <v>1.901</v>
      </c>
      <c r="E746" s="4">
        <f t="shared" si="3"/>
        <v>1.9318</v>
      </c>
      <c r="F746" s="2">
        <f t="shared" si="4"/>
        <v>38292</v>
      </c>
    </row>
    <row r="747" ht="12.75" customHeight="1">
      <c r="A747" s="2">
        <v>38320.0</v>
      </c>
      <c r="B747" s="77">
        <f t="shared" si="1"/>
        <v>11</v>
      </c>
      <c r="C747" s="78">
        <f t="shared" si="2"/>
        <v>2004</v>
      </c>
      <c r="D747" s="77">
        <v>1.903</v>
      </c>
      <c r="E747" s="4">
        <f t="shared" si="3"/>
        <v>1.9318</v>
      </c>
      <c r="F747" s="2">
        <f t="shared" si="4"/>
        <v>38292</v>
      </c>
    </row>
    <row r="748" ht="12.75" customHeight="1">
      <c r="A748" s="2">
        <v>38327.0</v>
      </c>
      <c r="B748" s="77">
        <f t="shared" si="1"/>
        <v>12</v>
      </c>
      <c r="C748" s="78">
        <f t="shared" si="2"/>
        <v>2004</v>
      </c>
      <c r="D748" s="77">
        <v>1.868</v>
      </c>
      <c r="E748" s="4">
        <f t="shared" si="3"/>
        <v>1.7995</v>
      </c>
      <c r="F748" s="2">
        <f t="shared" si="4"/>
        <v>38322</v>
      </c>
    </row>
    <row r="749" ht="12.75" customHeight="1">
      <c r="A749" s="2">
        <v>38334.0</v>
      </c>
      <c r="B749" s="77">
        <f t="shared" si="1"/>
        <v>12</v>
      </c>
      <c r="C749" s="78">
        <f t="shared" si="2"/>
        <v>2004</v>
      </c>
      <c r="D749" s="77">
        <v>1.799</v>
      </c>
      <c r="E749" s="4">
        <f t="shared" si="3"/>
        <v>1.7995</v>
      </c>
      <c r="F749" s="2">
        <f t="shared" si="4"/>
        <v>38322</v>
      </c>
    </row>
    <row r="750" ht="12.75" customHeight="1">
      <c r="A750" s="2">
        <v>38341.0</v>
      </c>
      <c r="B750" s="77">
        <f t="shared" si="1"/>
        <v>12</v>
      </c>
      <c r="C750" s="78">
        <f t="shared" si="2"/>
        <v>2004</v>
      </c>
      <c r="D750" s="77">
        <v>1.777</v>
      </c>
      <c r="E750" s="4">
        <f t="shared" si="3"/>
        <v>1.7995</v>
      </c>
      <c r="F750" s="2">
        <f t="shared" si="4"/>
        <v>38322</v>
      </c>
    </row>
    <row r="751" ht="12.75" customHeight="1">
      <c r="A751" s="2">
        <v>38348.0</v>
      </c>
      <c r="B751" s="77">
        <f t="shared" si="1"/>
        <v>12</v>
      </c>
      <c r="C751" s="78">
        <f t="shared" si="2"/>
        <v>2004</v>
      </c>
      <c r="D751" s="77">
        <v>1.754</v>
      </c>
      <c r="E751" s="4">
        <f t="shared" si="3"/>
        <v>1.7995</v>
      </c>
      <c r="F751" s="2">
        <f t="shared" si="4"/>
        <v>38322</v>
      </c>
    </row>
    <row r="752" ht="12.75" customHeight="1">
      <c r="A752" s="2">
        <v>38355.0</v>
      </c>
      <c r="B752" s="77">
        <f t="shared" si="1"/>
        <v>1</v>
      </c>
      <c r="C752" s="78">
        <f t="shared" si="2"/>
        <v>2005</v>
      </c>
      <c r="D752" s="77">
        <v>1.745</v>
      </c>
      <c r="E752" s="4">
        <f t="shared" si="3"/>
        <v>1.8106</v>
      </c>
      <c r="F752" s="2">
        <f t="shared" si="4"/>
        <v>38353</v>
      </c>
    </row>
    <row r="753" ht="12.75" customHeight="1">
      <c r="A753" s="2">
        <v>38362.0</v>
      </c>
      <c r="B753" s="77">
        <f t="shared" si="1"/>
        <v>1</v>
      </c>
      <c r="C753" s="78">
        <f t="shared" si="2"/>
        <v>2005</v>
      </c>
      <c r="D753" s="77">
        <v>1.771</v>
      </c>
      <c r="E753" s="4">
        <f t="shared" si="3"/>
        <v>1.8106</v>
      </c>
      <c r="F753" s="2">
        <f t="shared" si="4"/>
        <v>38353</v>
      </c>
    </row>
    <row r="754" ht="12.75" customHeight="1">
      <c r="A754" s="2">
        <v>38369.0</v>
      </c>
      <c r="B754" s="77">
        <f t="shared" si="1"/>
        <v>1</v>
      </c>
      <c r="C754" s="78">
        <f t="shared" si="2"/>
        <v>2005</v>
      </c>
      <c r="D754" s="77">
        <v>1.802</v>
      </c>
      <c r="E754" s="4">
        <f t="shared" si="3"/>
        <v>1.8106</v>
      </c>
      <c r="F754" s="2">
        <f t="shared" si="4"/>
        <v>38353</v>
      </c>
    </row>
    <row r="755" ht="12.75" customHeight="1">
      <c r="A755" s="2">
        <v>38376.0</v>
      </c>
      <c r="B755" s="77">
        <f t="shared" si="1"/>
        <v>1</v>
      </c>
      <c r="C755" s="78">
        <f t="shared" si="2"/>
        <v>2005</v>
      </c>
      <c r="D755" s="77">
        <v>1.839</v>
      </c>
      <c r="E755" s="4">
        <f t="shared" si="3"/>
        <v>1.8106</v>
      </c>
      <c r="F755" s="2">
        <f t="shared" si="4"/>
        <v>38353</v>
      </c>
    </row>
    <row r="756" ht="12.75" customHeight="1">
      <c r="A756" s="2">
        <v>38383.0</v>
      </c>
      <c r="B756" s="77">
        <f t="shared" si="1"/>
        <v>1</v>
      </c>
      <c r="C756" s="78">
        <f t="shared" si="2"/>
        <v>2005</v>
      </c>
      <c r="D756" s="77">
        <v>1.896</v>
      </c>
      <c r="E756" s="4">
        <f t="shared" si="3"/>
        <v>1.8106</v>
      </c>
      <c r="F756" s="2">
        <f t="shared" si="4"/>
        <v>38353</v>
      </c>
    </row>
    <row r="757" ht="12.75" customHeight="1">
      <c r="A757" s="2">
        <v>38390.0</v>
      </c>
      <c r="B757" s="77">
        <f t="shared" si="1"/>
        <v>2</v>
      </c>
      <c r="C757" s="78">
        <f t="shared" si="2"/>
        <v>2005</v>
      </c>
      <c r="D757" s="77">
        <v>1.89</v>
      </c>
      <c r="E757" s="4">
        <f t="shared" si="3"/>
        <v>1.88625</v>
      </c>
      <c r="F757" s="2">
        <f t="shared" si="4"/>
        <v>38384</v>
      </c>
    </row>
    <row r="758" ht="12.75" customHeight="1">
      <c r="A758" s="2">
        <v>38397.0</v>
      </c>
      <c r="B758" s="77">
        <f t="shared" si="1"/>
        <v>2</v>
      </c>
      <c r="C758" s="78">
        <f t="shared" si="2"/>
        <v>2005</v>
      </c>
      <c r="D758" s="77">
        <v>1.873</v>
      </c>
      <c r="E758" s="4">
        <f t="shared" si="3"/>
        <v>1.88625</v>
      </c>
      <c r="F758" s="2">
        <f t="shared" si="4"/>
        <v>38384</v>
      </c>
    </row>
    <row r="759" ht="12.75" customHeight="1">
      <c r="A759" s="2">
        <v>38404.0</v>
      </c>
      <c r="B759" s="77">
        <f t="shared" si="1"/>
        <v>2</v>
      </c>
      <c r="C759" s="78">
        <f t="shared" si="2"/>
        <v>2005</v>
      </c>
      <c r="D759" s="77">
        <v>1.878</v>
      </c>
      <c r="E759" s="4">
        <f t="shared" si="3"/>
        <v>1.88625</v>
      </c>
      <c r="F759" s="2">
        <f t="shared" si="4"/>
        <v>38384</v>
      </c>
    </row>
    <row r="760" ht="12.75" customHeight="1">
      <c r="A760" s="2">
        <v>38411.0</v>
      </c>
      <c r="B760" s="77">
        <f t="shared" si="1"/>
        <v>2</v>
      </c>
      <c r="C760" s="78">
        <f t="shared" si="2"/>
        <v>2005</v>
      </c>
      <c r="D760" s="77">
        <v>1.904</v>
      </c>
      <c r="E760" s="4">
        <f t="shared" si="3"/>
        <v>1.88625</v>
      </c>
      <c r="F760" s="2">
        <f t="shared" si="4"/>
        <v>38384</v>
      </c>
    </row>
    <row r="761" ht="12.75" customHeight="1">
      <c r="A761" s="2">
        <v>38418.0</v>
      </c>
      <c r="B761" s="77">
        <f t="shared" si="1"/>
        <v>3</v>
      </c>
      <c r="C761" s="78">
        <f t="shared" si="2"/>
        <v>2005</v>
      </c>
      <c r="D761" s="77">
        <v>1.979</v>
      </c>
      <c r="E761" s="4">
        <f t="shared" si="3"/>
        <v>2.0625</v>
      </c>
      <c r="F761" s="2">
        <f t="shared" si="4"/>
        <v>38412</v>
      </c>
    </row>
    <row r="762" ht="12.75" customHeight="1">
      <c r="A762" s="2">
        <v>38425.0</v>
      </c>
      <c r="B762" s="77">
        <f t="shared" si="1"/>
        <v>3</v>
      </c>
      <c r="C762" s="78">
        <f t="shared" si="2"/>
        <v>2005</v>
      </c>
      <c r="D762" s="77">
        <v>2.039</v>
      </c>
      <c r="E762" s="4">
        <f t="shared" si="3"/>
        <v>2.0625</v>
      </c>
      <c r="F762" s="2">
        <f t="shared" si="4"/>
        <v>38412</v>
      </c>
    </row>
    <row r="763" ht="12.75" customHeight="1">
      <c r="A763" s="2">
        <v>38432.0</v>
      </c>
      <c r="B763" s="77">
        <f t="shared" si="1"/>
        <v>3</v>
      </c>
      <c r="C763" s="78">
        <f t="shared" si="2"/>
        <v>2005</v>
      </c>
      <c r="D763" s="77">
        <v>2.095</v>
      </c>
      <c r="E763" s="4">
        <f t="shared" si="3"/>
        <v>2.0625</v>
      </c>
      <c r="F763" s="2">
        <f t="shared" si="4"/>
        <v>38412</v>
      </c>
    </row>
    <row r="764" ht="12.75" customHeight="1">
      <c r="A764" s="2">
        <v>38439.0</v>
      </c>
      <c r="B764" s="77">
        <f t="shared" si="1"/>
        <v>3</v>
      </c>
      <c r="C764" s="78">
        <f t="shared" si="2"/>
        <v>2005</v>
      </c>
      <c r="D764" s="77">
        <v>2.137</v>
      </c>
      <c r="E764" s="4">
        <f t="shared" si="3"/>
        <v>2.0625</v>
      </c>
      <c r="F764" s="2">
        <f t="shared" si="4"/>
        <v>38412</v>
      </c>
    </row>
    <row r="765" ht="12.75" customHeight="1">
      <c r="A765" s="2">
        <v>38446.0</v>
      </c>
      <c r="B765" s="77">
        <f t="shared" si="1"/>
        <v>4</v>
      </c>
      <c r="C765" s="78">
        <f t="shared" si="2"/>
        <v>2005</v>
      </c>
      <c r="D765" s="77">
        <v>2.196</v>
      </c>
      <c r="E765" s="4">
        <f t="shared" si="3"/>
        <v>2.2105</v>
      </c>
      <c r="F765" s="2">
        <f t="shared" si="4"/>
        <v>38443</v>
      </c>
    </row>
    <row r="766" ht="12.75" customHeight="1">
      <c r="A766" s="2">
        <v>38453.0</v>
      </c>
      <c r="B766" s="77">
        <f t="shared" si="1"/>
        <v>4</v>
      </c>
      <c r="C766" s="78">
        <f t="shared" si="2"/>
        <v>2005</v>
      </c>
      <c r="D766" s="77">
        <v>2.251</v>
      </c>
      <c r="E766" s="4">
        <f t="shared" si="3"/>
        <v>2.2105</v>
      </c>
      <c r="F766" s="2">
        <f t="shared" si="4"/>
        <v>38443</v>
      </c>
    </row>
    <row r="767" ht="12.75" customHeight="1">
      <c r="A767" s="2">
        <v>38460.0</v>
      </c>
      <c r="B767" s="77">
        <f t="shared" si="1"/>
        <v>4</v>
      </c>
      <c r="C767" s="78">
        <f t="shared" si="2"/>
        <v>2005</v>
      </c>
      <c r="D767" s="77">
        <v>2.198</v>
      </c>
      <c r="E767" s="4">
        <f t="shared" si="3"/>
        <v>2.2105</v>
      </c>
      <c r="F767" s="2">
        <f t="shared" si="4"/>
        <v>38443</v>
      </c>
    </row>
    <row r="768" ht="12.75" customHeight="1">
      <c r="A768" s="2">
        <v>38467.0</v>
      </c>
      <c r="B768" s="77">
        <f t="shared" si="1"/>
        <v>4</v>
      </c>
      <c r="C768" s="78">
        <f t="shared" si="2"/>
        <v>2005</v>
      </c>
      <c r="D768" s="77">
        <v>2.197</v>
      </c>
      <c r="E768" s="4">
        <f t="shared" si="3"/>
        <v>2.2105</v>
      </c>
      <c r="F768" s="2">
        <f t="shared" si="4"/>
        <v>38443</v>
      </c>
    </row>
    <row r="769" ht="12.75" customHeight="1">
      <c r="A769" s="2">
        <v>38474.0</v>
      </c>
      <c r="B769" s="77">
        <f t="shared" si="1"/>
        <v>5</v>
      </c>
      <c r="C769" s="78">
        <f t="shared" si="2"/>
        <v>2005</v>
      </c>
      <c r="D769" s="77">
        <v>2.191</v>
      </c>
      <c r="E769" s="4">
        <f t="shared" si="3"/>
        <v>2.1144</v>
      </c>
      <c r="F769" s="2">
        <f t="shared" si="4"/>
        <v>38473</v>
      </c>
    </row>
    <row r="770" ht="12.75" customHeight="1">
      <c r="A770" s="2">
        <v>38481.0</v>
      </c>
      <c r="B770" s="77">
        <f t="shared" si="1"/>
        <v>5</v>
      </c>
      <c r="C770" s="78">
        <f t="shared" si="2"/>
        <v>2005</v>
      </c>
      <c r="D770" s="77">
        <v>2.137</v>
      </c>
      <c r="E770" s="4">
        <f t="shared" si="3"/>
        <v>2.1144</v>
      </c>
      <c r="F770" s="2">
        <f t="shared" si="4"/>
        <v>38473</v>
      </c>
    </row>
    <row r="771" ht="12.75" customHeight="1">
      <c r="A771" s="2">
        <v>38488.0</v>
      </c>
      <c r="B771" s="77">
        <f t="shared" si="1"/>
        <v>5</v>
      </c>
      <c r="C771" s="78">
        <f t="shared" si="2"/>
        <v>2005</v>
      </c>
      <c r="D771" s="77">
        <v>2.116</v>
      </c>
      <c r="E771" s="4">
        <f t="shared" si="3"/>
        <v>2.1144</v>
      </c>
      <c r="F771" s="2">
        <f t="shared" si="4"/>
        <v>38473</v>
      </c>
    </row>
    <row r="772" ht="12.75" customHeight="1">
      <c r="A772" s="2">
        <v>38495.0</v>
      </c>
      <c r="B772" s="77">
        <f t="shared" si="1"/>
        <v>5</v>
      </c>
      <c r="C772" s="78">
        <f t="shared" si="2"/>
        <v>2005</v>
      </c>
      <c r="D772" s="77">
        <v>2.077</v>
      </c>
      <c r="E772" s="4">
        <f t="shared" si="3"/>
        <v>2.1144</v>
      </c>
      <c r="F772" s="2">
        <f t="shared" si="4"/>
        <v>38473</v>
      </c>
    </row>
    <row r="773" ht="12.75" customHeight="1">
      <c r="A773" s="2">
        <v>38502.0</v>
      </c>
      <c r="B773" s="77">
        <f t="shared" si="1"/>
        <v>5</v>
      </c>
      <c r="C773" s="78">
        <f t="shared" si="2"/>
        <v>2005</v>
      </c>
      <c r="D773" s="77">
        <v>2.051</v>
      </c>
      <c r="E773" s="4">
        <f t="shared" si="3"/>
        <v>2.1144</v>
      </c>
      <c r="F773" s="2">
        <f t="shared" si="4"/>
        <v>38473</v>
      </c>
    </row>
    <row r="774" ht="12.75" customHeight="1">
      <c r="A774" s="2">
        <v>38509.0</v>
      </c>
      <c r="B774" s="77">
        <f t="shared" si="1"/>
        <v>6</v>
      </c>
      <c r="C774" s="78">
        <f t="shared" si="2"/>
        <v>2005</v>
      </c>
      <c r="D774" s="77">
        <v>2.078</v>
      </c>
      <c r="E774" s="4">
        <f t="shared" si="3"/>
        <v>2.12275</v>
      </c>
      <c r="F774" s="2">
        <f t="shared" si="4"/>
        <v>38504</v>
      </c>
    </row>
    <row r="775" ht="12.75" customHeight="1">
      <c r="A775" s="2">
        <v>38516.0</v>
      </c>
      <c r="B775" s="77">
        <f t="shared" si="1"/>
        <v>6</v>
      </c>
      <c r="C775" s="78">
        <f t="shared" si="2"/>
        <v>2005</v>
      </c>
      <c r="D775" s="77">
        <v>2.099</v>
      </c>
      <c r="E775" s="4">
        <f t="shared" si="3"/>
        <v>2.12275</v>
      </c>
      <c r="F775" s="2">
        <f t="shared" si="4"/>
        <v>38504</v>
      </c>
    </row>
    <row r="776" ht="12.75" customHeight="1">
      <c r="A776" s="2">
        <v>38523.0</v>
      </c>
      <c r="B776" s="77">
        <f t="shared" si="1"/>
        <v>6</v>
      </c>
      <c r="C776" s="78">
        <f t="shared" si="2"/>
        <v>2005</v>
      </c>
      <c r="D776" s="77">
        <v>2.128</v>
      </c>
      <c r="E776" s="4">
        <f t="shared" si="3"/>
        <v>2.12275</v>
      </c>
      <c r="F776" s="2">
        <f t="shared" si="4"/>
        <v>38504</v>
      </c>
    </row>
    <row r="777" ht="12.75" customHeight="1">
      <c r="A777" s="2">
        <v>38530.0</v>
      </c>
      <c r="B777" s="77">
        <f t="shared" si="1"/>
        <v>6</v>
      </c>
      <c r="C777" s="78">
        <f t="shared" si="2"/>
        <v>2005</v>
      </c>
      <c r="D777" s="77">
        <v>2.186</v>
      </c>
      <c r="E777" s="4">
        <f t="shared" si="3"/>
        <v>2.12275</v>
      </c>
      <c r="F777" s="2">
        <f t="shared" si="4"/>
        <v>38504</v>
      </c>
    </row>
    <row r="778" ht="12.75" customHeight="1">
      <c r="A778" s="2">
        <v>38537.0</v>
      </c>
      <c r="B778" s="77">
        <f t="shared" si="1"/>
        <v>7</v>
      </c>
      <c r="C778" s="78">
        <f t="shared" si="2"/>
        <v>2005</v>
      </c>
      <c r="D778" s="77">
        <v>2.189</v>
      </c>
      <c r="E778" s="4">
        <f t="shared" si="3"/>
        <v>2.247</v>
      </c>
      <c r="F778" s="2">
        <f t="shared" si="4"/>
        <v>38534</v>
      </c>
    </row>
    <row r="779" ht="12.75" customHeight="1">
      <c r="A779" s="2">
        <v>38544.0</v>
      </c>
      <c r="B779" s="77">
        <f t="shared" si="1"/>
        <v>7</v>
      </c>
      <c r="C779" s="78">
        <f t="shared" si="2"/>
        <v>2005</v>
      </c>
      <c r="D779" s="77">
        <v>2.292</v>
      </c>
      <c r="E779" s="4">
        <f t="shared" si="3"/>
        <v>2.247</v>
      </c>
      <c r="F779" s="2">
        <f t="shared" si="4"/>
        <v>38534</v>
      </c>
    </row>
    <row r="780" ht="12.75" customHeight="1">
      <c r="A780" s="2">
        <v>38551.0</v>
      </c>
      <c r="B780" s="77">
        <f t="shared" si="1"/>
        <v>7</v>
      </c>
      <c r="C780" s="78">
        <f t="shared" si="2"/>
        <v>2005</v>
      </c>
      <c r="D780" s="77">
        <v>2.272</v>
      </c>
      <c r="E780" s="4">
        <f t="shared" si="3"/>
        <v>2.247</v>
      </c>
      <c r="F780" s="2">
        <f t="shared" si="4"/>
        <v>38534</v>
      </c>
    </row>
    <row r="781" ht="12.75" customHeight="1">
      <c r="A781" s="2">
        <v>38558.0</v>
      </c>
      <c r="B781" s="77">
        <f t="shared" si="1"/>
        <v>7</v>
      </c>
      <c r="C781" s="78">
        <f t="shared" si="2"/>
        <v>2005</v>
      </c>
      <c r="D781" s="77">
        <v>2.235</v>
      </c>
      <c r="E781" s="4">
        <f t="shared" si="3"/>
        <v>2.247</v>
      </c>
      <c r="F781" s="2">
        <f t="shared" si="4"/>
        <v>38534</v>
      </c>
    </row>
    <row r="782" ht="12.75" customHeight="1">
      <c r="A782" s="2">
        <v>38565.0</v>
      </c>
      <c r="B782" s="77">
        <f t="shared" si="1"/>
        <v>8</v>
      </c>
      <c r="C782" s="78">
        <f t="shared" si="2"/>
        <v>2005</v>
      </c>
      <c r="D782" s="77">
        <v>2.239</v>
      </c>
      <c r="E782" s="4">
        <f t="shared" si="3"/>
        <v>2.449</v>
      </c>
      <c r="F782" s="2">
        <f t="shared" si="4"/>
        <v>38565</v>
      </c>
    </row>
    <row r="783" ht="12.75" customHeight="1">
      <c r="A783" s="2">
        <v>38572.0</v>
      </c>
      <c r="B783" s="77">
        <f t="shared" si="1"/>
        <v>8</v>
      </c>
      <c r="C783" s="78">
        <f t="shared" si="2"/>
        <v>2005</v>
      </c>
      <c r="D783" s="77">
        <v>2.323</v>
      </c>
      <c r="E783" s="4">
        <f t="shared" si="3"/>
        <v>2.449</v>
      </c>
      <c r="F783" s="2">
        <f t="shared" si="4"/>
        <v>38565</v>
      </c>
    </row>
    <row r="784" ht="12.75" customHeight="1">
      <c r="A784" s="2">
        <v>38579.0</v>
      </c>
      <c r="B784" s="77">
        <f t="shared" si="1"/>
        <v>8</v>
      </c>
      <c r="C784" s="78">
        <f t="shared" si="2"/>
        <v>2005</v>
      </c>
      <c r="D784" s="77">
        <v>2.519</v>
      </c>
      <c r="E784" s="4">
        <f t="shared" si="3"/>
        <v>2.449</v>
      </c>
      <c r="F784" s="2">
        <f t="shared" si="4"/>
        <v>38565</v>
      </c>
    </row>
    <row r="785" ht="12.75" customHeight="1">
      <c r="A785" s="2">
        <v>38586.0</v>
      </c>
      <c r="B785" s="77">
        <f t="shared" si="1"/>
        <v>8</v>
      </c>
      <c r="C785" s="78">
        <f t="shared" si="2"/>
        <v>2005</v>
      </c>
      <c r="D785" s="77">
        <v>2.583</v>
      </c>
      <c r="E785" s="4">
        <f t="shared" si="3"/>
        <v>2.449</v>
      </c>
      <c r="F785" s="2">
        <f t="shared" si="4"/>
        <v>38565</v>
      </c>
    </row>
    <row r="786" ht="12.75" customHeight="1">
      <c r="A786" s="2">
        <v>38593.0</v>
      </c>
      <c r="B786" s="77">
        <f t="shared" si="1"/>
        <v>8</v>
      </c>
      <c r="C786" s="78">
        <f t="shared" si="2"/>
        <v>2005</v>
      </c>
      <c r="D786" s="77">
        <v>2.581</v>
      </c>
      <c r="E786" s="4">
        <f t="shared" si="3"/>
        <v>2.449</v>
      </c>
      <c r="F786" s="2">
        <f t="shared" si="4"/>
        <v>38565</v>
      </c>
    </row>
    <row r="787" ht="12.75" customHeight="1">
      <c r="A787" s="2">
        <v>38600.0</v>
      </c>
      <c r="B787" s="77">
        <f t="shared" si="1"/>
        <v>9</v>
      </c>
      <c r="C787" s="78">
        <f t="shared" si="2"/>
        <v>2005</v>
      </c>
      <c r="D787" s="77">
        <v>3.037</v>
      </c>
      <c r="E787" s="4">
        <f t="shared" si="3"/>
        <v>2.8615</v>
      </c>
      <c r="F787" s="2">
        <f t="shared" si="4"/>
        <v>38596</v>
      </c>
    </row>
    <row r="788" ht="12.75" customHeight="1">
      <c r="A788" s="2">
        <v>38607.0</v>
      </c>
      <c r="B788" s="77">
        <f t="shared" si="1"/>
        <v>9</v>
      </c>
      <c r="C788" s="78">
        <f t="shared" si="2"/>
        <v>2005</v>
      </c>
      <c r="D788" s="77">
        <v>2.912</v>
      </c>
      <c r="E788" s="4">
        <f t="shared" si="3"/>
        <v>2.8615</v>
      </c>
      <c r="F788" s="2">
        <f t="shared" si="4"/>
        <v>38596</v>
      </c>
    </row>
    <row r="789" ht="12.75" customHeight="1">
      <c r="A789" s="2">
        <v>38614.0</v>
      </c>
      <c r="B789" s="77">
        <f t="shared" si="1"/>
        <v>9</v>
      </c>
      <c r="C789" s="78">
        <f t="shared" si="2"/>
        <v>2005</v>
      </c>
      <c r="D789" s="77">
        <v>2.73</v>
      </c>
      <c r="E789" s="4">
        <f t="shared" si="3"/>
        <v>2.8615</v>
      </c>
      <c r="F789" s="2">
        <f t="shared" si="4"/>
        <v>38596</v>
      </c>
    </row>
    <row r="790" ht="12.75" customHeight="1">
      <c r="A790" s="2">
        <v>38621.0</v>
      </c>
      <c r="B790" s="77">
        <f t="shared" si="1"/>
        <v>9</v>
      </c>
      <c r="C790" s="78">
        <f t="shared" si="2"/>
        <v>2005</v>
      </c>
      <c r="D790" s="77">
        <v>2.767</v>
      </c>
      <c r="E790" s="4">
        <f t="shared" si="3"/>
        <v>2.8615</v>
      </c>
      <c r="F790" s="2">
        <f t="shared" si="4"/>
        <v>38596</v>
      </c>
    </row>
    <row r="791" ht="12.75" customHeight="1">
      <c r="A791" s="2">
        <v>38628.0</v>
      </c>
      <c r="B791" s="77">
        <f t="shared" si="1"/>
        <v>10</v>
      </c>
      <c r="C791" s="78">
        <f t="shared" si="2"/>
        <v>2005</v>
      </c>
      <c r="D791" s="77">
        <v>2.922</v>
      </c>
      <c r="E791" s="4">
        <f t="shared" si="3"/>
        <v>2.689</v>
      </c>
      <c r="F791" s="2">
        <f t="shared" si="4"/>
        <v>38626</v>
      </c>
    </row>
    <row r="792" ht="12.75" customHeight="1">
      <c r="A792" s="2">
        <v>38635.0</v>
      </c>
      <c r="B792" s="77">
        <f t="shared" si="1"/>
        <v>10</v>
      </c>
      <c r="C792" s="78">
        <f t="shared" si="2"/>
        <v>2005</v>
      </c>
      <c r="D792" s="77">
        <v>2.828</v>
      </c>
      <c r="E792" s="4">
        <f t="shared" si="3"/>
        <v>2.689</v>
      </c>
      <c r="F792" s="2">
        <f t="shared" si="4"/>
        <v>38626</v>
      </c>
    </row>
    <row r="793" ht="12.75" customHeight="1">
      <c r="A793" s="2">
        <v>38642.0</v>
      </c>
      <c r="B793" s="77">
        <f t="shared" si="1"/>
        <v>10</v>
      </c>
      <c r="C793" s="78">
        <f t="shared" si="2"/>
        <v>2005</v>
      </c>
      <c r="D793" s="77">
        <v>2.693</v>
      </c>
      <c r="E793" s="4">
        <f t="shared" si="3"/>
        <v>2.689</v>
      </c>
      <c r="F793" s="2">
        <f t="shared" si="4"/>
        <v>38626</v>
      </c>
    </row>
    <row r="794" ht="12.75" customHeight="1">
      <c r="A794" s="2">
        <v>38649.0</v>
      </c>
      <c r="B794" s="77">
        <f t="shared" si="1"/>
        <v>10</v>
      </c>
      <c r="C794" s="78">
        <f t="shared" si="2"/>
        <v>2005</v>
      </c>
      <c r="D794" s="77">
        <v>2.564</v>
      </c>
      <c r="E794" s="4">
        <f t="shared" si="3"/>
        <v>2.689</v>
      </c>
      <c r="F794" s="2">
        <f t="shared" si="4"/>
        <v>38626</v>
      </c>
    </row>
    <row r="795" ht="12.75" customHeight="1">
      <c r="A795" s="2">
        <v>38656.0</v>
      </c>
      <c r="B795" s="77">
        <f t="shared" si="1"/>
        <v>10</v>
      </c>
      <c r="C795" s="78">
        <f t="shared" si="2"/>
        <v>2005</v>
      </c>
      <c r="D795" s="77">
        <v>2.438</v>
      </c>
      <c r="E795" s="4">
        <f t="shared" si="3"/>
        <v>2.689</v>
      </c>
      <c r="F795" s="2">
        <f t="shared" si="4"/>
        <v>38626</v>
      </c>
    </row>
    <row r="796" ht="12.75" customHeight="1">
      <c r="A796" s="2">
        <v>38663.0</v>
      </c>
      <c r="B796" s="77">
        <f t="shared" si="1"/>
        <v>11</v>
      </c>
      <c r="C796" s="78">
        <f t="shared" si="2"/>
        <v>2005</v>
      </c>
      <c r="D796" s="77">
        <v>2.336</v>
      </c>
      <c r="E796" s="4">
        <f t="shared" si="3"/>
        <v>2.2215</v>
      </c>
      <c r="F796" s="2">
        <f t="shared" si="4"/>
        <v>38657</v>
      </c>
    </row>
    <row r="797" ht="12.75" customHeight="1">
      <c r="A797" s="2">
        <v>38670.0</v>
      </c>
      <c r="B797" s="77">
        <f t="shared" si="1"/>
        <v>11</v>
      </c>
      <c r="C797" s="78">
        <f t="shared" si="2"/>
        <v>2005</v>
      </c>
      <c r="D797" s="77">
        <v>2.258</v>
      </c>
      <c r="E797" s="4">
        <f t="shared" si="3"/>
        <v>2.2215</v>
      </c>
      <c r="F797" s="2">
        <f t="shared" si="4"/>
        <v>38657</v>
      </c>
    </row>
    <row r="798" ht="12.75" customHeight="1">
      <c r="A798" s="2">
        <v>38677.0</v>
      </c>
      <c r="B798" s="77">
        <f t="shared" si="1"/>
        <v>11</v>
      </c>
      <c r="C798" s="78">
        <f t="shared" si="2"/>
        <v>2005</v>
      </c>
      <c r="D798" s="77">
        <v>2.168</v>
      </c>
      <c r="E798" s="4">
        <f t="shared" si="3"/>
        <v>2.2215</v>
      </c>
      <c r="F798" s="2">
        <f t="shared" si="4"/>
        <v>38657</v>
      </c>
    </row>
    <row r="799" ht="12.75" customHeight="1">
      <c r="A799" s="2">
        <v>38684.0</v>
      </c>
      <c r="B799" s="77">
        <f t="shared" si="1"/>
        <v>11</v>
      </c>
      <c r="C799" s="78">
        <f t="shared" si="2"/>
        <v>2005</v>
      </c>
      <c r="D799" s="77">
        <v>2.124</v>
      </c>
      <c r="E799" s="4">
        <f t="shared" si="3"/>
        <v>2.2215</v>
      </c>
      <c r="F799" s="2">
        <f t="shared" si="4"/>
        <v>38657</v>
      </c>
    </row>
    <row r="800" ht="12.75" customHeight="1">
      <c r="A800" s="2">
        <v>38691.0</v>
      </c>
      <c r="B800" s="77">
        <f t="shared" si="1"/>
        <v>12</v>
      </c>
      <c r="C800" s="78">
        <f t="shared" si="2"/>
        <v>2005</v>
      </c>
      <c r="D800" s="77">
        <v>2.127</v>
      </c>
      <c r="E800" s="4">
        <f t="shared" si="3"/>
        <v>2.17375</v>
      </c>
      <c r="F800" s="2">
        <f t="shared" si="4"/>
        <v>38687</v>
      </c>
    </row>
    <row r="801" ht="12.75" customHeight="1">
      <c r="A801" s="2">
        <v>38698.0</v>
      </c>
      <c r="B801" s="77">
        <f t="shared" si="1"/>
        <v>12</v>
      </c>
      <c r="C801" s="78">
        <f t="shared" si="2"/>
        <v>2005</v>
      </c>
      <c r="D801" s="77">
        <v>2.175</v>
      </c>
      <c r="E801" s="4">
        <f t="shared" si="3"/>
        <v>2.17375</v>
      </c>
      <c r="F801" s="2">
        <f t="shared" si="4"/>
        <v>38687</v>
      </c>
    </row>
    <row r="802" ht="12.75" customHeight="1">
      <c r="A802" s="2">
        <v>38705.0</v>
      </c>
      <c r="B802" s="77">
        <f t="shared" si="1"/>
        <v>12</v>
      </c>
      <c r="C802" s="78">
        <f t="shared" si="2"/>
        <v>2005</v>
      </c>
      <c r="D802" s="77">
        <v>2.205</v>
      </c>
      <c r="E802" s="4">
        <f t="shared" si="3"/>
        <v>2.17375</v>
      </c>
      <c r="F802" s="2">
        <f t="shared" si="4"/>
        <v>38687</v>
      </c>
    </row>
    <row r="803" ht="12.75" customHeight="1">
      <c r="A803" s="2">
        <v>38712.0</v>
      </c>
      <c r="B803" s="77">
        <f t="shared" si="1"/>
        <v>12</v>
      </c>
      <c r="C803" s="78">
        <f t="shared" si="2"/>
        <v>2005</v>
      </c>
      <c r="D803" s="77">
        <v>2.188</v>
      </c>
      <c r="E803" s="4">
        <f t="shared" si="3"/>
        <v>2.17375</v>
      </c>
      <c r="F803" s="2">
        <f t="shared" si="4"/>
        <v>38687</v>
      </c>
    </row>
    <row r="804" ht="12.75" customHeight="1">
      <c r="A804" s="2">
        <v>38719.0</v>
      </c>
      <c r="B804" s="77">
        <f t="shared" si="1"/>
        <v>1</v>
      </c>
      <c r="C804" s="78">
        <f t="shared" si="2"/>
        <v>2006</v>
      </c>
      <c r="D804" s="77">
        <v>2.236</v>
      </c>
      <c r="E804" s="4">
        <f t="shared" si="3"/>
        <v>2.3</v>
      </c>
      <c r="F804" s="2">
        <f t="shared" si="4"/>
        <v>38718</v>
      </c>
    </row>
    <row r="805" ht="12.75" customHeight="1">
      <c r="A805" s="2">
        <v>38726.0</v>
      </c>
      <c r="B805" s="77">
        <f t="shared" si="1"/>
        <v>1</v>
      </c>
      <c r="C805" s="78">
        <f t="shared" si="2"/>
        <v>2006</v>
      </c>
      <c r="D805" s="77">
        <v>2.321</v>
      </c>
      <c r="E805" s="4">
        <f t="shared" si="3"/>
        <v>2.3</v>
      </c>
      <c r="F805" s="2">
        <f t="shared" si="4"/>
        <v>38718</v>
      </c>
    </row>
    <row r="806" ht="12.75" customHeight="1">
      <c r="A806" s="2">
        <v>38733.0</v>
      </c>
      <c r="B806" s="77">
        <f t="shared" si="1"/>
        <v>1</v>
      </c>
      <c r="C806" s="78">
        <f t="shared" si="2"/>
        <v>2006</v>
      </c>
      <c r="D806" s="77">
        <v>2.297</v>
      </c>
      <c r="E806" s="4">
        <f t="shared" si="3"/>
        <v>2.3</v>
      </c>
      <c r="F806" s="2">
        <f t="shared" si="4"/>
        <v>38718</v>
      </c>
    </row>
    <row r="807" ht="12.75" customHeight="1">
      <c r="A807" s="2">
        <v>38740.0</v>
      </c>
      <c r="B807" s="77">
        <f t="shared" si="1"/>
        <v>1</v>
      </c>
      <c r="C807" s="78">
        <f t="shared" si="2"/>
        <v>2006</v>
      </c>
      <c r="D807" s="77">
        <v>2.314</v>
      </c>
      <c r="E807" s="4">
        <f t="shared" si="3"/>
        <v>2.3</v>
      </c>
      <c r="F807" s="2">
        <f t="shared" si="4"/>
        <v>38718</v>
      </c>
    </row>
    <row r="808" ht="12.75" customHeight="1">
      <c r="A808" s="2">
        <v>38747.0</v>
      </c>
      <c r="B808" s="77">
        <f t="shared" si="1"/>
        <v>1</v>
      </c>
      <c r="C808" s="78">
        <f t="shared" si="2"/>
        <v>2006</v>
      </c>
      <c r="D808" s="77">
        <v>2.332</v>
      </c>
      <c r="E808" s="4">
        <f t="shared" si="3"/>
        <v>2.3</v>
      </c>
      <c r="F808" s="2">
        <f t="shared" si="4"/>
        <v>38718</v>
      </c>
    </row>
    <row r="809" ht="12.75" customHeight="1">
      <c r="A809" s="2">
        <v>38754.0</v>
      </c>
      <c r="B809" s="77">
        <f t="shared" si="1"/>
        <v>2</v>
      </c>
      <c r="C809" s="78">
        <f t="shared" si="2"/>
        <v>2006</v>
      </c>
      <c r="D809" s="77">
        <v>2.31</v>
      </c>
      <c r="E809" s="4">
        <f t="shared" si="3"/>
        <v>2.24925</v>
      </c>
      <c r="F809" s="2">
        <f t="shared" si="4"/>
        <v>38749</v>
      </c>
    </row>
    <row r="810" ht="12.75" customHeight="1">
      <c r="A810" s="2">
        <v>38761.0</v>
      </c>
      <c r="B810" s="77">
        <f t="shared" si="1"/>
        <v>2</v>
      </c>
      <c r="C810" s="78">
        <f t="shared" si="2"/>
        <v>2006</v>
      </c>
      <c r="D810" s="77">
        <v>2.246</v>
      </c>
      <c r="E810" s="4">
        <f t="shared" si="3"/>
        <v>2.24925</v>
      </c>
      <c r="F810" s="2">
        <f t="shared" si="4"/>
        <v>38749</v>
      </c>
    </row>
    <row r="811" ht="12.75" customHeight="1">
      <c r="A811" s="2">
        <v>38768.0</v>
      </c>
      <c r="B811" s="77">
        <f t="shared" si="1"/>
        <v>2</v>
      </c>
      <c r="C811" s="78">
        <f t="shared" si="2"/>
        <v>2006</v>
      </c>
      <c r="D811" s="77">
        <v>2.205</v>
      </c>
      <c r="E811" s="4">
        <f t="shared" si="3"/>
        <v>2.24925</v>
      </c>
      <c r="F811" s="2">
        <f t="shared" si="4"/>
        <v>38749</v>
      </c>
    </row>
    <row r="812" ht="12.75" customHeight="1">
      <c r="A812" s="2">
        <v>38775.0</v>
      </c>
      <c r="B812" s="77">
        <f t="shared" si="1"/>
        <v>2</v>
      </c>
      <c r="C812" s="78">
        <f t="shared" si="2"/>
        <v>2006</v>
      </c>
      <c r="D812" s="77">
        <v>2.236</v>
      </c>
      <c r="E812" s="4">
        <f t="shared" si="3"/>
        <v>2.24925</v>
      </c>
      <c r="F812" s="2">
        <f t="shared" si="4"/>
        <v>38749</v>
      </c>
    </row>
    <row r="813" ht="12.75" customHeight="1">
      <c r="A813" s="2">
        <v>38782.0</v>
      </c>
      <c r="B813" s="77">
        <f t="shared" si="1"/>
        <v>3</v>
      </c>
      <c r="C813" s="78">
        <f t="shared" si="2"/>
        <v>2006</v>
      </c>
      <c r="D813" s="77">
        <v>2.321</v>
      </c>
      <c r="E813" s="4">
        <f t="shared" si="3"/>
        <v>2.4125</v>
      </c>
      <c r="F813" s="2">
        <f t="shared" si="4"/>
        <v>38777</v>
      </c>
    </row>
    <row r="814" ht="12.75" customHeight="1">
      <c r="A814" s="2">
        <v>38789.0</v>
      </c>
      <c r="B814" s="77">
        <f t="shared" si="1"/>
        <v>3</v>
      </c>
      <c r="C814" s="78">
        <f t="shared" si="2"/>
        <v>2006</v>
      </c>
      <c r="D814" s="77">
        <v>2.355</v>
      </c>
      <c r="E814" s="4">
        <f t="shared" si="3"/>
        <v>2.4125</v>
      </c>
      <c r="F814" s="2">
        <f t="shared" si="4"/>
        <v>38777</v>
      </c>
    </row>
    <row r="815" ht="12.75" customHeight="1">
      <c r="A815" s="2">
        <v>38796.0</v>
      </c>
      <c r="B815" s="77">
        <f t="shared" si="1"/>
        <v>3</v>
      </c>
      <c r="C815" s="78">
        <f t="shared" si="2"/>
        <v>2006</v>
      </c>
      <c r="D815" s="77">
        <v>2.495</v>
      </c>
      <c r="E815" s="4">
        <f t="shared" si="3"/>
        <v>2.4125</v>
      </c>
      <c r="F815" s="2">
        <f t="shared" si="4"/>
        <v>38777</v>
      </c>
    </row>
    <row r="816" ht="12.75" customHeight="1">
      <c r="A816" s="2">
        <v>38803.0</v>
      </c>
      <c r="B816" s="77">
        <f t="shared" si="1"/>
        <v>3</v>
      </c>
      <c r="C816" s="78">
        <f t="shared" si="2"/>
        <v>2006</v>
      </c>
      <c r="D816" s="77">
        <v>2.479</v>
      </c>
      <c r="E816" s="4">
        <f t="shared" si="3"/>
        <v>2.4125</v>
      </c>
      <c r="F816" s="2">
        <f t="shared" si="4"/>
        <v>38777</v>
      </c>
    </row>
    <row r="817" ht="12.75" customHeight="1">
      <c r="A817" s="2">
        <v>38810.0</v>
      </c>
      <c r="B817" s="77">
        <f t="shared" si="1"/>
        <v>4</v>
      </c>
      <c r="C817" s="78">
        <f t="shared" si="2"/>
        <v>2006</v>
      </c>
      <c r="D817" s="77">
        <v>2.567</v>
      </c>
      <c r="E817" s="4">
        <f t="shared" si="3"/>
        <v>2.71875</v>
      </c>
      <c r="F817" s="2">
        <f t="shared" si="4"/>
        <v>38808</v>
      </c>
    </row>
    <row r="818" ht="12.75" customHeight="1">
      <c r="A818" s="2">
        <v>38817.0</v>
      </c>
      <c r="B818" s="77">
        <f t="shared" si="1"/>
        <v>4</v>
      </c>
      <c r="C818" s="78">
        <f t="shared" si="2"/>
        <v>2006</v>
      </c>
      <c r="D818" s="77">
        <v>2.663</v>
      </c>
      <c r="E818" s="4">
        <f t="shared" si="3"/>
        <v>2.71875</v>
      </c>
      <c r="F818" s="2">
        <f t="shared" si="4"/>
        <v>38808</v>
      </c>
    </row>
    <row r="819" ht="12.75" customHeight="1">
      <c r="A819" s="2">
        <v>38824.0</v>
      </c>
      <c r="B819" s="77">
        <f t="shared" si="1"/>
        <v>4</v>
      </c>
      <c r="C819" s="78">
        <f t="shared" si="2"/>
        <v>2006</v>
      </c>
      <c r="D819" s="77">
        <v>2.764</v>
      </c>
      <c r="E819" s="4">
        <f t="shared" si="3"/>
        <v>2.71875</v>
      </c>
      <c r="F819" s="2">
        <f t="shared" si="4"/>
        <v>38808</v>
      </c>
    </row>
    <row r="820" ht="12.75" customHeight="1">
      <c r="A820" s="2">
        <v>38831.0</v>
      </c>
      <c r="B820" s="77">
        <f t="shared" si="1"/>
        <v>4</v>
      </c>
      <c r="C820" s="78">
        <f t="shared" si="2"/>
        <v>2006</v>
      </c>
      <c r="D820" s="77">
        <v>2.881</v>
      </c>
      <c r="E820" s="4">
        <f t="shared" si="3"/>
        <v>2.71875</v>
      </c>
      <c r="F820" s="2">
        <f t="shared" si="4"/>
        <v>38808</v>
      </c>
    </row>
    <row r="821" ht="12.75" customHeight="1">
      <c r="A821" s="2">
        <v>38838.0</v>
      </c>
      <c r="B821" s="77">
        <f t="shared" si="1"/>
        <v>5</v>
      </c>
      <c r="C821" s="78">
        <f t="shared" si="2"/>
        <v>2006</v>
      </c>
      <c r="D821" s="77">
        <v>2.866</v>
      </c>
      <c r="E821" s="4">
        <f t="shared" si="3"/>
        <v>2.8312</v>
      </c>
      <c r="F821" s="2">
        <f t="shared" si="4"/>
        <v>38838</v>
      </c>
    </row>
    <row r="822" ht="12.75" customHeight="1">
      <c r="A822" s="2">
        <v>38845.0</v>
      </c>
      <c r="B822" s="77">
        <f t="shared" si="1"/>
        <v>5</v>
      </c>
      <c r="C822" s="78">
        <f t="shared" si="2"/>
        <v>2006</v>
      </c>
      <c r="D822" s="77">
        <v>2.834</v>
      </c>
      <c r="E822" s="4">
        <f t="shared" si="3"/>
        <v>2.8312</v>
      </c>
      <c r="F822" s="2">
        <f t="shared" si="4"/>
        <v>38838</v>
      </c>
    </row>
    <row r="823" ht="12.75" customHeight="1">
      <c r="A823" s="2">
        <v>38852.0</v>
      </c>
      <c r="B823" s="77">
        <f t="shared" si="1"/>
        <v>5</v>
      </c>
      <c r="C823" s="78">
        <f t="shared" si="2"/>
        <v>2006</v>
      </c>
      <c r="D823" s="77">
        <v>2.871</v>
      </c>
      <c r="E823" s="4">
        <f t="shared" si="3"/>
        <v>2.8312</v>
      </c>
      <c r="F823" s="2">
        <f t="shared" si="4"/>
        <v>38838</v>
      </c>
    </row>
    <row r="824" ht="12.75" customHeight="1">
      <c r="A824" s="2">
        <v>38859.0</v>
      </c>
      <c r="B824" s="77">
        <f t="shared" si="1"/>
        <v>5</v>
      </c>
      <c r="C824" s="78">
        <f t="shared" si="2"/>
        <v>2006</v>
      </c>
      <c r="D824" s="77">
        <v>2.801</v>
      </c>
      <c r="E824" s="4">
        <f t="shared" si="3"/>
        <v>2.8312</v>
      </c>
      <c r="F824" s="2">
        <f t="shared" si="4"/>
        <v>38838</v>
      </c>
    </row>
    <row r="825" ht="12.75" customHeight="1">
      <c r="A825" s="2">
        <v>38866.0</v>
      </c>
      <c r="B825" s="77">
        <f t="shared" si="1"/>
        <v>5</v>
      </c>
      <c r="C825" s="78">
        <f t="shared" si="2"/>
        <v>2006</v>
      </c>
      <c r="D825" s="77">
        <v>2.784</v>
      </c>
      <c r="E825" s="4">
        <f t="shared" si="3"/>
        <v>2.8312</v>
      </c>
      <c r="F825" s="2">
        <f t="shared" si="4"/>
        <v>38838</v>
      </c>
    </row>
    <row r="826" ht="12.75" customHeight="1">
      <c r="A826" s="2">
        <v>38873.0</v>
      </c>
      <c r="B826" s="77">
        <f t="shared" si="1"/>
        <v>6</v>
      </c>
      <c r="C826" s="78">
        <f t="shared" si="2"/>
        <v>2006</v>
      </c>
      <c r="D826" s="77">
        <v>2.811</v>
      </c>
      <c r="E826" s="4">
        <f t="shared" si="3"/>
        <v>2.80825</v>
      </c>
      <c r="F826" s="2">
        <f t="shared" si="4"/>
        <v>38869</v>
      </c>
    </row>
    <row r="827" ht="12.75" customHeight="1">
      <c r="A827" s="2">
        <v>38880.0</v>
      </c>
      <c r="B827" s="77">
        <f t="shared" si="1"/>
        <v>6</v>
      </c>
      <c r="C827" s="78">
        <f t="shared" si="2"/>
        <v>2006</v>
      </c>
      <c r="D827" s="77">
        <v>2.833</v>
      </c>
      <c r="E827" s="4">
        <f t="shared" si="3"/>
        <v>2.80825</v>
      </c>
      <c r="F827" s="2">
        <f t="shared" si="4"/>
        <v>38869</v>
      </c>
    </row>
    <row r="828" ht="12.75" customHeight="1">
      <c r="A828" s="2">
        <v>38887.0</v>
      </c>
      <c r="B828" s="77">
        <f t="shared" si="1"/>
        <v>6</v>
      </c>
      <c r="C828" s="78">
        <f t="shared" si="2"/>
        <v>2006</v>
      </c>
      <c r="D828" s="77">
        <v>2.793</v>
      </c>
      <c r="E828" s="4">
        <f t="shared" si="3"/>
        <v>2.80825</v>
      </c>
      <c r="F828" s="2">
        <f t="shared" si="4"/>
        <v>38869</v>
      </c>
    </row>
    <row r="829" ht="12.75" customHeight="1">
      <c r="A829" s="2">
        <v>38894.0</v>
      </c>
      <c r="B829" s="77">
        <f t="shared" si="1"/>
        <v>6</v>
      </c>
      <c r="C829" s="78">
        <f t="shared" si="2"/>
        <v>2006</v>
      </c>
      <c r="D829" s="77">
        <v>2.796</v>
      </c>
      <c r="E829" s="4">
        <f t="shared" si="3"/>
        <v>2.80825</v>
      </c>
      <c r="F829" s="2">
        <f t="shared" si="4"/>
        <v>38869</v>
      </c>
    </row>
    <row r="830" ht="12.75" customHeight="1">
      <c r="A830" s="2">
        <v>38901.0</v>
      </c>
      <c r="B830" s="77">
        <f t="shared" si="1"/>
        <v>7</v>
      </c>
      <c r="C830" s="78">
        <f t="shared" si="2"/>
        <v>2006</v>
      </c>
      <c r="D830" s="77">
        <v>2.873</v>
      </c>
      <c r="E830" s="4">
        <f t="shared" si="3"/>
        <v>2.9232</v>
      </c>
      <c r="F830" s="2">
        <f t="shared" si="4"/>
        <v>38899</v>
      </c>
    </row>
    <row r="831" ht="12.75" customHeight="1">
      <c r="A831" s="2">
        <v>38908.0</v>
      </c>
      <c r="B831" s="77">
        <f t="shared" si="1"/>
        <v>7</v>
      </c>
      <c r="C831" s="78">
        <f t="shared" si="2"/>
        <v>2006</v>
      </c>
      <c r="D831" s="77">
        <v>2.91</v>
      </c>
      <c r="E831" s="4">
        <f t="shared" si="3"/>
        <v>2.9232</v>
      </c>
      <c r="F831" s="2">
        <f t="shared" si="4"/>
        <v>38899</v>
      </c>
    </row>
    <row r="832" ht="12.75" customHeight="1">
      <c r="A832" s="2">
        <v>38915.0</v>
      </c>
      <c r="B832" s="77">
        <f t="shared" si="1"/>
        <v>7</v>
      </c>
      <c r="C832" s="78">
        <f t="shared" si="2"/>
        <v>2006</v>
      </c>
      <c r="D832" s="77">
        <v>2.928</v>
      </c>
      <c r="E832" s="4">
        <f t="shared" si="3"/>
        <v>2.9232</v>
      </c>
      <c r="F832" s="2">
        <f t="shared" si="4"/>
        <v>38899</v>
      </c>
    </row>
    <row r="833" ht="12.75" customHeight="1">
      <c r="A833" s="2">
        <v>38922.0</v>
      </c>
      <c r="B833" s="77">
        <f t="shared" si="1"/>
        <v>7</v>
      </c>
      <c r="C833" s="78">
        <f t="shared" si="2"/>
        <v>2006</v>
      </c>
      <c r="D833" s="77">
        <v>2.95</v>
      </c>
      <c r="E833" s="4">
        <f t="shared" si="3"/>
        <v>2.9232</v>
      </c>
      <c r="F833" s="2">
        <f t="shared" si="4"/>
        <v>38899</v>
      </c>
    </row>
    <row r="834" ht="12.75" customHeight="1">
      <c r="A834" s="2">
        <v>38929.0</v>
      </c>
      <c r="B834" s="77">
        <f t="shared" si="1"/>
        <v>7</v>
      </c>
      <c r="C834" s="78">
        <f t="shared" si="2"/>
        <v>2006</v>
      </c>
      <c r="D834" s="77">
        <v>2.955</v>
      </c>
      <c r="E834" s="4">
        <f t="shared" si="3"/>
        <v>2.9232</v>
      </c>
      <c r="F834" s="2">
        <f t="shared" si="4"/>
        <v>38899</v>
      </c>
    </row>
    <row r="835" ht="12.75" customHeight="1">
      <c r="A835" s="2">
        <v>38936.0</v>
      </c>
      <c r="B835" s="77">
        <f t="shared" si="1"/>
        <v>8</v>
      </c>
      <c r="C835" s="78">
        <f t="shared" si="2"/>
        <v>2006</v>
      </c>
      <c r="D835" s="77">
        <v>3.004</v>
      </c>
      <c r="E835" s="4">
        <f t="shared" si="3"/>
        <v>2.90975</v>
      </c>
      <c r="F835" s="2">
        <f t="shared" si="4"/>
        <v>38930</v>
      </c>
    </row>
    <row r="836" ht="12.75" customHeight="1">
      <c r="A836" s="2">
        <v>38943.0</v>
      </c>
      <c r="B836" s="77">
        <f t="shared" si="1"/>
        <v>8</v>
      </c>
      <c r="C836" s="78">
        <f t="shared" si="2"/>
        <v>2006</v>
      </c>
      <c r="D836" s="77">
        <v>2.958</v>
      </c>
      <c r="E836" s="4">
        <f t="shared" si="3"/>
        <v>2.90975</v>
      </c>
      <c r="F836" s="2">
        <f t="shared" si="4"/>
        <v>38930</v>
      </c>
    </row>
    <row r="837" ht="12.75" customHeight="1">
      <c r="A837" s="2">
        <v>38950.0</v>
      </c>
      <c r="B837" s="77">
        <f t="shared" si="1"/>
        <v>8</v>
      </c>
      <c r="C837" s="78">
        <f t="shared" si="2"/>
        <v>2006</v>
      </c>
      <c r="D837" s="77">
        <v>2.877</v>
      </c>
      <c r="E837" s="4">
        <f t="shared" si="3"/>
        <v>2.90975</v>
      </c>
      <c r="F837" s="2">
        <f t="shared" si="4"/>
        <v>38930</v>
      </c>
    </row>
    <row r="838" ht="12.75" customHeight="1">
      <c r="A838" s="2">
        <v>38957.0</v>
      </c>
      <c r="B838" s="77">
        <f t="shared" si="1"/>
        <v>8</v>
      </c>
      <c r="C838" s="78">
        <f t="shared" si="2"/>
        <v>2006</v>
      </c>
      <c r="D838" s="77">
        <v>2.8</v>
      </c>
      <c r="E838" s="4">
        <f t="shared" si="3"/>
        <v>2.90975</v>
      </c>
      <c r="F838" s="2">
        <f t="shared" si="4"/>
        <v>38930</v>
      </c>
    </row>
    <row r="839" ht="12.75" customHeight="1">
      <c r="A839" s="2">
        <v>38964.0</v>
      </c>
      <c r="B839" s="77">
        <f t="shared" si="1"/>
        <v>9</v>
      </c>
      <c r="C839" s="78">
        <f t="shared" si="2"/>
        <v>2006</v>
      </c>
      <c r="D839" s="77">
        <v>2.68</v>
      </c>
      <c r="E839" s="4">
        <f t="shared" si="3"/>
        <v>2.501</v>
      </c>
      <c r="F839" s="2">
        <f t="shared" si="4"/>
        <v>38961</v>
      </c>
    </row>
    <row r="840" ht="12.75" customHeight="1">
      <c r="A840" s="2">
        <v>38971.0</v>
      </c>
      <c r="B840" s="77">
        <f t="shared" si="1"/>
        <v>9</v>
      </c>
      <c r="C840" s="78">
        <f t="shared" si="2"/>
        <v>2006</v>
      </c>
      <c r="D840" s="77">
        <v>2.563</v>
      </c>
      <c r="E840" s="4">
        <f t="shared" si="3"/>
        <v>2.501</v>
      </c>
      <c r="F840" s="2">
        <f t="shared" si="4"/>
        <v>38961</v>
      </c>
    </row>
    <row r="841" ht="12.75" customHeight="1">
      <c r="A841" s="2">
        <v>38978.0</v>
      </c>
      <c r="B841" s="77">
        <f t="shared" si="1"/>
        <v>9</v>
      </c>
      <c r="C841" s="78">
        <f t="shared" si="2"/>
        <v>2006</v>
      </c>
      <c r="D841" s="77">
        <v>2.441</v>
      </c>
      <c r="E841" s="4">
        <f t="shared" si="3"/>
        <v>2.501</v>
      </c>
      <c r="F841" s="2">
        <f t="shared" si="4"/>
        <v>38961</v>
      </c>
    </row>
    <row r="842" ht="12.75" customHeight="1">
      <c r="A842" s="2">
        <v>38985.0</v>
      </c>
      <c r="B842" s="77">
        <f t="shared" si="1"/>
        <v>9</v>
      </c>
      <c r="C842" s="78">
        <f t="shared" si="2"/>
        <v>2006</v>
      </c>
      <c r="D842" s="77">
        <v>2.32</v>
      </c>
      <c r="E842" s="4">
        <f t="shared" si="3"/>
        <v>2.501</v>
      </c>
      <c r="F842" s="2">
        <f t="shared" si="4"/>
        <v>38961</v>
      </c>
    </row>
    <row r="843" ht="12.75" customHeight="1">
      <c r="A843" s="2">
        <v>38992.0</v>
      </c>
      <c r="B843" s="77">
        <f t="shared" si="1"/>
        <v>10</v>
      </c>
      <c r="C843" s="78">
        <f t="shared" si="2"/>
        <v>2006</v>
      </c>
      <c r="D843" s="77">
        <v>2.263</v>
      </c>
      <c r="E843" s="4">
        <f t="shared" si="3"/>
        <v>2.214</v>
      </c>
      <c r="F843" s="2">
        <f t="shared" si="4"/>
        <v>38991</v>
      </c>
    </row>
    <row r="844" ht="12.75" customHeight="1">
      <c r="A844" s="2">
        <v>38999.0</v>
      </c>
      <c r="B844" s="77">
        <f t="shared" si="1"/>
        <v>10</v>
      </c>
      <c r="C844" s="78">
        <f t="shared" si="2"/>
        <v>2006</v>
      </c>
      <c r="D844" s="77">
        <v>2.222</v>
      </c>
      <c r="E844" s="4">
        <f t="shared" si="3"/>
        <v>2.214</v>
      </c>
      <c r="F844" s="2">
        <f t="shared" si="4"/>
        <v>38991</v>
      </c>
    </row>
    <row r="845" ht="12.75" customHeight="1">
      <c r="A845" s="2">
        <v>39006.0</v>
      </c>
      <c r="B845" s="77">
        <f t="shared" si="1"/>
        <v>10</v>
      </c>
      <c r="C845" s="78">
        <f t="shared" si="2"/>
        <v>2006</v>
      </c>
      <c r="D845" s="77">
        <v>2.195</v>
      </c>
      <c r="E845" s="4">
        <f t="shared" si="3"/>
        <v>2.214</v>
      </c>
      <c r="F845" s="2">
        <f t="shared" si="4"/>
        <v>38991</v>
      </c>
    </row>
    <row r="846" ht="12.75" customHeight="1">
      <c r="A846" s="2">
        <v>39013.0</v>
      </c>
      <c r="B846" s="77">
        <f t="shared" si="1"/>
        <v>10</v>
      </c>
      <c r="C846" s="78">
        <f t="shared" si="2"/>
        <v>2006</v>
      </c>
      <c r="D846" s="77">
        <v>2.186</v>
      </c>
      <c r="E846" s="4">
        <f t="shared" si="3"/>
        <v>2.214</v>
      </c>
      <c r="F846" s="2">
        <f t="shared" si="4"/>
        <v>38991</v>
      </c>
    </row>
    <row r="847" ht="12.75" customHeight="1">
      <c r="A847" s="2">
        <v>39020.0</v>
      </c>
      <c r="B847" s="77">
        <f t="shared" si="1"/>
        <v>10</v>
      </c>
      <c r="C847" s="78">
        <f t="shared" si="2"/>
        <v>2006</v>
      </c>
      <c r="D847" s="77">
        <v>2.204</v>
      </c>
      <c r="E847" s="4">
        <f t="shared" si="3"/>
        <v>2.214</v>
      </c>
      <c r="F847" s="2">
        <f t="shared" si="4"/>
        <v>38991</v>
      </c>
    </row>
    <row r="848" ht="12.75" customHeight="1">
      <c r="A848" s="2">
        <v>39027.0</v>
      </c>
      <c r="B848" s="77">
        <f t="shared" si="1"/>
        <v>11</v>
      </c>
      <c r="C848" s="78">
        <f t="shared" si="2"/>
        <v>2006</v>
      </c>
      <c r="D848" s="77">
        <v>2.189</v>
      </c>
      <c r="E848" s="4">
        <f t="shared" si="3"/>
        <v>2.211</v>
      </c>
      <c r="F848" s="2">
        <f t="shared" si="4"/>
        <v>39022</v>
      </c>
    </row>
    <row r="849" ht="12.75" customHeight="1">
      <c r="A849" s="2">
        <v>39034.0</v>
      </c>
      <c r="B849" s="77">
        <f t="shared" si="1"/>
        <v>11</v>
      </c>
      <c r="C849" s="78">
        <f t="shared" si="2"/>
        <v>2006</v>
      </c>
      <c r="D849" s="77">
        <v>2.216</v>
      </c>
      <c r="E849" s="4">
        <f t="shared" si="3"/>
        <v>2.211</v>
      </c>
      <c r="F849" s="2">
        <f t="shared" si="4"/>
        <v>39022</v>
      </c>
    </row>
    <row r="850" ht="12.75" customHeight="1">
      <c r="A850" s="2">
        <v>39041.0</v>
      </c>
      <c r="B850" s="77">
        <f t="shared" si="1"/>
        <v>11</v>
      </c>
      <c r="C850" s="78">
        <f t="shared" si="2"/>
        <v>2006</v>
      </c>
      <c r="D850" s="77">
        <v>2.218</v>
      </c>
      <c r="E850" s="4">
        <f t="shared" si="3"/>
        <v>2.211</v>
      </c>
      <c r="F850" s="2">
        <f t="shared" si="4"/>
        <v>39022</v>
      </c>
    </row>
    <row r="851" ht="12.75" customHeight="1">
      <c r="A851" s="2">
        <v>39048.0</v>
      </c>
      <c r="B851" s="77">
        <f t="shared" si="1"/>
        <v>11</v>
      </c>
      <c r="C851" s="78">
        <f t="shared" si="2"/>
        <v>2006</v>
      </c>
      <c r="D851" s="77">
        <v>2.221</v>
      </c>
      <c r="E851" s="4">
        <f t="shared" si="3"/>
        <v>2.211</v>
      </c>
      <c r="F851" s="2">
        <f t="shared" si="4"/>
        <v>39022</v>
      </c>
    </row>
    <row r="852" ht="12.75" customHeight="1">
      <c r="A852" s="2">
        <v>39055.0</v>
      </c>
      <c r="B852" s="77">
        <f t="shared" si="1"/>
        <v>12</v>
      </c>
      <c r="C852" s="78">
        <f t="shared" si="2"/>
        <v>2006</v>
      </c>
      <c r="D852" s="77">
        <v>2.277</v>
      </c>
      <c r="E852" s="4">
        <f t="shared" si="3"/>
        <v>2.28425</v>
      </c>
      <c r="F852" s="2">
        <f t="shared" si="4"/>
        <v>39052</v>
      </c>
    </row>
    <row r="853" ht="12.75" customHeight="1">
      <c r="A853" s="2">
        <v>39062.0</v>
      </c>
      <c r="B853" s="77">
        <f t="shared" si="1"/>
        <v>12</v>
      </c>
      <c r="C853" s="78">
        <f t="shared" si="2"/>
        <v>2006</v>
      </c>
      <c r="D853" s="77">
        <v>2.267</v>
      </c>
      <c r="E853" s="4">
        <f t="shared" si="3"/>
        <v>2.28425</v>
      </c>
      <c r="F853" s="2">
        <f t="shared" si="4"/>
        <v>39052</v>
      </c>
    </row>
    <row r="854" ht="12.75" customHeight="1">
      <c r="A854" s="2">
        <v>39069.0</v>
      </c>
      <c r="B854" s="77">
        <f t="shared" si="1"/>
        <v>12</v>
      </c>
      <c r="C854" s="78">
        <f t="shared" si="2"/>
        <v>2006</v>
      </c>
      <c r="D854" s="77">
        <v>2.29</v>
      </c>
      <c r="E854" s="4">
        <f t="shared" si="3"/>
        <v>2.28425</v>
      </c>
      <c r="F854" s="2">
        <f t="shared" si="4"/>
        <v>39052</v>
      </c>
    </row>
    <row r="855" ht="12.75" customHeight="1">
      <c r="A855" s="2">
        <v>39076.0</v>
      </c>
      <c r="B855" s="77">
        <f t="shared" si="1"/>
        <v>12</v>
      </c>
      <c r="C855" s="78">
        <f t="shared" si="2"/>
        <v>2006</v>
      </c>
      <c r="D855" s="77">
        <v>2.303</v>
      </c>
      <c r="E855" s="4">
        <f t="shared" si="3"/>
        <v>2.28425</v>
      </c>
      <c r="F855" s="2">
        <f t="shared" si="4"/>
        <v>39052</v>
      </c>
    </row>
    <row r="856" ht="12.75" customHeight="1">
      <c r="A856" s="2">
        <v>39083.0</v>
      </c>
      <c r="B856" s="77">
        <f t="shared" si="1"/>
        <v>1</v>
      </c>
      <c r="C856" s="78">
        <f t="shared" si="2"/>
        <v>2007</v>
      </c>
      <c r="D856" s="77">
        <v>2.296</v>
      </c>
      <c r="E856" s="4">
        <f t="shared" si="3"/>
        <v>2.1906</v>
      </c>
      <c r="F856" s="2">
        <f t="shared" si="4"/>
        <v>39083</v>
      </c>
    </row>
    <row r="857" ht="12.75" customHeight="1">
      <c r="A857" s="2">
        <v>39090.0</v>
      </c>
      <c r="B857" s="77">
        <f t="shared" si="1"/>
        <v>1</v>
      </c>
      <c r="C857" s="78">
        <f t="shared" si="2"/>
        <v>2007</v>
      </c>
      <c r="D857" s="77">
        <v>2.258</v>
      </c>
      <c r="E857" s="4">
        <f t="shared" si="3"/>
        <v>2.1906</v>
      </c>
      <c r="F857" s="2">
        <f t="shared" si="4"/>
        <v>39083</v>
      </c>
    </row>
    <row r="858" ht="12.75" customHeight="1">
      <c r="A858" s="2">
        <v>39097.0</v>
      </c>
      <c r="B858" s="77">
        <f t="shared" si="1"/>
        <v>1</v>
      </c>
      <c r="C858" s="78">
        <f t="shared" si="2"/>
        <v>2007</v>
      </c>
      <c r="D858" s="77">
        <v>2.173</v>
      </c>
      <c r="E858" s="4">
        <f t="shared" si="3"/>
        <v>2.1906</v>
      </c>
      <c r="F858" s="2">
        <f t="shared" si="4"/>
        <v>39083</v>
      </c>
    </row>
    <row r="859" ht="12.75" customHeight="1">
      <c r="A859" s="2">
        <v>39104.0</v>
      </c>
      <c r="B859" s="77">
        <f t="shared" si="1"/>
        <v>1</v>
      </c>
      <c r="C859" s="78">
        <f t="shared" si="2"/>
        <v>2007</v>
      </c>
      <c r="D859" s="77">
        <v>2.107</v>
      </c>
      <c r="E859" s="4">
        <f t="shared" si="3"/>
        <v>2.1906</v>
      </c>
      <c r="F859" s="2">
        <f t="shared" si="4"/>
        <v>39083</v>
      </c>
    </row>
    <row r="860" ht="12.75" customHeight="1">
      <c r="A860" s="2">
        <v>39111.0</v>
      </c>
      <c r="B860" s="77">
        <f t="shared" si="1"/>
        <v>1</v>
      </c>
      <c r="C860" s="78">
        <f t="shared" si="2"/>
        <v>2007</v>
      </c>
      <c r="D860" s="77">
        <v>2.119</v>
      </c>
      <c r="E860" s="4">
        <f t="shared" si="3"/>
        <v>2.1906</v>
      </c>
      <c r="F860" s="2">
        <f t="shared" si="4"/>
        <v>39083</v>
      </c>
    </row>
    <row r="861" ht="12.75" customHeight="1">
      <c r="A861" s="2">
        <v>39118.0</v>
      </c>
      <c r="B861" s="77">
        <f t="shared" si="1"/>
        <v>2</v>
      </c>
      <c r="C861" s="78">
        <f t="shared" si="2"/>
        <v>2007</v>
      </c>
      <c r="D861" s="77">
        <v>2.151</v>
      </c>
      <c r="E861" s="4">
        <f t="shared" si="3"/>
        <v>2.2345</v>
      </c>
      <c r="F861" s="2">
        <f t="shared" si="4"/>
        <v>39114</v>
      </c>
    </row>
    <row r="862" ht="12.75" customHeight="1">
      <c r="A862" s="2">
        <v>39125.0</v>
      </c>
      <c r="B862" s="77">
        <f t="shared" si="1"/>
        <v>2</v>
      </c>
      <c r="C862" s="78">
        <f t="shared" si="2"/>
        <v>2007</v>
      </c>
      <c r="D862" s="77">
        <v>2.198</v>
      </c>
      <c r="E862" s="4">
        <f t="shared" si="3"/>
        <v>2.2345</v>
      </c>
      <c r="F862" s="2">
        <f t="shared" si="4"/>
        <v>39114</v>
      </c>
    </row>
    <row r="863" ht="12.75" customHeight="1">
      <c r="A863" s="2">
        <v>39132.0</v>
      </c>
      <c r="B863" s="77">
        <f t="shared" si="1"/>
        <v>2</v>
      </c>
      <c r="C863" s="78">
        <f t="shared" si="2"/>
        <v>2007</v>
      </c>
      <c r="D863" s="77">
        <v>2.251</v>
      </c>
      <c r="E863" s="4">
        <f t="shared" si="3"/>
        <v>2.2345</v>
      </c>
      <c r="F863" s="2">
        <f t="shared" si="4"/>
        <v>39114</v>
      </c>
    </row>
    <row r="864" ht="12.75" customHeight="1">
      <c r="A864" s="2">
        <v>39139.0</v>
      </c>
      <c r="B864" s="77">
        <f t="shared" si="1"/>
        <v>2</v>
      </c>
      <c r="C864" s="78">
        <f t="shared" si="2"/>
        <v>2007</v>
      </c>
      <c r="D864" s="77">
        <v>2.338</v>
      </c>
      <c r="E864" s="4">
        <f t="shared" si="3"/>
        <v>2.2345</v>
      </c>
      <c r="F864" s="2">
        <f t="shared" si="4"/>
        <v>39114</v>
      </c>
    </row>
    <row r="865" ht="12.75" customHeight="1">
      <c r="A865" s="2">
        <v>39146.0</v>
      </c>
      <c r="B865" s="77">
        <f t="shared" si="1"/>
        <v>3</v>
      </c>
      <c r="C865" s="78">
        <f t="shared" si="2"/>
        <v>2007</v>
      </c>
      <c r="D865" s="77">
        <v>2.46</v>
      </c>
      <c r="E865" s="4">
        <f t="shared" si="3"/>
        <v>2.5025</v>
      </c>
      <c r="F865" s="2">
        <f t="shared" si="4"/>
        <v>39142</v>
      </c>
    </row>
    <row r="866" ht="12.75" customHeight="1">
      <c r="A866" s="2">
        <v>39153.0</v>
      </c>
      <c r="B866" s="77">
        <f t="shared" si="1"/>
        <v>3</v>
      </c>
      <c r="C866" s="78">
        <f t="shared" si="2"/>
        <v>2007</v>
      </c>
      <c r="D866" s="77">
        <v>2.499</v>
      </c>
      <c r="E866" s="4">
        <f t="shared" si="3"/>
        <v>2.5025</v>
      </c>
      <c r="F866" s="2">
        <f t="shared" si="4"/>
        <v>39142</v>
      </c>
    </row>
    <row r="867" ht="12.75" customHeight="1">
      <c r="A867" s="2">
        <v>39160.0</v>
      </c>
      <c r="B867" s="77">
        <f t="shared" si="1"/>
        <v>3</v>
      </c>
      <c r="C867" s="78">
        <f t="shared" si="2"/>
        <v>2007</v>
      </c>
      <c r="D867" s="77">
        <v>2.511</v>
      </c>
      <c r="E867" s="4">
        <f t="shared" si="3"/>
        <v>2.5025</v>
      </c>
      <c r="F867" s="2">
        <f t="shared" si="4"/>
        <v>39142</v>
      </c>
    </row>
    <row r="868" ht="12.75" customHeight="1">
      <c r="A868" s="2">
        <v>39167.0</v>
      </c>
      <c r="B868" s="77">
        <f t="shared" si="1"/>
        <v>3</v>
      </c>
      <c r="C868" s="78">
        <f t="shared" si="2"/>
        <v>2007</v>
      </c>
      <c r="D868" s="77">
        <v>2.54</v>
      </c>
      <c r="E868" s="4">
        <f t="shared" si="3"/>
        <v>2.5025</v>
      </c>
      <c r="F868" s="2">
        <f t="shared" si="4"/>
        <v>39142</v>
      </c>
    </row>
    <row r="869" ht="12.75" customHeight="1">
      <c r="A869" s="2">
        <v>39174.0</v>
      </c>
      <c r="B869" s="77">
        <f t="shared" si="1"/>
        <v>4</v>
      </c>
      <c r="C869" s="78">
        <f t="shared" si="2"/>
        <v>2007</v>
      </c>
      <c r="D869" s="77">
        <v>2.636</v>
      </c>
      <c r="E869" s="4">
        <f t="shared" si="3"/>
        <v>2.7874</v>
      </c>
      <c r="F869" s="2">
        <f t="shared" si="4"/>
        <v>39173</v>
      </c>
    </row>
    <row r="870" ht="12.75" customHeight="1">
      <c r="A870" s="2">
        <v>39181.0</v>
      </c>
      <c r="B870" s="77">
        <f t="shared" si="1"/>
        <v>4</v>
      </c>
      <c r="C870" s="78">
        <f t="shared" si="2"/>
        <v>2007</v>
      </c>
      <c r="D870" s="77">
        <v>2.746</v>
      </c>
      <c r="E870" s="4">
        <f t="shared" si="3"/>
        <v>2.7874</v>
      </c>
      <c r="F870" s="2">
        <f t="shared" si="4"/>
        <v>39173</v>
      </c>
    </row>
    <row r="871" ht="12.75" customHeight="1">
      <c r="A871" s="2">
        <v>39188.0</v>
      </c>
      <c r="B871" s="77">
        <f t="shared" si="1"/>
        <v>4</v>
      </c>
      <c r="C871" s="78">
        <f t="shared" si="2"/>
        <v>2007</v>
      </c>
      <c r="D871" s="77">
        <v>2.822</v>
      </c>
      <c r="E871" s="4">
        <f t="shared" si="3"/>
        <v>2.7874</v>
      </c>
      <c r="F871" s="2">
        <f t="shared" si="4"/>
        <v>39173</v>
      </c>
    </row>
    <row r="872" ht="12.75" customHeight="1">
      <c r="A872" s="2">
        <v>39195.0</v>
      </c>
      <c r="B872" s="77">
        <f t="shared" si="1"/>
        <v>4</v>
      </c>
      <c r="C872" s="78">
        <f t="shared" si="2"/>
        <v>2007</v>
      </c>
      <c r="D872" s="77">
        <v>2.811</v>
      </c>
      <c r="E872" s="4">
        <f t="shared" si="3"/>
        <v>2.7874</v>
      </c>
      <c r="F872" s="2">
        <f t="shared" si="4"/>
        <v>39173</v>
      </c>
    </row>
    <row r="873" ht="12.75" customHeight="1">
      <c r="A873" s="2">
        <v>39202.0</v>
      </c>
      <c r="B873" s="77">
        <f t="shared" si="1"/>
        <v>4</v>
      </c>
      <c r="C873" s="78">
        <f t="shared" si="2"/>
        <v>2007</v>
      </c>
      <c r="D873" s="77">
        <v>2.922</v>
      </c>
      <c r="E873" s="4">
        <f t="shared" si="3"/>
        <v>2.7874</v>
      </c>
      <c r="F873" s="2">
        <f t="shared" si="4"/>
        <v>39173</v>
      </c>
    </row>
    <row r="874" ht="12.75" customHeight="1">
      <c r="A874" s="2">
        <v>39209.0</v>
      </c>
      <c r="B874" s="77">
        <f t="shared" si="1"/>
        <v>5</v>
      </c>
      <c r="C874" s="78">
        <f t="shared" si="2"/>
        <v>2007</v>
      </c>
      <c r="D874" s="77">
        <v>3.002</v>
      </c>
      <c r="E874" s="4">
        <f t="shared" si="3"/>
        <v>3.11925</v>
      </c>
      <c r="F874" s="2">
        <f t="shared" si="4"/>
        <v>39203</v>
      </c>
    </row>
    <row r="875" ht="12.75" customHeight="1">
      <c r="A875" s="2">
        <v>39216.0</v>
      </c>
      <c r="B875" s="77">
        <f t="shared" si="1"/>
        <v>5</v>
      </c>
      <c r="C875" s="78">
        <f t="shared" si="2"/>
        <v>2007</v>
      </c>
      <c r="D875" s="77">
        <v>3.069</v>
      </c>
      <c r="E875" s="4">
        <f t="shared" si="3"/>
        <v>3.11925</v>
      </c>
      <c r="F875" s="2">
        <f t="shared" si="4"/>
        <v>39203</v>
      </c>
    </row>
    <row r="876" ht="12.75" customHeight="1">
      <c r="A876" s="2">
        <v>39223.0</v>
      </c>
      <c r="B876" s="77">
        <f t="shared" si="1"/>
        <v>5</v>
      </c>
      <c r="C876" s="78">
        <f t="shared" si="2"/>
        <v>2007</v>
      </c>
      <c r="D876" s="77">
        <v>3.211</v>
      </c>
      <c r="E876" s="4">
        <f t="shared" si="3"/>
        <v>3.11925</v>
      </c>
      <c r="F876" s="2">
        <f t="shared" si="4"/>
        <v>39203</v>
      </c>
    </row>
    <row r="877" ht="12.75" customHeight="1">
      <c r="A877" s="2">
        <v>39230.0</v>
      </c>
      <c r="B877" s="77">
        <f t="shared" si="1"/>
        <v>5</v>
      </c>
      <c r="C877" s="78">
        <f t="shared" si="2"/>
        <v>2007</v>
      </c>
      <c r="D877" s="77">
        <v>3.195</v>
      </c>
      <c r="E877" s="4">
        <f t="shared" si="3"/>
        <v>3.11925</v>
      </c>
      <c r="F877" s="2">
        <f t="shared" si="4"/>
        <v>39203</v>
      </c>
    </row>
    <row r="878" ht="12.75" customHeight="1">
      <c r="A878" s="2">
        <v>39237.0</v>
      </c>
      <c r="B878" s="77">
        <f t="shared" si="1"/>
        <v>6</v>
      </c>
      <c r="C878" s="78">
        <f t="shared" si="2"/>
        <v>2007</v>
      </c>
      <c r="D878" s="77">
        <v>3.132</v>
      </c>
      <c r="E878" s="4">
        <f t="shared" si="3"/>
        <v>3.02425</v>
      </c>
      <c r="F878" s="2">
        <f t="shared" si="4"/>
        <v>39234</v>
      </c>
    </row>
    <row r="879" ht="12.75" customHeight="1">
      <c r="A879" s="2">
        <v>39244.0</v>
      </c>
      <c r="B879" s="77">
        <f t="shared" si="1"/>
        <v>6</v>
      </c>
      <c r="C879" s="78">
        <f t="shared" si="2"/>
        <v>2007</v>
      </c>
      <c r="D879" s="77">
        <v>3.04</v>
      </c>
      <c r="E879" s="4">
        <f t="shared" si="3"/>
        <v>3.02425</v>
      </c>
      <c r="F879" s="2">
        <f t="shared" si="4"/>
        <v>39234</v>
      </c>
    </row>
    <row r="880" ht="12.75" customHeight="1">
      <c r="A880" s="2">
        <v>39251.0</v>
      </c>
      <c r="B880" s="77">
        <f t="shared" si="1"/>
        <v>6</v>
      </c>
      <c r="C880" s="78">
        <f t="shared" si="2"/>
        <v>2007</v>
      </c>
      <c r="D880" s="77">
        <v>2.974</v>
      </c>
      <c r="E880" s="4">
        <f t="shared" si="3"/>
        <v>3.02425</v>
      </c>
      <c r="F880" s="2">
        <f t="shared" si="4"/>
        <v>39234</v>
      </c>
    </row>
    <row r="881" ht="12.75" customHeight="1">
      <c r="A881" s="2">
        <v>39258.0</v>
      </c>
      <c r="B881" s="77">
        <f t="shared" si="1"/>
        <v>6</v>
      </c>
      <c r="C881" s="78">
        <f t="shared" si="2"/>
        <v>2007</v>
      </c>
      <c r="D881" s="77">
        <v>2.951</v>
      </c>
      <c r="E881" s="4">
        <f t="shared" si="3"/>
        <v>3.02425</v>
      </c>
      <c r="F881" s="2">
        <f t="shared" si="4"/>
        <v>39234</v>
      </c>
    </row>
    <row r="882" ht="12.75" customHeight="1">
      <c r="A882" s="2">
        <v>39265.0</v>
      </c>
      <c r="B882" s="77">
        <f t="shared" si="1"/>
        <v>7</v>
      </c>
      <c r="C882" s="78">
        <f t="shared" si="2"/>
        <v>2007</v>
      </c>
      <c r="D882" s="77">
        <v>2.933</v>
      </c>
      <c r="E882" s="4">
        <f t="shared" si="3"/>
        <v>2.9474</v>
      </c>
      <c r="F882" s="2">
        <f t="shared" si="4"/>
        <v>39264</v>
      </c>
    </row>
    <row r="883" ht="12.75" customHeight="1">
      <c r="A883" s="2">
        <v>39272.0</v>
      </c>
      <c r="B883" s="77">
        <f t="shared" si="1"/>
        <v>7</v>
      </c>
      <c r="C883" s="78">
        <f t="shared" si="2"/>
        <v>2007</v>
      </c>
      <c r="D883" s="77">
        <v>2.971</v>
      </c>
      <c r="E883" s="4">
        <f t="shared" si="3"/>
        <v>2.9474</v>
      </c>
      <c r="F883" s="2">
        <f t="shared" si="4"/>
        <v>39264</v>
      </c>
    </row>
    <row r="884" ht="12.75" customHeight="1">
      <c r="A884" s="2">
        <v>39279.0</v>
      </c>
      <c r="B884" s="77">
        <f t="shared" si="1"/>
        <v>7</v>
      </c>
      <c r="C884" s="78">
        <f t="shared" si="2"/>
        <v>2007</v>
      </c>
      <c r="D884" s="77">
        <v>3.046</v>
      </c>
      <c r="E884" s="4">
        <f t="shared" si="3"/>
        <v>2.9474</v>
      </c>
      <c r="F884" s="2">
        <f t="shared" si="4"/>
        <v>39264</v>
      </c>
    </row>
    <row r="885" ht="12.75" customHeight="1">
      <c r="A885" s="2">
        <v>39286.0</v>
      </c>
      <c r="B885" s="77">
        <f t="shared" si="1"/>
        <v>7</v>
      </c>
      <c r="C885" s="78">
        <f t="shared" si="2"/>
        <v>2007</v>
      </c>
      <c r="D885" s="77">
        <v>2.938</v>
      </c>
      <c r="E885" s="4">
        <f t="shared" si="3"/>
        <v>2.9474</v>
      </c>
      <c r="F885" s="2">
        <f t="shared" si="4"/>
        <v>39264</v>
      </c>
    </row>
    <row r="886" ht="12.75" customHeight="1">
      <c r="A886" s="2">
        <v>39293.0</v>
      </c>
      <c r="B886" s="77">
        <f t="shared" si="1"/>
        <v>7</v>
      </c>
      <c r="C886" s="78">
        <f t="shared" si="2"/>
        <v>2007</v>
      </c>
      <c r="D886" s="77">
        <v>2.849</v>
      </c>
      <c r="E886" s="4">
        <f t="shared" si="3"/>
        <v>2.9474</v>
      </c>
      <c r="F886" s="2">
        <f t="shared" si="4"/>
        <v>39264</v>
      </c>
    </row>
    <row r="887" ht="12.75" customHeight="1">
      <c r="A887" s="2">
        <v>39300.0</v>
      </c>
      <c r="B887" s="77">
        <f t="shared" si="1"/>
        <v>8</v>
      </c>
      <c r="C887" s="78">
        <f t="shared" si="2"/>
        <v>2007</v>
      </c>
      <c r="D887" s="77">
        <v>2.816</v>
      </c>
      <c r="E887" s="4">
        <f t="shared" si="3"/>
        <v>2.77675</v>
      </c>
      <c r="F887" s="2">
        <f t="shared" si="4"/>
        <v>39295</v>
      </c>
    </row>
    <row r="888" ht="12.75" customHeight="1">
      <c r="A888" s="2">
        <v>39307.0</v>
      </c>
      <c r="B888" s="77">
        <f t="shared" si="1"/>
        <v>8</v>
      </c>
      <c r="C888" s="78">
        <f t="shared" si="2"/>
        <v>2007</v>
      </c>
      <c r="D888" s="77">
        <v>2.752</v>
      </c>
      <c r="E888" s="4">
        <f t="shared" si="3"/>
        <v>2.77675</v>
      </c>
      <c r="F888" s="2">
        <f t="shared" si="4"/>
        <v>39295</v>
      </c>
    </row>
    <row r="889" ht="12.75" customHeight="1">
      <c r="A889" s="2">
        <v>39314.0</v>
      </c>
      <c r="B889" s="77">
        <f t="shared" si="1"/>
        <v>8</v>
      </c>
      <c r="C889" s="78">
        <f t="shared" si="2"/>
        <v>2007</v>
      </c>
      <c r="D889" s="77">
        <v>2.783</v>
      </c>
      <c r="E889" s="4">
        <f t="shared" si="3"/>
        <v>2.77675</v>
      </c>
      <c r="F889" s="2">
        <f t="shared" si="4"/>
        <v>39295</v>
      </c>
    </row>
    <row r="890" ht="12.75" customHeight="1">
      <c r="A890" s="2">
        <v>39321.0</v>
      </c>
      <c r="B890" s="77">
        <f t="shared" si="1"/>
        <v>8</v>
      </c>
      <c r="C890" s="78">
        <f t="shared" si="2"/>
        <v>2007</v>
      </c>
      <c r="D890" s="77">
        <v>2.756</v>
      </c>
      <c r="E890" s="4">
        <f t="shared" si="3"/>
        <v>2.77675</v>
      </c>
      <c r="F890" s="2">
        <f t="shared" si="4"/>
        <v>39295</v>
      </c>
    </row>
    <row r="891" ht="12.75" customHeight="1">
      <c r="A891" s="2">
        <v>39328.0</v>
      </c>
      <c r="B891" s="77">
        <f t="shared" si="1"/>
        <v>9</v>
      </c>
      <c r="C891" s="78">
        <f t="shared" si="2"/>
        <v>2007</v>
      </c>
      <c r="D891" s="77">
        <v>2.818</v>
      </c>
      <c r="E891" s="4">
        <f t="shared" si="3"/>
        <v>2.8165</v>
      </c>
      <c r="F891" s="2">
        <f t="shared" si="4"/>
        <v>39326</v>
      </c>
    </row>
    <row r="892" ht="12.75" customHeight="1">
      <c r="A892" s="2">
        <v>39335.0</v>
      </c>
      <c r="B892" s="77">
        <f t="shared" si="1"/>
        <v>9</v>
      </c>
      <c r="C892" s="78">
        <f t="shared" si="2"/>
        <v>2007</v>
      </c>
      <c r="D892" s="77">
        <v>2.84</v>
      </c>
      <c r="E892" s="4">
        <f t="shared" si="3"/>
        <v>2.8165</v>
      </c>
      <c r="F892" s="2">
        <f t="shared" si="4"/>
        <v>39326</v>
      </c>
    </row>
    <row r="893" ht="12.75" customHeight="1">
      <c r="A893" s="2">
        <v>39342.0</v>
      </c>
      <c r="B893" s="77">
        <f t="shared" si="1"/>
        <v>9</v>
      </c>
      <c r="C893" s="78">
        <f t="shared" si="2"/>
        <v>2007</v>
      </c>
      <c r="D893" s="77">
        <v>2.792</v>
      </c>
      <c r="E893" s="4">
        <f t="shared" si="3"/>
        <v>2.8165</v>
      </c>
      <c r="F893" s="2">
        <f t="shared" si="4"/>
        <v>39326</v>
      </c>
    </row>
    <row r="894" ht="12.75" customHeight="1">
      <c r="A894" s="2">
        <v>39349.0</v>
      </c>
      <c r="B894" s="77">
        <f t="shared" si="1"/>
        <v>9</v>
      </c>
      <c r="C894" s="78">
        <f t="shared" si="2"/>
        <v>2007</v>
      </c>
      <c r="D894" s="77">
        <v>2.816</v>
      </c>
      <c r="E894" s="4">
        <f t="shared" si="3"/>
        <v>2.8165</v>
      </c>
      <c r="F894" s="2">
        <f t="shared" si="4"/>
        <v>39326</v>
      </c>
    </row>
    <row r="895" ht="12.75" customHeight="1">
      <c r="A895" s="2">
        <v>39356.0</v>
      </c>
      <c r="B895" s="77">
        <f t="shared" si="1"/>
        <v>10</v>
      </c>
      <c r="C895" s="78">
        <f t="shared" si="2"/>
        <v>2007</v>
      </c>
      <c r="D895" s="77">
        <v>2.784</v>
      </c>
      <c r="E895" s="4">
        <f t="shared" si="3"/>
        <v>2.7912</v>
      </c>
      <c r="F895" s="2">
        <f t="shared" si="4"/>
        <v>39356</v>
      </c>
    </row>
    <row r="896" ht="12.75" customHeight="1">
      <c r="A896" s="2">
        <v>39363.0</v>
      </c>
      <c r="B896" s="77">
        <f t="shared" si="1"/>
        <v>10</v>
      </c>
      <c r="C896" s="78">
        <f t="shared" si="2"/>
        <v>2007</v>
      </c>
      <c r="D896" s="77">
        <v>2.761</v>
      </c>
      <c r="E896" s="4">
        <f t="shared" si="3"/>
        <v>2.7912</v>
      </c>
      <c r="F896" s="2">
        <f t="shared" si="4"/>
        <v>39356</v>
      </c>
    </row>
    <row r="897" ht="12.75" customHeight="1">
      <c r="A897" s="2">
        <v>39370.0</v>
      </c>
      <c r="B897" s="77">
        <f t="shared" si="1"/>
        <v>10</v>
      </c>
      <c r="C897" s="78">
        <f t="shared" si="2"/>
        <v>2007</v>
      </c>
      <c r="D897" s="77">
        <v>2.746</v>
      </c>
      <c r="E897" s="4">
        <f t="shared" si="3"/>
        <v>2.7912</v>
      </c>
      <c r="F897" s="2">
        <f t="shared" si="4"/>
        <v>39356</v>
      </c>
    </row>
    <row r="898" ht="12.75" customHeight="1">
      <c r="A898" s="2">
        <v>39377.0</v>
      </c>
      <c r="B898" s="77">
        <f t="shared" si="1"/>
        <v>10</v>
      </c>
      <c r="C898" s="78">
        <f t="shared" si="2"/>
        <v>2007</v>
      </c>
      <c r="D898" s="77">
        <v>2.806</v>
      </c>
      <c r="E898" s="4">
        <f t="shared" si="3"/>
        <v>2.7912</v>
      </c>
      <c r="F898" s="2">
        <f t="shared" si="4"/>
        <v>39356</v>
      </c>
    </row>
    <row r="899" ht="12.75" customHeight="1">
      <c r="A899" s="2">
        <v>39384.0</v>
      </c>
      <c r="B899" s="77">
        <f t="shared" si="1"/>
        <v>10</v>
      </c>
      <c r="C899" s="78">
        <f t="shared" si="2"/>
        <v>2007</v>
      </c>
      <c r="D899" s="77">
        <v>2.859</v>
      </c>
      <c r="E899" s="4">
        <f t="shared" si="3"/>
        <v>2.7912</v>
      </c>
      <c r="F899" s="2">
        <f t="shared" si="4"/>
        <v>39356</v>
      </c>
    </row>
    <row r="900" ht="12.75" customHeight="1">
      <c r="A900" s="2">
        <v>39391.0</v>
      </c>
      <c r="B900" s="77">
        <f t="shared" si="1"/>
        <v>11</v>
      </c>
      <c r="C900" s="78">
        <f t="shared" si="2"/>
        <v>2007</v>
      </c>
      <c r="D900" s="77">
        <v>3.007</v>
      </c>
      <c r="E900" s="4">
        <f t="shared" si="3"/>
        <v>3.06425</v>
      </c>
      <c r="F900" s="2">
        <f t="shared" si="4"/>
        <v>39387</v>
      </c>
    </row>
    <row r="901" ht="12.75" customHeight="1">
      <c r="A901" s="2">
        <v>39398.0</v>
      </c>
      <c r="B901" s="77">
        <f t="shared" si="1"/>
        <v>11</v>
      </c>
      <c r="C901" s="78">
        <f t="shared" si="2"/>
        <v>2007</v>
      </c>
      <c r="D901" s="77">
        <v>3.101</v>
      </c>
      <c r="E901" s="4">
        <f t="shared" si="3"/>
        <v>3.06425</v>
      </c>
      <c r="F901" s="2">
        <f t="shared" si="4"/>
        <v>39387</v>
      </c>
    </row>
    <row r="902" ht="12.75" customHeight="1">
      <c r="A902" s="2">
        <v>39405.0</v>
      </c>
      <c r="B902" s="77">
        <f t="shared" si="1"/>
        <v>11</v>
      </c>
      <c r="C902" s="78">
        <f t="shared" si="2"/>
        <v>2007</v>
      </c>
      <c r="D902" s="77">
        <v>3.077</v>
      </c>
      <c r="E902" s="4">
        <f t="shared" si="3"/>
        <v>3.06425</v>
      </c>
      <c r="F902" s="2">
        <f t="shared" si="4"/>
        <v>39387</v>
      </c>
    </row>
    <row r="903" ht="12.75" customHeight="1">
      <c r="A903" s="2">
        <v>39412.0</v>
      </c>
      <c r="B903" s="77">
        <f t="shared" si="1"/>
        <v>11</v>
      </c>
      <c r="C903" s="78">
        <f t="shared" si="2"/>
        <v>2007</v>
      </c>
      <c r="D903" s="77">
        <v>3.072</v>
      </c>
      <c r="E903" s="4">
        <f t="shared" si="3"/>
        <v>3.06425</v>
      </c>
      <c r="F903" s="2">
        <f t="shared" si="4"/>
        <v>39387</v>
      </c>
    </row>
    <row r="904" ht="12.75" customHeight="1">
      <c r="A904" s="2">
        <v>39419.0</v>
      </c>
      <c r="B904" s="77">
        <f t="shared" si="1"/>
        <v>12</v>
      </c>
      <c r="C904" s="78">
        <f t="shared" si="2"/>
        <v>2007</v>
      </c>
      <c r="D904" s="77">
        <v>3.029</v>
      </c>
      <c r="E904" s="4">
        <f t="shared" si="3"/>
        <v>2.9838</v>
      </c>
      <c r="F904" s="2">
        <f t="shared" si="4"/>
        <v>39417</v>
      </c>
    </row>
    <row r="905" ht="12.75" customHeight="1">
      <c r="A905" s="2">
        <v>39426.0</v>
      </c>
      <c r="B905" s="77">
        <f t="shared" si="1"/>
        <v>12</v>
      </c>
      <c r="C905" s="78">
        <f t="shared" si="2"/>
        <v>2007</v>
      </c>
      <c r="D905" s="77">
        <v>2.957</v>
      </c>
      <c r="E905" s="4">
        <f t="shared" si="3"/>
        <v>2.9838</v>
      </c>
      <c r="F905" s="2">
        <f t="shared" si="4"/>
        <v>39417</v>
      </c>
    </row>
    <row r="906" ht="12.75" customHeight="1">
      <c r="A906" s="2">
        <v>39433.0</v>
      </c>
      <c r="B906" s="77">
        <f t="shared" si="1"/>
        <v>12</v>
      </c>
      <c r="C906" s="78">
        <f t="shared" si="2"/>
        <v>2007</v>
      </c>
      <c r="D906" s="77">
        <v>2.962</v>
      </c>
      <c r="E906" s="4">
        <f t="shared" si="3"/>
        <v>2.9838</v>
      </c>
      <c r="F906" s="2">
        <f t="shared" si="4"/>
        <v>39417</v>
      </c>
    </row>
    <row r="907" ht="12.75" customHeight="1">
      <c r="A907" s="2">
        <v>39440.0</v>
      </c>
      <c r="B907" s="77">
        <f t="shared" si="1"/>
        <v>12</v>
      </c>
      <c r="C907" s="78">
        <f t="shared" si="2"/>
        <v>2007</v>
      </c>
      <c r="D907" s="77">
        <v>2.943</v>
      </c>
      <c r="E907" s="4">
        <f t="shared" si="3"/>
        <v>2.9838</v>
      </c>
      <c r="F907" s="2">
        <f t="shared" si="4"/>
        <v>39417</v>
      </c>
    </row>
    <row r="908" ht="12.75" customHeight="1">
      <c r="A908" s="2">
        <v>39447.0</v>
      </c>
      <c r="B908" s="77">
        <f t="shared" si="1"/>
        <v>12</v>
      </c>
      <c r="C908" s="78">
        <f t="shared" si="2"/>
        <v>2007</v>
      </c>
      <c r="D908" s="77">
        <v>3.028</v>
      </c>
      <c r="E908" s="4">
        <f t="shared" si="3"/>
        <v>2.9838</v>
      </c>
      <c r="F908" s="2">
        <f t="shared" si="4"/>
        <v>39417</v>
      </c>
    </row>
    <row r="909" ht="12.75" customHeight="1">
      <c r="A909" s="2">
        <v>39454.0</v>
      </c>
      <c r="B909" s="77">
        <f t="shared" si="1"/>
        <v>1</v>
      </c>
      <c r="C909" s="78">
        <f t="shared" si="2"/>
        <v>2008</v>
      </c>
      <c r="D909" s="77">
        <v>3.088</v>
      </c>
      <c r="E909" s="4">
        <f t="shared" si="3"/>
        <v>3.01825</v>
      </c>
      <c r="F909" s="2">
        <f t="shared" si="4"/>
        <v>39448</v>
      </c>
    </row>
    <row r="910" ht="12.75" customHeight="1">
      <c r="A910" s="2">
        <v>39461.0</v>
      </c>
      <c r="B910" s="77">
        <f t="shared" si="1"/>
        <v>1</v>
      </c>
      <c r="C910" s="78">
        <f t="shared" si="2"/>
        <v>2008</v>
      </c>
      <c r="D910" s="77">
        <v>3.041</v>
      </c>
      <c r="E910" s="4">
        <f t="shared" si="3"/>
        <v>3.01825</v>
      </c>
      <c r="F910" s="2">
        <f t="shared" si="4"/>
        <v>39448</v>
      </c>
    </row>
    <row r="911" ht="12.75" customHeight="1">
      <c r="A911" s="2">
        <v>39468.0</v>
      </c>
      <c r="B911" s="77">
        <f t="shared" si="1"/>
        <v>1</v>
      </c>
      <c r="C911" s="78">
        <f t="shared" si="2"/>
        <v>2008</v>
      </c>
      <c r="D911" s="77">
        <v>2.991</v>
      </c>
      <c r="E911" s="4">
        <f t="shared" si="3"/>
        <v>3.01825</v>
      </c>
      <c r="F911" s="2">
        <f t="shared" si="4"/>
        <v>39448</v>
      </c>
    </row>
    <row r="912" ht="12.75" customHeight="1">
      <c r="A912" s="2">
        <v>39475.0</v>
      </c>
      <c r="B912" s="77">
        <f t="shared" si="1"/>
        <v>1</v>
      </c>
      <c r="C912" s="78">
        <f t="shared" si="2"/>
        <v>2008</v>
      </c>
      <c r="D912" s="77">
        <v>2.953</v>
      </c>
      <c r="E912" s="4">
        <f t="shared" si="3"/>
        <v>3.01825</v>
      </c>
      <c r="F912" s="2">
        <f t="shared" si="4"/>
        <v>39448</v>
      </c>
    </row>
    <row r="913" ht="12.75" customHeight="1">
      <c r="A913" s="2">
        <v>39482.0</v>
      </c>
      <c r="B913" s="77">
        <f t="shared" si="1"/>
        <v>2</v>
      </c>
      <c r="C913" s="78">
        <f t="shared" si="2"/>
        <v>2008</v>
      </c>
      <c r="D913" s="77">
        <v>2.966</v>
      </c>
      <c r="E913" s="4">
        <f t="shared" si="3"/>
        <v>3.01575</v>
      </c>
      <c r="F913" s="2">
        <f t="shared" si="4"/>
        <v>39479</v>
      </c>
    </row>
    <row r="914" ht="12.75" customHeight="1">
      <c r="A914" s="2">
        <v>39489.0</v>
      </c>
      <c r="B914" s="77">
        <f t="shared" si="1"/>
        <v>2</v>
      </c>
      <c r="C914" s="78">
        <f t="shared" si="2"/>
        <v>2008</v>
      </c>
      <c r="D914" s="77">
        <v>2.947</v>
      </c>
      <c r="E914" s="4">
        <f t="shared" si="3"/>
        <v>3.01575</v>
      </c>
      <c r="F914" s="2">
        <f t="shared" si="4"/>
        <v>39479</v>
      </c>
    </row>
    <row r="915" ht="12.75" customHeight="1">
      <c r="A915" s="2">
        <v>39496.0</v>
      </c>
      <c r="B915" s="77">
        <f t="shared" si="1"/>
        <v>2</v>
      </c>
      <c r="C915" s="78">
        <f t="shared" si="2"/>
        <v>2008</v>
      </c>
      <c r="D915" s="77">
        <v>3.035</v>
      </c>
      <c r="E915" s="4">
        <f t="shared" si="3"/>
        <v>3.01575</v>
      </c>
      <c r="F915" s="2">
        <f t="shared" si="4"/>
        <v>39479</v>
      </c>
    </row>
    <row r="916" ht="12.75" customHeight="1">
      <c r="A916" s="2">
        <v>39503.0</v>
      </c>
      <c r="B916" s="77">
        <f t="shared" si="1"/>
        <v>2</v>
      </c>
      <c r="C916" s="78">
        <f t="shared" si="2"/>
        <v>2008</v>
      </c>
      <c r="D916" s="77">
        <v>3.115</v>
      </c>
      <c r="E916" s="4">
        <f t="shared" si="3"/>
        <v>3.01575</v>
      </c>
      <c r="F916" s="2">
        <f t="shared" si="4"/>
        <v>39479</v>
      </c>
    </row>
    <row r="917" ht="12.75" customHeight="1">
      <c r="A917" s="2">
        <v>39510.0</v>
      </c>
      <c r="B917" s="77">
        <f t="shared" si="1"/>
        <v>3</v>
      </c>
      <c r="C917" s="78">
        <f t="shared" si="2"/>
        <v>2008</v>
      </c>
      <c r="D917" s="77">
        <v>3.137</v>
      </c>
      <c r="E917" s="4">
        <f t="shared" si="3"/>
        <v>3.2154</v>
      </c>
      <c r="F917" s="2">
        <f t="shared" si="4"/>
        <v>39508</v>
      </c>
    </row>
    <row r="918" ht="12.75" customHeight="1">
      <c r="A918" s="2">
        <v>39517.0</v>
      </c>
      <c r="B918" s="77">
        <f t="shared" si="1"/>
        <v>3</v>
      </c>
      <c r="C918" s="78">
        <f t="shared" si="2"/>
        <v>2008</v>
      </c>
      <c r="D918" s="77">
        <v>3.2</v>
      </c>
      <c r="E918" s="4">
        <f t="shared" si="3"/>
        <v>3.2154</v>
      </c>
      <c r="F918" s="2">
        <f t="shared" si="4"/>
        <v>39508</v>
      </c>
    </row>
    <row r="919" ht="12.75" customHeight="1">
      <c r="A919" s="2">
        <v>39524.0</v>
      </c>
      <c r="B919" s="77">
        <f t="shared" si="1"/>
        <v>3</v>
      </c>
      <c r="C919" s="78">
        <f t="shared" si="2"/>
        <v>2008</v>
      </c>
      <c r="D919" s="77">
        <v>3.257</v>
      </c>
      <c r="E919" s="4">
        <f t="shared" si="3"/>
        <v>3.2154</v>
      </c>
      <c r="F919" s="2">
        <f t="shared" si="4"/>
        <v>39508</v>
      </c>
    </row>
    <row r="920" ht="12.75" customHeight="1">
      <c r="A920" s="2">
        <v>39531.0</v>
      </c>
      <c r="B920" s="77">
        <f t="shared" si="1"/>
        <v>3</v>
      </c>
      <c r="C920" s="78">
        <f t="shared" si="2"/>
        <v>2008</v>
      </c>
      <c r="D920" s="77">
        <v>3.224</v>
      </c>
      <c r="E920" s="4">
        <f t="shared" si="3"/>
        <v>3.2154</v>
      </c>
      <c r="F920" s="2">
        <f t="shared" si="4"/>
        <v>39508</v>
      </c>
    </row>
    <row r="921" ht="12.75" customHeight="1">
      <c r="A921" s="2">
        <v>39538.0</v>
      </c>
      <c r="B921" s="77">
        <f t="shared" si="1"/>
        <v>3</v>
      </c>
      <c r="C921" s="78">
        <f t="shared" si="2"/>
        <v>2008</v>
      </c>
      <c r="D921" s="77">
        <v>3.259</v>
      </c>
      <c r="E921" s="4">
        <f t="shared" si="3"/>
        <v>3.2154</v>
      </c>
      <c r="F921" s="2">
        <f t="shared" si="4"/>
        <v>39508</v>
      </c>
    </row>
    <row r="922" ht="12.75" customHeight="1">
      <c r="A922" s="2">
        <v>39545.0</v>
      </c>
      <c r="B922" s="77">
        <f t="shared" si="1"/>
        <v>4</v>
      </c>
      <c r="C922" s="78">
        <f t="shared" si="2"/>
        <v>2008</v>
      </c>
      <c r="D922" s="77">
        <v>3.299</v>
      </c>
      <c r="E922" s="4">
        <f t="shared" si="3"/>
        <v>3.4205</v>
      </c>
      <c r="F922" s="2">
        <f t="shared" si="4"/>
        <v>39539</v>
      </c>
    </row>
    <row r="923" ht="12.75" customHeight="1">
      <c r="A923" s="2">
        <v>39552.0</v>
      </c>
      <c r="B923" s="77">
        <f t="shared" si="1"/>
        <v>4</v>
      </c>
      <c r="C923" s="78">
        <f t="shared" si="2"/>
        <v>2008</v>
      </c>
      <c r="D923" s="77">
        <v>3.35</v>
      </c>
      <c r="E923" s="4">
        <f t="shared" si="3"/>
        <v>3.4205</v>
      </c>
      <c r="F923" s="2">
        <f t="shared" si="4"/>
        <v>39539</v>
      </c>
    </row>
    <row r="924" ht="12.75" customHeight="1">
      <c r="A924" s="2">
        <v>39559.0</v>
      </c>
      <c r="B924" s="77">
        <f t="shared" si="1"/>
        <v>4</v>
      </c>
      <c r="C924" s="78">
        <f t="shared" si="2"/>
        <v>2008</v>
      </c>
      <c r="D924" s="77">
        <v>3.467</v>
      </c>
      <c r="E924" s="4">
        <f t="shared" si="3"/>
        <v>3.4205</v>
      </c>
      <c r="F924" s="2">
        <f t="shared" si="4"/>
        <v>39539</v>
      </c>
    </row>
    <row r="925" ht="12.75" customHeight="1">
      <c r="A925" s="2">
        <v>39566.0</v>
      </c>
      <c r="B925" s="77">
        <f t="shared" si="1"/>
        <v>4</v>
      </c>
      <c r="C925" s="78">
        <f t="shared" si="2"/>
        <v>2008</v>
      </c>
      <c r="D925" s="77">
        <v>3.566</v>
      </c>
      <c r="E925" s="4">
        <f t="shared" si="3"/>
        <v>3.4205</v>
      </c>
      <c r="F925" s="2">
        <f t="shared" si="4"/>
        <v>39539</v>
      </c>
    </row>
    <row r="926" ht="12.75" customHeight="1">
      <c r="A926" s="2">
        <v>39573.0</v>
      </c>
      <c r="B926" s="77">
        <f t="shared" si="1"/>
        <v>5</v>
      </c>
      <c r="C926" s="78">
        <f t="shared" si="2"/>
        <v>2008</v>
      </c>
      <c r="D926" s="77">
        <v>3.571</v>
      </c>
      <c r="E926" s="4">
        <f t="shared" si="3"/>
        <v>3.735</v>
      </c>
      <c r="F926" s="2">
        <f t="shared" si="4"/>
        <v>39569</v>
      </c>
    </row>
    <row r="927" ht="12.75" customHeight="1">
      <c r="A927" s="2">
        <v>39580.0</v>
      </c>
      <c r="B927" s="77">
        <f t="shared" si="1"/>
        <v>5</v>
      </c>
      <c r="C927" s="78">
        <f t="shared" si="2"/>
        <v>2008</v>
      </c>
      <c r="D927" s="77">
        <v>3.694</v>
      </c>
      <c r="E927" s="4">
        <f t="shared" si="3"/>
        <v>3.735</v>
      </c>
      <c r="F927" s="2">
        <f t="shared" si="4"/>
        <v>39569</v>
      </c>
    </row>
    <row r="928" ht="12.75" customHeight="1">
      <c r="A928" s="2">
        <v>39587.0</v>
      </c>
      <c r="B928" s="77">
        <f t="shared" si="1"/>
        <v>5</v>
      </c>
      <c r="C928" s="78">
        <f t="shared" si="2"/>
        <v>2008</v>
      </c>
      <c r="D928" s="77">
        <v>3.762</v>
      </c>
      <c r="E928" s="4">
        <f t="shared" si="3"/>
        <v>3.735</v>
      </c>
      <c r="F928" s="2">
        <f t="shared" si="4"/>
        <v>39569</v>
      </c>
    </row>
    <row r="929" ht="12.75" customHeight="1">
      <c r="A929" s="2">
        <v>39594.0</v>
      </c>
      <c r="B929" s="77">
        <f t="shared" si="1"/>
        <v>5</v>
      </c>
      <c r="C929" s="78">
        <f t="shared" si="2"/>
        <v>2008</v>
      </c>
      <c r="D929" s="77">
        <v>3.913</v>
      </c>
      <c r="E929" s="4">
        <f t="shared" si="3"/>
        <v>3.735</v>
      </c>
      <c r="F929" s="2">
        <f t="shared" si="4"/>
        <v>39569</v>
      </c>
    </row>
    <row r="930" ht="12.75" customHeight="1">
      <c r="A930" s="2">
        <v>39601.0</v>
      </c>
      <c r="B930" s="77">
        <f t="shared" si="1"/>
        <v>6</v>
      </c>
      <c r="C930" s="78">
        <f t="shared" si="2"/>
        <v>2008</v>
      </c>
      <c r="D930" s="77">
        <v>3.932</v>
      </c>
      <c r="E930" s="4">
        <f t="shared" si="3"/>
        <v>3.9894</v>
      </c>
      <c r="F930" s="2">
        <f t="shared" si="4"/>
        <v>39600</v>
      </c>
    </row>
    <row r="931" ht="12.75" customHeight="1">
      <c r="A931" s="2">
        <v>39608.0</v>
      </c>
      <c r="B931" s="77">
        <f t="shared" si="1"/>
        <v>6</v>
      </c>
      <c r="C931" s="78">
        <f t="shared" si="2"/>
        <v>2008</v>
      </c>
      <c r="D931" s="77">
        <v>3.979</v>
      </c>
      <c r="E931" s="4">
        <f t="shared" si="3"/>
        <v>3.9894</v>
      </c>
      <c r="F931" s="2">
        <f t="shared" si="4"/>
        <v>39600</v>
      </c>
    </row>
    <row r="932" ht="12.75" customHeight="1">
      <c r="A932" s="2">
        <v>39615.0</v>
      </c>
      <c r="B932" s="77">
        <f t="shared" si="1"/>
        <v>6</v>
      </c>
      <c r="C932" s="78">
        <f t="shared" si="2"/>
        <v>2008</v>
      </c>
      <c r="D932" s="77">
        <v>4.007</v>
      </c>
      <c r="E932" s="4">
        <f t="shared" si="3"/>
        <v>3.9894</v>
      </c>
      <c r="F932" s="2">
        <f t="shared" si="4"/>
        <v>39600</v>
      </c>
    </row>
    <row r="933" ht="12.75" customHeight="1">
      <c r="A933" s="2">
        <v>39622.0</v>
      </c>
      <c r="B933" s="77">
        <f t="shared" si="1"/>
        <v>6</v>
      </c>
      <c r="C933" s="78">
        <f t="shared" si="2"/>
        <v>2008</v>
      </c>
      <c r="D933" s="77">
        <v>4.002</v>
      </c>
      <c r="E933" s="4">
        <f t="shared" si="3"/>
        <v>3.9894</v>
      </c>
      <c r="F933" s="2">
        <f t="shared" si="4"/>
        <v>39600</v>
      </c>
    </row>
    <row r="934" ht="12.75" customHeight="1">
      <c r="A934" s="2">
        <v>39629.0</v>
      </c>
      <c r="B934" s="77">
        <f t="shared" si="1"/>
        <v>6</v>
      </c>
      <c r="C934" s="78">
        <f t="shared" si="2"/>
        <v>2008</v>
      </c>
      <c r="D934" s="77">
        <v>4.027</v>
      </c>
      <c r="E934" s="4">
        <f t="shared" si="3"/>
        <v>3.9894</v>
      </c>
      <c r="F934" s="2">
        <f t="shared" si="4"/>
        <v>39600</v>
      </c>
    </row>
    <row r="935" ht="12.75" customHeight="1">
      <c r="A935" s="2">
        <v>39636.0</v>
      </c>
      <c r="B935" s="77">
        <f t="shared" si="1"/>
        <v>7</v>
      </c>
      <c r="C935" s="78">
        <f t="shared" si="2"/>
        <v>2008</v>
      </c>
      <c r="D935" s="77">
        <v>4.051</v>
      </c>
      <c r="E935" s="4">
        <f t="shared" si="3"/>
        <v>4.0015</v>
      </c>
      <c r="F935" s="2">
        <f t="shared" si="4"/>
        <v>39630</v>
      </c>
    </row>
    <row r="936" ht="12.75" customHeight="1">
      <c r="A936" s="2">
        <v>39643.0</v>
      </c>
      <c r="B936" s="77">
        <f t="shared" si="1"/>
        <v>7</v>
      </c>
      <c r="C936" s="78">
        <f t="shared" si="2"/>
        <v>2008</v>
      </c>
      <c r="D936" s="77">
        <v>4.054</v>
      </c>
      <c r="E936" s="4">
        <f t="shared" si="3"/>
        <v>4.0015</v>
      </c>
      <c r="F936" s="2">
        <f t="shared" si="4"/>
        <v>39630</v>
      </c>
    </row>
    <row r="937" ht="12.75" customHeight="1">
      <c r="A937" s="2">
        <v>39650.0</v>
      </c>
      <c r="B937" s="77">
        <f t="shared" si="1"/>
        <v>7</v>
      </c>
      <c r="C937" s="78">
        <f t="shared" si="2"/>
        <v>2008</v>
      </c>
      <c r="D937" s="77">
        <v>4.005</v>
      </c>
      <c r="E937" s="4">
        <f t="shared" si="3"/>
        <v>4.0015</v>
      </c>
      <c r="F937" s="2">
        <f t="shared" si="4"/>
        <v>39630</v>
      </c>
    </row>
    <row r="938" ht="12.75" customHeight="1">
      <c r="A938" s="2">
        <v>39657.0</v>
      </c>
      <c r="B938" s="77">
        <f t="shared" si="1"/>
        <v>7</v>
      </c>
      <c r="C938" s="78">
        <f t="shared" si="2"/>
        <v>2008</v>
      </c>
      <c r="D938" s="77">
        <v>3.896</v>
      </c>
      <c r="E938" s="4">
        <f t="shared" si="3"/>
        <v>4.0015</v>
      </c>
      <c r="F938" s="2">
        <f t="shared" si="4"/>
        <v>39630</v>
      </c>
    </row>
    <row r="939" ht="12.75" customHeight="1">
      <c r="A939" s="2">
        <v>39664.0</v>
      </c>
      <c r="B939" s="77">
        <f t="shared" si="1"/>
        <v>8</v>
      </c>
      <c r="C939" s="78">
        <f t="shared" si="2"/>
        <v>2008</v>
      </c>
      <c r="D939" s="77">
        <v>3.828</v>
      </c>
      <c r="E939" s="4">
        <f t="shared" si="3"/>
        <v>3.7395</v>
      </c>
      <c r="F939" s="2">
        <f t="shared" si="4"/>
        <v>39661</v>
      </c>
    </row>
    <row r="940" ht="12.75" customHeight="1">
      <c r="A940" s="2">
        <v>39671.0</v>
      </c>
      <c r="B940" s="77">
        <f t="shared" si="1"/>
        <v>8</v>
      </c>
      <c r="C940" s="78">
        <f t="shared" si="2"/>
        <v>2008</v>
      </c>
      <c r="D940" s="77">
        <v>3.764</v>
      </c>
      <c r="E940" s="4">
        <f t="shared" si="3"/>
        <v>3.7395</v>
      </c>
      <c r="F940" s="2">
        <f t="shared" si="4"/>
        <v>39661</v>
      </c>
    </row>
    <row r="941" ht="12.75" customHeight="1">
      <c r="A941" s="2">
        <v>39678.0</v>
      </c>
      <c r="B941" s="77">
        <f t="shared" si="1"/>
        <v>8</v>
      </c>
      <c r="C941" s="78">
        <f t="shared" si="2"/>
        <v>2008</v>
      </c>
      <c r="D941" s="77">
        <v>3.706</v>
      </c>
      <c r="E941" s="4">
        <f t="shared" si="3"/>
        <v>3.7395</v>
      </c>
      <c r="F941" s="2">
        <f t="shared" si="4"/>
        <v>39661</v>
      </c>
    </row>
    <row r="942" ht="12.75" customHeight="1">
      <c r="A942" s="2">
        <v>39685.0</v>
      </c>
      <c r="B942" s="77">
        <f t="shared" si="1"/>
        <v>8</v>
      </c>
      <c r="C942" s="78">
        <f t="shared" si="2"/>
        <v>2008</v>
      </c>
      <c r="D942" s="77">
        <v>3.66</v>
      </c>
      <c r="E942" s="4">
        <f t="shared" si="3"/>
        <v>3.7395</v>
      </c>
      <c r="F942" s="2">
        <f t="shared" si="4"/>
        <v>39661</v>
      </c>
    </row>
    <row r="943" ht="12.75" customHeight="1">
      <c r="A943" s="2">
        <v>39692.0</v>
      </c>
      <c r="B943" s="77">
        <f t="shared" si="1"/>
        <v>9</v>
      </c>
      <c r="C943" s="78">
        <f t="shared" si="2"/>
        <v>2008</v>
      </c>
      <c r="D943" s="77">
        <v>3.667</v>
      </c>
      <c r="E943" s="4">
        <f t="shared" si="3"/>
        <v>3.7094</v>
      </c>
      <c r="F943" s="2">
        <f t="shared" si="4"/>
        <v>39692</v>
      </c>
    </row>
    <row r="944" ht="12.75" customHeight="1">
      <c r="A944" s="2">
        <v>39699.0</v>
      </c>
      <c r="B944" s="77">
        <f t="shared" si="1"/>
        <v>9</v>
      </c>
      <c r="C944" s="78">
        <f t="shared" si="2"/>
        <v>2008</v>
      </c>
      <c r="D944" s="77">
        <v>3.637</v>
      </c>
      <c r="E944" s="4">
        <f t="shared" si="3"/>
        <v>3.7094</v>
      </c>
      <c r="F944" s="2">
        <f t="shared" si="4"/>
        <v>39692</v>
      </c>
    </row>
    <row r="945" ht="12.75" customHeight="1">
      <c r="A945" s="2">
        <v>39706.0</v>
      </c>
      <c r="B945" s="77">
        <f t="shared" si="1"/>
        <v>9</v>
      </c>
      <c r="C945" s="78">
        <f t="shared" si="2"/>
        <v>2008</v>
      </c>
      <c r="D945" s="77">
        <v>3.867</v>
      </c>
      <c r="E945" s="4">
        <f t="shared" si="3"/>
        <v>3.7094</v>
      </c>
      <c r="F945" s="2">
        <f t="shared" si="4"/>
        <v>39692</v>
      </c>
    </row>
    <row r="946" ht="12.75" customHeight="1">
      <c r="A946" s="2">
        <v>39713.0</v>
      </c>
      <c r="B946" s="77">
        <f t="shared" si="1"/>
        <v>9</v>
      </c>
      <c r="C946" s="78">
        <f t="shared" si="2"/>
        <v>2008</v>
      </c>
      <c r="D946" s="77">
        <v>3.732</v>
      </c>
      <c r="E946" s="4">
        <f t="shared" si="3"/>
        <v>3.7094</v>
      </c>
      <c r="F946" s="2">
        <f t="shared" si="4"/>
        <v>39692</v>
      </c>
    </row>
    <row r="947" ht="12.75" customHeight="1">
      <c r="A947" s="2">
        <v>39720.0</v>
      </c>
      <c r="B947" s="77">
        <f t="shared" si="1"/>
        <v>9</v>
      </c>
      <c r="C947" s="78">
        <f t="shared" si="2"/>
        <v>2008</v>
      </c>
      <c r="D947" s="77">
        <v>3.644</v>
      </c>
      <c r="E947" s="4">
        <f t="shared" si="3"/>
        <v>3.7094</v>
      </c>
      <c r="F947" s="2">
        <f t="shared" si="4"/>
        <v>39692</v>
      </c>
    </row>
    <row r="948" ht="12.75" customHeight="1">
      <c r="A948" s="2">
        <v>39727.0</v>
      </c>
      <c r="B948" s="77">
        <f t="shared" si="1"/>
        <v>10</v>
      </c>
      <c r="C948" s="78">
        <f t="shared" si="2"/>
        <v>2008</v>
      </c>
      <c r="D948" s="77">
        <v>3.485</v>
      </c>
      <c r="E948" s="4">
        <f t="shared" si="3"/>
        <v>3.0095</v>
      </c>
      <c r="F948" s="2">
        <f t="shared" si="4"/>
        <v>39722</v>
      </c>
    </row>
    <row r="949" ht="12.75" customHeight="1">
      <c r="A949" s="2">
        <v>39734.0</v>
      </c>
      <c r="B949" s="77">
        <f t="shared" si="1"/>
        <v>10</v>
      </c>
      <c r="C949" s="78">
        <f t="shared" si="2"/>
        <v>2008</v>
      </c>
      <c r="D949" s="77">
        <v>3.109</v>
      </c>
      <c r="E949" s="4">
        <f t="shared" si="3"/>
        <v>3.0095</v>
      </c>
      <c r="F949" s="2">
        <f t="shared" si="4"/>
        <v>39722</v>
      </c>
    </row>
    <row r="950" ht="12.75" customHeight="1">
      <c r="A950" s="2">
        <v>39741.0</v>
      </c>
      <c r="B950" s="77">
        <f t="shared" si="1"/>
        <v>10</v>
      </c>
      <c r="C950" s="78">
        <f t="shared" si="2"/>
        <v>2008</v>
      </c>
      <c r="D950" s="77">
        <v>2.855</v>
      </c>
      <c r="E950" s="4">
        <f t="shared" si="3"/>
        <v>3.0095</v>
      </c>
      <c r="F950" s="2">
        <f t="shared" si="4"/>
        <v>39722</v>
      </c>
    </row>
    <row r="951" ht="12.75" customHeight="1">
      <c r="A951" s="2">
        <v>39748.0</v>
      </c>
      <c r="B951" s="77">
        <f t="shared" si="1"/>
        <v>10</v>
      </c>
      <c r="C951" s="78">
        <f t="shared" si="2"/>
        <v>2008</v>
      </c>
      <c r="D951" s="77">
        <v>2.589</v>
      </c>
      <c r="E951" s="4">
        <f t="shared" si="3"/>
        <v>3.0095</v>
      </c>
      <c r="F951" s="2">
        <f t="shared" si="4"/>
        <v>39722</v>
      </c>
    </row>
    <row r="952" ht="12.75" customHeight="1">
      <c r="A952" s="2">
        <v>39755.0</v>
      </c>
      <c r="B952" s="77">
        <f t="shared" si="1"/>
        <v>11</v>
      </c>
      <c r="C952" s="78">
        <f t="shared" si="2"/>
        <v>2008</v>
      </c>
      <c r="D952" s="77">
        <v>2.34</v>
      </c>
      <c r="E952" s="4">
        <f t="shared" si="3"/>
        <v>2.0985</v>
      </c>
      <c r="F952" s="2">
        <f t="shared" si="4"/>
        <v>39753</v>
      </c>
    </row>
    <row r="953" ht="12.75" customHeight="1">
      <c r="A953" s="2">
        <v>39762.0</v>
      </c>
      <c r="B953" s="77">
        <f t="shared" si="1"/>
        <v>11</v>
      </c>
      <c r="C953" s="78">
        <f t="shared" si="2"/>
        <v>2008</v>
      </c>
      <c r="D953" s="77">
        <v>2.17</v>
      </c>
      <c r="E953" s="4">
        <f t="shared" si="3"/>
        <v>2.0985</v>
      </c>
      <c r="F953" s="2">
        <f t="shared" si="4"/>
        <v>39753</v>
      </c>
    </row>
    <row r="954" ht="12.75" customHeight="1">
      <c r="A954" s="2">
        <v>39769.0</v>
      </c>
      <c r="B954" s="77">
        <f t="shared" si="1"/>
        <v>11</v>
      </c>
      <c r="C954" s="78">
        <f t="shared" si="2"/>
        <v>2008</v>
      </c>
      <c r="D954" s="77">
        <v>2.027</v>
      </c>
      <c r="E954" s="4">
        <f t="shared" si="3"/>
        <v>2.0985</v>
      </c>
      <c r="F954" s="2">
        <f t="shared" si="4"/>
        <v>39753</v>
      </c>
    </row>
    <row r="955" ht="12.75" customHeight="1">
      <c r="A955" s="2">
        <v>39776.0</v>
      </c>
      <c r="B955" s="77">
        <f t="shared" si="1"/>
        <v>11</v>
      </c>
      <c r="C955" s="78">
        <f t="shared" si="2"/>
        <v>2008</v>
      </c>
      <c r="D955" s="77">
        <v>1.857</v>
      </c>
      <c r="E955" s="4">
        <f t="shared" si="3"/>
        <v>2.0985</v>
      </c>
      <c r="F955" s="2">
        <f t="shared" si="4"/>
        <v>39753</v>
      </c>
    </row>
    <row r="956" ht="12.75" customHeight="1">
      <c r="A956" s="2">
        <v>39783.0</v>
      </c>
      <c r="B956" s="77">
        <f t="shared" si="1"/>
        <v>12</v>
      </c>
      <c r="C956" s="78">
        <f t="shared" si="2"/>
        <v>2008</v>
      </c>
      <c r="D956" s="77">
        <v>1.79</v>
      </c>
      <c r="E956" s="4">
        <f t="shared" si="3"/>
        <v>1.6688</v>
      </c>
      <c r="F956" s="2">
        <f t="shared" si="4"/>
        <v>39783</v>
      </c>
    </row>
    <row r="957" ht="12.75" customHeight="1">
      <c r="A957" s="2">
        <v>39790.0</v>
      </c>
      <c r="B957" s="77">
        <f t="shared" si="1"/>
        <v>12</v>
      </c>
      <c r="C957" s="78">
        <f t="shared" si="2"/>
        <v>2008</v>
      </c>
      <c r="D957" s="77">
        <v>1.681</v>
      </c>
      <c r="E957" s="4">
        <f t="shared" si="3"/>
        <v>1.6688</v>
      </c>
      <c r="F957" s="2">
        <f t="shared" si="4"/>
        <v>39783</v>
      </c>
    </row>
    <row r="958" ht="12.75" customHeight="1">
      <c r="A958" s="2">
        <v>39797.0</v>
      </c>
      <c r="B958" s="77">
        <f t="shared" si="1"/>
        <v>12</v>
      </c>
      <c r="C958" s="78">
        <f t="shared" si="2"/>
        <v>2008</v>
      </c>
      <c r="D958" s="77">
        <v>1.648</v>
      </c>
      <c r="E958" s="4">
        <f t="shared" si="3"/>
        <v>1.6688</v>
      </c>
      <c r="F958" s="2">
        <f t="shared" si="4"/>
        <v>39783</v>
      </c>
    </row>
    <row r="959" ht="12.75" customHeight="1">
      <c r="A959" s="2">
        <v>39804.0</v>
      </c>
      <c r="B959" s="77">
        <f t="shared" si="1"/>
        <v>12</v>
      </c>
      <c r="C959" s="78">
        <f t="shared" si="2"/>
        <v>2008</v>
      </c>
      <c r="D959" s="77">
        <v>1.635</v>
      </c>
      <c r="E959" s="4">
        <f t="shared" si="3"/>
        <v>1.6688</v>
      </c>
      <c r="F959" s="2">
        <f t="shared" si="4"/>
        <v>39783</v>
      </c>
    </row>
    <row r="960" ht="12.75" customHeight="1">
      <c r="A960" s="2">
        <v>39811.0</v>
      </c>
      <c r="B960" s="77">
        <f t="shared" si="1"/>
        <v>12</v>
      </c>
      <c r="C960" s="78">
        <f t="shared" si="2"/>
        <v>2008</v>
      </c>
      <c r="D960" s="77">
        <v>1.59</v>
      </c>
      <c r="E960" s="4">
        <f t="shared" si="3"/>
        <v>1.6688</v>
      </c>
      <c r="F960" s="2">
        <f t="shared" si="4"/>
        <v>39783</v>
      </c>
    </row>
    <row r="961" ht="12.75" customHeight="1">
      <c r="A961" s="2">
        <v>39818.0</v>
      </c>
      <c r="B961" s="77">
        <f t="shared" si="1"/>
        <v>1</v>
      </c>
      <c r="C961" s="78">
        <f t="shared" si="2"/>
        <v>2009</v>
      </c>
      <c r="D961" s="77">
        <v>1.672</v>
      </c>
      <c r="E961" s="4">
        <f t="shared" si="3"/>
        <v>1.77225</v>
      </c>
      <c r="F961" s="2">
        <f t="shared" si="4"/>
        <v>39814</v>
      </c>
    </row>
    <row r="962" ht="12.75" customHeight="1">
      <c r="A962" s="2">
        <v>39825.0</v>
      </c>
      <c r="B962" s="77">
        <f t="shared" si="1"/>
        <v>1</v>
      </c>
      <c r="C962" s="78">
        <f t="shared" si="2"/>
        <v>2009</v>
      </c>
      <c r="D962" s="77">
        <v>1.772</v>
      </c>
      <c r="E962" s="4">
        <f t="shared" si="3"/>
        <v>1.77225</v>
      </c>
      <c r="F962" s="2">
        <f t="shared" si="4"/>
        <v>39814</v>
      </c>
    </row>
    <row r="963" ht="12.75" customHeight="1">
      <c r="A963" s="2">
        <v>39832.0</v>
      </c>
      <c r="B963" s="77">
        <f t="shared" si="1"/>
        <v>1</v>
      </c>
      <c r="C963" s="78">
        <f t="shared" si="2"/>
        <v>2009</v>
      </c>
      <c r="D963" s="77">
        <v>1.832</v>
      </c>
      <c r="E963" s="4">
        <f t="shared" si="3"/>
        <v>1.77225</v>
      </c>
      <c r="F963" s="2">
        <f t="shared" si="4"/>
        <v>39814</v>
      </c>
    </row>
    <row r="964" ht="12.75" customHeight="1">
      <c r="A964" s="2">
        <v>39839.0</v>
      </c>
      <c r="B964" s="77">
        <f t="shared" si="1"/>
        <v>1</v>
      </c>
      <c r="C964" s="78">
        <f t="shared" si="2"/>
        <v>2009</v>
      </c>
      <c r="D964" s="77">
        <v>1.813</v>
      </c>
      <c r="E964" s="4">
        <f t="shared" si="3"/>
        <v>1.77225</v>
      </c>
      <c r="F964" s="2">
        <f t="shared" si="4"/>
        <v>39814</v>
      </c>
    </row>
    <row r="965" ht="12.75" customHeight="1">
      <c r="A965" s="2">
        <v>39846.0</v>
      </c>
      <c r="B965" s="77">
        <f t="shared" si="1"/>
        <v>2</v>
      </c>
      <c r="C965" s="78">
        <f t="shared" si="2"/>
        <v>2009</v>
      </c>
      <c r="D965" s="77">
        <v>1.871</v>
      </c>
      <c r="E965" s="4">
        <f t="shared" si="3"/>
        <v>1.89175</v>
      </c>
      <c r="F965" s="2">
        <f t="shared" si="4"/>
        <v>39845</v>
      </c>
    </row>
    <row r="966" ht="12.75" customHeight="1">
      <c r="A966" s="2">
        <v>39853.0</v>
      </c>
      <c r="B966" s="77">
        <f t="shared" si="1"/>
        <v>2</v>
      </c>
      <c r="C966" s="78">
        <f t="shared" si="2"/>
        <v>2009</v>
      </c>
      <c r="D966" s="77">
        <v>1.897</v>
      </c>
      <c r="E966" s="4">
        <f t="shared" si="3"/>
        <v>1.89175</v>
      </c>
      <c r="F966" s="2">
        <f t="shared" si="4"/>
        <v>39845</v>
      </c>
    </row>
    <row r="967" ht="12.75" customHeight="1">
      <c r="A967" s="2">
        <v>39860.0</v>
      </c>
      <c r="B967" s="77">
        <f t="shared" si="1"/>
        <v>2</v>
      </c>
      <c r="C967" s="78">
        <f t="shared" si="2"/>
        <v>2009</v>
      </c>
      <c r="D967" s="77">
        <v>1.931</v>
      </c>
      <c r="E967" s="4">
        <f t="shared" si="3"/>
        <v>1.89175</v>
      </c>
      <c r="F967" s="2">
        <f t="shared" si="4"/>
        <v>39845</v>
      </c>
    </row>
    <row r="968" ht="12.75" customHeight="1">
      <c r="A968" s="2">
        <v>39867.0</v>
      </c>
      <c r="B968" s="77">
        <f t="shared" si="1"/>
        <v>2</v>
      </c>
      <c r="C968" s="78">
        <f t="shared" si="2"/>
        <v>2009</v>
      </c>
      <c r="D968" s="77">
        <v>1.868</v>
      </c>
      <c r="E968" s="4">
        <f t="shared" si="3"/>
        <v>1.89175</v>
      </c>
      <c r="F968" s="2">
        <f t="shared" si="4"/>
        <v>39845</v>
      </c>
    </row>
    <row r="969" ht="12.75" customHeight="1">
      <c r="A969" s="2">
        <v>39874.0</v>
      </c>
      <c r="B969" s="77">
        <f t="shared" si="1"/>
        <v>3</v>
      </c>
      <c r="C969" s="78">
        <f t="shared" si="2"/>
        <v>2009</v>
      </c>
      <c r="D969" s="77">
        <v>1.91</v>
      </c>
      <c r="E969" s="4">
        <f t="shared" si="3"/>
        <v>1.9374</v>
      </c>
      <c r="F969" s="2">
        <f t="shared" si="4"/>
        <v>39873</v>
      </c>
    </row>
    <row r="970" ht="12.75" customHeight="1">
      <c r="A970" s="2">
        <v>39881.0</v>
      </c>
      <c r="B970" s="77">
        <f t="shared" si="1"/>
        <v>3</v>
      </c>
      <c r="C970" s="78">
        <f t="shared" si="2"/>
        <v>2009</v>
      </c>
      <c r="D970" s="77">
        <v>1.918</v>
      </c>
      <c r="E970" s="4">
        <f t="shared" si="3"/>
        <v>1.9374</v>
      </c>
      <c r="F970" s="2">
        <f t="shared" si="4"/>
        <v>39873</v>
      </c>
    </row>
    <row r="971" ht="12.75" customHeight="1">
      <c r="A971" s="2">
        <v>39888.0</v>
      </c>
      <c r="B971" s="77">
        <f t="shared" si="1"/>
        <v>3</v>
      </c>
      <c r="C971" s="78">
        <f t="shared" si="2"/>
        <v>2009</v>
      </c>
      <c r="D971" s="77">
        <v>1.885</v>
      </c>
      <c r="E971" s="4">
        <f t="shared" si="3"/>
        <v>1.9374</v>
      </c>
      <c r="F971" s="2">
        <f t="shared" si="4"/>
        <v>39873</v>
      </c>
    </row>
    <row r="972" ht="12.75" customHeight="1">
      <c r="A972" s="2">
        <v>39895.0</v>
      </c>
      <c r="B972" s="77">
        <f t="shared" si="1"/>
        <v>3</v>
      </c>
      <c r="C972" s="78">
        <f t="shared" si="2"/>
        <v>2009</v>
      </c>
      <c r="D972" s="77">
        <v>1.944</v>
      </c>
      <c r="E972" s="4">
        <f t="shared" si="3"/>
        <v>1.9374</v>
      </c>
      <c r="F972" s="2">
        <f t="shared" si="4"/>
        <v>39873</v>
      </c>
    </row>
    <row r="973" ht="12.75" customHeight="1">
      <c r="A973" s="2">
        <v>39902.0</v>
      </c>
      <c r="B973" s="77">
        <f t="shared" si="1"/>
        <v>3</v>
      </c>
      <c r="C973" s="78">
        <f t="shared" si="2"/>
        <v>2009</v>
      </c>
      <c r="D973" s="77">
        <v>2.03</v>
      </c>
      <c r="E973" s="4">
        <f t="shared" si="3"/>
        <v>1.9374</v>
      </c>
      <c r="F973" s="2">
        <f t="shared" si="4"/>
        <v>39873</v>
      </c>
    </row>
    <row r="974" ht="12.75" customHeight="1">
      <c r="A974" s="2">
        <v>39909.0</v>
      </c>
      <c r="B974" s="77">
        <f t="shared" si="1"/>
        <v>4</v>
      </c>
      <c r="C974" s="78">
        <f t="shared" si="2"/>
        <v>2009</v>
      </c>
      <c r="D974" s="77">
        <v>2.011</v>
      </c>
      <c r="E974" s="4">
        <f t="shared" si="3"/>
        <v>2.02075</v>
      </c>
      <c r="F974" s="2">
        <f t="shared" si="4"/>
        <v>39904</v>
      </c>
    </row>
    <row r="975" ht="12.75" customHeight="1">
      <c r="A975" s="2">
        <v>39916.0</v>
      </c>
      <c r="B975" s="77">
        <f t="shared" si="1"/>
        <v>4</v>
      </c>
      <c r="C975" s="78">
        <f t="shared" si="2"/>
        <v>2009</v>
      </c>
      <c r="D975" s="77">
        <v>2.025</v>
      </c>
      <c r="E975" s="4">
        <f t="shared" si="3"/>
        <v>2.02075</v>
      </c>
      <c r="F975" s="2">
        <f t="shared" si="4"/>
        <v>39904</v>
      </c>
    </row>
    <row r="976" ht="12.75" customHeight="1">
      <c r="A976" s="2">
        <v>39923.0</v>
      </c>
      <c r="B976" s="77">
        <f t="shared" si="1"/>
        <v>4</v>
      </c>
      <c r="C976" s="78">
        <f t="shared" si="2"/>
        <v>2009</v>
      </c>
      <c r="D976" s="77">
        <v>2.031</v>
      </c>
      <c r="E976" s="4">
        <f t="shared" si="3"/>
        <v>2.02075</v>
      </c>
      <c r="F976" s="2">
        <f t="shared" si="4"/>
        <v>39904</v>
      </c>
    </row>
    <row r="977" ht="12.75" customHeight="1">
      <c r="A977" s="2">
        <v>39930.0</v>
      </c>
      <c r="B977" s="77">
        <f t="shared" si="1"/>
        <v>4</v>
      </c>
      <c r="C977" s="78">
        <f t="shared" si="2"/>
        <v>2009</v>
      </c>
      <c r="D977" s="77">
        <v>2.016</v>
      </c>
      <c r="E977" s="4">
        <f t="shared" si="3"/>
        <v>2.02075</v>
      </c>
      <c r="F977" s="2">
        <f t="shared" si="4"/>
        <v>39904</v>
      </c>
    </row>
    <row r="978" ht="12.75" customHeight="1">
      <c r="A978" s="2">
        <v>39937.0</v>
      </c>
      <c r="B978" s="77">
        <f t="shared" si="1"/>
        <v>5</v>
      </c>
      <c r="C978" s="78">
        <f t="shared" si="2"/>
        <v>2009</v>
      </c>
      <c r="D978" s="77">
        <v>2.045</v>
      </c>
      <c r="E978" s="4">
        <f t="shared" si="3"/>
        <v>2.2395</v>
      </c>
      <c r="F978" s="2">
        <f t="shared" si="4"/>
        <v>39934</v>
      </c>
    </row>
    <row r="979" ht="12.75" customHeight="1">
      <c r="A979" s="2">
        <v>39944.0</v>
      </c>
      <c r="B979" s="77">
        <f t="shared" si="1"/>
        <v>5</v>
      </c>
      <c r="C979" s="78">
        <f t="shared" si="2"/>
        <v>2009</v>
      </c>
      <c r="D979" s="77">
        <v>2.218</v>
      </c>
      <c r="E979" s="4">
        <f t="shared" si="3"/>
        <v>2.2395</v>
      </c>
      <c r="F979" s="2">
        <f t="shared" si="4"/>
        <v>39934</v>
      </c>
    </row>
    <row r="980" ht="12.75" customHeight="1">
      <c r="A980" s="2">
        <v>39951.0</v>
      </c>
      <c r="B980" s="77">
        <f t="shared" si="1"/>
        <v>5</v>
      </c>
      <c r="C980" s="78">
        <f t="shared" si="2"/>
        <v>2009</v>
      </c>
      <c r="D980" s="77">
        <v>2.281</v>
      </c>
      <c r="E980" s="4">
        <f t="shared" si="3"/>
        <v>2.2395</v>
      </c>
      <c r="F980" s="2">
        <f t="shared" si="4"/>
        <v>39934</v>
      </c>
    </row>
    <row r="981" ht="12.75" customHeight="1">
      <c r="A981" s="2">
        <v>39958.0</v>
      </c>
      <c r="B981" s="77">
        <f t="shared" si="1"/>
        <v>5</v>
      </c>
      <c r="C981" s="78">
        <f t="shared" si="2"/>
        <v>2009</v>
      </c>
      <c r="D981" s="77">
        <v>2.414</v>
      </c>
      <c r="E981" s="4">
        <f t="shared" si="3"/>
        <v>2.2395</v>
      </c>
      <c r="F981" s="2">
        <f t="shared" si="4"/>
        <v>39934</v>
      </c>
    </row>
    <row r="982" ht="12.75" customHeight="1">
      <c r="A982" s="2">
        <v>39965.0</v>
      </c>
      <c r="B982" s="77">
        <f t="shared" si="1"/>
        <v>6</v>
      </c>
      <c r="C982" s="78">
        <f t="shared" si="2"/>
        <v>2009</v>
      </c>
      <c r="D982" s="77">
        <v>2.502</v>
      </c>
      <c r="E982" s="4">
        <f t="shared" si="3"/>
        <v>2.5968</v>
      </c>
      <c r="F982" s="2">
        <f t="shared" si="4"/>
        <v>39965</v>
      </c>
    </row>
    <row r="983" ht="12.75" customHeight="1">
      <c r="A983" s="2">
        <v>39972.0</v>
      </c>
      <c r="B983" s="77">
        <f t="shared" si="1"/>
        <v>6</v>
      </c>
      <c r="C983" s="78">
        <f t="shared" si="2"/>
        <v>2009</v>
      </c>
      <c r="D983" s="77">
        <v>2.6</v>
      </c>
      <c r="E983" s="4">
        <f t="shared" si="3"/>
        <v>2.5968</v>
      </c>
      <c r="F983" s="2">
        <f t="shared" si="4"/>
        <v>39965</v>
      </c>
    </row>
    <row r="984" ht="12.75" customHeight="1">
      <c r="A984" s="2">
        <v>39979.0</v>
      </c>
      <c r="B984" s="77">
        <f t="shared" si="1"/>
        <v>6</v>
      </c>
      <c r="C984" s="78">
        <f t="shared" si="2"/>
        <v>2009</v>
      </c>
      <c r="D984" s="77">
        <v>2.639</v>
      </c>
      <c r="E984" s="4">
        <f t="shared" si="3"/>
        <v>2.5968</v>
      </c>
      <c r="F984" s="2">
        <f t="shared" si="4"/>
        <v>39965</v>
      </c>
    </row>
    <row r="985" ht="12.75" customHeight="1">
      <c r="A985" s="2">
        <v>39986.0</v>
      </c>
      <c r="B985" s="77">
        <f t="shared" si="1"/>
        <v>6</v>
      </c>
      <c r="C985" s="78">
        <f t="shared" si="2"/>
        <v>2009</v>
      </c>
      <c r="D985" s="77">
        <v>2.65</v>
      </c>
      <c r="E985" s="4">
        <f t="shared" si="3"/>
        <v>2.5968</v>
      </c>
      <c r="F985" s="2">
        <f t="shared" si="4"/>
        <v>39965</v>
      </c>
    </row>
    <row r="986" ht="12.75" customHeight="1">
      <c r="A986" s="2">
        <v>39993.0</v>
      </c>
      <c r="B986" s="77">
        <f t="shared" si="1"/>
        <v>6</v>
      </c>
      <c r="C986" s="78">
        <f t="shared" si="2"/>
        <v>2009</v>
      </c>
      <c r="D986" s="77">
        <v>2.593</v>
      </c>
      <c r="E986" s="4">
        <f t="shared" si="3"/>
        <v>2.5968</v>
      </c>
      <c r="F986" s="2">
        <f t="shared" si="4"/>
        <v>39965</v>
      </c>
    </row>
    <row r="987" ht="12.75" customHeight="1">
      <c r="A987" s="2">
        <v>40000.0</v>
      </c>
      <c r="B987" s="77">
        <f t="shared" si="1"/>
        <v>7</v>
      </c>
      <c r="C987" s="78">
        <f t="shared" si="2"/>
        <v>2009</v>
      </c>
      <c r="D987" s="77">
        <v>2.563</v>
      </c>
      <c r="E987" s="4">
        <f t="shared" si="3"/>
        <v>2.47825</v>
      </c>
      <c r="F987" s="2">
        <f t="shared" si="4"/>
        <v>39995</v>
      </c>
    </row>
    <row r="988" ht="12.75" customHeight="1">
      <c r="A988" s="2">
        <v>40007.0</v>
      </c>
      <c r="B988" s="77">
        <f t="shared" si="1"/>
        <v>7</v>
      </c>
      <c r="C988" s="78">
        <f t="shared" si="2"/>
        <v>2009</v>
      </c>
      <c r="D988" s="77">
        <v>2.479</v>
      </c>
      <c r="E988" s="4">
        <f t="shared" si="3"/>
        <v>2.47825</v>
      </c>
      <c r="F988" s="2">
        <f t="shared" si="4"/>
        <v>39995</v>
      </c>
    </row>
    <row r="989" ht="12.75" customHeight="1">
      <c r="A989" s="2">
        <v>40014.0</v>
      </c>
      <c r="B989" s="77">
        <f t="shared" si="1"/>
        <v>7</v>
      </c>
      <c r="C989" s="78">
        <f t="shared" si="2"/>
        <v>2009</v>
      </c>
      <c r="D989" s="77">
        <v>2.411</v>
      </c>
      <c r="E989" s="4">
        <f t="shared" si="3"/>
        <v>2.47825</v>
      </c>
      <c r="F989" s="2">
        <f t="shared" si="4"/>
        <v>39995</v>
      </c>
    </row>
    <row r="990" ht="12.75" customHeight="1">
      <c r="A990" s="2">
        <v>40021.0</v>
      </c>
      <c r="B990" s="77">
        <f t="shared" si="1"/>
        <v>7</v>
      </c>
      <c r="C990" s="78">
        <f t="shared" si="2"/>
        <v>2009</v>
      </c>
      <c r="D990" s="77">
        <v>2.46</v>
      </c>
      <c r="E990" s="4">
        <f t="shared" si="3"/>
        <v>2.47825</v>
      </c>
      <c r="F990" s="2">
        <f t="shared" si="4"/>
        <v>39995</v>
      </c>
    </row>
    <row r="991" ht="12.75" customHeight="1">
      <c r="A991" s="2">
        <v>40028.0</v>
      </c>
      <c r="B991" s="77">
        <f t="shared" si="1"/>
        <v>8</v>
      </c>
      <c r="C991" s="78">
        <f t="shared" si="2"/>
        <v>2009</v>
      </c>
      <c r="D991" s="77">
        <v>2.511</v>
      </c>
      <c r="E991" s="4">
        <f t="shared" si="3"/>
        <v>2.5624</v>
      </c>
      <c r="F991" s="2">
        <f t="shared" si="4"/>
        <v>40026</v>
      </c>
    </row>
    <row r="992" ht="12.75" customHeight="1">
      <c r="A992" s="2">
        <v>40035.0</v>
      </c>
      <c r="B992" s="77">
        <f t="shared" si="1"/>
        <v>8</v>
      </c>
      <c r="C992" s="78">
        <f t="shared" si="2"/>
        <v>2009</v>
      </c>
      <c r="D992" s="77">
        <v>2.596</v>
      </c>
      <c r="E992" s="4">
        <f t="shared" si="3"/>
        <v>2.5624</v>
      </c>
      <c r="F992" s="2">
        <f t="shared" si="4"/>
        <v>40026</v>
      </c>
    </row>
    <row r="993" ht="12.75" customHeight="1">
      <c r="A993" s="2">
        <v>40042.0</v>
      </c>
      <c r="B993" s="77">
        <f t="shared" si="1"/>
        <v>8</v>
      </c>
      <c r="C993" s="78">
        <f t="shared" si="2"/>
        <v>2009</v>
      </c>
      <c r="D993" s="77">
        <v>2.58</v>
      </c>
      <c r="E993" s="4">
        <f t="shared" si="3"/>
        <v>2.5624</v>
      </c>
      <c r="F993" s="2">
        <f t="shared" si="4"/>
        <v>40026</v>
      </c>
    </row>
    <row r="994" ht="12.75" customHeight="1">
      <c r="A994" s="2">
        <v>40049.0</v>
      </c>
      <c r="B994" s="77">
        <f t="shared" si="1"/>
        <v>8</v>
      </c>
      <c r="C994" s="78">
        <f t="shared" si="2"/>
        <v>2009</v>
      </c>
      <c r="D994" s="77">
        <v>2.572</v>
      </c>
      <c r="E994" s="4">
        <f t="shared" si="3"/>
        <v>2.5624</v>
      </c>
      <c r="F994" s="2">
        <f t="shared" si="4"/>
        <v>40026</v>
      </c>
    </row>
    <row r="995" ht="12.75" customHeight="1">
      <c r="A995" s="2">
        <v>40056.0</v>
      </c>
      <c r="B995" s="77">
        <f t="shared" si="1"/>
        <v>8</v>
      </c>
      <c r="C995" s="78">
        <f t="shared" si="2"/>
        <v>2009</v>
      </c>
      <c r="D995" s="77">
        <v>2.553</v>
      </c>
      <c r="E995" s="4">
        <f t="shared" si="3"/>
        <v>2.5624</v>
      </c>
      <c r="F995" s="2">
        <f t="shared" si="4"/>
        <v>40026</v>
      </c>
    </row>
    <row r="996" ht="12.75" customHeight="1">
      <c r="A996" s="2">
        <v>40063.0</v>
      </c>
      <c r="B996" s="77">
        <f t="shared" si="1"/>
        <v>9</v>
      </c>
      <c r="C996" s="78">
        <f t="shared" si="2"/>
        <v>2009</v>
      </c>
      <c r="D996" s="77">
        <v>2.519</v>
      </c>
      <c r="E996" s="4">
        <f t="shared" si="3"/>
        <v>2.48</v>
      </c>
      <c r="F996" s="2">
        <f t="shared" si="4"/>
        <v>40057</v>
      </c>
    </row>
    <row r="997" ht="12.75" customHeight="1">
      <c r="A997" s="2">
        <v>40070.0</v>
      </c>
      <c r="B997" s="77">
        <f t="shared" si="1"/>
        <v>9</v>
      </c>
      <c r="C997" s="78">
        <f t="shared" si="2"/>
        <v>2009</v>
      </c>
      <c r="D997" s="77">
        <v>2.499</v>
      </c>
      <c r="E997" s="4">
        <f t="shared" si="3"/>
        <v>2.48</v>
      </c>
      <c r="F997" s="2">
        <f t="shared" si="4"/>
        <v>40057</v>
      </c>
    </row>
    <row r="998" ht="12.75" customHeight="1">
      <c r="A998" s="2">
        <v>40077.0</v>
      </c>
      <c r="B998" s="77">
        <f t="shared" si="1"/>
        <v>9</v>
      </c>
      <c r="C998" s="78">
        <f t="shared" si="2"/>
        <v>2009</v>
      </c>
      <c r="D998" s="77">
        <v>2.477</v>
      </c>
      <c r="E998" s="4">
        <f t="shared" si="3"/>
        <v>2.48</v>
      </c>
      <c r="F998" s="2">
        <f t="shared" si="4"/>
        <v>40057</v>
      </c>
    </row>
    <row r="999" ht="12.75" customHeight="1">
      <c r="A999" s="2">
        <v>40084.0</v>
      </c>
      <c r="B999" s="77">
        <f t="shared" si="1"/>
        <v>9</v>
      </c>
      <c r="C999" s="78">
        <f t="shared" si="2"/>
        <v>2009</v>
      </c>
      <c r="D999" s="77">
        <v>2.425</v>
      </c>
      <c r="E999" s="4">
        <f t="shared" si="3"/>
        <v>2.48</v>
      </c>
      <c r="F999" s="2">
        <f t="shared" si="4"/>
        <v>40057</v>
      </c>
    </row>
    <row r="1000" ht="12.75" customHeight="1">
      <c r="A1000" s="2">
        <v>40091.0</v>
      </c>
      <c r="B1000" s="77">
        <f t="shared" si="1"/>
        <v>10</v>
      </c>
      <c r="C1000" s="78">
        <f t="shared" si="2"/>
        <v>2009</v>
      </c>
      <c r="D1000" s="77">
        <v>2.396</v>
      </c>
      <c r="E1000" s="4">
        <f t="shared" si="3"/>
        <v>2.50025</v>
      </c>
      <c r="F1000" s="2">
        <f t="shared" si="4"/>
        <v>40087</v>
      </c>
    </row>
    <row r="1001" ht="12.75" customHeight="1">
      <c r="A1001" s="2">
        <v>40098.0</v>
      </c>
      <c r="B1001" s="77">
        <f t="shared" si="1"/>
        <v>10</v>
      </c>
      <c r="C1001" s="78">
        <f t="shared" si="2"/>
        <v>2009</v>
      </c>
      <c r="D1001" s="77">
        <v>2.432</v>
      </c>
      <c r="E1001" s="4">
        <f t="shared" si="3"/>
        <v>2.50025</v>
      </c>
      <c r="F1001" s="2">
        <f t="shared" si="4"/>
        <v>40087</v>
      </c>
    </row>
    <row r="1002" ht="12.75" customHeight="1">
      <c r="A1002" s="2">
        <v>40105.0</v>
      </c>
      <c r="B1002" s="77">
        <f t="shared" si="1"/>
        <v>10</v>
      </c>
      <c r="C1002" s="78">
        <f t="shared" si="2"/>
        <v>2009</v>
      </c>
      <c r="D1002" s="77">
        <v>2.532</v>
      </c>
      <c r="E1002" s="4">
        <f t="shared" si="3"/>
        <v>2.50025</v>
      </c>
      <c r="F1002" s="2">
        <f t="shared" si="4"/>
        <v>40087</v>
      </c>
    </row>
    <row r="1003" ht="12.75" customHeight="1">
      <c r="A1003" s="2">
        <v>40112.0</v>
      </c>
      <c r="B1003" s="77">
        <f t="shared" si="1"/>
        <v>10</v>
      </c>
      <c r="C1003" s="78">
        <f t="shared" si="2"/>
        <v>2009</v>
      </c>
      <c r="D1003" s="77">
        <v>2.641</v>
      </c>
      <c r="E1003" s="4">
        <f t="shared" si="3"/>
        <v>2.50025</v>
      </c>
      <c r="F1003" s="2">
        <f t="shared" si="4"/>
        <v>40087</v>
      </c>
    </row>
    <row r="1004" ht="12.75" customHeight="1">
      <c r="A1004" s="2">
        <v>40119.0</v>
      </c>
      <c r="B1004" s="77">
        <f t="shared" si="1"/>
        <v>11</v>
      </c>
      <c r="C1004" s="78">
        <f t="shared" si="2"/>
        <v>2009</v>
      </c>
      <c r="D1004" s="77">
        <v>2.66</v>
      </c>
      <c r="E1004" s="4">
        <f t="shared" si="3"/>
        <v>2.6138</v>
      </c>
      <c r="F1004" s="2">
        <f t="shared" si="4"/>
        <v>40118</v>
      </c>
    </row>
    <row r="1005" ht="12.75" customHeight="1">
      <c r="A1005" s="2">
        <v>40126.0</v>
      </c>
      <c r="B1005" s="77">
        <f t="shared" si="1"/>
        <v>11</v>
      </c>
      <c r="C1005" s="78">
        <f t="shared" si="2"/>
        <v>2009</v>
      </c>
      <c r="D1005" s="77">
        <v>2.627</v>
      </c>
      <c r="E1005" s="4">
        <f t="shared" si="3"/>
        <v>2.6138</v>
      </c>
      <c r="F1005" s="2">
        <f t="shared" si="4"/>
        <v>40118</v>
      </c>
    </row>
    <row r="1006" ht="12.75" customHeight="1">
      <c r="A1006" s="2">
        <v>40133.0</v>
      </c>
      <c r="B1006" s="77">
        <f t="shared" si="1"/>
        <v>11</v>
      </c>
      <c r="C1006" s="78">
        <f t="shared" si="2"/>
        <v>2009</v>
      </c>
      <c r="D1006" s="77">
        <v>2.585</v>
      </c>
      <c r="E1006" s="4">
        <f t="shared" si="3"/>
        <v>2.6138</v>
      </c>
      <c r="F1006" s="2">
        <f t="shared" si="4"/>
        <v>40118</v>
      </c>
    </row>
    <row r="1007" ht="12.75" customHeight="1">
      <c r="A1007" s="2">
        <v>40140.0</v>
      </c>
      <c r="B1007" s="77">
        <f t="shared" si="1"/>
        <v>11</v>
      </c>
      <c r="C1007" s="78">
        <f t="shared" si="2"/>
        <v>2009</v>
      </c>
      <c r="D1007" s="77">
        <v>2.603</v>
      </c>
      <c r="E1007" s="4">
        <f t="shared" si="3"/>
        <v>2.6138</v>
      </c>
      <c r="F1007" s="2">
        <f t="shared" si="4"/>
        <v>40118</v>
      </c>
    </row>
    <row r="1008" ht="12.75" customHeight="1">
      <c r="A1008" s="2">
        <v>40147.0</v>
      </c>
      <c r="B1008" s="77">
        <f t="shared" si="1"/>
        <v>11</v>
      </c>
      <c r="C1008" s="78">
        <f t="shared" si="2"/>
        <v>2009</v>
      </c>
      <c r="D1008" s="77">
        <v>2.594</v>
      </c>
      <c r="E1008" s="4">
        <f t="shared" si="3"/>
        <v>2.6138</v>
      </c>
      <c r="F1008" s="2">
        <f t="shared" si="4"/>
        <v>40118</v>
      </c>
    </row>
    <row r="1009" ht="12.75" customHeight="1">
      <c r="A1009" s="2">
        <v>40154.0</v>
      </c>
      <c r="B1009" s="77">
        <f t="shared" si="1"/>
        <v>12</v>
      </c>
      <c r="C1009" s="78">
        <f t="shared" si="2"/>
        <v>2009</v>
      </c>
      <c r="D1009" s="77">
        <v>2.601</v>
      </c>
      <c r="E1009" s="4">
        <f t="shared" si="3"/>
        <v>2.56775</v>
      </c>
      <c r="F1009" s="2">
        <f t="shared" si="4"/>
        <v>40148</v>
      </c>
    </row>
    <row r="1010" ht="12.75" customHeight="1">
      <c r="A1010" s="2">
        <v>40161.0</v>
      </c>
      <c r="B1010" s="77">
        <f t="shared" si="1"/>
        <v>12</v>
      </c>
      <c r="C1010" s="78">
        <f t="shared" si="2"/>
        <v>2009</v>
      </c>
      <c r="D1010" s="77">
        <v>2.56</v>
      </c>
      <c r="E1010" s="4">
        <f t="shared" si="3"/>
        <v>2.56775</v>
      </c>
      <c r="F1010" s="2">
        <f t="shared" si="4"/>
        <v>40148</v>
      </c>
    </row>
    <row r="1011" ht="12.75" customHeight="1">
      <c r="A1011" s="2">
        <v>40168.0</v>
      </c>
      <c r="B1011" s="77">
        <f t="shared" si="1"/>
        <v>12</v>
      </c>
      <c r="C1011" s="78">
        <f t="shared" si="2"/>
        <v>2009</v>
      </c>
      <c r="D1011" s="77">
        <v>2.546</v>
      </c>
      <c r="E1011" s="4">
        <f t="shared" si="3"/>
        <v>2.56775</v>
      </c>
      <c r="F1011" s="2">
        <f t="shared" si="4"/>
        <v>40148</v>
      </c>
    </row>
    <row r="1012" ht="12.75" customHeight="1">
      <c r="A1012" s="2">
        <v>40175.0</v>
      </c>
      <c r="B1012" s="77">
        <f t="shared" si="1"/>
        <v>12</v>
      </c>
      <c r="C1012" s="78">
        <f t="shared" si="2"/>
        <v>2009</v>
      </c>
      <c r="D1012" s="77">
        <v>2.564</v>
      </c>
      <c r="E1012" s="4">
        <f t="shared" si="3"/>
        <v>2.56775</v>
      </c>
      <c r="F1012" s="2">
        <f t="shared" si="4"/>
        <v>40148</v>
      </c>
    </row>
    <row r="1013" ht="12.75" customHeight="1">
      <c r="A1013" s="2">
        <v>40182.0</v>
      </c>
      <c r="B1013" s="77">
        <f t="shared" si="1"/>
        <v>1</v>
      </c>
      <c r="C1013" s="78">
        <f t="shared" si="2"/>
        <v>2010</v>
      </c>
      <c r="D1013" s="77">
        <v>2.627</v>
      </c>
      <c r="E1013" s="4">
        <f t="shared" si="3"/>
        <v>2.67825</v>
      </c>
      <c r="F1013" s="2">
        <f t="shared" si="4"/>
        <v>40179</v>
      </c>
    </row>
    <row r="1014" ht="12.75" customHeight="1">
      <c r="A1014" s="2">
        <v>40189.0</v>
      </c>
      <c r="B1014" s="77">
        <f t="shared" si="1"/>
        <v>1</v>
      </c>
      <c r="C1014" s="78">
        <f t="shared" si="2"/>
        <v>2010</v>
      </c>
      <c r="D1014" s="77">
        <v>2.717</v>
      </c>
      <c r="E1014" s="4">
        <f t="shared" si="3"/>
        <v>2.67825</v>
      </c>
      <c r="F1014" s="2">
        <f t="shared" si="4"/>
        <v>40179</v>
      </c>
    </row>
    <row r="1015" ht="12.75" customHeight="1">
      <c r="A1015" s="2">
        <v>40196.0</v>
      </c>
      <c r="B1015" s="77">
        <f t="shared" si="1"/>
        <v>1</v>
      </c>
      <c r="C1015" s="78">
        <f t="shared" si="2"/>
        <v>2010</v>
      </c>
      <c r="D1015" s="77">
        <v>2.703</v>
      </c>
      <c r="E1015" s="4">
        <f t="shared" si="3"/>
        <v>2.67825</v>
      </c>
      <c r="F1015" s="2">
        <f t="shared" si="4"/>
        <v>40179</v>
      </c>
    </row>
    <row r="1016" ht="12.75" customHeight="1">
      <c r="A1016" s="2">
        <v>40203.0</v>
      </c>
      <c r="B1016" s="77">
        <f t="shared" si="1"/>
        <v>1</v>
      </c>
      <c r="C1016" s="78">
        <f t="shared" si="2"/>
        <v>2010</v>
      </c>
      <c r="D1016" s="77">
        <v>2.666</v>
      </c>
      <c r="E1016" s="4">
        <f t="shared" si="3"/>
        <v>2.67825</v>
      </c>
      <c r="F1016" s="2">
        <f t="shared" si="4"/>
        <v>40179</v>
      </c>
    </row>
    <row r="1017" ht="12.75" customHeight="1">
      <c r="A1017" s="2">
        <v>40210.0</v>
      </c>
      <c r="B1017" s="77">
        <f t="shared" si="1"/>
        <v>2</v>
      </c>
      <c r="C1017" s="78">
        <f t="shared" si="2"/>
        <v>2010</v>
      </c>
      <c r="D1017" s="77">
        <v>2.618</v>
      </c>
      <c r="E1017" s="4">
        <f t="shared" si="3"/>
        <v>2.60325</v>
      </c>
      <c r="F1017" s="2">
        <f t="shared" si="4"/>
        <v>40210</v>
      </c>
    </row>
    <row r="1018" ht="12.75" customHeight="1">
      <c r="A1018" s="2">
        <v>40217.0</v>
      </c>
      <c r="B1018" s="77">
        <f t="shared" si="1"/>
        <v>2</v>
      </c>
      <c r="C1018" s="78">
        <f t="shared" si="2"/>
        <v>2010</v>
      </c>
      <c r="D1018" s="77">
        <v>2.611</v>
      </c>
      <c r="E1018" s="4">
        <f t="shared" si="3"/>
        <v>2.60325</v>
      </c>
      <c r="F1018" s="2">
        <f t="shared" si="4"/>
        <v>40210</v>
      </c>
    </row>
    <row r="1019" ht="12.75" customHeight="1">
      <c r="A1019" s="2">
        <v>40224.0</v>
      </c>
      <c r="B1019" s="77">
        <f t="shared" si="1"/>
        <v>2</v>
      </c>
      <c r="C1019" s="78">
        <f t="shared" si="2"/>
        <v>2010</v>
      </c>
      <c r="D1019" s="77">
        <v>2.563</v>
      </c>
      <c r="E1019" s="4">
        <f t="shared" si="3"/>
        <v>2.60325</v>
      </c>
      <c r="F1019" s="2">
        <f t="shared" si="4"/>
        <v>40210</v>
      </c>
    </row>
    <row r="1020" ht="12.75" customHeight="1">
      <c r="A1020" s="2">
        <v>40231.0</v>
      </c>
      <c r="B1020" s="77">
        <f t="shared" si="1"/>
        <v>2</v>
      </c>
      <c r="C1020" s="78">
        <f t="shared" si="2"/>
        <v>2010</v>
      </c>
      <c r="D1020" s="77">
        <v>2.621</v>
      </c>
      <c r="E1020" s="4">
        <f t="shared" si="3"/>
        <v>2.60325</v>
      </c>
      <c r="F1020" s="2">
        <f t="shared" si="4"/>
        <v>40210</v>
      </c>
    </row>
    <row r="1021" ht="12.75" customHeight="1">
      <c r="A1021" s="2">
        <v>40238.0</v>
      </c>
      <c r="B1021" s="77">
        <f t="shared" si="1"/>
        <v>3</v>
      </c>
      <c r="C1021" s="78">
        <f t="shared" si="2"/>
        <v>2010</v>
      </c>
      <c r="D1021" s="77">
        <v>2.671</v>
      </c>
      <c r="E1021" s="4">
        <f t="shared" si="3"/>
        <v>2.7418</v>
      </c>
      <c r="F1021" s="2">
        <f t="shared" si="4"/>
        <v>40238</v>
      </c>
    </row>
    <row r="1022" ht="12.75" customHeight="1">
      <c r="A1022" s="2">
        <v>40245.0</v>
      </c>
      <c r="B1022" s="77">
        <f t="shared" si="1"/>
        <v>3</v>
      </c>
      <c r="C1022" s="78">
        <f t="shared" si="2"/>
        <v>2010</v>
      </c>
      <c r="D1022" s="77">
        <v>2.721</v>
      </c>
      <c r="E1022" s="4">
        <f t="shared" si="3"/>
        <v>2.7418</v>
      </c>
      <c r="F1022" s="2">
        <f t="shared" si="4"/>
        <v>40238</v>
      </c>
    </row>
    <row r="1023" ht="12.75" customHeight="1">
      <c r="A1023" s="2">
        <v>40252.0</v>
      </c>
      <c r="B1023" s="77">
        <f t="shared" si="1"/>
        <v>3</v>
      </c>
      <c r="C1023" s="78">
        <f t="shared" si="2"/>
        <v>2010</v>
      </c>
      <c r="D1023" s="77">
        <v>2.76</v>
      </c>
      <c r="E1023" s="4">
        <f t="shared" si="3"/>
        <v>2.7418</v>
      </c>
      <c r="F1023" s="2">
        <f t="shared" si="4"/>
        <v>40238</v>
      </c>
    </row>
    <row r="1024" ht="12.75" customHeight="1">
      <c r="A1024" s="2">
        <v>40259.0</v>
      </c>
      <c r="B1024" s="77">
        <f t="shared" si="1"/>
        <v>3</v>
      </c>
      <c r="C1024" s="78">
        <f t="shared" si="2"/>
        <v>2010</v>
      </c>
      <c r="D1024" s="77">
        <v>2.792</v>
      </c>
      <c r="E1024" s="4">
        <f t="shared" si="3"/>
        <v>2.7418</v>
      </c>
      <c r="F1024" s="2">
        <f t="shared" si="4"/>
        <v>40238</v>
      </c>
    </row>
    <row r="1025" ht="12.75" customHeight="1">
      <c r="A1025" s="2">
        <v>40266.0</v>
      </c>
      <c r="B1025" s="77">
        <f t="shared" si="1"/>
        <v>3</v>
      </c>
      <c r="C1025" s="78">
        <f t="shared" si="2"/>
        <v>2010</v>
      </c>
      <c r="D1025" s="77">
        <v>2.765</v>
      </c>
      <c r="E1025" s="4">
        <f t="shared" si="3"/>
        <v>2.7418</v>
      </c>
      <c r="F1025" s="2">
        <f t="shared" si="4"/>
        <v>40238</v>
      </c>
    </row>
    <row r="1026" ht="12.75" customHeight="1">
      <c r="A1026" s="2">
        <v>40273.0</v>
      </c>
      <c r="B1026" s="77">
        <f t="shared" si="1"/>
        <v>4</v>
      </c>
      <c r="C1026" s="78">
        <f t="shared" si="2"/>
        <v>2010</v>
      </c>
      <c r="D1026" s="77">
        <v>2.795</v>
      </c>
      <c r="E1026" s="4">
        <f t="shared" si="3"/>
        <v>2.8175</v>
      </c>
      <c r="F1026" s="2">
        <f t="shared" si="4"/>
        <v>40269</v>
      </c>
    </row>
    <row r="1027" ht="12.75" customHeight="1">
      <c r="A1027" s="2">
        <v>40280.0</v>
      </c>
      <c r="B1027" s="77">
        <f t="shared" si="1"/>
        <v>4</v>
      </c>
      <c r="C1027" s="78">
        <f t="shared" si="2"/>
        <v>2010</v>
      </c>
      <c r="D1027" s="77">
        <v>2.829</v>
      </c>
      <c r="E1027" s="4">
        <f t="shared" si="3"/>
        <v>2.8175</v>
      </c>
      <c r="F1027" s="2">
        <f t="shared" si="4"/>
        <v>40269</v>
      </c>
    </row>
    <row r="1028" ht="12.75" customHeight="1">
      <c r="A1028" s="2">
        <v>40287.0</v>
      </c>
      <c r="B1028" s="77">
        <f t="shared" si="1"/>
        <v>4</v>
      </c>
      <c r="C1028" s="78">
        <f t="shared" si="2"/>
        <v>2010</v>
      </c>
      <c r="D1028" s="77">
        <v>2.831</v>
      </c>
      <c r="E1028" s="4">
        <f t="shared" si="3"/>
        <v>2.8175</v>
      </c>
      <c r="F1028" s="2">
        <f t="shared" si="4"/>
        <v>40269</v>
      </c>
    </row>
    <row r="1029" ht="12.75" customHeight="1">
      <c r="A1029" s="2">
        <v>40294.0</v>
      </c>
      <c r="B1029" s="77">
        <f t="shared" si="1"/>
        <v>4</v>
      </c>
      <c r="C1029" s="78">
        <f t="shared" si="2"/>
        <v>2010</v>
      </c>
      <c r="D1029" s="77">
        <v>2.815</v>
      </c>
      <c r="E1029" s="4">
        <f t="shared" si="3"/>
        <v>2.8175</v>
      </c>
      <c r="F1029" s="2">
        <f t="shared" si="4"/>
        <v>40269</v>
      </c>
    </row>
    <row r="1030" ht="12.75" customHeight="1">
      <c r="A1030" s="2">
        <v>40301.0</v>
      </c>
      <c r="B1030" s="77">
        <f t="shared" si="1"/>
        <v>5</v>
      </c>
      <c r="C1030" s="78">
        <f t="shared" si="2"/>
        <v>2010</v>
      </c>
      <c r="D1030" s="77">
        <v>2.864</v>
      </c>
      <c r="E1030" s="4">
        <f t="shared" si="3"/>
        <v>2.7954</v>
      </c>
      <c r="F1030" s="2">
        <f t="shared" si="4"/>
        <v>40299</v>
      </c>
    </row>
    <row r="1031" ht="12.75" customHeight="1">
      <c r="A1031" s="2">
        <v>40308.0</v>
      </c>
      <c r="B1031" s="77">
        <f t="shared" si="1"/>
        <v>5</v>
      </c>
      <c r="C1031" s="78">
        <f t="shared" si="2"/>
        <v>2010</v>
      </c>
      <c r="D1031" s="77">
        <v>2.87</v>
      </c>
      <c r="E1031" s="4">
        <f t="shared" si="3"/>
        <v>2.7954</v>
      </c>
      <c r="F1031" s="2">
        <f t="shared" si="4"/>
        <v>40299</v>
      </c>
    </row>
    <row r="1032" ht="12.75" customHeight="1">
      <c r="A1032" s="2">
        <v>40315.0</v>
      </c>
      <c r="B1032" s="77">
        <f t="shared" si="1"/>
        <v>5</v>
      </c>
      <c r="C1032" s="78">
        <f t="shared" si="2"/>
        <v>2010</v>
      </c>
      <c r="D1032" s="77">
        <v>2.823</v>
      </c>
      <c r="E1032" s="4">
        <f t="shared" si="3"/>
        <v>2.7954</v>
      </c>
      <c r="F1032" s="2">
        <f t="shared" si="4"/>
        <v>40299</v>
      </c>
    </row>
    <row r="1033" ht="12.75" customHeight="1">
      <c r="A1033" s="2">
        <v>40322.0</v>
      </c>
      <c r="B1033" s="77">
        <f t="shared" si="1"/>
        <v>5</v>
      </c>
      <c r="C1033" s="78">
        <f t="shared" si="2"/>
        <v>2010</v>
      </c>
      <c r="D1033" s="77">
        <v>2.741</v>
      </c>
      <c r="E1033" s="4">
        <f t="shared" si="3"/>
        <v>2.7954</v>
      </c>
      <c r="F1033" s="2">
        <f t="shared" si="4"/>
        <v>40299</v>
      </c>
    </row>
    <row r="1034" ht="12.75" customHeight="1">
      <c r="A1034" s="2">
        <v>40329.0</v>
      </c>
      <c r="B1034" s="77">
        <f t="shared" si="1"/>
        <v>5</v>
      </c>
      <c r="C1034" s="78">
        <f t="shared" si="2"/>
        <v>2010</v>
      </c>
      <c r="D1034" s="77">
        <v>2.679</v>
      </c>
      <c r="E1034" s="4">
        <f t="shared" si="3"/>
        <v>2.7954</v>
      </c>
      <c r="F1034" s="2">
        <f t="shared" si="4"/>
        <v>40299</v>
      </c>
    </row>
    <row r="1035" ht="12.75" customHeight="1">
      <c r="A1035" s="2">
        <v>40336.0</v>
      </c>
      <c r="B1035" s="77">
        <f t="shared" si="1"/>
        <v>6</v>
      </c>
      <c r="C1035" s="78">
        <f t="shared" si="2"/>
        <v>2010</v>
      </c>
      <c r="D1035" s="77">
        <v>2.674</v>
      </c>
      <c r="E1035" s="4">
        <f t="shared" si="3"/>
        <v>2.6835</v>
      </c>
      <c r="F1035" s="2">
        <f t="shared" si="4"/>
        <v>40330</v>
      </c>
    </row>
    <row r="1036" ht="12.75" customHeight="1">
      <c r="A1036" s="2">
        <v>40343.0</v>
      </c>
      <c r="B1036" s="77">
        <f t="shared" si="1"/>
        <v>6</v>
      </c>
      <c r="C1036" s="78">
        <f t="shared" si="2"/>
        <v>2010</v>
      </c>
      <c r="D1036" s="77">
        <v>2.652</v>
      </c>
      <c r="E1036" s="4">
        <f t="shared" si="3"/>
        <v>2.6835</v>
      </c>
      <c r="F1036" s="2">
        <f t="shared" si="4"/>
        <v>40330</v>
      </c>
    </row>
    <row r="1037" ht="12.75" customHeight="1">
      <c r="A1037" s="2">
        <v>40350.0</v>
      </c>
      <c r="B1037" s="77">
        <f t="shared" si="1"/>
        <v>6</v>
      </c>
      <c r="C1037" s="78">
        <f t="shared" si="2"/>
        <v>2010</v>
      </c>
      <c r="D1037" s="77">
        <v>2.696</v>
      </c>
      <c r="E1037" s="4">
        <f t="shared" si="3"/>
        <v>2.6835</v>
      </c>
      <c r="F1037" s="2">
        <f t="shared" si="4"/>
        <v>40330</v>
      </c>
    </row>
    <row r="1038" ht="12.75" customHeight="1">
      <c r="A1038" s="2">
        <v>40357.0</v>
      </c>
      <c r="B1038" s="77">
        <f t="shared" si="1"/>
        <v>6</v>
      </c>
      <c r="C1038" s="78">
        <f t="shared" si="2"/>
        <v>2010</v>
      </c>
      <c r="D1038" s="77">
        <v>2.712</v>
      </c>
      <c r="E1038" s="4">
        <f t="shared" si="3"/>
        <v>2.6835</v>
      </c>
      <c r="F1038" s="2">
        <f t="shared" si="4"/>
        <v>40330</v>
      </c>
    </row>
    <row r="1039" ht="12.75" customHeight="1">
      <c r="A1039" s="2">
        <v>40364.0</v>
      </c>
      <c r="B1039" s="77">
        <f t="shared" si="1"/>
        <v>7</v>
      </c>
      <c r="C1039" s="78">
        <f t="shared" si="2"/>
        <v>2010</v>
      </c>
      <c r="D1039" s="77">
        <v>2.676</v>
      </c>
      <c r="E1039" s="4">
        <f t="shared" si="3"/>
        <v>2.67925</v>
      </c>
      <c r="F1039" s="2">
        <f t="shared" si="4"/>
        <v>40360</v>
      </c>
    </row>
    <row r="1040" ht="12.75" customHeight="1">
      <c r="A1040" s="2">
        <v>40371.0</v>
      </c>
      <c r="B1040" s="77">
        <f t="shared" si="1"/>
        <v>7</v>
      </c>
      <c r="C1040" s="78">
        <f t="shared" si="2"/>
        <v>2010</v>
      </c>
      <c r="D1040" s="77">
        <v>2.666</v>
      </c>
      <c r="E1040" s="4">
        <f t="shared" si="3"/>
        <v>2.67925</v>
      </c>
      <c r="F1040" s="2">
        <f t="shared" si="4"/>
        <v>40360</v>
      </c>
    </row>
    <row r="1041" ht="12.75" customHeight="1">
      <c r="A1041" s="2">
        <v>40378.0</v>
      </c>
      <c r="B1041" s="77">
        <f t="shared" si="1"/>
        <v>7</v>
      </c>
      <c r="C1041" s="78">
        <f t="shared" si="2"/>
        <v>2010</v>
      </c>
      <c r="D1041" s="77">
        <v>2.672</v>
      </c>
      <c r="E1041" s="4">
        <f t="shared" si="3"/>
        <v>2.67925</v>
      </c>
      <c r="F1041" s="2">
        <f t="shared" si="4"/>
        <v>40360</v>
      </c>
    </row>
    <row r="1042" ht="12.75" customHeight="1">
      <c r="A1042" s="2">
        <v>40385.0</v>
      </c>
      <c r="B1042" s="77">
        <f t="shared" si="1"/>
        <v>7</v>
      </c>
      <c r="C1042" s="78">
        <f t="shared" si="2"/>
        <v>2010</v>
      </c>
      <c r="D1042" s="77">
        <v>2.703</v>
      </c>
      <c r="E1042" s="4">
        <f t="shared" si="3"/>
        <v>2.67925</v>
      </c>
      <c r="F1042" s="2">
        <f t="shared" si="4"/>
        <v>40360</v>
      </c>
    </row>
    <row r="1043" ht="12.75" customHeight="1">
      <c r="A1043" s="2">
        <v>40392.0</v>
      </c>
      <c r="B1043" s="77">
        <f t="shared" si="1"/>
        <v>8</v>
      </c>
      <c r="C1043" s="78">
        <f t="shared" si="2"/>
        <v>2010</v>
      </c>
      <c r="D1043" s="77">
        <v>2.687</v>
      </c>
      <c r="E1043" s="4">
        <f t="shared" si="3"/>
        <v>2.6832</v>
      </c>
      <c r="F1043" s="2">
        <f t="shared" si="4"/>
        <v>40391</v>
      </c>
    </row>
    <row r="1044" ht="12.75" customHeight="1">
      <c r="A1044" s="2">
        <v>40399.0</v>
      </c>
      <c r="B1044" s="77">
        <f t="shared" si="1"/>
        <v>8</v>
      </c>
      <c r="C1044" s="78">
        <f t="shared" si="2"/>
        <v>2010</v>
      </c>
      <c r="D1044" s="77">
        <v>2.74</v>
      </c>
      <c r="E1044" s="4">
        <f t="shared" si="3"/>
        <v>2.6832</v>
      </c>
      <c r="F1044" s="2">
        <f t="shared" si="4"/>
        <v>40391</v>
      </c>
    </row>
    <row r="1045" ht="12.75" customHeight="1">
      <c r="A1045" s="2">
        <v>40406.0</v>
      </c>
      <c r="B1045" s="77">
        <f t="shared" si="1"/>
        <v>8</v>
      </c>
      <c r="C1045" s="78">
        <f t="shared" si="2"/>
        <v>2010</v>
      </c>
      <c r="D1045" s="77">
        <v>2.696</v>
      </c>
      <c r="E1045" s="4">
        <f t="shared" si="3"/>
        <v>2.6832</v>
      </c>
      <c r="F1045" s="2">
        <f t="shared" si="4"/>
        <v>40391</v>
      </c>
    </row>
    <row r="1046" ht="12.75" customHeight="1">
      <c r="A1046" s="2">
        <v>40413.0</v>
      </c>
      <c r="B1046" s="77">
        <f t="shared" si="1"/>
        <v>8</v>
      </c>
      <c r="C1046" s="78">
        <f t="shared" si="2"/>
        <v>2010</v>
      </c>
      <c r="D1046" s="77">
        <v>2.653</v>
      </c>
      <c r="E1046" s="4">
        <f t="shared" si="3"/>
        <v>2.6832</v>
      </c>
      <c r="F1046" s="2">
        <f t="shared" si="4"/>
        <v>40391</v>
      </c>
    </row>
    <row r="1047" ht="12.75" customHeight="1">
      <c r="A1047" s="2">
        <v>40420.0</v>
      </c>
      <c r="B1047" s="77">
        <f t="shared" si="1"/>
        <v>8</v>
      </c>
      <c r="C1047" s="78">
        <f t="shared" si="2"/>
        <v>2010</v>
      </c>
      <c r="D1047" s="77">
        <v>2.64</v>
      </c>
      <c r="E1047" s="4">
        <f t="shared" si="3"/>
        <v>2.6832</v>
      </c>
      <c r="F1047" s="2">
        <f t="shared" si="4"/>
        <v>40391</v>
      </c>
    </row>
    <row r="1048" ht="12.75" customHeight="1">
      <c r="A1048" s="2">
        <v>40427.0</v>
      </c>
      <c r="B1048" s="77">
        <f t="shared" si="1"/>
        <v>9</v>
      </c>
      <c r="C1048" s="78">
        <f t="shared" si="2"/>
        <v>2010</v>
      </c>
      <c r="D1048" s="77">
        <v>2.647</v>
      </c>
      <c r="E1048" s="4">
        <f t="shared" si="3"/>
        <v>2.67825</v>
      </c>
      <c r="F1048" s="2">
        <f t="shared" si="4"/>
        <v>40422</v>
      </c>
    </row>
    <row r="1049" ht="12.75" customHeight="1">
      <c r="A1049" s="2">
        <v>40434.0</v>
      </c>
      <c r="B1049" s="77">
        <f t="shared" si="1"/>
        <v>9</v>
      </c>
      <c r="C1049" s="78">
        <f t="shared" si="2"/>
        <v>2010</v>
      </c>
      <c r="D1049" s="77">
        <v>2.695</v>
      </c>
      <c r="E1049" s="4">
        <f t="shared" si="3"/>
        <v>2.67825</v>
      </c>
      <c r="F1049" s="2">
        <f t="shared" si="4"/>
        <v>40422</v>
      </c>
    </row>
    <row r="1050" ht="12.75" customHeight="1">
      <c r="A1050" s="2">
        <v>40441.0</v>
      </c>
      <c r="B1050" s="77">
        <f t="shared" si="1"/>
        <v>9</v>
      </c>
      <c r="C1050" s="78">
        <f t="shared" si="2"/>
        <v>2010</v>
      </c>
      <c r="D1050" s="77">
        <v>2.703</v>
      </c>
      <c r="E1050" s="4">
        <f t="shared" si="3"/>
        <v>2.67825</v>
      </c>
      <c r="F1050" s="2">
        <f t="shared" si="4"/>
        <v>40422</v>
      </c>
    </row>
    <row r="1051" ht="12.75" customHeight="1">
      <c r="A1051" s="2">
        <v>40448.0</v>
      </c>
      <c r="B1051" s="77">
        <f t="shared" si="1"/>
        <v>9</v>
      </c>
      <c r="C1051" s="78">
        <f t="shared" si="2"/>
        <v>2010</v>
      </c>
      <c r="D1051" s="77">
        <v>2.668</v>
      </c>
      <c r="E1051" s="4">
        <f t="shared" si="3"/>
        <v>2.67825</v>
      </c>
      <c r="F1051" s="2">
        <f t="shared" si="4"/>
        <v>40422</v>
      </c>
    </row>
    <row r="1052" ht="12.75" customHeight="1">
      <c r="A1052" s="2">
        <v>40455.0</v>
      </c>
      <c r="B1052" s="77">
        <f t="shared" si="1"/>
        <v>10</v>
      </c>
      <c r="C1052" s="78">
        <f t="shared" si="2"/>
        <v>2010</v>
      </c>
      <c r="D1052" s="77">
        <v>2.705</v>
      </c>
      <c r="E1052" s="4">
        <f t="shared" si="3"/>
        <v>2.76625</v>
      </c>
      <c r="F1052" s="2">
        <f t="shared" si="4"/>
        <v>40452</v>
      </c>
    </row>
    <row r="1053" ht="12.75" customHeight="1">
      <c r="A1053" s="2">
        <v>40462.0</v>
      </c>
      <c r="B1053" s="77">
        <f t="shared" si="1"/>
        <v>10</v>
      </c>
      <c r="C1053" s="78">
        <f t="shared" si="2"/>
        <v>2010</v>
      </c>
      <c r="D1053" s="77">
        <v>2.793</v>
      </c>
      <c r="E1053" s="4">
        <f t="shared" si="3"/>
        <v>2.76625</v>
      </c>
      <c r="F1053" s="2">
        <f t="shared" si="4"/>
        <v>40452</v>
      </c>
    </row>
    <row r="1054" ht="12.75" customHeight="1">
      <c r="A1054" s="2">
        <v>40469.0</v>
      </c>
      <c r="B1054" s="77">
        <f t="shared" si="1"/>
        <v>10</v>
      </c>
      <c r="C1054" s="78">
        <f t="shared" si="2"/>
        <v>2010</v>
      </c>
      <c r="D1054" s="77">
        <v>2.795</v>
      </c>
      <c r="E1054" s="4">
        <f t="shared" si="3"/>
        <v>2.76625</v>
      </c>
      <c r="F1054" s="2">
        <f t="shared" si="4"/>
        <v>40452</v>
      </c>
    </row>
    <row r="1055" ht="12.75" customHeight="1">
      <c r="A1055" s="2">
        <v>40476.0</v>
      </c>
      <c r="B1055" s="77">
        <f t="shared" si="1"/>
        <v>10</v>
      </c>
      <c r="C1055" s="78">
        <f t="shared" si="2"/>
        <v>2010</v>
      </c>
      <c r="D1055" s="77">
        <v>2.772</v>
      </c>
      <c r="E1055" s="4">
        <f t="shared" si="3"/>
        <v>2.76625</v>
      </c>
      <c r="F1055" s="2">
        <f t="shared" si="4"/>
        <v>40452</v>
      </c>
    </row>
    <row r="1056" ht="12.75" customHeight="1">
      <c r="A1056" s="2">
        <v>40483.0</v>
      </c>
      <c r="B1056" s="77">
        <f t="shared" si="1"/>
        <v>11</v>
      </c>
      <c r="C1056" s="78">
        <f t="shared" si="2"/>
        <v>2010</v>
      </c>
      <c r="D1056" s="77">
        <v>2.76</v>
      </c>
      <c r="E1056" s="4">
        <f t="shared" si="3"/>
        <v>2.8148</v>
      </c>
      <c r="F1056" s="2">
        <f t="shared" si="4"/>
        <v>40483</v>
      </c>
    </row>
    <row r="1057" ht="12.75" customHeight="1">
      <c r="A1057" s="2">
        <v>40490.0</v>
      </c>
      <c r="B1057" s="77">
        <f t="shared" si="1"/>
        <v>11</v>
      </c>
      <c r="C1057" s="78">
        <f t="shared" si="2"/>
        <v>2010</v>
      </c>
      <c r="D1057" s="77">
        <v>2.832</v>
      </c>
      <c r="E1057" s="4">
        <f t="shared" si="3"/>
        <v>2.8148</v>
      </c>
      <c r="F1057" s="2">
        <f t="shared" si="4"/>
        <v>40483</v>
      </c>
    </row>
    <row r="1058" ht="12.75" customHeight="1">
      <c r="A1058" s="2">
        <v>40497.0</v>
      </c>
      <c r="B1058" s="77">
        <f t="shared" si="1"/>
        <v>11</v>
      </c>
      <c r="C1058" s="78">
        <f t="shared" si="2"/>
        <v>2010</v>
      </c>
      <c r="D1058" s="77">
        <v>2.849</v>
      </c>
      <c r="E1058" s="4">
        <f t="shared" si="3"/>
        <v>2.8148</v>
      </c>
      <c r="F1058" s="2">
        <f t="shared" si="4"/>
        <v>40483</v>
      </c>
    </row>
    <row r="1059" ht="12.75" customHeight="1">
      <c r="A1059" s="2">
        <v>40504.0</v>
      </c>
      <c r="B1059" s="77">
        <f t="shared" si="1"/>
        <v>11</v>
      </c>
      <c r="C1059" s="78">
        <f t="shared" si="2"/>
        <v>2010</v>
      </c>
      <c r="D1059" s="77">
        <v>2.828</v>
      </c>
      <c r="E1059" s="4">
        <f t="shared" si="3"/>
        <v>2.8148</v>
      </c>
      <c r="F1059" s="2">
        <f t="shared" si="4"/>
        <v>40483</v>
      </c>
    </row>
    <row r="1060" ht="12.75" customHeight="1">
      <c r="A1060" s="2">
        <v>40511.0</v>
      </c>
      <c r="B1060" s="77">
        <f t="shared" si="1"/>
        <v>11</v>
      </c>
      <c r="C1060" s="78">
        <f t="shared" si="2"/>
        <v>2010</v>
      </c>
      <c r="D1060" s="77">
        <v>2.805</v>
      </c>
      <c r="E1060" s="4">
        <f t="shared" si="3"/>
        <v>2.8148</v>
      </c>
      <c r="F1060" s="2">
        <f t="shared" si="4"/>
        <v>40483</v>
      </c>
    </row>
    <row r="1061" ht="12.75" customHeight="1">
      <c r="A1061" s="2">
        <v>40518.0</v>
      </c>
      <c r="B1061" s="77">
        <f t="shared" si="1"/>
        <v>12</v>
      </c>
      <c r="C1061" s="78">
        <f t="shared" si="2"/>
        <v>2010</v>
      </c>
      <c r="D1061" s="77">
        <v>2.917</v>
      </c>
      <c r="E1061" s="4">
        <f t="shared" si="3"/>
        <v>2.95075</v>
      </c>
      <c r="F1061" s="2">
        <f t="shared" si="4"/>
        <v>40513</v>
      </c>
    </row>
    <row r="1062" ht="12.75" customHeight="1">
      <c r="A1062" s="2">
        <v>40525.0</v>
      </c>
      <c r="B1062" s="77">
        <f t="shared" si="1"/>
        <v>12</v>
      </c>
      <c r="C1062" s="78">
        <f t="shared" si="2"/>
        <v>2010</v>
      </c>
      <c r="D1062" s="77">
        <v>2.937</v>
      </c>
      <c r="E1062" s="4">
        <f t="shared" si="3"/>
        <v>2.95075</v>
      </c>
      <c r="F1062" s="2">
        <f t="shared" si="4"/>
        <v>40513</v>
      </c>
    </row>
    <row r="1063" ht="12.75" customHeight="1">
      <c r="A1063" s="2">
        <v>40532.0</v>
      </c>
      <c r="B1063" s="77">
        <f t="shared" si="1"/>
        <v>12</v>
      </c>
      <c r="C1063" s="78">
        <f t="shared" si="2"/>
        <v>2010</v>
      </c>
      <c r="D1063" s="77">
        <v>2.934</v>
      </c>
      <c r="E1063" s="4">
        <f t="shared" si="3"/>
        <v>2.95075</v>
      </c>
      <c r="F1063" s="2">
        <f t="shared" si="4"/>
        <v>40513</v>
      </c>
    </row>
    <row r="1064" ht="12.75" customHeight="1">
      <c r="A1064" s="2">
        <v>40539.0</v>
      </c>
      <c r="B1064" s="77">
        <f t="shared" si="1"/>
        <v>12</v>
      </c>
      <c r="C1064" s="78">
        <f t="shared" si="2"/>
        <v>2010</v>
      </c>
      <c r="D1064" s="77">
        <v>3.015</v>
      </c>
      <c r="E1064" s="4">
        <f t="shared" si="3"/>
        <v>2.95075</v>
      </c>
      <c r="F1064" s="2">
        <f t="shared" si="4"/>
        <v>40513</v>
      </c>
    </row>
    <row r="1065" ht="12.75" customHeight="1">
      <c r="A1065" s="2">
        <v>40546.0</v>
      </c>
      <c r="B1065" s="77">
        <f t="shared" si="1"/>
        <v>1</v>
      </c>
      <c r="C1065" s="78">
        <f t="shared" si="2"/>
        <v>2011</v>
      </c>
      <c r="D1065" s="77">
        <v>3.034</v>
      </c>
      <c r="E1065" s="4">
        <f t="shared" si="3"/>
        <v>3.0578</v>
      </c>
      <c r="F1065" s="2">
        <f t="shared" si="4"/>
        <v>40544</v>
      </c>
    </row>
    <row r="1066" ht="12.75" customHeight="1">
      <c r="A1066" s="2">
        <v>40553.0</v>
      </c>
      <c r="B1066" s="77">
        <f t="shared" si="1"/>
        <v>1</v>
      </c>
      <c r="C1066" s="78">
        <f t="shared" si="2"/>
        <v>2011</v>
      </c>
      <c r="D1066" s="77">
        <v>3.052</v>
      </c>
      <c r="E1066" s="4">
        <f t="shared" si="3"/>
        <v>3.0578</v>
      </c>
      <c r="F1066" s="2">
        <f t="shared" si="4"/>
        <v>40544</v>
      </c>
    </row>
    <row r="1067" ht="12.75" customHeight="1">
      <c r="A1067" s="2">
        <v>40560.0</v>
      </c>
      <c r="B1067" s="77">
        <f t="shared" si="1"/>
        <v>1</v>
      </c>
      <c r="C1067" s="78">
        <f t="shared" si="2"/>
        <v>2011</v>
      </c>
      <c r="D1067" s="77">
        <v>3.068</v>
      </c>
      <c r="E1067" s="4">
        <f t="shared" si="3"/>
        <v>3.0578</v>
      </c>
      <c r="F1067" s="2">
        <f t="shared" si="4"/>
        <v>40544</v>
      </c>
    </row>
    <row r="1068" ht="12.75" customHeight="1">
      <c r="A1068" s="2">
        <v>40567.0</v>
      </c>
      <c r="B1068" s="77">
        <f t="shared" si="1"/>
        <v>1</v>
      </c>
      <c r="C1068" s="78">
        <f t="shared" si="2"/>
        <v>2011</v>
      </c>
      <c r="D1068" s="77">
        <v>3.074</v>
      </c>
      <c r="E1068" s="4">
        <f t="shared" si="3"/>
        <v>3.0578</v>
      </c>
      <c r="F1068" s="2">
        <f t="shared" si="4"/>
        <v>40544</v>
      </c>
    </row>
    <row r="1069" ht="12.75" customHeight="1">
      <c r="A1069" s="2">
        <v>40574.0</v>
      </c>
      <c r="B1069" s="77">
        <f t="shared" si="1"/>
        <v>1</v>
      </c>
      <c r="C1069" s="78">
        <f t="shared" si="2"/>
        <v>2011</v>
      </c>
      <c r="D1069" s="77">
        <v>3.061</v>
      </c>
      <c r="E1069" s="4">
        <f t="shared" si="3"/>
        <v>3.0578</v>
      </c>
      <c r="F1069" s="2">
        <f t="shared" si="4"/>
        <v>40544</v>
      </c>
    </row>
    <row r="1070" ht="12.75" customHeight="1">
      <c r="A1070" s="2">
        <v>40581.0</v>
      </c>
      <c r="B1070" s="77">
        <f t="shared" si="1"/>
        <v>2</v>
      </c>
      <c r="C1070" s="78">
        <f t="shared" si="2"/>
        <v>2011</v>
      </c>
      <c r="D1070" s="77">
        <v>3.094</v>
      </c>
      <c r="E1070" s="4">
        <f t="shared" si="3"/>
        <v>3.16775</v>
      </c>
      <c r="F1070" s="2">
        <f t="shared" si="4"/>
        <v>40575</v>
      </c>
    </row>
    <row r="1071" ht="12.75" customHeight="1">
      <c r="A1071" s="2">
        <v>40588.0</v>
      </c>
      <c r="B1071" s="77">
        <f t="shared" si="1"/>
        <v>2</v>
      </c>
      <c r="C1071" s="78">
        <f t="shared" si="2"/>
        <v>2011</v>
      </c>
      <c r="D1071" s="77">
        <v>3.095</v>
      </c>
      <c r="E1071" s="4">
        <f t="shared" si="3"/>
        <v>3.16775</v>
      </c>
      <c r="F1071" s="2">
        <f t="shared" si="4"/>
        <v>40575</v>
      </c>
    </row>
    <row r="1072" ht="12.75" customHeight="1">
      <c r="A1072" s="2">
        <v>40595.0</v>
      </c>
      <c r="B1072" s="77">
        <f t="shared" si="1"/>
        <v>2</v>
      </c>
      <c r="C1072" s="78">
        <f t="shared" si="2"/>
        <v>2011</v>
      </c>
      <c r="D1072" s="77">
        <v>3.141</v>
      </c>
      <c r="E1072" s="4">
        <f t="shared" si="3"/>
        <v>3.16775</v>
      </c>
      <c r="F1072" s="2">
        <f t="shared" si="4"/>
        <v>40575</v>
      </c>
    </row>
    <row r="1073" ht="12.75" customHeight="1">
      <c r="A1073" s="2">
        <v>40602.0</v>
      </c>
      <c r="B1073" s="77">
        <f t="shared" si="1"/>
        <v>2</v>
      </c>
      <c r="C1073" s="78">
        <f t="shared" si="2"/>
        <v>2011</v>
      </c>
      <c r="D1073" s="77">
        <v>3.341</v>
      </c>
      <c r="E1073" s="4">
        <f t="shared" si="3"/>
        <v>3.16775</v>
      </c>
      <c r="F1073" s="2">
        <f t="shared" si="4"/>
        <v>40575</v>
      </c>
    </row>
    <row r="1074" ht="12.75" customHeight="1">
      <c r="A1074" s="2">
        <v>40609.0</v>
      </c>
      <c r="B1074" s="77">
        <f t="shared" si="1"/>
        <v>3</v>
      </c>
      <c r="C1074" s="78">
        <f t="shared" si="2"/>
        <v>2011</v>
      </c>
      <c r="D1074" s="77">
        <v>3.473</v>
      </c>
      <c r="E1074" s="4">
        <f t="shared" si="3"/>
        <v>3.50875</v>
      </c>
      <c r="F1074" s="2">
        <f t="shared" si="4"/>
        <v>40603</v>
      </c>
    </row>
    <row r="1075" ht="12.75" customHeight="1">
      <c r="A1075" s="2">
        <v>40616.0</v>
      </c>
      <c r="B1075" s="77">
        <f t="shared" si="1"/>
        <v>3</v>
      </c>
      <c r="C1075" s="78">
        <f t="shared" si="2"/>
        <v>2011</v>
      </c>
      <c r="D1075" s="77">
        <v>3.517</v>
      </c>
      <c r="E1075" s="4">
        <f t="shared" si="3"/>
        <v>3.50875</v>
      </c>
      <c r="F1075" s="2">
        <f t="shared" si="4"/>
        <v>40603</v>
      </c>
    </row>
    <row r="1076" ht="12.75" customHeight="1">
      <c r="A1076" s="2">
        <v>40623.0</v>
      </c>
      <c r="B1076" s="77">
        <f t="shared" si="1"/>
        <v>3</v>
      </c>
      <c r="C1076" s="78">
        <f t="shared" si="2"/>
        <v>2011</v>
      </c>
      <c r="D1076" s="77">
        <v>3.507</v>
      </c>
      <c r="E1076" s="4">
        <f t="shared" si="3"/>
        <v>3.50875</v>
      </c>
      <c r="F1076" s="2">
        <f t="shared" si="4"/>
        <v>40603</v>
      </c>
    </row>
    <row r="1077" ht="12.75" customHeight="1">
      <c r="A1077" s="2">
        <v>40630.0</v>
      </c>
      <c r="B1077" s="77">
        <f t="shared" si="1"/>
        <v>3</v>
      </c>
      <c r="C1077" s="78">
        <f t="shared" si="2"/>
        <v>2011</v>
      </c>
      <c r="D1077" s="77">
        <v>3.538</v>
      </c>
      <c r="E1077" s="4">
        <f t="shared" si="3"/>
        <v>3.50875</v>
      </c>
      <c r="F1077" s="2">
        <f t="shared" si="4"/>
        <v>40603</v>
      </c>
    </row>
    <row r="1078" ht="12.75" customHeight="1">
      <c r="A1078" s="2">
        <v>40637.0</v>
      </c>
      <c r="B1078" s="77">
        <f t="shared" si="1"/>
        <v>4</v>
      </c>
      <c r="C1078" s="78">
        <f t="shared" si="2"/>
        <v>2011</v>
      </c>
      <c r="D1078" s="77">
        <v>3.635</v>
      </c>
      <c r="E1078" s="4">
        <f t="shared" si="3"/>
        <v>3.7455</v>
      </c>
      <c r="F1078" s="2">
        <f t="shared" si="4"/>
        <v>40634</v>
      </c>
    </row>
    <row r="1079" ht="12.75" customHeight="1">
      <c r="A1079" s="2">
        <v>40644.0</v>
      </c>
      <c r="B1079" s="77">
        <f t="shared" si="1"/>
        <v>4</v>
      </c>
      <c r="C1079" s="78">
        <f t="shared" si="2"/>
        <v>2011</v>
      </c>
      <c r="D1079" s="77">
        <v>3.743</v>
      </c>
      <c r="E1079" s="4">
        <f t="shared" si="3"/>
        <v>3.7455</v>
      </c>
      <c r="F1079" s="2">
        <f t="shared" si="4"/>
        <v>40634</v>
      </c>
    </row>
    <row r="1080" ht="12.75" customHeight="1">
      <c r="A1080" s="2">
        <v>40651.0</v>
      </c>
      <c r="B1080" s="77">
        <f t="shared" si="1"/>
        <v>4</v>
      </c>
      <c r="C1080" s="78">
        <f t="shared" si="2"/>
        <v>2011</v>
      </c>
      <c r="D1080" s="77">
        <v>3.787</v>
      </c>
      <c r="E1080" s="4">
        <f t="shared" si="3"/>
        <v>3.7455</v>
      </c>
      <c r="F1080" s="2">
        <f t="shared" si="4"/>
        <v>40634</v>
      </c>
    </row>
    <row r="1081" ht="12.75" customHeight="1">
      <c r="A1081" s="2">
        <v>40658.0</v>
      </c>
      <c r="B1081" s="77">
        <f t="shared" si="1"/>
        <v>4</v>
      </c>
      <c r="C1081" s="78">
        <f t="shared" si="2"/>
        <v>2011</v>
      </c>
      <c r="D1081" s="77">
        <v>3.817</v>
      </c>
      <c r="E1081" s="4">
        <f t="shared" si="3"/>
        <v>3.7455</v>
      </c>
      <c r="F1081" s="2">
        <f t="shared" si="4"/>
        <v>40634</v>
      </c>
    </row>
    <row r="1082" ht="12.75" customHeight="1">
      <c r="A1082" s="2">
        <v>40665.0</v>
      </c>
      <c r="B1082" s="77">
        <f t="shared" si="1"/>
        <v>5</v>
      </c>
      <c r="C1082" s="78">
        <f t="shared" si="2"/>
        <v>2011</v>
      </c>
      <c r="D1082" s="77">
        <v>3.906</v>
      </c>
      <c r="E1082" s="4">
        <f t="shared" si="3"/>
        <v>3.8494</v>
      </c>
      <c r="F1082" s="2">
        <f t="shared" si="4"/>
        <v>40664</v>
      </c>
    </row>
    <row r="1083" ht="12.75" customHeight="1">
      <c r="A1083" s="2">
        <v>40672.0</v>
      </c>
      <c r="B1083" s="77">
        <f t="shared" si="1"/>
        <v>5</v>
      </c>
      <c r="C1083" s="78">
        <f t="shared" si="2"/>
        <v>2011</v>
      </c>
      <c r="D1083" s="77">
        <v>3.907</v>
      </c>
      <c r="E1083" s="4">
        <f t="shared" si="3"/>
        <v>3.8494</v>
      </c>
      <c r="F1083" s="2">
        <f t="shared" si="4"/>
        <v>40664</v>
      </c>
    </row>
    <row r="1084" ht="12.75" customHeight="1">
      <c r="A1084" s="2">
        <v>40679.0</v>
      </c>
      <c r="B1084" s="77">
        <f t="shared" si="1"/>
        <v>5</v>
      </c>
      <c r="C1084" s="78">
        <f t="shared" si="2"/>
        <v>2011</v>
      </c>
      <c r="D1084" s="77">
        <v>3.905</v>
      </c>
      <c r="E1084" s="4">
        <f t="shared" si="3"/>
        <v>3.8494</v>
      </c>
      <c r="F1084" s="2">
        <f t="shared" si="4"/>
        <v>40664</v>
      </c>
    </row>
    <row r="1085" ht="12.75" customHeight="1">
      <c r="A1085" s="2">
        <v>40686.0</v>
      </c>
      <c r="B1085" s="77">
        <f t="shared" si="1"/>
        <v>5</v>
      </c>
      <c r="C1085" s="78">
        <f t="shared" si="2"/>
        <v>2011</v>
      </c>
      <c r="D1085" s="77">
        <v>3.788</v>
      </c>
      <c r="E1085" s="4">
        <f t="shared" si="3"/>
        <v>3.8494</v>
      </c>
      <c r="F1085" s="2">
        <f t="shared" si="4"/>
        <v>40664</v>
      </c>
    </row>
    <row r="1086" ht="12.75" customHeight="1">
      <c r="A1086" s="2">
        <v>40693.0</v>
      </c>
      <c r="B1086" s="77">
        <f t="shared" si="1"/>
        <v>5</v>
      </c>
      <c r="C1086" s="78">
        <f t="shared" si="2"/>
        <v>2011</v>
      </c>
      <c r="D1086" s="77">
        <v>3.741</v>
      </c>
      <c r="E1086" s="4">
        <f t="shared" si="3"/>
        <v>3.8494</v>
      </c>
      <c r="F1086" s="2">
        <f t="shared" si="4"/>
        <v>40664</v>
      </c>
    </row>
    <row r="1087" ht="12.75" customHeight="1">
      <c r="A1087" s="2">
        <v>40700.0</v>
      </c>
      <c r="B1087" s="77">
        <f t="shared" si="1"/>
        <v>6</v>
      </c>
      <c r="C1087" s="78">
        <f t="shared" si="2"/>
        <v>2011</v>
      </c>
      <c r="D1087" s="77">
        <v>3.738</v>
      </c>
      <c r="E1087" s="4">
        <f t="shared" si="3"/>
        <v>3.628</v>
      </c>
      <c r="F1087" s="2">
        <f t="shared" si="4"/>
        <v>40695</v>
      </c>
    </row>
    <row r="1088" ht="12.75" customHeight="1">
      <c r="A1088" s="2">
        <v>40707.0</v>
      </c>
      <c r="B1088" s="77">
        <f t="shared" si="1"/>
        <v>6</v>
      </c>
      <c r="C1088" s="78">
        <f t="shared" si="2"/>
        <v>2011</v>
      </c>
      <c r="D1088" s="77">
        <v>3.664</v>
      </c>
      <c r="E1088" s="4">
        <f t="shared" si="3"/>
        <v>3.628</v>
      </c>
      <c r="F1088" s="2">
        <f t="shared" si="4"/>
        <v>40695</v>
      </c>
    </row>
    <row r="1089" ht="12.75" customHeight="1">
      <c r="A1089" s="2">
        <v>40714.0</v>
      </c>
      <c r="B1089" s="77">
        <f t="shared" si="1"/>
        <v>6</v>
      </c>
      <c r="C1089" s="78">
        <f t="shared" si="2"/>
        <v>2011</v>
      </c>
      <c r="D1089" s="77">
        <v>3.597</v>
      </c>
      <c r="E1089" s="4">
        <f t="shared" si="3"/>
        <v>3.628</v>
      </c>
      <c r="F1089" s="2">
        <f t="shared" si="4"/>
        <v>40695</v>
      </c>
    </row>
    <row r="1090" ht="12.75" customHeight="1">
      <c r="A1090" s="2">
        <v>40721.0</v>
      </c>
      <c r="B1090" s="77">
        <f t="shared" si="1"/>
        <v>6</v>
      </c>
      <c r="C1090" s="78">
        <f t="shared" si="2"/>
        <v>2011</v>
      </c>
      <c r="D1090" s="77">
        <v>3.513</v>
      </c>
      <c r="E1090" s="4">
        <f t="shared" si="3"/>
        <v>3.628</v>
      </c>
      <c r="F1090" s="2">
        <f t="shared" si="4"/>
        <v>40695</v>
      </c>
    </row>
    <row r="1091" ht="12.75" customHeight="1">
      <c r="A1091" s="2">
        <v>40728.0</v>
      </c>
      <c r="B1091" s="77">
        <f t="shared" si="1"/>
        <v>7</v>
      </c>
      <c r="C1091" s="78">
        <f t="shared" si="2"/>
        <v>2011</v>
      </c>
      <c r="D1091" s="77">
        <v>3.534</v>
      </c>
      <c r="E1091" s="4">
        <f t="shared" si="3"/>
        <v>3.61425</v>
      </c>
      <c r="F1091" s="2">
        <f t="shared" si="4"/>
        <v>40725</v>
      </c>
    </row>
    <row r="1092" ht="12.75" customHeight="1">
      <c r="A1092" s="2">
        <v>40735.0</v>
      </c>
      <c r="B1092" s="77">
        <f t="shared" si="1"/>
        <v>7</v>
      </c>
      <c r="C1092" s="78">
        <f t="shared" si="2"/>
        <v>2011</v>
      </c>
      <c r="D1092" s="77">
        <v>3.608</v>
      </c>
      <c r="E1092" s="4">
        <f t="shared" si="3"/>
        <v>3.61425</v>
      </c>
      <c r="F1092" s="2">
        <f t="shared" si="4"/>
        <v>40725</v>
      </c>
    </row>
    <row r="1093" ht="12.75" customHeight="1">
      <c r="A1093" s="2">
        <v>40742.0</v>
      </c>
      <c r="B1093" s="77">
        <f t="shared" si="1"/>
        <v>7</v>
      </c>
      <c r="C1093" s="78">
        <f t="shared" si="2"/>
        <v>2011</v>
      </c>
      <c r="D1093" s="77">
        <v>3.648</v>
      </c>
      <c r="E1093" s="4">
        <f t="shared" si="3"/>
        <v>3.61425</v>
      </c>
      <c r="F1093" s="2">
        <f t="shared" si="4"/>
        <v>40725</v>
      </c>
    </row>
    <row r="1094" ht="12.75" customHeight="1">
      <c r="A1094" s="2">
        <v>40749.0</v>
      </c>
      <c r="B1094" s="77">
        <f t="shared" si="1"/>
        <v>7</v>
      </c>
      <c r="C1094" s="78">
        <f t="shared" si="2"/>
        <v>2011</v>
      </c>
      <c r="D1094" s="77">
        <v>3.667</v>
      </c>
      <c r="E1094" s="4">
        <f t="shared" si="3"/>
        <v>3.61425</v>
      </c>
      <c r="F1094" s="2">
        <f t="shared" si="4"/>
        <v>40725</v>
      </c>
    </row>
    <row r="1095" ht="12.75" customHeight="1">
      <c r="A1095" s="2">
        <v>40756.0</v>
      </c>
      <c r="B1095" s="77">
        <f t="shared" si="1"/>
        <v>8</v>
      </c>
      <c r="C1095" s="78">
        <f t="shared" si="2"/>
        <v>2011</v>
      </c>
      <c r="D1095" s="77">
        <v>3.684</v>
      </c>
      <c r="E1095" s="4">
        <f t="shared" si="3"/>
        <v>3.6118</v>
      </c>
      <c r="F1095" s="2">
        <f t="shared" si="4"/>
        <v>40756</v>
      </c>
    </row>
    <row r="1096" ht="12.75" customHeight="1">
      <c r="A1096" s="2">
        <v>40763.0</v>
      </c>
      <c r="B1096" s="77">
        <f t="shared" si="1"/>
        <v>8</v>
      </c>
      <c r="C1096" s="78">
        <f t="shared" si="2"/>
        <v>2011</v>
      </c>
      <c r="D1096" s="77">
        <v>3.646</v>
      </c>
      <c r="E1096" s="4">
        <f t="shared" si="3"/>
        <v>3.6118</v>
      </c>
      <c r="F1096" s="2">
        <f t="shared" si="4"/>
        <v>40756</v>
      </c>
    </row>
    <row r="1097" ht="12.75" customHeight="1">
      <c r="A1097" s="2">
        <v>40770.0</v>
      </c>
      <c r="B1097" s="77">
        <f t="shared" si="1"/>
        <v>8</v>
      </c>
      <c r="C1097" s="78">
        <f t="shared" si="2"/>
        <v>2011</v>
      </c>
      <c r="D1097" s="77">
        <v>3.576</v>
      </c>
      <c r="E1097" s="4">
        <f t="shared" si="3"/>
        <v>3.6118</v>
      </c>
      <c r="F1097" s="2">
        <f t="shared" si="4"/>
        <v>40756</v>
      </c>
    </row>
    <row r="1098" ht="12.75" customHeight="1">
      <c r="A1098" s="2">
        <v>40777.0</v>
      </c>
      <c r="B1098" s="77">
        <f t="shared" si="1"/>
        <v>8</v>
      </c>
      <c r="C1098" s="78">
        <f t="shared" si="2"/>
        <v>2011</v>
      </c>
      <c r="D1098" s="77">
        <v>3.552</v>
      </c>
      <c r="E1098" s="4">
        <f t="shared" si="3"/>
        <v>3.6118</v>
      </c>
      <c r="F1098" s="2">
        <f t="shared" si="4"/>
        <v>40756</v>
      </c>
    </row>
    <row r="1099" ht="12.75" customHeight="1">
      <c r="A1099" s="2">
        <v>40784.0</v>
      </c>
      <c r="B1099" s="77">
        <f t="shared" si="1"/>
        <v>8</v>
      </c>
      <c r="C1099" s="78">
        <f t="shared" si="2"/>
        <v>2011</v>
      </c>
      <c r="D1099" s="77">
        <v>3.601</v>
      </c>
      <c r="E1099" s="4">
        <f t="shared" si="3"/>
        <v>3.6118</v>
      </c>
      <c r="F1099" s="2">
        <f t="shared" si="4"/>
        <v>40756</v>
      </c>
    </row>
    <row r="1100" ht="12.75" customHeight="1">
      <c r="A1100" s="2">
        <v>40791.0</v>
      </c>
      <c r="B1100" s="77">
        <f t="shared" si="1"/>
        <v>9</v>
      </c>
      <c r="C1100" s="78">
        <f t="shared" si="2"/>
        <v>2011</v>
      </c>
      <c r="D1100" s="77">
        <v>3.643</v>
      </c>
      <c r="E1100" s="4">
        <f t="shared" si="3"/>
        <v>3.57325</v>
      </c>
      <c r="F1100" s="2">
        <f t="shared" si="4"/>
        <v>40787</v>
      </c>
    </row>
    <row r="1101" ht="12.75" customHeight="1">
      <c r="A1101" s="2">
        <v>40798.0</v>
      </c>
      <c r="B1101" s="77">
        <f t="shared" si="1"/>
        <v>9</v>
      </c>
      <c r="C1101" s="78">
        <f t="shared" si="2"/>
        <v>2011</v>
      </c>
      <c r="D1101" s="77">
        <v>3.629</v>
      </c>
      <c r="E1101" s="4">
        <f t="shared" si="3"/>
        <v>3.57325</v>
      </c>
      <c r="F1101" s="2">
        <f t="shared" si="4"/>
        <v>40787</v>
      </c>
    </row>
    <row r="1102" ht="12.75" customHeight="1">
      <c r="A1102" s="2">
        <v>40805.0</v>
      </c>
      <c r="B1102" s="77">
        <f t="shared" si="1"/>
        <v>9</v>
      </c>
      <c r="C1102" s="78">
        <f t="shared" si="2"/>
        <v>2011</v>
      </c>
      <c r="D1102" s="77">
        <v>3.56</v>
      </c>
      <c r="E1102" s="4">
        <f t="shared" si="3"/>
        <v>3.57325</v>
      </c>
      <c r="F1102" s="2">
        <f t="shared" si="4"/>
        <v>40787</v>
      </c>
    </row>
    <row r="1103" ht="12.75" customHeight="1">
      <c r="A1103" s="2">
        <v>40812.0</v>
      </c>
      <c r="B1103" s="77">
        <f t="shared" si="1"/>
        <v>9</v>
      </c>
      <c r="C1103" s="78">
        <f t="shared" si="2"/>
        <v>2011</v>
      </c>
      <c r="D1103" s="77">
        <v>3.461</v>
      </c>
      <c r="E1103" s="4">
        <f t="shared" si="3"/>
        <v>3.57325</v>
      </c>
      <c r="F1103" s="2">
        <f t="shared" si="4"/>
        <v>40787</v>
      </c>
    </row>
    <row r="1104" ht="12.75" customHeight="1">
      <c r="A1104" s="2">
        <v>40819.0</v>
      </c>
      <c r="B1104" s="77">
        <f t="shared" si="1"/>
        <v>10</v>
      </c>
      <c r="C1104" s="78">
        <f t="shared" si="2"/>
        <v>2011</v>
      </c>
      <c r="D1104" s="77">
        <v>3.381</v>
      </c>
      <c r="E1104" s="4">
        <f t="shared" si="3"/>
        <v>3.4</v>
      </c>
      <c r="F1104" s="2">
        <f t="shared" si="4"/>
        <v>40817</v>
      </c>
    </row>
    <row r="1105" ht="12.75" customHeight="1">
      <c r="A1105" s="2">
        <v>40826.0</v>
      </c>
      <c r="B1105" s="77">
        <f t="shared" si="1"/>
        <v>10</v>
      </c>
      <c r="C1105" s="78">
        <f t="shared" si="2"/>
        <v>2011</v>
      </c>
      <c r="D1105" s="77">
        <v>3.368</v>
      </c>
      <c r="E1105" s="4">
        <f t="shared" si="3"/>
        <v>3.4</v>
      </c>
      <c r="F1105" s="2">
        <f t="shared" si="4"/>
        <v>40817</v>
      </c>
    </row>
    <row r="1106" ht="12.75" customHeight="1">
      <c r="A1106" s="2">
        <v>40833.0</v>
      </c>
      <c r="B1106" s="77">
        <f t="shared" si="1"/>
        <v>10</v>
      </c>
      <c r="C1106" s="78">
        <f t="shared" si="2"/>
        <v>2011</v>
      </c>
      <c r="D1106" s="77">
        <v>3.431</v>
      </c>
      <c r="E1106" s="4">
        <f t="shared" si="3"/>
        <v>3.4</v>
      </c>
      <c r="F1106" s="2">
        <f t="shared" si="4"/>
        <v>40817</v>
      </c>
    </row>
    <row r="1107" ht="12.75" customHeight="1">
      <c r="A1107" s="2">
        <v>40840.0</v>
      </c>
      <c r="B1107" s="77">
        <f t="shared" si="1"/>
        <v>10</v>
      </c>
      <c r="C1107" s="78">
        <f t="shared" si="2"/>
        <v>2011</v>
      </c>
      <c r="D1107" s="77">
        <v>3.415</v>
      </c>
      <c r="E1107" s="4">
        <f t="shared" si="3"/>
        <v>3.4</v>
      </c>
      <c r="F1107" s="2">
        <f t="shared" si="4"/>
        <v>40817</v>
      </c>
    </row>
    <row r="1108" ht="12.75" customHeight="1">
      <c r="A1108" s="2">
        <v>40847.0</v>
      </c>
      <c r="B1108" s="77">
        <f t="shared" si="1"/>
        <v>10</v>
      </c>
      <c r="C1108" s="78">
        <f t="shared" si="2"/>
        <v>2011</v>
      </c>
      <c r="D1108" s="77">
        <v>3.405</v>
      </c>
      <c r="E1108" s="4">
        <f t="shared" si="3"/>
        <v>3.4</v>
      </c>
      <c r="F1108" s="2">
        <f t="shared" si="4"/>
        <v>40817</v>
      </c>
    </row>
    <row r="1109" ht="12.75" customHeight="1">
      <c r="A1109" s="2">
        <v>40854.0</v>
      </c>
      <c r="B1109" s="77">
        <f t="shared" si="1"/>
        <v>11</v>
      </c>
      <c r="C1109" s="78">
        <f t="shared" si="2"/>
        <v>2011</v>
      </c>
      <c r="D1109" s="77">
        <v>3.37</v>
      </c>
      <c r="E1109" s="4">
        <f t="shared" si="3"/>
        <v>3.3295</v>
      </c>
      <c r="F1109" s="2">
        <f t="shared" si="4"/>
        <v>40848</v>
      </c>
    </row>
    <row r="1110" ht="12.75" customHeight="1">
      <c r="A1110" s="2">
        <v>40861.0</v>
      </c>
      <c r="B1110" s="77">
        <f t="shared" si="1"/>
        <v>11</v>
      </c>
      <c r="C1110" s="78">
        <f t="shared" si="2"/>
        <v>2011</v>
      </c>
      <c r="D1110" s="77">
        <v>3.388</v>
      </c>
      <c r="E1110" s="4">
        <f t="shared" si="3"/>
        <v>3.3295</v>
      </c>
      <c r="F1110" s="2">
        <f t="shared" si="4"/>
        <v>40848</v>
      </c>
    </row>
    <row r="1111" ht="12.75" customHeight="1">
      <c r="A1111" s="2">
        <v>40868.0</v>
      </c>
      <c r="B1111" s="77">
        <f t="shared" si="1"/>
        <v>11</v>
      </c>
      <c r="C1111" s="78">
        <f t="shared" si="2"/>
        <v>2011</v>
      </c>
      <c r="D1111" s="77">
        <v>3.312</v>
      </c>
      <c r="E1111" s="4">
        <f t="shared" si="3"/>
        <v>3.3295</v>
      </c>
      <c r="F1111" s="2">
        <f t="shared" si="4"/>
        <v>40848</v>
      </c>
    </row>
    <row r="1112" ht="12.75" customHeight="1">
      <c r="A1112" s="2">
        <v>40875.0</v>
      </c>
      <c r="B1112" s="77">
        <f t="shared" si="1"/>
        <v>11</v>
      </c>
      <c r="C1112" s="78">
        <f t="shared" si="2"/>
        <v>2011</v>
      </c>
      <c r="D1112" s="77">
        <v>3.248</v>
      </c>
      <c r="E1112" s="4">
        <f t="shared" si="3"/>
        <v>3.3295</v>
      </c>
      <c r="F1112" s="2">
        <f t="shared" si="4"/>
        <v>40848</v>
      </c>
    </row>
    <row r="1113" ht="12.75" customHeight="1">
      <c r="A1113" s="2">
        <v>40882.0</v>
      </c>
      <c r="B1113" s="77">
        <f t="shared" si="1"/>
        <v>12</v>
      </c>
      <c r="C1113" s="78">
        <f t="shared" si="2"/>
        <v>2011</v>
      </c>
      <c r="D1113" s="77">
        <v>3.24</v>
      </c>
      <c r="E1113" s="4">
        <f t="shared" si="3"/>
        <v>3.22</v>
      </c>
      <c r="F1113" s="2">
        <f t="shared" si="4"/>
        <v>40878</v>
      </c>
    </row>
    <row r="1114" ht="12.75" customHeight="1">
      <c r="A1114" s="2">
        <v>40889.0</v>
      </c>
      <c r="B1114" s="77">
        <f t="shared" si="1"/>
        <v>12</v>
      </c>
      <c r="C1114" s="78">
        <f t="shared" si="2"/>
        <v>2011</v>
      </c>
      <c r="D1114" s="77">
        <v>3.244</v>
      </c>
      <c r="E1114" s="4">
        <f t="shared" si="3"/>
        <v>3.22</v>
      </c>
      <c r="F1114" s="2">
        <f t="shared" si="4"/>
        <v>40878</v>
      </c>
    </row>
    <row r="1115" ht="12.75" customHeight="1">
      <c r="A1115" s="2">
        <v>40896.0</v>
      </c>
      <c r="B1115" s="77">
        <f t="shared" si="1"/>
        <v>12</v>
      </c>
      <c r="C1115" s="78">
        <f t="shared" si="2"/>
        <v>2011</v>
      </c>
      <c r="D1115" s="77">
        <v>3.183</v>
      </c>
      <c r="E1115" s="4">
        <f t="shared" si="3"/>
        <v>3.22</v>
      </c>
      <c r="F1115" s="2">
        <f t="shared" si="4"/>
        <v>40878</v>
      </c>
    </row>
    <row r="1116" ht="12.75" customHeight="1">
      <c r="A1116" s="2">
        <v>40903.0</v>
      </c>
      <c r="B1116" s="77">
        <f t="shared" si="1"/>
        <v>12</v>
      </c>
      <c r="C1116" s="78">
        <f t="shared" si="2"/>
        <v>2011</v>
      </c>
      <c r="D1116" s="77">
        <v>3.213</v>
      </c>
      <c r="E1116" s="4">
        <f t="shared" si="3"/>
        <v>3.22</v>
      </c>
      <c r="F1116" s="2">
        <f t="shared" si="4"/>
        <v>40878</v>
      </c>
    </row>
    <row r="1117" ht="12.75" customHeight="1">
      <c r="A1117" s="2">
        <v>40910.0</v>
      </c>
      <c r="B1117" s="77">
        <f t="shared" si="1"/>
        <v>1</v>
      </c>
      <c r="C1117" s="78">
        <f t="shared" si="2"/>
        <v>2012</v>
      </c>
      <c r="D1117" s="77">
        <v>3.254</v>
      </c>
      <c r="E1117" s="4">
        <f t="shared" si="3"/>
        <v>3.3296</v>
      </c>
      <c r="F1117" s="2">
        <f t="shared" si="4"/>
        <v>40909</v>
      </c>
    </row>
    <row r="1118" ht="12.75" customHeight="1">
      <c r="A1118" s="2">
        <v>40917.0</v>
      </c>
      <c r="B1118" s="77">
        <f t="shared" si="1"/>
        <v>1</v>
      </c>
      <c r="C1118" s="78">
        <f t="shared" si="2"/>
        <v>2012</v>
      </c>
      <c r="D1118" s="77">
        <v>3.333</v>
      </c>
      <c r="E1118" s="4">
        <f t="shared" si="3"/>
        <v>3.3296</v>
      </c>
      <c r="F1118" s="2">
        <f t="shared" si="4"/>
        <v>40909</v>
      </c>
    </row>
    <row r="1119" ht="12.75" customHeight="1">
      <c r="A1119" s="2">
        <v>40924.0</v>
      </c>
      <c r="B1119" s="77">
        <f t="shared" si="1"/>
        <v>1</v>
      </c>
      <c r="C1119" s="78">
        <f t="shared" si="2"/>
        <v>2012</v>
      </c>
      <c r="D1119" s="77">
        <v>3.342</v>
      </c>
      <c r="E1119" s="4">
        <f t="shared" si="3"/>
        <v>3.3296</v>
      </c>
      <c r="F1119" s="2">
        <f t="shared" si="4"/>
        <v>40909</v>
      </c>
    </row>
    <row r="1120" ht="12.75" customHeight="1">
      <c r="A1120" s="2">
        <v>40931.0</v>
      </c>
      <c r="B1120" s="77">
        <f t="shared" si="1"/>
        <v>1</v>
      </c>
      <c r="C1120" s="78">
        <f t="shared" si="2"/>
        <v>2012</v>
      </c>
      <c r="D1120" s="77">
        <v>3.333</v>
      </c>
      <c r="E1120" s="4">
        <f t="shared" si="3"/>
        <v>3.3296</v>
      </c>
      <c r="F1120" s="2">
        <f t="shared" si="4"/>
        <v>40909</v>
      </c>
    </row>
    <row r="1121" ht="12.75" customHeight="1">
      <c r="A1121" s="2">
        <v>40938.0</v>
      </c>
      <c r="B1121" s="77">
        <f t="shared" si="1"/>
        <v>1</v>
      </c>
      <c r="C1121" s="78">
        <f t="shared" si="2"/>
        <v>2012</v>
      </c>
      <c r="D1121" s="77">
        <v>3.386</v>
      </c>
      <c r="E1121" s="4">
        <f t="shared" si="3"/>
        <v>3.3296</v>
      </c>
      <c r="F1121" s="2">
        <f t="shared" si="4"/>
        <v>40909</v>
      </c>
    </row>
    <row r="1122" ht="12.75" customHeight="1">
      <c r="A1122" s="2">
        <v>40945.0</v>
      </c>
      <c r="B1122" s="77">
        <f t="shared" si="1"/>
        <v>2</v>
      </c>
      <c r="C1122" s="78">
        <f t="shared" si="2"/>
        <v>2012</v>
      </c>
      <c r="D1122" s="77">
        <v>3.436</v>
      </c>
      <c r="E1122" s="4">
        <f t="shared" si="3"/>
        <v>3.5165</v>
      </c>
      <c r="F1122" s="2">
        <f t="shared" si="4"/>
        <v>40940</v>
      </c>
    </row>
    <row r="1123" ht="12.75" customHeight="1">
      <c r="A1123" s="2">
        <v>40952.0</v>
      </c>
      <c r="B1123" s="77">
        <f t="shared" si="1"/>
        <v>2</v>
      </c>
      <c r="C1123" s="78">
        <f t="shared" si="2"/>
        <v>2012</v>
      </c>
      <c r="D1123" s="77">
        <v>3.466</v>
      </c>
      <c r="E1123" s="4">
        <f t="shared" si="3"/>
        <v>3.5165</v>
      </c>
      <c r="F1123" s="2">
        <f t="shared" si="4"/>
        <v>40940</v>
      </c>
    </row>
    <row r="1124" ht="12.75" customHeight="1">
      <c r="A1124" s="2">
        <v>40959.0</v>
      </c>
      <c r="B1124" s="77">
        <f t="shared" si="1"/>
        <v>2</v>
      </c>
      <c r="C1124" s="78">
        <f t="shared" si="2"/>
        <v>2012</v>
      </c>
      <c r="D1124" s="77">
        <v>3.523</v>
      </c>
      <c r="E1124" s="4">
        <f t="shared" si="3"/>
        <v>3.5165</v>
      </c>
      <c r="F1124" s="2">
        <f t="shared" si="4"/>
        <v>40940</v>
      </c>
    </row>
    <row r="1125" ht="12.75" customHeight="1">
      <c r="A1125" s="2">
        <v>40966.0</v>
      </c>
      <c r="B1125" s="77">
        <f t="shared" si="1"/>
        <v>2</v>
      </c>
      <c r="C1125" s="78">
        <f t="shared" si="2"/>
        <v>2012</v>
      </c>
      <c r="D1125" s="77">
        <v>3.641</v>
      </c>
      <c r="E1125" s="4">
        <f t="shared" si="3"/>
        <v>3.5165</v>
      </c>
      <c r="F1125" s="2">
        <f t="shared" si="4"/>
        <v>40940</v>
      </c>
    </row>
    <row r="1126" ht="12.75" customHeight="1">
      <c r="A1126" s="2">
        <v>40973.0</v>
      </c>
      <c r="B1126" s="77">
        <f t="shared" si="1"/>
        <v>3</v>
      </c>
      <c r="C1126" s="78">
        <f t="shared" si="2"/>
        <v>2012</v>
      </c>
      <c r="D1126" s="77">
        <v>3.717</v>
      </c>
      <c r="E1126" s="4">
        <f t="shared" si="3"/>
        <v>3.7735</v>
      </c>
      <c r="F1126" s="2">
        <f t="shared" si="4"/>
        <v>40969</v>
      </c>
    </row>
    <row r="1127" ht="12.75" customHeight="1">
      <c r="A1127" s="2">
        <v>40980.0</v>
      </c>
      <c r="B1127" s="77">
        <f t="shared" si="1"/>
        <v>3</v>
      </c>
      <c r="C1127" s="78">
        <f t="shared" si="2"/>
        <v>2012</v>
      </c>
      <c r="D1127" s="77">
        <v>3.747</v>
      </c>
      <c r="E1127" s="4">
        <f t="shared" si="3"/>
        <v>3.7735</v>
      </c>
      <c r="F1127" s="2">
        <f t="shared" si="4"/>
        <v>40969</v>
      </c>
    </row>
    <row r="1128" ht="12.75" customHeight="1">
      <c r="A1128" s="2">
        <v>40987.0</v>
      </c>
      <c r="B1128" s="77">
        <f t="shared" si="1"/>
        <v>3</v>
      </c>
      <c r="C1128" s="78">
        <f t="shared" si="2"/>
        <v>2012</v>
      </c>
      <c r="D1128" s="77">
        <v>3.787</v>
      </c>
      <c r="E1128" s="4">
        <f t="shared" si="3"/>
        <v>3.7735</v>
      </c>
      <c r="F1128" s="2">
        <f t="shared" si="4"/>
        <v>40969</v>
      </c>
    </row>
    <row r="1129" ht="12.75" customHeight="1">
      <c r="A1129" s="2">
        <v>40994.0</v>
      </c>
      <c r="B1129" s="77">
        <f t="shared" si="1"/>
        <v>3</v>
      </c>
      <c r="C1129" s="78">
        <f t="shared" si="2"/>
        <v>2012</v>
      </c>
      <c r="D1129" s="77">
        <v>3.843</v>
      </c>
      <c r="E1129" s="4">
        <f t="shared" si="3"/>
        <v>3.7735</v>
      </c>
      <c r="F1129" s="2">
        <f t="shared" si="4"/>
        <v>40969</v>
      </c>
    </row>
    <row r="1130" ht="12.75" customHeight="1">
      <c r="A1130" s="2">
        <v>41001.0</v>
      </c>
      <c r="B1130" s="77">
        <f t="shared" si="1"/>
        <v>4</v>
      </c>
      <c r="C1130" s="78">
        <f t="shared" si="2"/>
        <v>2012</v>
      </c>
      <c r="D1130" s="77">
        <v>3.874</v>
      </c>
      <c r="E1130" s="4">
        <f t="shared" si="3"/>
        <v>3.8374</v>
      </c>
      <c r="F1130" s="2">
        <f t="shared" si="4"/>
        <v>41000</v>
      </c>
    </row>
    <row r="1131" ht="12.75" customHeight="1">
      <c r="A1131" s="2">
        <v>41008.0</v>
      </c>
      <c r="B1131" s="77">
        <f t="shared" si="1"/>
        <v>4</v>
      </c>
      <c r="C1131" s="78">
        <f t="shared" si="2"/>
        <v>2012</v>
      </c>
      <c r="D1131" s="77">
        <v>3.877</v>
      </c>
      <c r="E1131" s="4">
        <f t="shared" si="3"/>
        <v>3.8374</v>
      </c>
      <c r="F1131" s="2">
        <f t="shared" si="4"/>
        <v>41000</v>
      </c>
    </row>
    <row r="1132" ht="12.75" customHeight="1">
      <c r="A1132" s="2">
        <v>41015.0</v>
      </c>
      <c r="B1132" s="77">
        <f t="shared" si="1"/>
        <v>4</v>
      </c>
      <c r="C1132" s="78">
        <f t="shared" si="2"/>
        <v>2012</v>
      </c>
      <c r="D1132" s="77">
        <v>3.867</v>
      </c>
      <c r="E1132" s="4">
        <f t="shared" si="3"/>
        <v>3.8374</v>
      </c>
      <c r="F1132" s="2">
        <f t="shared" si="4"/>
        <v>41000</v>
      </c>
    </row>
    <row r="1133" ht="12.75" customHeight="1">
      <c r="A1133" s="2">
        <v>41022.0</v>
      </c>
      <c r="B1133" s="77">
        <f t="shared" si="1"/>
        <v>4</v>
      </c>
      <c r="C1133" s="78">
        <f t="shared" si="2"/>
        <v>2012</v>
      </c>
      <c r="D1133" s="77">
        <v>3.805</v>
      </c>
      <c r="E1133" s="4">
        <f t="shared" si="3"/>
        <v>3.8374</v>
      </c>
      <c r="F1133" s="2">
        <f t="shared" si="4"/>
        <v>41000</v>
      </c>
    </row>
    <row r="1134" ht="12.75" customHeight="1">
      <c r="A1134" s="2">
        <v>41029.0</v>
      </c>
      <c r="B1134" s="77">
        <f t="shared" si="1"/>
        <v>4</v>
      </c>
      <c r="C1134" s="78">
        <f t="shared" si="2"/>
        <v>2012</v>
      </c>
      <c r="D1134" s="77">
        <v>3.764</v>
      </c>
      <c r="E1134" s="4">
        <f t="shared" si="3"/>
        <v>3.8374</v>
      </c>
      <c r="F1134" s="2">
        <f t="shared" si="4"/>
        <v>41000</v>
      </c>
    </row>
    <row r="1135" ht="12.75" customHeight="1">
      <c r="A1135" s="2">
        <v>41036.0</v>
      </c>
      <c r="B1135" s="77">
        <f t="shared" si="1"/>
        <v>5</v>
      </c>
      <c r="C1135" s="78">
        <f t="shared" si="2"/>
        <v>2012</v>
      </c>
      <c r="D1135" s="77">
        <v>3.718</v>
      </c>
      <c r="E1135" s="4">
        <f t="shared" si="3"/>
        <v>3.64325</v>
      </c>
      <c r="F1135" s="2">
        <f t="shared" si="4"/>
        <v>41030</v>
      </c>
    </row>
    <row r="1136" ht="12.75" customHeight="1">
      <c r="A1136" s="2">
        <v>41043.0</v>
      </c>
      <c r="B1136" s="77">
        <f t="shared" si="1"/>
        <v>5</v>
      </c>
      <c r="C1136" s="78">
        <f t="shared" si="2"/>
        <v>2012</v>
      </c>
      <c r="D1136" s="77">
        <v>3.658</v>
      </c>
      <c r="E1136" s="4">
        <f t="shared" si="3"/>
        <v>3.64325</v>
      </c>
      <c r="F1136" s="2">
        <f t="shared" si="4"/>
        <v>41030</v>
      </c>
    </row>
    <row r="1137" ht="12.75" customHeight="1">
      <c r="A1137" s="2">
        <v>41050.0</v>
      </c>
      <c r="B1137" s="77">
        <f t="shared" si="1"/>
        <v>5</v>
      </c>
      <c r="C1137" s="78">
        <f t="shared" si="2"/>
        <v>2012</v>
      </c>
      <c r="D1137" s="77">
        <v>3.622</v>
      </c>
      <c r="E1137" s="4">
        <f t="shared" si="3"/>
        <v>3.64325</v>
      </c>
      <c r="F1137" s="2">
        <f t="shared" si="4"/>
        <v>41030</v>
      </c>
    </row>
    <row r="1138" ht="12.75" customHeight="1">
      <c r="A1138" s="2">
        <v>41057.0</v>
      </c>
      <c r="B1138" s="77">
        <f t="shared" si="1"/>
        <v>5</v>
      </c>
      <c r="C1138" s="78">
        <f t="shared" si="2"/>
        <v>2012</v>
      </c>
      <c r="D1138" s="77">
        <v>3.575</v>
      </c>
      <c r="E1138" s="4">
        <f t="shared" si="3"/>
        <v>3.64325</v>
      </c>
      <c r="F1138" s="2">
        <f t="shared" si="4"/>
        <v>41030</v>
      </c>
    </row>
    <row r="1139" ht="12.75" customHeight="1">
      <c r="A1139" s="2">
        <v>41064.0</v>
      </c>
      <c r="B1139" s="77">
        <f t="shared" si="1"/>
        <v>6</v>
      </c>
      <c r="C1139" s="78">
        <f t="shared" si="2"/>
        <v>2012</v>
      </c>
      <c r="D1139" s="77">
        <v>3.518</v>
      </c>
      <c r="E1139" s="4">
        <f t="shared" si="3"/>
        <v>3.4645</v>
      </c>
      <c r="F1139" s="2">
        <f t="shared" si="4"/>
        <v>41061</v>
      </c>
    </row>
    <row r="1140" ht="12.75" customHeight="1">
      <c r="A1140" s="2">
        <v>41071.0</v>
      </c>
      <c r="B1140" s="77">
        <f t="shared" si="1"/>
        <v>6</v>
      </c>
      <c r="C1140" s="78">
        <f t="shared" si="2"/>
        <v>2012</v>
      </c>
      <c r="D1140" s="77">
        <v>3.489</v>
      </c>
      <c r="E1140" s="4">
        <f t="shared" si="3"/>
        <v>3.4645</v>
      </c>
      <c r="F1140" s="2">
        <f t="shared" si="4"/>
        <v>41061</v>
      </c>
    </row>
    <row r="1141" ht="12.75" customHeight="1">
      <c r="A1141" s="2">
        <v>41078.0</v>
      </c>
      <c r="B1141" s="77">
        <f t="shared" si="1"/>
        <v>6</v>
      </c>
      <c r="C1141" s="78">
        <f t="shared" si="2"/>
        <v>2012</v>
      </c>
      <c r="D1141" s="77">
        <v>3.473</v>
      </c>
      <c r="E1141" s="4">
        <f t="shared" si="3"/>
        <v>3.4645</v>
      </c>
      <c r="F1141" s="2">
        <f t="shared" si="4"/>
        <v>41061</v>
      </c>
    </row>
    <row r="1142" ht="12.75" customHeight="1">
      <c r="A1142" s="2">
        <v>41085.0</v>
      </c>
      <c r="B1142" s="77">
        <f t="shared" si="1"/>
        <v>6</v>
      </c>
      <c r="C1142" s="78">
        <f t="shared" si="2"/>
        <v>2012</v>
      </c>
      <c r="D1142" s="77">
        <v>3.378</v>
      </c>
      <c r="E1142" s="4">
        <f t="shared" si="3"/>
        <v>3.4645</v>
      </c>
      <c r="F1142" s="2">
        <f t="shared" si="4"/>
        <v>41061</v>
      </c>
    </row>
    <row r="1143" ht="12.75" customHeight="1">
      <c r="A1143" s="2">
        <v>41092.0</v>
      </c>
      <c r="B1143" s="77">
        <f t="shared" si="1"/>
        <v>7</v>
      </c>
      <c r="C1143" s="78">
        <f t="shared" si="2"/>
        <v>2012</v>
      </c>
      <c r="D1143" s="77">
        <v>3.291</v>
      </c>
      <c r="E1143" s="4">
        <f t="shared" si="3"/>
        <v>3.3794</v>
      </c>
      <c r="F1143" s="2">
        <f t="shared" si="4"/>
        <v>41091</v>
      </c>
    </row>
    <row r="1144" ht="12.75" customHeight="1">
      <c r="A1144" s="2">
        <v>41099.0</v>
      </c>
      <c r="B1144" s="77">
        <f t="shared" si="1"/>
        <v>7</v>
      </c>
      <c r="C1144" s="78">
        <f t="shared" si="2"/>
        <v>2012</v>
      </c>
      <c r="D1144" s="77">
        <v>3.357</v>
      </c>
      <c r="E1144" s="4">
        <f t="shared" si="3"/>
        <v>3.3794</v>
      </c>
      <c r="F1144" s="2">
        <f t="shared" si="4"/>
        <v>41091</v>
      </c>
    </row>
    <row r="1145" ht="12.75" customHeight="1">
      <c r="A1145" s="2">
        <v>41106.0</v>
      </c>
      <c r="B1145" s="77">
        <f t="shared" si="1"/>
        <v>7</v>
      </c>
      <c r="C1145" s="78">
        <f t="shared" si="2"/>
        <v>2012</v>
      </c>
      <c r="D1145" s="77">
        <v>3.364</v>
      </c>
      <c r="E1145" s="4">
        <f t="shared" si="3"/>
        <v>3.3794</v>
      </c>
      <c r="F1145" s="2">
        <f t="shared" si="4"/>
        <v>41091</v>
      </c>
    </row>
    <row r="1146" ht="12.75" customHeight="1">
      <c r="A1146" s="2">
        <v>41113.0</v>
      </c>
      <c r="B1146" s="77">
        <f t="shared" si="1"/>
        <v>7</v>
      </c>
      <c r="C1146" s="78">
        <f t="shared" si="2"/>
        <v>2012</v>
      </c>
      <c r="D1146" s="77">
        <v>3.435</v>
      </c>
      <c r="E1146" s="4">
        <f t="shared" si="3"/>
        <v>3.3794</v>
      </c>
      <c r="F1146" s="2">
        <f t="shared" si="4"/>
        <v>41091</v>
      </c>
    </row>
    <row r="1147" ht="12.75" customHeight="1">
      <c r="A1147" s="2">
        <v>41120.0</v>
      </c>
      <c r="B1147" s="77">
        <f t="shared" si="1"/>
        <v>7</v>
      </c>
      <c r="C1147" s="78">
        <f t="shared" si="2"/>
        <v>2012</v>
      </c>
      <c r="D1147" s="77">
        <v>3.45</v>
      </c>
      <c r="E1147" s="4">
        <f t="shared" si="3"/>
        <v>3.3794</v>
      </c>
      <c r="F1147" s="2">
        <f t="shared" si="4"/>
        <v>41091</v>
      </c>
    </row>
    <row r="1148" ht="12.75" customHeight="1">
      <c r="A1148" s="2">
        <v>41127.0</v>
      </c>
      <c r="B1148" s="77">
        <f t="shared" si="1"/>
        <v>8</v>
      </c>
      <c r="C1148" s="78">
        <f t="shared" si="2"/>
        <v>2012</v>
      </c>
      <c r="D1148" s="77">
        <v>3.606</v>
      </c>
      <c r="E1148" s="4">
        <f t="shared" si="3"/>
        <v>3.668</v>
      </c>
      <c r="F1148" s="2">
        <f t="shared" si="4"/>
        <v>41122</v>
      </c>
    </row>
    <row r="1149" ht="12.75" customHeight="1">
      <c r="A1149" s="2">
        <v>41134.0</v>
      </c>
      <c r="B1149" s="77">
        <f t="shared" si="1"/>
        <v>8</v>
      </c>
      <c r="C1149" s="78">
        <f t="shared" si="2"/>
        <v>2012</v>
      </c>
      <c r="D1149" s="77">
        <v>3.662</v>
      </c>
      <c r="E1149" s="4">
        <f t="shared" si="3"/>
        <v>3.668</v>
      </c>
      <c r="F1149" s="2">
        <f t="shared" si="4"/>
        <v>41122</v>
      </c>
    </row>
    <row r="1150" ht="12.75" customHeight="1">
      <c r="A1150" s="2">
        <v>41141.0</v>
      </c>
      <c r="B1150" s="77">
        <f t="shared" si="1"/>
        <v>8</v>
      </c>
      <c r="C1150" s="78">
        <f t="shared" si="2"/>
        <v>2012</v>
      </c>
      <c r="D1150" s="77">
        <v>3.682</v>
      </c>
      <c r="E1150" s="4">
        <f t="shared" si="3"/>
        <v>3.668</v>
      </c>
      <c r="F1150" s="2">
        <f t="shared" si="4"/>
        <v>41122</v>
      </c>
    </row>
    <row r="1151" ht="12.75" customHeight="1">
      <c r="A1151" s="2">
        <v>41148.0</v>
      </c>
      <c r="B1151" s="77">
        <f t="shared" si="1"/>
        <v>8</v>
      </c>
      <c r="C1151" s="78">
        <f t="shared" si="2"/>
        <v>2012</v>
      </c>
      <c r="D1151" s="77">
        <v>3.722</v>
      </c>
      <c r="E1151" s="4">
        <f t="shared" si="3"/>
        <v>3.668</v>
      </c>
      <c r="F1151" s="2">
        <f t="shared" si="4"/>
        <v>41122</v>
      </c>
    </row>
    <row r="1152" ht="12.75" customHeight="1">
      <c r="A1152" s="2">
        <v>41155.0</v>
      </c>
      <c r="B1152" s="77">
        <f t="shared" si="1"/>
        <v>9</v>
      </c>
      <c r="C1152" s="78">
        <f t="shared" si="2"/>
        <v>2012</v>
      </c>
      <c r="D1152" s="77">
        <v>3.797</v>
      </c>
      <c r="E1152" s="4">
        <f t="shared" si="3"/>
        <v>3.80075</v>
      </c>
      <c r="F1152" s="2">
        <f t="shared" si="4"/>
        <v>41153</v>
      </c>
    </row>
    <row r="1153" ht="12.75" customHeight="1">
      <c r="A1153" s="2">
        <v>41162.0</v>
      </c>
      <c r="B1153" s="77">
        <f t="shared" si="1"/>
        <v>9</v>
      </c>
      <c r="C1153" s="78">
        <f t="shared" si="2"/>
        <v>2012</v>
      </c>
      <c r="D1153" s="77">
        <v>3.799</v>
      </c>
      <c r="E1153" s="4">
        <f t="shared" si="3"/>
        <v>3.80075</v>
      </c>
      <c r="F1153" s="2">
        <f t="shared" si="4"/>
        <v>41153</v>
      </c>
    </row>
    <row r="1154" ht="12.75" customHeight="1">
      <c r="A1154" s="2">
        <v>41169.0</v>
      </c>
      <c r="B1154" s="77">
        <f t="shared" si="1"/>
        <v>9</v>
      </c>
      <c r="C1154" s="78">
        <f t="shared" si="2"/>
        <v>2012</v>
      </c>
      <c r="D1154" s="77">
        <v>3.832</v>
      </c>
      <c r="E1154" s="4">
        <f t="shared" si="3"/>
        <v>3.80075</v>
      </c>
      <c r="F1154" s="2">
        <f t="shared" si="4"/>
        <v>41153</v>
      </c>
    </row>
    <row r="1155" ht="12.75" customHeight="1">
      <c r="A1155" s="2">
        <v>41176.0</v>
      </c>
      <c r="B1155" s="77">
        <f t="shared" si="1"/>
        <v>9</v>
      </c>
      <c r="C1155" s="78">
        <f t="shared" si="2"/>
        <v>2012</v>
      </c>
      <c r="D1155" s="77">
        <v>3.775</v>
      </c>
      <c r="E1155" s="4">
        <f t="shared" si="3"/>
        <v>3.80075</v>
      </c>
      <c r="F1155" s="2">
        <f t="shared" si="4"/>
        <v>41153</v>
      </c>
    </row>
    <row r="1156" ht="12.75" customHeight="1">
      <c r="A1156" s="2">
        <v>41183.0</v>
      </c>
      <c r="B1156" s="77">
        <f t="shared" si="1"/>
        <v>10</v>
      </c>
      <c r="C1156" s="78">
        <f t="shared" si="2"/>
        <v>2012</v>
      </c>
      <c r="D1156" s="77">
        <v>3.75</v>
      </c>
      <c r="E1156" s="4">
        <f t="shared" si="3"/>
        <v>3.6534</v>
      </c>
      <c r="F1156" s="2">
        <f t="shared" si="4"/>
        <v>41183</v>
      </c>
    </row>
    <row r="1157" ht="12.75" customHeight="1">
      <c r="A1157" s="2">
        <v>41190.0</v>
      </c>
      <c r="B1157" s="77">
        <f t="shared" si="1"/>
        <v>10</v>
      </c>
      <c r="C1157" s="78">
        <f t="shared" si="2"/>
        <v>2012</v>
      </c>
      <c r="D1157" s="77">
        <v>3.742</v>
      </c>
      <c r="E1157" s="4">
        <f t="shared" si="3"/>
        <v>3.6534</v>
      </c>
      <c r="F1157" s="2">
        <f t="shared" si="4"/>
        <v>41183</v>
      </c>
    </row>
    <row r="1158" ht="12.75" customHeight="1">
      <c r="A1158" s="2">
        <v>41197.0</v>
      </c>
      <c r="B1158" s="77">
        <f t="shared" si="1"/>
        <v>10</v>
      </c>
      <c r="C1158" s="78">
        <f t="shared" si="2"/>
        <v>2012</v>
      </c>
      <c r="D1158" s="77">
        <v>3.713</v>
      </c>
      <c r="E1158" s="4">
        <f t="shared" si="3"/>
        <v>3.6534</v>
      </c>
      <c r="F1158" s="2">
        <f t="shared" si="4"/>
        <v>41183</v>
      </c>
    </row>
    <row r="1159" ht="12.75" customHeight="1">
      <c r="A1159" s="2">
        <v>41204.0</v>
      </c>
      <c r="B1159" s="77">
        <f t="shared" si="1"/>
        <v>10</v>
      </c>
      <c r="C1159" s="78">
        <f t="shared" si="2"/>
        <v>2012</v>
      </c>
      <c r="D1159" s="77">
        <v>3.582</v>
      </c>
      <c r="E1159" s="4">
        <f t="shared" si="3"/>
        <v>3.6534</v>
      </c>
      <c r="F1159" s="2">
        <f t="shared" si="4"/>
        <v>41183</v>
      </c>
    </row>
    <row r="1160" ht="12.75" customHeight="1">
      <c r="A1160" s="2">
        <v>41211.0</v>
      </c>
      <c r="B1160" s="77">
        <f t="shared" si="1"/>
        <v>10</v>
      </c>
      <c r="C1160" s="78">
        <f t="shared" si="2"/>
        <v>2012</v>
      </c>
      <c r="D1160" s="77">
        <v>3.48</v>
      </c>
      <c r="E1160" s="4">
        <f t="shared" si="3"/>
        <v>3.6534</v>
      </c>
      <c r="F1160" s="2">
        <f t="shared" si="4"/>
        <v>41183</v>
      </c>
    </row>
    <row r="1161" ht="12.75" customHeight="1">
      <c r="A1161" s="2">
        <v>41218.0</v>
      </c>
      <c r="B1161" s="77">
        <f t="shared" si="1"/>
        <v>11</v>
      </c>
      <c r="C1161" s="78">
        <f t="shared" si="2"/>
        <v>2012</v>
      </c>
      <c r="D1161" s="77">
        <v>3.406</v>
      </c>
      <c r="E1161" s="4">
        <f t="shared" si="3"/>
        <v>3.38</v>
      </c>
      <c r="F1161" s="2">
        <f t="shared" si="4"/>
        <v>41214</v>
      </c>
    </row>
    <row r="1162" ht="12.75" customHeight="1">
      <c r="A1162" s="2">
        <v>41225.0</v>
      </c>
      <c r="B1162" s="77">
        <f t="shared" si="1"/>
        <v>11</v>
      </c>
      <c r="C1162" s="78">
        <f t="shared" si="2"/>
        <v>2012</v>
      </c>
      <c r="D1162" s="77">
        <v>3.372</v>
      </c>
      <c r="E1162" s="4">
        <f t="shared" si="3"/>
        <v>3.38</v>
      </c>
      <c r="F1162" s="2">
        <f t="shared" si="4"/>
        <v>41214</v>
      </c>
    </row>
    <row r="1163" ht="12.75" customHeight="1">
      <c r="A1163" s="2">
        <v>41232.0</v>
      </c>
      <c r="B1163" s="77">
        <f t="shared" si="1"/>
        <v>11</v>
      </c>
      <c r="C1163" s="78">
        <f t="shared" si="2"/>
        <v>2012</v>
      </c>
      <c r="D1163" s="77">
        <v>3.36</v>
      </c>
      <c r="E1163" s="4">
        <f t="shared" si="3"/>
        <v>3.38</v>
      </c>
      <c r="F1163" s="2">
        <f t="shared" si="4"/>
        <v>41214</v>
      </c>
    </row>
    <row r="1164" ht="12.75" customHeight="1">
      <c r="A1164" s="2">
        <v>41239.0</v>
      </c>
      <c r="B1164" s="77">
        <f t="shared" si="1"/>
        <v>11</v>
      </c>
      <c r="C1164" s="78">
        <f t="shared" si="2"/>
        <v>2012</v>
      </c>
      <c r="D1164" s="77">
        <v>3.382</v>
      </c>
      <c r="E1164" s="4">
        <f t="shared" si="3"/>
        <v>3.38</v>
      </c>
      <c r="F1164" s="2">
        <f t="shared" si="4"/>
        <v>41214</v>
      </c>
    </row>
    <row r="1165" ht="12.75" customHeight="1">
      <c r="A1165" s="2">
        <v>41246.0</v>
      </c>
      <c r="B1165" s="77">
        <f t="shared" si="1"/>
        <v>12</v>
      </c>
      <c r="C1165" s="78">
        <f t="shared" si="2"/>
        <v>2012</v>
      </c>
      <c r="D1165" s="77">
        <v>3.337</v>
      </c>
      <c r="E1165" s="4">
        <f t="shared" si="3"/>
        <v>3.2564</v>
      </c>
      <c r="F1165" s="2">
        <f t="shared" si="4"/>
        <v>41244</v>
      </c>
    </row>
    <row r="1166" ht="12.75" customHeight="1">
      <c r="A1166" s="2">
        <v>41253.0</v>
      </c>
      <c r="B1166" s="77">
        <f t="shared" si="1"/>
        <v>12</v>
      </c>
      <c r="C1166" s="78">
        <f t="shared" si="2"/>
        <v>2012</v>
      </c>
      <c r="D1166" s="77">
        <v>3.297</v>
      </c>
      <c r="E1166" s="4">
        <f t="shared" si="3"/>
        <v>3.2564</v>
      </c>
      <c r="F1166" s="2">
        <f t="shared" si="4"/>
        <v>41244</v>
      </c>
    </row>
    <row r="1167" ht="12.75" customHeight="1">
      <c r="A1167" s="2">
        <v>41260.0</v>
      </c>
      <c r="B1167" s="77">
        <f t="shared" si="1"/>
        <v>12</v>
      </c>
      <c r="C1167" s="78">
        <f t="shared" si="2"/>
        <v>2012</v>
      </c>
      <c r="D1167" s="77">
        <v>3.198</v>
      </c>
      <c r="E1167" s="4">
        <f t="shared" si="3"/>
        <v>3.2564</v>
      </c>
      <c r="F1167" s="2">
        <f t="shared" si="4"/>
        <v>41244</v>
      </c>
    </row>
    <row r="1168" ht="12.75" customHeight="1">
      <c r="A1168" s="2">
        <v>41267.0</v>
      </c>
      <c r="B1168" s="77">
        <f t="shared" si="1"/>
        <v>12</v>
      </c>
      <c r="C1168" s="78">
        <f t="shared" si="2"/>
        <v>2012</v>
      </c>
      <c r="D1168" s="77">
        <v>3.205</v>
      </c>
      <c r="E1168" s="4">
        <f t="shared" si="3"/>
        <v>3.2564</v>
      </c>
      <c r="F1168" s="2">
        <f t="shared" si="4"/>
        <v>41244</v>
      </c>
    </row>
    <row r="1169" ht="12.75" customHeight="1">
      <c r="A1169" s="2">
        <v>41274.0</v>
      </c>
      <c r="B1169" s="77">
        <f t="shared" si="1"/>
        <v>12</v>
      </c>
      <c r="C1169" s="78">
        <f t="shared" si="2"/>
        <v>2012</v>
      </c>
      <c r="D1169" s="77">
        <v>3.245</v>
      </c>
      <c r="E1169" s="4">
        <f t="shared" si="3"/>
        <v>3.2564</v>
      </c>
      <c r="F1169" s="2">
        <f t="shared" si="4"/>
        <v>41244</v>
      </c>
    </row>
    <row r="1170" ht="12.75" customHeight="1">
      <c r="A1170" s="2">
        <v>41281.0</v>
      </c>
      <c r="B1170" s="77">
        <f t="shared" si="1"/>
        <v>1</v>
      </c>
      <c r="C1170" s="78">
        <f t="shared" si="2"/>
        <v>2013</v>
      </c>
      <c r="D1170" s="77">
        <v>3.233</v>
      </c>
      <c r="E1170" s="4">
        <f t="shared" si="3"/>
        <v>3.25475</v>
      </c>
      <c r="F1170" s="2">
        <f t="shared" si="4"/>
        <v>41275</v>
      </c>
    </row>
    <row r="1171" ht="12.75" customHeight="1">
      <c r="A1171" s="2">
        <v>41288.0</v>
      </c>
      <c r="B1171" s="77">
        <f t="shared" si="1"/>
        <v>1</v>
      </c>
      <c r="C1171" s="78">
        <f t="shared" si="2"/>
        <v>2013</v>
      </c>
      <c r="D1171" s="77">
        <v>3.236</v>
      </c>
      <c r="E1171" s="4">
        <f t="shared" si="3"/>
        <v>3.25475</v>
      </c>
      <c r="F1171" s="2">
        <f t="shared" si="4"/>
        <v>41275</v>
      </c>
    </row>
    <row r="1172" ht="12.75" customHeight="1">
      <c r="A1172" s="2">
        <v>41295.0</v>
      </c>
      <c r="B1172" s="77">
        <f t="shared" si="1"/>
        <v>1</v>
      </c>
      <c r="C1172" s="78">
        <f t="shared" si="2"/>
        <v>2013</v>
      </c>
      <c r="D1172" s="77">
        <v>3.254</v>
      </c>
      <c r="E1172" s="4">
        <f t="shared" si="3"/>
        <v>3.25475</v>
      </c>
      <c r="F1172" s="2">
        <f t="shared" si="4"/>
        <v>41275</v>
      </c>
    </row>
    <row r="1173" ht="12.75" customHeight="1">
      <c r="A1173" s="2">
        <v>41302.0</v>
      </c>
      <c r="B1173" s="77">
        <f t="shared" si="1"/>
        <v>1</v>
      </c>
      <c r="C1173" s="78">
        <f t="shared" si="2"/>
        <v>2013</v>
      </c>
      <c r="D1173" s="77">
        <v>3.296</v>
      </c>
      <c r="E1173" s="4">
        <f t="shared" si="3"/>
        <v>3.25475</v>
      </c>
      <c r="F1173" s="2">
        <f t="shared" si="4"/>
        <v>41275</v>
      </c>
    </row>
    <row r="1174" ht="12.75" customHeight="1">
      <c r="A1174" s="2">
        <v>41309.0</v>
      </c>
      <c r="B1174" s="77">
        <f t="shared" si="1"/>
        <v>2</v>
      </c>
      <c r="C1174" s="78">
        <f t="shared" si="2"/>
        <v>2013</v>
      </c>
      <c r="D1174" s="77">
        <v>3.471</v>
      </c>
      <c r="E1174" s="4">
        <f t="shared" si="3"/>
        <v>3.605</v>
      </c>
      <c r="F1174" s="2">
        <f t="shared" si="4"/>
        <v>41306</v>
      </c>
    </row>
    <row r="1175" ht="12.75" customHeight="1">
      <c r="A1175" s="2">
        <v>41316.0</v>
      </c>
      <c r="B1175" s="77">
        <f t="shared" si="1"/>
        <v>2</v>
      </c>
      <c r="C1175" s="78">
        <f t="shared" si="2"/>
        <v>2013</v>
      </c>
      <c r="D1175" s="77">
        <v>3.537</v>
      </c>
      <c r="E1175" s="4">
        <f t="shared" si="3"/>
        <v>3.605</v>
      </c>
      <c r="F1175" s="2">
        <f t="shared" si="4"/>
        <v>41306</v>
      </c>
    </row>
    <row r="1176" ht="12.75" customHeight="1">
      <c r="A1176" s="2">
        <v>41323.0</v>
      </c>
      <c r="B1176" s="77">
        <f t="shared" si="1"/>
        <v>2</v>
      </c>
      <c r="C1176" s="78">
        <f t="shared" si="2"/>
        <v>2013</v>
      </c>
      <c r="D1176" s="77">
        <v>3.69</v>
      </c>
      <c r="E1176" s="4">
        <f t="shared" si="3"/>
        <v>3.605</v>
      </c>
      <c r="F1176" s="2">
        <f t="shared" si="4"/>
        <v>41306</v>
      </c>
    </row>
    <row r="1177" ht="12.75" customHeight="1">
      <c r="A1177" s="2">
        <v>41330.0</v>
      </c>
      <c r="B1177" s="77">
        <f t="shared" si="1"/>
        <v>2</v>
      </c>
      <c r="C1177" s="78">
        <f t="shared" si="2"/>
        <v>2013</v>
      </c>
      <c r="D1177" s="77">
        <v>3.722</v>
      </c>
      <c r="E1177" s="4">
        <f t="shared" si="3"/>
        <v>3.605</v>
      </c>
      <c r="F1177" s="2">
        <f t="shared" si="4"/>
        <v>41306</v>
      </c>
    </row>
    <row r="1178" ht="12.75" customHeight="1">
      <c r="A1178" s="2">
        <v>41337.0</v>
      </c>
      <c r="B1178" s="77">
        <f t="shared" si="1"/>
        <v>3</v>
      </c>
      <c r="C1178" s="78">
        <f t="shared" si="2"/>
        <v>2013</v>
      </c>
      <c r="D1178" s="77">
        <v>3.698</v>
      </c>
      <c r="E1178" s="4">
        <f t="shared" si="3"/>
        <v>3.64775</v>
      </c>
      <c r="F1178" s="2">
        <f t="shared" si="4"/>
        <v>41334</v>
      </c>
    </row>
    <row r="1179" ht="12.75" customHeight="1">
      <c r="A1179" s="2">
        <v>41344.0</v>
      </c>
      <c r="B1179" s="77">
        <f t="shared" si="1"/>
        <v>3</v>
      </c>
      <c r="C1179" s="78">
        <f t="shared" si="2"/>
        <v>2013</v>
      </c>
      <c r="D1179" s="77">
        <v>3.644</v>
      </c>
      <c r="E1179" s="4">
        <f t="shared" si="3"/>
        <v>3.64775</v>
      </c>
      <c r="F1179" s="2">
        <f t="shared" si="4"/>
        <v>41334</v>
      </c>
    </row>
    <row r="1180" ht="12.75" customHeight="1">
      <c r="A1180" s="2">
        <v>41351.0</v>
      </c>
      <c r="B1180" s="77">
        <f t="shared" si="1"/>
        <v>3</v>
      </c>
      <c r="C1180" s="78">
        <f t="shared" si="2"/>
        <v>2013</v>
      </c>
      <c r="D1180" s="77">
        <v>3.633</v>
      </c>
      <c r="E1180" s="4">
        <f t="shared" si="3"/>
        <v>3.64775</v>
      </c>
      <c r="F1180" s="2">
        <f t="shared" si="4"/>
        <v>41334</v>
      </c>
    </row>
    <row r="1181" ht="12.75" customHeight="1">
      <c r="A1181" s="2">
        <v>41358.0</v>
      </c>
      <c r="B1181" s="77">
        <f t="shared" si="1"/>
        <v>3</v>
      </c>
      <c r="C1181" s="78">
        <f t="shared" si="2"/>
        <v>2013</v>
      </c>
      <c r="D1181" s="77">
        <v>3.616</v>
      </c>
      <c r="E1181" s="4">
        <f t="shared" si="3"/>
        <v>3.64775</v>
      </c>
      <c r="F1181" s="2">
        <f t="shared" si="4"/>
        <v>41334</v>
      </c>
    </row>
    <row r="1182" ht="12.75" customHeight="1">
      <c r="A1182" s="2">
        <v>41365.0</v>
      </c>
      <c r="B1182" s="77">
        <f t="shared" si="1"/>
        <v>4</v>
      </c>
      <c r="C1182" s="78">
        <f t="shared" si="2"/>
        <v>2013</v>
      </c>
      <c r="D1182" s="77">
        <v>3.572</v>
      </c>
      <c r="E1182" s="4">
        <f t="shared" si="3"/>
        <v>3.5014</v>
      </c>
      <c r="F1182" s="2">
        <f t="shared" si="4"/>
        <v>41365</v>
      </c>
    </row>
    <row r="1183" ht="12.75" customHeight="1">
      <c r="A1183" s="2">
        <v>41372.0</v>
      </c>
      <c r="B1183" s="77">
        <f t="shared" si="1"/>
        <v>4</v>
      </c>
      <c r="C1183" s="78">
        <f t="shared" si="2"/>
        <v>2013</v>
      </c>
      <c r="D1183" s="77">
        <v>3.539</v>
      </c>
      <c r="E1183" s="4">
        <f t="shared" si="3"/>
        <v>3.5014</v>
      </c>
      <c r="F1183" s="2">
        <f t="shared" si="4"/>
        <v>41365</v>
      </c>
    </row>
    <row r="1184" ht="12.75" customHeight="1">
      <c r="A1184" s="2">
        <v>41379.0</v>
      </c>
      <c r="B1184" s="77">
        <f t="shared" si="1"/>
        <v>4</v>
      </c>
      <c r="C1184" s="78">
        <f t="shared" si="2"/>
        <v>2013</v>
      </c>
      <c r="D1184" s="77">
        <v>3.469</v>
      </c>
      <c r="E1184" s="4">
        <f t="shared" si="3"/>
        <v>3.5014</v>
      </c>
      <c r="F1184" s="2">
        <f t="shared" si="4"/>
        <v>41365</v>
      </c>
    </row>
    <row r="1185" ht="12.75" customHeight="1">
      <c r="A1185" s="2">
        <v>41386.0</v>
      </c>
      <c r="B1185" s="77">
        <f t="shared" si="1"/>
        <v>4</v>
      </c>
      <c r="C1185" s="78">
        <f t="shared" si="2"/>
        <v>2013</v>
      </c>
      <c r="D1185" s="77">
        <v>3.472</v>
      </c>
      <c r="E1185" s="4">
        <f t="shared" si="3"/>
        <v>3.5014</v>
      </c>
      <c r="F1185" s="2">
        <f t="shared" si="4"/>
        <v>41365</v>
      </c>
    </row>
    <row r="1186" ht="12.75" customHeight="1">
      <c r="A1186" s="2">
        <v>41393.0</v>
      </c>
      <c r="B1186" s="77">
        <f t="shared" si="1"/>
        <v>4</v>
      </c>
      <c r="C1186" s="78">
        <f t="shared" si="2"/>
        <v>2013</v>
      </c>
      <c r="D1186" s="77">
        <v>3.455</v>
      </c>
      <c r="E1186" s="4">
        <f t="shared" si="3"/>
        <v>3.5014</v>
      </c>
      <c r="F1186" s="2">
        <f t="shared" si="4"/>
        <v>41365</v>
      </c>
    </row>
    <row r="1187" ht="12.75" customHeight="1">
      <c r="A1187" s="2">
        <v>41400.0</v>
      </c>
      <c r="B1187" s="77">
        <f t="shared" si="1"/>
        <v>5</v>
      </c>
      <c r="C1187" s="78">
        <f t="shared" si="2"/>
        <v>2013</v>
      </c>
      <c r="D1187" s="77">
        <v>3.478</v>
      </c>
      <c r="E1187" s="4">
        <f t="shared" si="3"/>
        <v>3.5645</v>
      </c>
      <c r="F1187" s="2">
        <f t="shared" si="4"/>
        <v>41395</v>
      </c>
    </row>
    <row r="1188" ht="12.75" customHeight="1">
      <c r="A1188" s="2">
        <v>41407.0</v>
      </c>
      <c r="B1188" s="77">
        <f t="shared" si="1"/>
        <v>5</v>
      </c>
      <c r="C1188" s="78">
        <f t="shared" si="2"/>
        <v>2013</v>
      </c>
      <c r="D1188" s="77">
        <v>3.543</v>
      </c>
      <c r="E1188" s="4">
        <f t="shared" si="3"/>
        <v>3.5645</v>
      </c>
      <c r="F1188" s="2">
        <f t="shared" si="4"/>
        <v>41395</v>
      </c>
    </row>
    <row r="1189" ht="12.75" customHeight="1">
      <c r="A1189" s="2">
        <v>41414.0</v>
      </c>
      <c r="B1189" s="77">
        <f t="shared" si="1"/>
        <v>5</v>
      </c>
      <c r="C1189" s="78">
        <f t="shared" si="2"/>
        <v>2013</v>
      </c>
      <c r="D1189" s="77">
        <v>3.636</v>
      </c>
      <c r="E1189" s="4">
        <f t="shared" si="3"/>
        <v>3.5645</v>
      </c>
      <c r="F1189" s="2">
        <f t="shared" si="4"/>
        <v>41395</v>
      </c>
    </row>
    <row r="1190" ht="12.75" customHeight="1">
      <c r="A1190" s="2">
        <v>41421.0</v>
      </c>
      <c r="B1190" s="77">
        <f t="shared" si="1"/>
        <v>5</v>
      </c>
      <c r="C1190" s="78">
        <f t="shared" si="2"/>
        <v>2013</v>
      </c>
      <c r="D1190" s="77">
        <v>3.601</v>
      </c>
      <c r="E1190" s="4">
        <f t="shared" si="3"/>
        <v>3.5645</v>
      </c>
      <c r="F1190" s="2">
        <f t="shared" si="4"/>
        <v>41395</v>
      </c>
    </row>
    <row r="1191" ht="12.75" customHeight="1">
      <c r="A1191" s="2">
        <v>41428.0</v>
      </c>
      <c r="B1191" s="77">
        <f t="shared" si="1"/>
        <v>6</v>
      </c>
      <c r="C1191" s="78">
        <f t="shared" si="2"/>
        <v>2013</v>
      </c>
      <c r="D1191" s="77">
        <v>3.61</v>
      </c>
      <c r="E1191" s="4">
        <f t="shared" si="3"/>
        <v>3.576</v>
      </c>
      <c r="F1191" s="2">
        <f t="shared" si="4"/>
        <v>41426</v>
      </c>
    </row>
    <row r="1192" ht="12.75" customHeight="1">
      <c r="A1192" s="2">
        <v>41435.0</v>
      </c>
      <c r="B1192" s="77">
        <f t="shared" si="1"/>
        <v>6</v>
      </c>
      <c r="C1192" s="78">
        <f t="shared" si="2"/>
        <v>2013</v>
      </c>
      <c r="D1192" s="77">
        <v>3.619</v>
      </c>
      <c r="E1192" s="4">
        <f t="shared" si="3"/>
        <v>3.576</v>
      </c>
      <c r="F1192" s="2">
        <f t="shared" si="4"/>
        <v>41426</v>
      </c>
    </row>
    <row r="1193" ht="12.75" customHeight="1">
      <c r="A1193" s="2">
        <v>41442.0</v>
      </c>
      <c r="B1193" s="77">
        <f t="shared" si="1"/>
        <v>6</v>
      </c>
      <c r="C1193" s="78">
        <f t="shared" si="2"/>
        <v>2013</v>
      </c>
      <c r="D1193" s="77">
        <v>3.577</v>
      </c>
      <c r="E1193" s="4">
        <f t="shared" si="3"/>
        <v>3.576</v>
      </c>
      <c r="F1193" s="2">
        <f t="shared" si="4"/>
        <v>41426</v>
      </c>
    </row>
    <row r="1194" ht="12.75" customHeight="1">
      <c r="A1194" s="2">
        <v>41449.0</v>
      </c>
      <c r="B1194" s="77">
        <f t="shared" si="1"/>
        <v>6</v>
      </c>
      <c r="C1194" s="78">
        <f t="shared" si="2"/>
        <v>2013</v>
      </c>
      <c r="D1194" s="77">
        <v>3.498</v>
      </c>
      <c r="E1194" s="4">
        <f t="shared" si="3"/>
        <v>3.576</v>
      </c>
      <c r="F1194" s="2">
        <f t="shared" si="4"/>
        <v>41426</v>
      </c>
    </row>
    <row r="1195" ht="12.75" customHeight="1">
      <c r="A1195" s="2">
        <v>41456.0</v>
      </c>
      <c r="B1195" s="77">
        <f t="shared" si="1"/>
        <v>7</v>
      </c>
      <c r="C1195" s="78">
        <f t="shared" si="2"/>
        <v>2013</v>
      </c>
      <c r="D1195" s="77">
        <v>3.41</v>
      </c>
      <c r="E1195" s="4">
        <f t="shared" si="3"/>
        <v>3.515</v>
      </c>
      <c r="F1195" s="2">
        <f t="shared" si="4"/>
        <v>41456</v>
      </c>
    </row>
    <row r="1196" ht="12.75" customHeight="1">
      <c r="A1196" s="2">
        <v>41463.0</v>
      </c>
      <c r="B1196" s="77">
        <f t="shared" si="1"/>
        <v>7</v>
      </c>
      <c r="C1196" s="78">
        <f t="shared" si="2"/>
        <v>2013</v>
      </c>
      <c r="D1196" s="77">
        <v>3.413</v>
      </c>
      <c r="E1196" s="4">
        <f t="shared" si="3"/>
        <v>3.515</v>
      </c>
      <c r="F1196" s="2">
        <f t="shared" si="4"/>
        <v>41456</v>
      </c>
    </row>
    <row r="1197" ht="12.75" customHeight="1">
      <c r="A1197" s="2">
        <v>41470.0</v>
      </c>
      <c r="B1197" s="77">
        <f t="shared" si="1"/>
        <v>7</v>
      </c>
      <c r="C1197" s="78">
        <f t="shared" si="2"/>
        <v>2013</v>
      </c>
      <c r="D1197" s="77">
        <v>3.57</v>
      </c>
      <c r="E1197" s="4">
        <f t="shared" si="3"/>
        <v>3.515</v>
      </c>
      <c r="F1197" s="2">
        <f t="shared" si="4"/>
        <v>41456</v>
      </c>
    </row>
    <row r="1198" ht="12.75" customHeight="1">
      <c r="A1198" s="2">
        <v>41477.0</v>
      </c>
      <c r="B1198" s="77">
        <f t="shared" si="1"/>
        <v>7</v>
      </c>
      <c r="C1198" s="78">
        <f t="shared" si="2"/>
        <v>2013</v>
      </c>
      <c r="D1198" s="77">
        <v>3.612</v>
      </c>
      <c r="E1198" s="4">
        <f t="shared" si="3"/>
        <v>3.515</v>
      </c>
      <c r="F1198" s="2">
        <f t="shared" si="4"/>
        <v>41456</v>
      </c>
    </row>
    <row r="1199" ht="12.75" customHeight="1">
      <c r="A1199" s="2">
        <v>41484.0</v>
      </c>
      <c r="B1199" s="77">
        <f t="shared" si="1"/>
        <v>7</v>
      </c>
      <c r="C1199" s="78">
        <f t="shared" si="2"/>
        <v>2013</v>
      </c>
      <c r="D1199" s="77">
        <v>3.57</v>
      </c>
      <c r="E1199" s="4">
        <f t="shared" si="3"/>
        <v>3.515</v>
      </c>
      <c r="F1199" s="2">
        <f t="shared" si="4"/>
        <v>41456</v>
      </c>
    </row>
    <row r="1200" ht="12.75" customHeight="1">
      <c r="A1200" s="2">
        <v>41491.0</v>
      </c>
      <c r="B1200" s="77">
        <f t="shared" si="1"/>
        <v>8</v>
      </c>
      <c r="C1200" s="78">
        <f t="shared" si="2"/>
        <v>2013</v>
      </c>
      <c r="D1200" s="77">
        <v>3.566</v>
      </c>
      <c r="E1200" s="4">
        <f t="shared" si="3"/>
        <v>3.51475</v>
      </c>
      <c r="F1200" s="2">
        <f t="shared" si="4"/>
        <v>41487</v>
      </c>
    </row>
    <row r="1201" ht="12.75" customHeight="1">
      <c r="A1201" s="2">
        <v>41498.0</v>
      </c>
      <c r="B1201" s="77">
        <f t="shared" si="1"/>
        <v>8</v>
      </c>
      <c r="C1201" s="78">
        <f t="shared" si="2"/>
        <v>2013</v>
      </c>
      <c r="D1201" s="77">
        <v>3.493</v>
      </c>
      <c r="E1201" s="4">
        <f t="shared" si="3"/>
        <v>3.51475</v>
      </c>
      <c r="F1201" s="2">
        <f t="shared" si="4"/>
        <v>41487</v>
      </c>
    </row>
    <row r="1202" ht="12.75" customHeight="1">
      <c r="A1202" s="2">
        <v>41505.0</v>
      </c>
      <c r="B1202" s="77">
        <f t="shared" si="1"/>
        <v>8</v>
      </c>
      <c r="C1202" s="78">
        <f t="shared" si="2"/>
        <v>2013</v>
      </c>
      <c r="D1202" s="77">
        <v>3.496</v>
      </c>
      <c r="E1202" s="4">
        <f t="shared" si="3"/>
        <v>3.51475</v>
      </c>
      <c r="F1202" s="2">
        <f t="shared" si="4"/>
        <v>41487</v>
      </c>
    </row>
    <row r="1203" ht="12.75" customHeight="1">
      <c r="A1203" s="2">
        <v>41512.0</v>
      </c>
      <c r="B1203" s="77">
        <f t="shared" si="1"/>
        <v>8</v>
      </c>
      <c r="C1203" s="78">
        <f t="shared" si="2"/>
        <v>2013</v>
      </c>
      <c r="D1203" s="77">
        <v>3.504</v>
      </c>
      <c r="E1203" s="4">
        <f t="shared" si="3"/>
        <v>3.51475</v>
      </c>
      <c r="F1203" s="2">
        <f t="shared" si="4"/>
        <v>41487</v>
      </c>
    </row>
    <row r="1204" ht="12.75" customHeight="1">
      <c r="A1204" s="2">
        <v>41519.0</v>
      </c>
      <c r="B1204" s="77">
        <f t="shared" si="1"/>
        <v>9</v>
      </c>
      <c r="C1204" s="78">
        <f t="shared" si="2"/>
        <v>2013</v>
      </c>
      <c r="D1204" s="77">
        <v>3.575</v>
      </c>
      <c r="E1204" s="4">
        <f t="shared" si="3"/>
        <v>3.4738</v>
      </c>
      <c r="F1204" s="2">
        <f t="shared" si="4"/>
        <v>41518</v>
      </c>
    </row>
    <row r="1205" ht="12.75" customHeight="1">
      <c r="A1205" s="2">
        <v>41526.0</v>
      </c>
      <c r="B1205" s="77">
        <f t="shared" si="1"/>
        <v>9</v>
      </c>
      <c r="C1205" s="78">
        <f t="shared" si="2"/>
        <v>2013</v>
      </c>
      <c r="D1205" s="77">
        <v>3.54</v>
      </c>
      <c r="E1205" s="4">
        <f t="shared" si="3"/>
        <v>3.4738</v>
      </c>
      <c r="F1205" s="2">
        <f t="shared" si="4"/>
        <v>41518</v>
      </c>
    </row>
    <row r="1206" ht="12.75" customHeight="1">
      <c r="A1206" s="2">
        <v>41533.0</v>
      </c>
      <c r="B1206" s="77">
        <f t="shared" si="1"/>
        <v>9</v>
      </c>
      <c r="C1206" s="78">
        <f t="shared" si="2"/>
        <v>2013</v>
      </c>
      <c r="D1206" s="77">
        <v>3.475</v>
      </c>
      <c r="E1206" s="4">
        <f t="shared" si="3"/>
        <v>3.4738</v>
      </c>
      <c r="F1206" s="2">
        <f t="shared" si="4"/>
        <v>41518</v>
      </c>
    </row>
    <row r="1207" ht="12.75" customHeight="1">
      <c r="A1207" s="2">
        <v>41540.0</v>
      </c>
      <c r="B1207" s="77">
        <f t="shared" si="1"/>
        <v>9</v>
      </c>
      <c r="C1207" s="78">
        <f t="shared" si="2"/>
        <v>2013</v>
      </c>
      <c r="D1207" s="77">
        <v>3.425</v>
      </c>
      <c r="E1207" s="4">
        <f t="shared" si="3"/>
        <v>3.4738</v>
      </c>
      <c r="F1207" s="2">
        <f t="shared" si="4"/>
        <v>41518</v>
      </c>
    </row>
    <row r="1208" ht="12.75" customHeight="1">
      <c r="A1208" s="2">
        <v>41547.0</v>
      </c>
      <c r="B1208" s="77">
        <f t="shared" si="1"/>
        <v>9</v>
      </c>
      <c r="C1208" s="78">
        <f t="shared" si="2"/>
        <v>2013</v>
      </c>
      <c r="D1208" s="77">
        <v>3.354</v>
      </c>
      <c r="E1208" s="4">
        <f t="shared" si="3"/>
        <v>3.4738</v>
      </c>
      <c r="F1208" s="2">
        <f t="shared" si="4"/>
        <v>41518</v>
      </c>
    </row>
    <row r="1209" ht="12.75" customHeight="1">
      <c r="A1209" s="2">
        <v>41554.0</v>
      </c>
      <c r="B1209" s="77">
        <f t="shared" si="1"/>
        <v>10</v>
      </c>
      <c r="C1209" s="78">
        <f t="shared" si="2"/>
        <v>2013</v>
      </c>
      <c r="D1209" s="77">
        <v>3.298</v>
      </c>
      <c r="E1209" s="4">
        <f t="shared" si="3"/>
        <v>3.28475</v>
      </c>
      <c r="F1209" s="2">
        <f t="shared" si="4"/>
        <v>41548</v>
      </c>
    </row>
    <row r="1210" ht="12.75" customHeight="1">
      <c r="A1210" s="2">
        <v>41561.0</v>
      </c>
      <c r="B1210" s="77">
        <f t="shared" si="1"/>
        <v>10</v>
      </c>
      <c r="C1210" s="78">
        <f t="shared" si="2"/>
        <v>2013</v>
      </c>
      <c r="D1210" s="77">
        <v>3.296</v>
      </c>
      <c r="E1210" s="4">
        <f t="shared" si="3"/>
        <v>3.28475</v>
      </c>
      <c r="F1210" s="2">
        <f t="shared" si="4"/>
        <v>41548</v>
      </c>
    </row>
    <row r="1211" ht="12.75" customHeight="1">
      <c r="A1211" s="2">
        <v>41568.0</v>
      </c>
      <c r="B1211" s="77">
        <f t="shared" si="1"/>
        <v>10</v>
      </c>
      <c r="C1211" s="78">
        <f t="shared" si="2"/>
        <v>2013</v>
      </c>
      <c r="D1211" s="77">
        <v>3.31</v>
      </c>
      <c r="E1211" s="4">
        <f t="shared" si="3"/>
        <v>3.28475</v>
      </c>
      <c r="F1211" s="2">
        <f t="shared" si="4"/>
        <v>41548</v>
      </c>
    </row>
    <row r="1212" ht="12.75" customHeight="1">
      <c r="A1212" s="2">
        <v>41575.0</v>
      </c>
      <c r="B1212" s="77">
        <f t="shared" si="1"/>
        <v>10</v>
      </c>
      <c r="C1212" s="78">
        <f t="shared" si="2"/>
        <v>2013</v>
      </c>
      <c r="D1212" s="77">
        <v>3.235</v>
      </c>
      <c r="E1212" s="4">
        <f t="shared" si="3"/>
        <v>3.28475</v>
      </c>
      <c r="F1212" s="2">
        <f t="shared" si="4"/>
        <v>41548</v>
      </c>
    </row>
    <row r="1213" ht="12.75" customHeight="1">
      <c r="A1213" s="2">
        <v>41582.0</v>
      </c>
      <c r="B1213" s="77">
        <f t="shared" si="1"/>
        <v>11</v>
      </c>
      <c r="C1213" s="78">
        <f t="shared" si="2"/>
        <v>2013</v>
      </c>
      <c r="D1213" s="77">
        <v>3.209</v>
      </c>
      <c r="E1213" s="4">
        <f t="shared" si="3"/>
        <v>3.186</v>
      </c>
      <c r="F1213" s="2">
        <f t="shared" si="4"/>
        <v>41579</v>
      </c>
    </row>
    <row r="1214" ht="12.75" customHeight="1">
      <c r="A1214" s="2">
        <v>41589.0</v>
      </c>
      <c r="B1214" s="77">
        <f t="shared" si="1"/>
        <v>11</v>
      </c>
      <c r="C1214" s="78">
        <f t="shared" si="2"/>
        <v>2013</v>
      </c>
      <c r="D1214" s="77">
        <v>3.133</v>
      </c>
      <c r="E1214" s="4">
        <f t="shared" si="3"/>
        <v>3.186</v>
      </c>
      <c r="F1214" s="2">
        <f t="shared" si="4"/>
        <v>41579</v>
      </c>
    </row>
    <row r="1215" ht="12.75" customHeight="1">
      <c r="A1215" s="2">
        <v>41596.0</v>
      </c>
      <c r="B1215" s="77">
        <f t="shared" si="1"/>
        <v>11</v>
      </c>
      <c r="C1215" s="78">
        <f t="shared" si="2"/>
        <v>2013</v>
      </c>
      <c r="D1215" s="77">
        <v>3.161</v>
      </c>
      <c r="E1215" s="4">
        <f t="shared" si="3"/>
        <v>3.186</v>
      </c>
      <c r="F1215" s="2">
        <f t="shared" si="4"/>
        <v>41579</v>
      </c>
    </row>
    <row r="1216" ht="12.75" customHeight="1">
      <c r="A1216" s="2">
        <v>41603.0</v>
      </c>
      <c r="B1216" s="77">
        <f t="shared" si="1"/>
        <v>11</v>
      </c>
      <c r="C1216" s="78">
        <f t="shared" si="2"/>
        <v>2013</v>
      </c>
      <c r="D1216" s="77">
        <v>3.241</v>
      </c>
      <c r="E1216" s="4">
        <f t="shared" si="3"/>
        <v>3.186</v>
      </c>
      <c r="F1216" s="2">
        <f t="shared" si="4"/>
        <v>41579</v>
      </c>
    </row>
    <row r="1217" ht="12.75" customHeight="1">
      <c r="A1217" s="2">
        <v>41610.0</v>
      </c>
      <c r="B1217" s="77">
        <f t="shared" si="1"/>
        <v>12</v>
      </c>
      <c r="C1217" s="78">
        <f t="shared" si="2"/>
        <v>2013</v>
      </c>
      <c r="D1217" s="77">
        <v>3.209</v>
      </c>
      <c r="E1217" s="4">
        <f t="shared" si="3"/>
        <v>3.2088</v>
      </c>
      <c r="F1217" s="2">
        <f t="shared" si="4"/>
        <v>41609</v>
      </c>
    </row>
    <row r="1218" ht="12.75" customHeight="1">
      <c r="A1218" s="2">
        <v>41617.0</v>
      </c>
      <c r="B1218" s="77">
        <f t="shared" si="1"/>
        <v>12</v>
      </c>
      <c r="C1218" s="78">
        <f t="shared" si="2"/>
        <v>2013</v>
      </c>
      <c r="D1218" s="77">
        <v>3.208</v>
      </c>
      <c r="E1218" s="4">
        <f t="shared" si="3"/>
        <v>3.2088</v>
      </c>
      <c r="F1218" s="2">
        <f t="shared" si="4"/>
        <v>41609</v>
      </c>
    </row>
    <row r="1219" ht="12.75" customHeight="1">
      <c r="A1219" s="2">
        <v>41624.0</v>
      </c>
      <c r="B1219" s="77">
        <f t="shared" si="1"/>
        <v>12</v>
      </c>
      <c r="C1219" s="78">
        <f t="shared" si="2"/>
        <v>2013</v>
      </c>
      <c r="D1219" s="77">
        <v>3.165</v>
      </c>
      <c r="E1219" s="4">
        <f t="shared" si="3"/>
        <v>3.2088</v>
      </c>
      <c r="F1219" s="2">
        <f t="shared" si="4"/>
        <v>41609</v>
      </c>
    </row>
    <row r="1220" ht="12.75" customHeight="1">
      <c r="A1220" s="2">
        <v>41631.0</v>
      </c>
      <c r="B1220" s="77">
        <f t="shared" si="1"/>
        <v>12</v>
      </c>
      <c r="C1220" s="78">
        <f t="shared" si="2"/>
        <v>2013</v>
      </c>
      <c r="D1220" s="77">
        <v>3.198</v>
      </c>
      <c r="E1220" s="4">
        <f t="shared" si="3"/>
        <v>3.2088</v>
      </c>
      <c r="F1220" s="2">
        <f t="shared" si="4"/>
        <v>41609</v>
      </c>
    </row>
    <row r="1221" ht="12.75" customHeight="1">
      <c r="A1221" s="2">
        <v>41638.0</v>
      </c>
      <c r="B1221" s="77">
        <f t="shared" si="1"/>
        <v>12</v>
      </c>
      <c r="C1221" s="78">
        <f t="shared" si="2"/>
        <v>2013</v>
      </c>
      <c r="D1221" s="77">
        <v>3.264</v>
      </c>
      <c r="E1221" s="4">
        <f t="shared" si="3"/>
        <v>3.2088</v>
      </c>
      <c r="F1221" s="2">
        <f t="shared" si="4"/>
        <v>41609</v>
      </c>
    </row>
    <row r="1222" ht="12.75" customHeight="1">
      <c r="A1222" s="2">
        <v>41645.0</v>
      </c>
      <c r="B1222" s="77">
        <f t="shared" si="1"/>
        <v>1</v>
      </c>
      <c r="C1222" s="78">
        <f t="shared" si="2"/>
        <v>2014</v>
      </c>
      <c r="D1222" s="77">
        <v>3.261</v>
      </c>
      <c r="E1222" s="4">
        <f t="shared" si="3"/>
        <v>3.25225</v>
      </c>
      <c r="F1222" s="2">
        <f t="shared" si="4"/>
        <v>41640</v>
      </c>
    </row>
    <row r="1223" ht="12.75" customHeight="1">
      <c r="A1223" s="2">
        <v>41652.0</v>
      </c>
      <c r="B1223" s="77">
        <f t="shared" si="1"/>
        <v>1</v>
      </c>
      <c r="C1223" s="78">
        <f t="shared" si="2"/>
        <v>2014</v>
      </c>
      <c r="D1223" s="77">
        <v>3.267</v>
      </c>
      <c r="E1223" s="4">
        <f t="shared" si="3"/>
        <v>3.25225</v>
      </c>
      <c r="F1223" s="2">
        <f t="shared" si="4"/>
        <v>41640</v>
      </c>
    </row>
    <row r="1224" ht="12.75" customHeight="1">
      <c r="A1224" s="2">
        <v>41659.0</v>
      </c>
      <c r="B1224" s="77">
        <f t="shared" si="1"/>
        <v>1</v>
      </c>
      <c r="C1224" s="78">
        <f t="shared" si="2"/>
        <v>2014</v>
      </c>
      <c r="D1224" s="77">
        <v>3.24</v>
      </c>
      <c r="E1224" s="4">
        <f t="shared" si="3"/>
        <v>3.25225</v>
      </c>
      <c r="F1224" s="2">
        <f t="shared" si="4"/>
        <v>41640</v>
      </c>
    </row>
    <row r="1225" ht="12.75" customHeight="1">
      <c r="A1225" s="2">
        <v>41666.0</v>
      </c>
      <c r="B1225" s="77">
        <f t="shared" si="1"/>
        <v>1</v>
      </c>
      <c r="C1225" s="78">
        <f t="shared" si="2"/>
        <v>2014</v>
      </c>
      <c r="D1225" s="77">
        <v>3.241</v>
      </c>
      <c r="E1225" s="4">
        <f t="shared" si="3"/>
        <v>3.25225</v>
      </c>
      <c r="F1225" s="2">
        <f t="shared" si="4"/>
        <v>41640</v>
      </c>
    </row>
    <row r="1226" ht="12.75" customHeight="1">
      <c r="A1226" s="2">
        <v>41673.0</v>
      </c>
      <c r="B1226" s="77">
        <f t="shared" si="1"/>
        <v>2</v>
      </c>
      <c r="C1226" s="78">
        <f t="shared" si="2"/>
        <v>2014</v>
      </c>
      <c r="D1226" s="77">
        <v>3.243</v>
      </c>
      <c r="E1226" s="4">
        <f t="shared" si="3"/>
        <v>3.305</v>
      </c>
      <c r="F1226" s="2">
        <f t="shared" si="4"/>
        <v>41671</v>
      </c>
    </row>
    <row r="1227" ht="12.75" customHeight="1">
      <c r="A1227" s="2">
        <v>41680.0</v>
      </c>
      <c r="B1227" s="77">
        <f t="shared" si="1"/>
        <v>2</v>
      </c>
      <c r="C1227" s="78">
        <f t="shared" si="2"/>
        <v>2014</v>
      </c>
      <c r="D1227" s="77">
        <v>3.257</v>
      </c>
      <c r="E1227" s="4">
        <f t="shared" si="3"/>
        <v>3.305</v>
      </c>
      <c r="F1227" s="2">
        <f t="shared" si="4"/>
        <v>41671</v>
      </c>
    </row>
    <row r="1228" ht="12.75" customHeight="1">
      <c r="A1228" s="2">
        <v>41687.0</v>
      </c>
      <c r="B1228" s="77">
        <f t="shared" si="1"/>
        <v>2</v>
      </c>
      <c r="C1228" s="78">
        <f t="shared" si="2"/>
        <v>2014</v>
      </c>
      <c r="D1228" s="77">
        <v>3.326</v>
      </c>
      <c r="E1228" s="4">
        <f t="shared" si="3"/>
        <v>3.305</v>
      </c>
      <c r="F1228" s="2">
        <f t="shared" si="4"/>
        <v>41671</v>
      </c>
    </row>
    <row r="1229" ht="12.75" customHeight="1">
      <c r="A1229" s="2">
        <v>41694.0</v>
      </c>
      <c r="B1229" s="77">
        <f t="shared" si="1"/>
        <v>2</v>
      </c>
      <c r="C1229" s="78">
        <f t="shared" si="2"/>
        <v>2014</v>
      </c>
      <c r="D1229" s="77">
        <v>3.394</v>
      </c>
      <c r="E1229" s="4">
        <f t="shared" si="3"/>
        <v>3.305</v>
      </c>
      <c r="F1229" s="2">
        <f t="shared" si="4"/>
        <v>41671</v>
      </c>
    </row>
    <row r="1230" ht="12.75" customHeight="1">
      <c r="A1230" s="2">
        <v>41701.0</v>
      </c>
      <c r="B1230" s="77">
        <f t="shared" si="1"/>
        <v>3</v>
      </c>
      <c r="C1230" s="78">
        <f t="shared" si="2"/>
        <v>2014</v>
      </c>
      <c r="D1230" s="77">
        <v>3.421</v>
      </c>
      <c r="E1230" s="4">
        <f t="shared" si="3"/>
        <v>3.474</v>
      </c>
      <c r="F1230" s="2">
        <f t="shared" si="4"/>
        <v>41699</v>
      </c>
    </row>
    <row r="1231" ht="12.75" customHeight="1">
      <c r="A1231" s="2">
        <v>41708.0</v>
      </c>
      <c r="B1231" s="77">
        <f t="shared" si="1"/>
        <v>3</v>
      </c>
      <c r="C1231" s="78">
        <f t="shared" si="2"/>
        <v>2014</v>
      </c>
      <c r="D1231" s="77">
        <v>3.452</v>
      </c>
      <c r="E1231" s="4">
        <f t="shared" si="3"/>
        <v>3.474</v>
      </c>
      <c r="F1231" s="2">
        <f t="shared" si="4"/>
        <v>41699</v>
      </c>
    </row>
    <row r="1232" ht="12.75" customHeight="1">
      <c r="A1232" s="2">
        <v>41715.0</v>
      </c>
      <c r="B1232" s="77">
        <f t="shared" si="1"/>
        <v>3</v>
      </c>
      <c r="C1232" s="78">
        <f t="shared" si="2"/>
        <v>2014</v>
      </c>
      <c r="D1232" s="77">
        <v>3.489</v>
      </c>
      <c r="E1232" s="4">
        <f t="shared" si="3"/>
        <v>3.474</v>
      </c>
      <c r="F1232" s="2">
        <f t="shared" si="4"/>
        <v>41699</v>
      </c>
    </row>
    <row r="1233" ht="12.75" customHeight="1">
      <c r="A1233" s="2">
        <v>41722.0</v>
      </c>
      <c r="B1233" s="77">
        <f t="shared" si="1"/>
        <v>3</v>
      </c>
      <c r="C1233" s="78">
        <f t="shared" si="2"/>
        <v>2014</v>
      </c>
      <c r="D1233" s="77">
        <v>3.487</v>
      </c>
      <c r="E1233" s="4">
        <f t="shared" si="3"/>
        <v>3.474</v>
      </c>
      <c r="F1233" s="2">
        <f t="shared" si="4"/>
        <v>41699</v>
      </c>
    </row>
    <row r="1234" ht="12.75" customHeight="1">
      <c r="A1234" s="2">
        <v>41729.0</v>
      </c>
      <c r="B1234" s="77">
        <f t="shared" si="1"/>
        <v>3</v>
      </c>
      <c r="C1234" s="78">
        <f t="shared" si="2"/>
        <v>2014</v>
      </c>
      <c r="D1234" s="77">
        <v>3.521</v>
      </c>
      <c r="E1234" s="4">
        <f t="shared" si="3"/>
        <v>3.474</v>
      </c>
      <c r="F1234" s="2">
        <f t="shared" si="4"/>
        <v>41699</v>
      </c>
    </row>
    <row r="1235" ht="12.75" customHeight="1">
      <c r="A1235" s="2">
        <v>41736.0</v>
      </c>
      <c r="B1235" s="77">
        <f t="shared" si="1"/>
        <v>4</v>
      </c>
      <c r="C1235" s="78">
        <f t="shared" si="2"/>
        <v>2014</v>
      </c>
      <c r="D1235" s="77">
        <v>3.533</v>
      </c>
      <c r="E1235" s="4">
        <f t="shared" si="3"/>
        <v>3.59025</v>
      </c>
      <c r="F1235" s="2">
        <f t="shared" si="4"/>
        <v>41730</v>
      </c>
    </row>
    <row r="1236" ht="12.75" customHeight="1">
      <c r="A1236" s="2">
        <v>41743.0</v>
      </c>
      <c r="B1236" s="77">
        <f t="shared" si="1"/>
        <v>4</v>
      </c>
      <c r="C1236" s="78">
        <f t="shared" si="2"/>
        <v>2014</v>
      </c>
      <c r="D1236" s="77">
        <v>3.581</v>
      </c>
      <c r="E1236" s="4">
        <f t="shared" si="3"/>
        <v>3.59025</v>
      </c>
      <c r="F1236" s="2">
        <f t="shared" si="4"/>
        <v>41730</v>
      </c>
    </row>
    <row r="1237" ht="12.75" customHeight="1">
      <c r="A1237" s="2">
        <v>41750.0</v>
      </c>
      <c r="B1237" s="77">
        <f t="shared" si="1"/>
        <v>4</v>
      </c>
      <c r="C1237" s="78">
        <f t="shared" si="2"/>
        <v>2014</v>
      </c>
      <c r="D1237" s="77">
        <v>3.612</v>
      </c>
      <c r="E1237" s="4">
        <f t="shared" si="3"/>
        <v>3.59025</v>
      </c>
      <c r="F1237" s="2">
        <f t="shared" si="4"/>
        <v>41730</v>
      </c>
    </row>
    <row r="1238" ht="12.75" customHeight="1">
      <c r="A1238" s="2">
        <v>41757.0</v>
      </c>
      <c r="B1238" s="77">
        <f t="shared" si="1"/>
        <v>4</v>
      </c>
      <c r="C1238" s="78">
        <f t="shared" si="2"/>
        <v>2014</v>
      </c>
      <c r="D1238" s="77">
        <v>3.635</v>
      </c>
      <c r="E1238" s="4">
        <f t="shared" si="3"/>
        <v>3.59025</v>
      </c>
      <c r="F1238" s="2">
        <f t="shared" si="4"/>
        <v>41730</v>
      </c>
    </row>
    <row r="1239" ht="12.75" customHeight="1">
      <c r="A1239" s="2">
        <v>41764.0</v>
      </c>
      <c r="B1239" s="77">
        <f t="shared" si="1"/>
        <v>5</v>
      </c>
      <c r="C1239" s="78">
        <f t="shared" si="2"/>
        <v>2014</v>
      </c>
      <c r="D1239" s="77">
        <v>3.606</v>
      </c>
      <c r="E1239" s="4">
        <f t="shared" si="3"/>
        <v>3.60075</v>
      </c>
      <c r="F1239" s="2">
        <f t="shared" si="4"/>
        <v>41760</v>
      </c>
    </row>
    <row r="1240" ht="12.75" customHeight="1">
      <c r="A1240" s="2">
        <v>41771.0</v>
      </c>
      <c r="B1240" s="77">
        <f t="shared" si="1"/>
        <v>5</v>
      </c>
      <c r="C1240" s="78">
        <f t="shared" si="2"/>
        <v>2014</v>
      </c>
      <c r="D1240" s="77">
        <v>3.597</v>
      </c>
      <c r="E1240" s="4">
        <f t="shared" si="3"/>
        <v>3.60075</v>
      </c>
      <c r="F1240" s="2">
        <f t="shared" si="4"/>
        <v>41760</v>
      </c>
    </row>
    <row r="1241" ht="12.75" customHeight="1">
      <c r="A1241" s="2">
        <v>41778.0</v>
      </c>
      <c r="B1241" s="77">
        <f t="shared" si="1"/>
        <v>5</v>
      </c>
      <c r="C1241" s="78">
        <f t="shared" si="2"/>
        <v>2014</v>
      </c>
      <c r="D1241" s="77">
        <v>3.593</v>
      </c>
      <c r="E1241" s="4">
        <f t="shared" si="3"/>
        <v>3.60075</v>
      </c>
      <c r="F1241" s="2">
        <f t="shared" si="4"/>
        <v>41760</v>
      </c>
    </row>
    <row r="1242" ht="12.75" customHeight="1">
      <c r="A1242" s="2">
        <v>41785.0</v>
      </c>
      <c r="B1242" s="77">
        <f t="shared" si="1"/>
        <v>5</v>
      </c>
      <c r="C1242" s="78">
        <f t="shared" si="2"/>
        <v>2014</v>
      </c>
      <c r="D1242" s="77">
        <v>3.607</v>
      </c>
      <c r="E1242" s="4">
        <f t="shared" si="3"/>
        <v>3.60075</v>
      </c>
      <c r="F1242" s="2">
        <f t="shared" si="4"/>
        <v>41760</v>
      </c>
    </row>
    <row r="1243" ht="12.75" customHeight="1">
      <c r="A1243" s="2">
        <v>41792.0</v>
      </c>
      <c r="B1243" s="77">
        <f t="shared" si="1"/>
        <v>6</v>
      </c>
      <c r="C1243" s="78">
        <f t="shared" si="2"/>
        <v>2014</v>
      </c>
      <c r="D1243" s="77">
        <v>3.624</v>
      </c>
      <c r="E1243" s="4">
        <f t="shared" si="3"/>
        <v>3.6258</v>
      </c>
      <c r="F1243" s="2">
        <f t="shared" si="4"/>
        <v>41791</v>
      </c>
    </row>
    <row r="1244" ht="12.75" customHeight="1">
      <c r="A1244" s="2">
        <v>41799.0</v>
      </c>
      <c r="B1244" s="77">
        <f t="shared" si="1"/>
        <v>6</v>
      </c>
      <c r="C1244" s="78">
        <f t="shared" si="2"/>
        <v>2014</v>
      </c>
      <c r="D1244" s="77">
        <v>3.61</v>
      </c>
      <c r="E1244" s="4">
        <f t="shared" si="3"/>
        <v>3.6258</v>
      </c>
      <c r="F1244" s="2">
        <f t="shared" si="4"/>
        <v>41791</v>
      </c>
    </row>
    <row r="1245" ht="12.75" customHeight="1">
      <c r="A1245" s="2">
        <v>41806.0</v>
      </c>
      <c r="B1245" s="77">
        <f t="shared" si="1"/>
        <v>6</v>
      </c>
      <c r="C1245" s="78">
        <f t="shared" si="2"/>
        <v>2014</v>
      </c>
      <c r="D1245" s="77">
        <v>3.621</v>
      </c>
      <c r="E1245" s="4">
        <f t="shared" si="3"/>
        <v>3.6258</v>
      </c>
      <c r="F1245" s="2">
        <f t="shared" si="4"/>
        <v>41791</v>
      </c>
    </row>
    <row r="1246" ht="12.75" customHeight="1">
      <c r="A1246" s="2">
        <v>41813.0</v>
      </c>
      <c r="B1246" s="77">
        <f t="shared" si="1"/>
        <v>6</v>
      </c>
      <c r="C1246" s="78">
        <f t="shared" si="2"/>
        <v>2014</v>
      </c>
      <c r="D1246" s="77">
        <v>3.639</v>
      </c>
      <c r="E1246" s="4">
        <f t="shared" si="3"/>
        <v>3.6258</v>
      </c>
      <c r="F1246" s="2">
        <f t="shared" si="4"/>
        <v>41791</v>
      </c>
    </row>
    <row r="1247" ht="12.75" customHeight="1">
      <c r="A1247" s="2">
        <v>41820.0</v>
      </c>
      <c r="B1247" s="77">
        <f t="shared" si="1"/>
        <v>6</v>
      </c>
      <c r="C1247" s="78">
        <f t="shared" si="2"/>
        <v>2014</v>
      </c>
      <c r="D1247" s="77">
        <v>3.635</v>
      </c>
      <c r="E1247" s="4">
        <f t="shared" si="3"/>
        <v>3.6258</v>
      </c>
      <c r="F1247" s="2">
        <f t="shared" si="4"/>
        <v>41791</v>
      </c>
    </row>
    <row r="1248" ht="12.75" customHeight="1">
      <c r="A1248" s="2">
        <v>41827.0</v>
      </c>
      <c r="B1248" s="77">
        <f t="shared" si="1"/>
        <v>7</v>
      </c>
      <c r="C1248" s="78">
        <f t="shared" si="2"/>
        <v>2014</v>
      </c>
      <c r="D1248" s="77">
        <v>3.605</v>
      </c>
      <c r="E1248" s="4">
        <f t="shared" si="3"/>
        <v>3.539</v>
      </c>
      <c r="F1248" s="2">
        <f t="shared" si="4"/>
        <v>41821</v>
      </c>
    </row>
    <row r="1249" ht="12.75" customHeight="1">
      <c r="A1249" s="2">
        <v>41834.0</v>
      </c>
      <c r="B1249" s="77">
        <f t="shared" si="1"/>
        <v>7</v>
      </c>
      <c r="C1249" s="78">
        <f t="shared" si="2"/>
        <v>2014</v>
      </c>
      <c r="D1249" s="77">
        <v>3.56</v>
      </c>
      <c r="E1249" s="4">
        <f t="shared" si="3"/>
        <v>3.539</v>
      </c>
      <c r="F1249" s="2">
        <f t="shared" si="4"/>
        <v>41821</v>
      </c>
    </row>
    <row r="1250" ht="12.75" customHeight="1">
      <c r="A1250" s="2">
        <v>41841.0</v>
      </c>
      <c r="B1250" s="77">
        <f t="shared" si="1"/>
        <v>7</v>
      </c>
      <c r="C1250" s="78">
        <f t="shared" si="2"/>
        <v>2014</v>
      </c>
      <c r="D1250" s="77">
        <v>3.523</v>
      </c>
      <c r="E1250" s="4">
        <f t="shared" si="3"/>
        <v>3.539</v>
      </c>
      <c r="F1250" s="2">
        <f t="shared" si="4"/>
        <v>41821</v>
      </c>
    </row>
    <row r="1251" ht="12.75" customHeight="1">
      <c r="A1251" s="2">
        <v>41848.0</v>
      </c>
      <c r="B1251" s="77">
        <f t="shared" si="1"/>
        <v>7</v>
      </c>
      <c r="C1251" s="78">
        <f t="shared" si="2"/>
        <v>2014</v>
      </c>
      <c r="D1251" s="77">
        <v>3.468</v>
      </c>
      <c r="E1251" s="4">
        <f t="shared" si="3"/>
        <v>3.539</v>
      </c>
      <c r="F1251" s="2">
        <f t="shared" si="4"/>
        <v>41821</v>
      </c>
    </row>
    <row r="1252" ht="12.75" customHeight="1">
      <c r="A1252" s="2">
        <v>41855.0</v>
      </c>
      <c r="B1252" s="77">
        <f t="shared" si="1"/>
        <v>8</v>
      </c>
      <c r="C1252" s="78">
        <f t="shared" si="2"/>
        <v>2014</v>
      </c>
      <c r="D1252" s="77">
        <v>3.449</v>
      </c>
      <c r="E1252" s="4">
        <f t="shared" si="3"/>
        <v>3.42525</v>
      </c>
      <c r="F1252" s="2">
        <f t="shared" si="4"/>
        <v>41852</v>
      </c>
    </row>
    <row r="1253" ht="12.75" customHeight="1">
      <c r="A1253" s="2">
        <v>41862.0</v>
      </c>
      <c r="B1253" s="77">
        <f t="shared" si="1"/>
        <v>8</v>
      </c>
      <c r="C1253" s="78">
        <f t="shared" si="2"/>
        <v>2014</v>
      </c>
      <c r="D1253" s="77">
        <v>3.447</v>
      </c>
      <c r="E1253" s="4">
        <f t="shared" si="3"/>
        <v>3.42525</v>
      </c>
      <c r="F1253" s="2">
        <f t="shared" si="4"/>
        <v>41852</v>
      </c>
    </row>
    <row r="1254" ht="12.75" customHeight="1">
      <c r="A1254" s="2">
        <v>41869.0</v>
      </c>
      <c r="B1254" s="77">
        <f t="shared" si="1"/>
        <v>8</v>
      </c>
      <c r="C1254" s="78">
        <f t="shared" si="2"/>
        <v>2014</v>
      </c>
      <c r="D1254" s="77">
        <v>3.408</v>
      </c>
      <c r="E1254" s="4">
        <f t="shared" si="3"/>
        <v>3.42525</v>
      </c>
      <c r="F1254" s="2">
        <f t="shared" si="4"/>
        <v>41852</v>
      </c>
    </row>
    <row r="1255" ht="12.75" customHeight="1">
      <c r="A1255" s="2">
        <v>41876.0</v>
      </c>
      <c r="B1255" s="77">
        <f t="shared" si="1"/>
        <v>8</v>
      </c>
      <c r="C1255" s="78">
        <f t="shared" si="2"/>
        <v>2014</v>
      </c>
      <c r="D1255" s="77">
        <v>3.397</v>
      </c>
      <c r="E1255" s="4">
        <f t="shared" si="3"/>
        <v>3.42525</v>
      </c>
      <c r="F1255" s="2">
        <f t="shared" si="4"/>
        <v>41852</v>
      </c>
    </row>
    <row r="1256" ht="12.75" customHeight="1">
      <c r="A1256" s="2">
        <v>41883.0</v>
      </c>
      <c r="B1256" s="77">
        <f t="shared" si="1"/>
        <v>9</v>
      </c>
      <c r="C1256" s="78">
        <f t="shared" si="2"/>
        <v>2014</v>
      </c>
      <c r="D1256" s="77">
        <v>3.41</v>
      </c>
      <c r="E1256" s="4">
        <f t="shared" si="3"/>
        <v>3.3536</v>
      </c>
      <c r="F1256" s="2">
        <f t="shared" si="4"/>
        <v>41883</v>
      </c>
    </row>
    <row r="1257" ht="12.75" customHeight="1">
      <c r="A1257" s="2">
        <v>41890.0</v>
      </c>
      <c r="B1257" s="77">
        <f t="shared" si="1"/>
        <v>9</v>
      </c>
      <c r="C1257" s="78">
        <f t="shared" si="2"/>
        <v>2014</v>
      </c>
      <c r="D1257" s="77">
        <v>3.406</v>
      </c>
      <c r="E1257" s="4">
        <f t="shared" si="3"/>
        <v>3.3536</v>
      </c>
      <c r="F1257" s="2">
        <f t="shared" si="4"/>
        <v>41883</v>
      </c>
    </row>
    <row r="1258" ht="12.75" customHeight="1">
      <c r="A1258" s="2">
        <v>41897.0</v>
      </c>
      <c r="B1258" s="77">
        <f t="shared" si="1"/>
        <v>9</v>
      </c>
      <c r="C1258" s="78">
        <f t="shared" si="2"/>
        <v>2014</v>
      </c>
      <c r="D1258" s="77">
        <v>3.352</v>
      </c>
      <c r="E1258" s="4">
        <f t="shared" si="3"/>
        <v>3.3536</v>
      </c>
      <c r="F1258" s="2">
        <f t="shared" si="4"/>
        <v>41883</v>
      </c>
    </row>
    <row r="1259" ht="12.75" customHeight="1">
      <c r="A1259" s="2">
        <v>41904.0</v>
      </c>
      <c r="B1259" s="77">
        <f t="shared" si="1"/>
        <v>9</v>
      </c>
      <c r="C1259" s="78">
        <f t="shared" si="2"/>
        <v>2014</v>
      </c>
      <c r="D1259" s="77">
        <v>3.296</v>
      </c>
      <c r="E1259" s="4">
        <f t="shared" si="3"/>
        <v>3.3536</v>
      </c>
      <c r="F1259" s="2">
        <f t="shared" si="4"/>
        <v>41883</v>
      </c>
    </row>
    <row r="1260" ht="12.75" customHeight="1">
      <c r="A1260" s="2">
        <v>41911.0</v>
      </c>
      <c r="B1260" s="77">
        <f t="shared" si="1"/>
        <v>9</v>
      </c>
      <c r="C1260" s="78">
        <f t="shared" si="2"/>
        <v>2014</v>
      </c>
      <c r="D1260" s="77">
        <v>3.304</v>
      </c>
      <c r="E1260" s="4">
        <f t="shared" si="3"/>
        <v>3.3536</v>
      </c>
      <c r="F1260" s="2">
        <f t="shared" si="4"/>
        <v>41883</v>
      </c>
    </row>
    <row r="1261" ht="12.75" customHeight="1">
      <c r="A1261" s="2">
        <v>41918.0</v>
      </c>
      <c r="B1261" s="77">
        <f t="shared" si="1"/>
        <v>10</v>
      </c>
      <c r="C1261" s="78">
        <f t="shared" si="2"/>
        <v>2014</v>
      </c>
      <c r="D1261" s="77">
        <v>3.246</v>
      </c>
      <c r="E1261" s="4">
        <f t="shared" si="3"/>
        <v>3.11975</v>
      </c>
      <c r="F1261" s="2">
        <f t="shared" si="4"/>
        <v>41913</v>
      </c>
    </row>
    <row r="1262" ht="12.75" customHeight="1">
      <c r="A1262" s="2">
        <v>41925.0</v>
      </c>
      <c r="B1262" s="77">
        <f t="shared" si="1"/>
        <v>10</v>
      </c>
      <c r="C1262" s="78">
        <f t="shared" si="2"/>
        <v>2014</v>
      </c>
      <c r="D1262" s="77">
        <v>3.147</v>
      </c>
      <c r="E1262" s="4">
        <f t="shared" si="3"/>
        <v>3.11975</v>
      </c>
      <c r="F1262" s="2">
        <f t="shared" si="4"/>
        <v>41913</v>
      </c>
    </row>
    <row r="1263" ht="12.75" customHeight="1">
      <c r="A1263" s="2">
        <v>41932.0</v>
      </c>
      <c r="B1263" s="77">
        <f t="shared" si="1"/>
        <v>10</v>
      </c>
      <c r="C1263" s="78">
        <f t="shared" si="2"/>
        <v>2014</v>
      </c>
      <c r="D1263" s="77">
        <v>3.07</v>
      </c>
      <c r="E1263" s="4">
        <f t="shared" si="3"/>
        <v>3.11975</v>
      </c>
      <c r="F1263" s="2">
        <f t="shared" si="4"/>
        <v>41913</v>
      </c>
    </row>
    <row r="1264" ht="12.75" customHeight="1">
      <c r="A1264" s="2">
        <v>41939.0</v>
      </c>
      <c r="B1264" s="77">
        <f t="shared" si="1"/>
        <v>10</v>
      </c>
      <c r="C1264" s="78">
        <f t="shared" si="2"/>
        <v>2014</v>
      </c>
      <c r="D1264" s="77">
        <v>3.016</v>
      </c>
      <c r="E1264" s="4">
        <f t="shared" si="3"/>
        <v>3.11975</v>
      </c>
      <c r="F1264" s="2">
        <f t="shared" si="4"/>
        <v>41913</v>
      </c>
    </row>
    <row r="1265" ht="12.75" customHeight="1">
      <c r="A1265" s="2">
        <v>41946.0</v>
      </c>
      <c r="B1265" s="77">
        <f t="shared" si="1"/>
        <v>11</v>
      </c>
      <c r="C1265" s="78">
        <f t="shared" si="2"/>
        <v>2014</v>
      </c>
      <c r="D1265" s="77">
        <v>2.956</v>
      </c>
      <c r="E1265" s="4">
        <f t="shared" si="3"/>
        <v>2.875</v>
      </c>
      <c r="F1265" s="2">
        <f t="shared" si="4"/>
        <v>41944</v>
      </c>
    </row>
    <row r="1266" ht="12.75" customHeight="1">
      <c r="A1266" s="2">
        <v>41953.0</v>
      </c>
      <c r="B1266" s="77">
        <f t="shared" si="1"/>
        <v>11</v>
      </c>
      <c r="C1266" s="78">
        <f t="shared" si="2"/>
        <v>2014</v>
      </c>
      <c r="D1266" s="77">
        <v>2.907</v>
      </c>
      <c r="E1266" s="4">
        <f t="shared" si="3"/>
        <v>2.875</v>
      </c>
      <c r="F1266" s="2">
        <f t="shared" si="4"/>
        <v>41944</v>
      </c>
    </row>
    <row r="1267" ht="12.75" customHeight="1">
      <c r="A1267" s="2">
        <v>41960.0</v>
      </c>
      <c r="B1267" s="77">
        <f t="shared" si="1"/>
        <v>11</v>
      </c>
      <c r="C1267" s="78">
        <f t="shared" si="2"/>
        <v>2014</v>
      </c>
      <c r="D1267" s="77">
        <v>2.856</v>
      </c>
      <c r="E1267" s="4">
        <f t="shared" si="3"/>
        <v>2.875</v>
      </c>
      <c r="F1267" s="2">
        <f t="shared" si="4"/>
        <v>41944</v>
      </c>
    </row>
    <row r="1268" ht="12.75" customHeight="1">
      <c r="A1268" s="2">
        <v>41967.0</v>
      </c>
      <c r="B1268" s="77">
        <f t="shared" si="1"/>
        <v>11</v>
      </c>
      <c r="C1268" s="78">
        <f t="shared" si="2"/>
        <v>2014</v>
      </c>
      <c r="D1268" s="77">
        <v>2.781</v>
      </c>
      <c r="E1268" s="4">
        <f t="shared" si="3"/>
        <v>2.875</v>
      </c>
      <c r="F1268" s="2">
        <f t="shared" si="4"/>
        <v>41944</v>
      </c>
    </row>
    <row r="1269" ht="12.75" customHeight="1">
      <c r="A1269" s="2">
        <v>41974.0</v>
      </c>
      <c r="B1269" s="77">
        <f t="shared" si="1"/>
        <v>12</v>
      </c>
      <c r="C1269" s="78">
        <f t="shared" si="2"/>
        <v>2014</v>
      </c>
      <c r="D1269" s="77">
        <v>2.738</v>
      </c>
      <c r="E1269" s="4">
        <f t="shared" si="3"/>
        <v>2.4882</v>
      </c>
      <c r="F1269" s="2">
        <f t="shared" si="4"/>
        <v>41974</v>
      </c>
    </row>
    <row r="1270" ht="12.75" customHeight="1">
      <c r="A1270" s="2">
        <v>41981.0</v>
      </c>
      <c r="B1270" s="77">
        <f t="shared" si="1"/>
        <v>12</v>
      </c>
      <c r="C1270" s="78">
        <f t="shared" si="2"/>
        <v>2014</v>
      </c>
      <c r="D1270" s="77">
        <v>2.634</v>
      </c>
      <c r="E1270" s="4">
        <f t="shared" si="3"/>
        <v>2.4882</v>
      </c>
      <c r="F1270" s="2">
        <f t="shared" si="4"/>
        <v>41974</v>
      </c>
    </row>
    <row r="1271" ht="12.75" customHeight="1">
      <c r="A1271" s="2">
        <v>41988.0</v>
      </c>
      <c r="B1271" s="77">
        <f t="shared" si="1"/>
        <v>12</v>
      </c>
      <c r="C1271" s="78">
        <f t="shared" si="2"/>
        <v>2014</v>
      </c>
      <c r="D1271" s="77">
        <v>2.499</v>
      </c>
      <c r="E1271" s="4">
        <f t="shared" si="3"/>
        <v>2.4882</v>
      </c>
      <c r="F1271" s="2">
        <f t="shared" si="4"/>
        <v>41974</v>
      </c>
    </row>
    <row r="1272" ht="12.75" customHeight="1">
      <c r="A1272" s="2">
        <v>41995.0</v>
      </c>
      <c r="B1272" s="77">
        <f t="shared" si="1"/>
        <v>12</v>
      </c>
      <c r="C1272" s="78">
        <f t="shared" si="2"/>
        <v>2014</v>
      </c>
      <c r="D1272" s="77">
        <v>2.341</v>
      </c>
      <c r="E1272" s="4">
        <f t="shared" si="3"/>
        <v>2.4882</v>
      </c>
      <c r="F1272" s="2">
        <f t="shared" si="4"/>
        <v>41974</v>
      </c>
    </row>
    <row r="1273" ht="12.75" customHeight="1">
      <c r="A1273" s="2">
        <v>42002.0</v>
      </c>
      <c r="B1273" s="77">
        <f t="shared" si="1"/>
        <v>12</v>
      </c>
      <c r="C1273" s="78">
        <f t="shared" si="2"/>
        <v>2014</v>
      </c>
      <c r="D1273" s="77">
        <v>2.229</v>
      </c>
      <c r="E1273" s="4">
        <f t="shared" si="3"/>
        <v>2.4882</v>
      </c>
      <c r="F1273" s="2">
        <f t="shared" si="4"/>
        <v>41974</v>
      </c>
    </row>
    <row r="1274" ht="12.75" customHeight="1">
      <c r="A1274" s="2">
        <v>42009.0</v>
      </c>
      <c r="B1274" s="77">
        <f t="shared" si="1"/>
        <v>1</v>
      </c>
      <c r="C1274" s="78">
        <f t="shared" si="2"/>
        <v>2015</v>
      </c>
      <c r="D1274" s="77">
        <v>2.136</v>
      </c>
      <c r="E1274" s="4">
        <f t="shared" si="3"/>
        <v>2.04575</v>
      </c>
      <c r="F1274" s="2">
        <f t="shared" si="4"/>
        <v>42005</v>
      </c>
    </row>
    <row r="1275" ht="12.75" customHeight="1">
      <c r="A1275" s="2">
        <v>42016.0</v>
      </c>
      <c r="B1275" s="77">
        <f t="shared" si="1"/>
        <v>1</v>
      </c>
      <c r="C1275" s="78">
        <f t="shared" si="2"/>
        <v>2015</v>
      </c>
      <c r="D1275" s="77">
        <v>2.066</v>
      </c>
      <c r="E1275" s="4">
        <f t="shared" si="3"/>
        <v>2.04575</v>
      </c>
      <c r="F1275" s="2">
        <f t="shared" si="4"/>
        <v>42005</v>
      </c>
    </row>
    <row r="1276" ht="12.75" customHeight="1">
      <c r="A1276" s="2">
        <v>42023.0</v>
      </c>
      <c r="B1276" s="77">
        <f t="shared" si="1"/>
        <v>1</v>
      </c>
      <c r="C1276" s="78">
        <f t="shared" si="2"/>
        <v>2015</v>
      </c>
      <c r="D1276" s="77">
        <v>1.999</v>
      </c>
      <c r="E1276" s="4">
        <f t="shared" si="3"/>
        <v>2.04575</v>
      </c>
      <c r="F1276" s="2">
        <f t="shared" si="4"/>
        <v>42005</v>
      </c>
    </row>
    <row r="1277" ht="12.75" customHeight="1">
      <c r="A1277" s="2">
        <v>42030.0</v>
      </c>
      <c r="B1277" s="77">
        <f t="shared" si="1"/>
        <v>1</v>
      </c>
      <c r="C1277" s="78">
        <f t="shared" si="2"/>
        <v>2015</v>
      </c>
      <c r="D1277" s="77">
        <v>1.982</v>
      </c>
      <c r="E1277" s="4">
        <f t="shared" si="3"/>
        <v>2.04575</v>
      </c>
      <c r="F1277" s="2">
        <f t="shared" si="4"/>
        <v>42005</v>
      </c>
    </row>
    <row r="1278" ht="12.75" customHeight="1">
      <c r="A1278" s="2">
        <v>42037.0</v>
      </c>
      <c r="B1278" s="77">
        <f t="shared" si="1"/>
        <v>2</v>
      </c>
      <c r="C1278" s="78">
        <f t="shared" si="2"/>
        <v>2015</v>
      </c>
      <c r="D1278" s="77">
        <v>2.013</v>
      </c>
      <c r="E1278" s="4">
        <f t="shared" si="3"/>
        <v>2.152</v>
      </c>
      <c r="F1278" s="2">
        <f t="shared" si="4"/>
        <v>42036</v>
      </c>
    </row>
    <row r="1279" ht="12.75" customHeight="1">
      <c r="A1279" s="2">
        <v>42044.0</v>
      </c>
      <c r="B1279" s="77">
        <f t="shared" si="1"/>
        <v>2</v>
      </c>
      <c r="C1279" s="78">
        <f t="shared" si="2"/>
        <v>2015</v>
      </c>
      <c r="D1279" s="77">
        <v>2.133</v>
      </c>
      <c r="E1279" s="4">
        <f t="shared" si="3"/>
        <v>2.152</v>
      </c>
      <c r="F1279" s="2">
        <f t="shared" si="4"/>
        <v>42036</v>
      </c>
    </row>
    <row r="1280" ht="12.75" customHeight="1">
      <c r="A1280" s="2">
        <v>42051.0</v>
      </c>
      <c r="B1280" s="77">
        <f t="shared" si="1"/>
        <v>2</v>
      </c>
      <c r="C1280" s="78">
        <f t="shared" si="2"/>
        <v>2015</v>
      </c>
      <c r="D1280" s="77">
        <v>2.206</v>
      </c>
      <c r="E1280" s="4">
        <f t="shared" si="3"/>
        <v>2.152</v>
      </c>
      <c r="F1280" s="2">
        <f t="shared" si="4"/>
        <v>42036</v>
      </c>
    </row>
    <row r="1281" ht="12.75" customHeight="1">
      <c r="A1281" s="2">
        <v>42058.0</v>
      </c>
      <c r="B1281" s="77">
        <f t="shared" si="1"/>
        <v>2</v>
      </c>
      <c r="C1281" s="78">
        <f t="shared" si="2"/>
        <v>2015</v>
      </c>
      <c r="D1281" s="77">
        <v>2.256</v>
      </c>
      <c r="E1281" s="4">
        <f t="shared" si="3"/>
        <v>2.152</v>
      </c>
      <c r="F1281" s="2">
        <f t="shared" si="4"/>
        <v>42036</v>
      </c>
    </row>
    <row r="1282" ht="12.75" customHeight="1">
      <c r="A1282" s="2">
        <v>42065.0</v>
      </c>
      <c r="B1282" s="77">
        <f t="shared" si="1"/>
        <v>3</v>
      </c>
      <c r="C1282" s="78">
        <f t="shared" si="2"/>
        <v>2015</v>
      </c>
      <c r="D1282" s="77">
        <v>2.36</v>
      </c>
      <c r="E1282" s="4">
        <f t="shared" si="3"/>
        <v>2.3522</v>
      </c>
      <c r="F1282" s="2">
        <f t="shared" si="4"/>
        <v>42064</v>
      </c>
    </row>
    <row r="1283" ht="12.75" customHeight="1">
      <c r="A1283" s="2">
        <v>42072.0</v>
      </c>
      <c r="B1283" s="77">
        <f t="shared" si="1"/>
        <v>3</v>
      </c>
      <c r="C1283" s="78">
        <f t="shared" si="2"/>
        <v>2015</v>
      </c>
      <c r="D1283" s="77">
        <v>2.367</v>
      </c>
      <c r="E1283" s="4">
        <f t="shared" si="3"/>
        <v>2.3522</v>
      </c>
      <c r="F1283" s="2">
        <f t="shared" si="4"/>
        <v>42064</v>
      </c>
    </row>
    <row r="1284" ht="12.75" customHeight="1">
      <c r="A1284" s="2">
        <v>42079.0</v>
      </c>
      <c r="B1284" s="77">
        <f t="shared" si="1"/>
        <v>3</v>
      </c>
      <c r="C1284" s="78">
        <f t="shared" si="2"/>
        <v>2015</v>
      </c>
      <c r="D1284" s="77">
        <v>2.339</v>
      </c>
      <c r="E1284" s="4">
        <f t="shared" si="3"/>
        <v>2.3522</v>
      </c>
      <c r="F1284" s="2">
        <f t="shared" si="4"/>
        <v>42064</v>
      </c>
    </row>
    <row r="1285" ht="12.75" customHeight="1">
      <c r="A1285" s="2">
        <v>42086.0</v>
      </c>
      <c r="B1285" s="77">
        <f t="shared" si="1"/>
        <v>3</v>
      </c>
      <c r="C1285" s="78">
        <f t="shared" si="2"/>
        <v>2015</v>
      </c>
      <c r="D1285" s="77">
        <v>2.347</v>
      </c>
      <c r="E1285" s="4">
        <f t="shared" si="3"/>
        <v>2.3522</v>
      </c>
      <c r="F1285" s="2">
        <f t="shared" si="4"/>
        <v>42064</v>
      </c>
    </row>
    <row r="1286" ht="12.75" customHeight="1">
      <c r="A1286" s="2">
        <v>42093.0</v>
      </c>
      <c r="B1286" s="77">
        <f t="shared" si="1"/>
        <v>3</v>
      </c>
      <c r="C1286" s="78">
        <f t="shared" si="2"/>
        <v>2015</v>
      </c>
      <c r="D1286" s="77">
        <v>2.348</v>
      </c>
      <c r="E1286" s="4">
        <f t="shared" si="3"/>
        <v>2.3522</v>
      </c>
      <c r="F1286" s="2">
        <f t="shared" si="4"/>
        <v>42064</v>
      </c>
    </row>
    <row r="1287" ht="12.75" customHeight="1">
      <c r="A1287" s="2">
        <v>42100.0</v>
      </c>
      <c r="B1287" s="77">
        <f t="shared" si="1"/>
        <v>4</v>
      </c>
      <c r="C1287" s="78">
        <f t="shared" si="2"/>
        <v>2015</v>
      </c>
      <c r="D1287" s="77">
        <v>2.315</v>
      </c>
      <c r="E1287" s="4">
        <f t="shared" si="3"/>
        <v>2.369</v>
      </c>
      <c r="F1287" s="2">
        <f t="shared" si="4"/>
        <v>42095</v>
      </c>
    </row>
    <row r="1288" ht="12.75" customHeight="1">
      <c r="A1288" s="2">
        <v>42107.0</v>
      </c>
      <c r="B1288" s="77">
        <f t="shared" si="1"/>
        <v>4</v>
      </c>
      <c r="C1288" s="78">
        <f t="shared" si="2"/>
        <v>2015</v>
      </c>
      <c r="D1288" s="77">
        <v>2.317</v>
      </c>
      <c r="E1288" s="4">
        <f t="shared" si="3"/>
        <v>2.369</v>
      </c>
      <c r="F1288" s="2">
        <f t="shared" si="4"/>
        <v>42095</v>
      </c>
    </row>
    <row r="1289" ht="12.75" customHeight="1">
      <c r="A1289" s="2">
        <v>42114.0</v>
      </c>
      <c r="B1289" s="77">
        <f t="shared" si="1"/>
        <v>4</v>
      </c>
      <c r="C1289" s="78">
        <f t="shared" si="2"/>
        <v>2015</v>
      </c>
      <c r="D1289" s="77">
        <v>2.393</v>
      </c>
      <c r="E1289" s="4">
        <f t="shared" si="3"/>
        <v>2.369</v>
      </c>
      <c r="F1289" s="2">
        <f t="shared" si="4"/>
        <v>42095</v>
      </c>
    </row>
    <row r="1290" ht="12.75" customHeight="1">
      <c r="A1290" s="2">
        <v>42121.0</v>
      </c>
      <c r="B1290" s="77">
        <f t="shared" si="1"/>
        <v>4</v>
      </c>
      <c r="C1290" s="78">
        <f t="shared" si="2"/>
        <v>2015</v>
      </c>
      <c r="D1290" s="77">
        <v>2.451</v>
      </c>
      <c r="E1290" s="4">
        <f t="shared" si="3"/>
        <v>2.369</v>
      </c>
      <c r="F1290" s="2">
        <f t="shared" si="4"/>
        <v>42095</v>
      </c>
    </row>
    <row r="1291" ht="12.75" customHeight="1">
      <c r="A1291" s="2">
        <v>42128.0</v>
      </c>
      <c r="B1291" s="77">
        <f t="shared" si="1"/>
        <v>5</v>
      </c>
      <c r="C1291" s="78">
        <f t="shared" si="2"/>
        <v>2015</v>
      </c>
      <c r="D1291" s="77">
        <v>2.517</v>
      </c>
      <c r="E1291" s="4">
        <f t="shared" si="3"/>
        <v>2.5775</v>
      </c>
      <c r="F1291" s="2">
        <f t="shared" si="4"/>
        <v>42125</v>
      </c>
    </row>
    <row r="1292" ht="12.75" customHeight="1">
      <c r="A1292" s="2">
        <v>42135.0</v>
      </c>
      <c r="B1292" s="77">
        <f t="shared" si="1"/>
        <v>5</v>
      </c>
      <c r="C1292" s="78">
        <f t="shared" si="2"/>
        <v>2015</v>
      </c>
      <c r="D1292" s="77">
        <v>2.547</v>
      </c>
      <c r="E1292" s="4">
        <f t="shared" si="3"/>
        <v>2.5775</v>
      </c>
      <c r="F1292" s="2">
        <f t="shared" si="4"/>
        <v>42125</v>
      </c>
    </row>
    <row r="1293" ht="12.75" customHeight="1">
      <c r="A1293" s="2">
        <v>42142.0</v>
      </c>
      <c r="B1293" s="77">
        <f t="shared" si="1"/>
        <v>5</v>
      </c>
      <c r="C1293" s="78">
        <f t="shared" si="2"/>
        <v>2015</v>
      </c>
      <c r="D1293" s="77">
        <v>2.604</v>
      </c>
      <c r="E1293" s="4">
        <f t="shared" si="3"/>
        <v>2.5775</v>
      </c>
      <c r="F1293" s="2">
        <f t="shared" si="4"/>
        <v>42125</v>
      </c>
    </row>
    <row r="1294" ht="12.75" customHeight="1">
      <c r="A1294" s="2">
        <v>42149.0</v>
      </c>
      <c r="B1294" s="77">
        <f t="shared" si="1"/>
        <v>5</v>
      </c>
      <c r="C1294" s="78">
        <f t="shared" si="2"/>
        <v>2015</v>
      </c>
      <c r="D1294" s="77">
        <v>2.642</v>
      </c>
      <c r="E1294" s="4">
        <f t="shared" si="3"/>
        <v>2.5775</v>
      </c>
      <c r="F1294" s="2">
        <f t="shared" si="4"/>
        <v>42125</v>
      </c>
    </row>
    <row r="1295" ht="12.75" customHeight="1">
      <c r="A1295" s="2">
        <v>42156.0</v>
      </c>
      <c r="B1295" s="77">
        <f t="shared" si="1"/>
        <v>6</v>
      </c>
      <c r="C1295" s="78">
        <f t="shared" si="2"/>
        <v>2015</v>
      </c>
      <c r="D1295" s="77">
        <v>2.656</v>
      </c>
      <c r="E1295" s="4">
        <f t="shared" si="3"/>
        <v>2.7002</v>
      </c>
      <c r="F1295" s="2">
        <f t="shared" si="4"/>
        <v>42156</v>
      </c>
    </row>
    <row r="1296" ht="12.75" customHeight="1">
      <c r="A1296" s="2">
        <v>42163.0</v>
      </c>
      <c r="B1296" s="77">
        <f t="shared" si="1"/>
        <v>6</v>
      </c>
      <c r="C1296" s="78">
        <f t="shared" si="2"/>
        <v>2015</v>
      </c>
      <c r="D1296" s="77">
        <v>2.668</v>
      </c>
      <c r="E1296" s="4">
        <f t="shared" si="3"/>
        <v>2.7002</v>
      </c>
      <c r="F1296" s="2">
        <f t="shared" si="4"/>
        <v>42156</v>
      </c>
    </row>
    <row r="1297" ht="12.75" customHeight="1">
      <c r="A1297" s="2">
        <v>42170.0</v>
      </c>
      <c r="B1297" s="77">
        <f t="shared" si="1"/>
        <v>6</v>
      </c>
      <c r="C1297" s="78">
        <f t="shared" si="2"/>
        <v>2015</v>
      </c>
      <c r="D1297" s="77">
        <v>2.744</v>
      </c>
      <c r="E1297" s="4">
        <f t="shared" si="3"/>
        <v>2.7002</v>
      </c>
      <c r="F1297" s="2">
        <f t="shared" si="4"/>
        <v>42156</v>
      </c>
    </row>
    <row r="1298" ht="12.75" customHeight="1">
      <c r="A1298" s="2">
        <v>42177.0</v>
      </c>
      <c r="B1298" s="77">
        <f t="shared" si="1"/>
        <v>6</v>
      </c>
      <c r="C1298" s="78">
        <f t="shared" si="2"/>
        <v>2015</v>
      </c>
      <c r="D1298" s="77">
        <v>2.72</v>
      </c>
      <c r="E1298" s="4">
        <f t="shared" si="3"/>
        <v>2.7002</v>
      </c>
      <c r="F1298" s="2">
        <f t="shared" si="4"/>
        <v>42156</v>
      </c>
    </row>
    <row r="1299" ht="12.75" customHeight="1">
      <c r="A1299" s="2">
        <v>42184.0</v>
      </c>
      <c r="B1299" s="77">
        <f t="shared" si="1"/>
        <v>6</v>
      </c>
      <c r="C1299" s="78">
        <f t="shared" si="2"/>
        <v>2015</v>
      </c>
      <c r="D1299" s="77">
        <v>2.713</v>
      </c>
      <c r="E1299" s="4">
        <f t="shared" si="3"/>
        <v>2.7002</v>
      </c>
      <c r="F1299" s="2">
        <f t="shared" si="4"/>
        <v>42156</v>
      </c>
    </row>
    <row r="1300" ht="12.75" customHeight="1">
      <c r="A1300" s="2">
        <v>42191.0</v>
      </c>
      <c r="B1300" s="77">
        <f t="shared" si="1"/>
        <v>7</v>
      </c>
      <c r="C1300" s="78">
        <f t="shared" si="2"/>
        <v>2015</v>
      </c>
      <c r="D1300" s="77">
        <v>2.702</v>
      </c>
      <c r="E1300" s="4">
        <f t="shared" si="3"/>
        <v>2.6655</v>
      </c>
      <c r="F1300" s="2">
        <f t="shared" si="4"/>
        <v>42186</v>
      </c>
    </row>
    <row r="1301" ht="12.75" customHeight="1">
      <c r="A1301" s="2">
        <v>42198.0</v>
      </c>
      <c r="B1301" s="77">
        <f t="shared" si="1"/>
        <v>7</v>
      </c>
      <c r="C1301" s="78">
        <f t="shared" si="2"/>
        <v>2015</v>
      </c>
      <c r="D1301" s="77">
        <v>2.694</v>
      </c>
      <c r="E1301" s="4">
        <f t="shared" si="3"/>
        <v>2.6655</v>
      </c>
      <c r="F1301" s="2">
        <f t="shared" si="4"/>
        <v>42186</v>
      </c>
    </row>
    <row r="1302" ht="12.75" customHeight="1">
      <c r="A1302" s="2">
        <v>42205.0</v>
      </c>
      <c r="B1302" s="77">
        <f t="shared" si="1"/>
        <v>7</v>
      </c>
      <c r="C1302" s="78">
        <f t="shared" si="2"/>
        <v>2015</v>
      </c>
      <c r="D1302" s="77">
        <v>2.661</v>
      </c>
      <c r="E1302" s="4">
        <f t="shared" si="3"/>
        <v>2.6655</v>
      </c>
      <c r="F1302" s="2">
        <f t="shared" si="4"/>
        <v>42186</v>
      </c>
    </row>
    <row r="1303" ht="12.75" customHeight="1">
      <c r="A1303" s="2">
        <v>42212.0</v>
      </c>
      <c r="B1303" s="77">
        <f t="shared" si="1"/>
        <v>7</v>
      </c>
      <c r="C1303" s="78">
        <f t="shared" si="2"/>
        <v>2015</v>
      </c>
      <c r="D1303" s="77">
        <v>2.605</v>
      </c>
      <c r="E1303" s="4">
        <f t="shared" si="3"/>
        <v>2.6655</v>
      </c>
      <c r="F1303" s="2">
        <f t="shared" si="4"/>
        <v>42186</v>
      </c>
    </row>
    <row r="1304" ht="12.75" customHeight="1">
      <c r="A1304" s="2">
        <v>42219.0</v>
      </c>
      <c r="B1304" s="77">
        <f t="shared" si="1"/>
        <v>8</v>
      </c>
      <c r="C1304" s="78">
        <f t="shared" si="2"/>
        <v>2015</v>
      </c>
      <c r="D1304" s="77">
        <v>2.555</v>
      </c>
      <c r="E1304" s="4">
        <f t="shared" si="3"/>
        <v>2.5216</v>
      </c>
      <c r="F1304" s="2">
        <f t="shared" si="4"/>
        <v>42217</v>
      </c>
    </row>
    <row r="1305" ht="12.75" customHeight="1">
      <c r="A1305" s="2">
        <v>42226.0</v>
      </c>
      <c r="B1305" s="77">
        <f t="shared" si="1"/>
        <v>8</v>
      </c>
      <c r="C1305" s="78">
        <f t="shared" si="2"/>
        <v>2015</v>
      </c>
      <c r="D1305" s="77">
        <v>2.505</v>
      </c>
      <c r="E1305" s="4">
        <f t="shared" si="3"/>
        <v>2.5216</v>
      </c>
      <c r="F1305" s="2">
        <f t="shared" si="4"/>
        <v>42217</v>
      </c>
    </row>
    <row r="1306" ht="12.75" customHeight="1">
      <c r="A1306" s="2">
        <v>42233.0</v>
      </c>
      <c r="B1306" s="77">
        <f t="shared" si="1"/>
        <v>8</v>
      </c>
      <c r="C1306" s="78">
        <f t="shared" si="2"/>
        <v>2015</v>
      </c>
      <c r="D1306" s="77">
        <v>2.608</v>
      </c>
      <c r="E1306" s="4">
        <f t="shared" si="3"/>
        <v>2.5216</v>
      </c>
      <c r="F1306" s="2">
        <f t="shared" si="4"/>
        <v>42217</v>
      </c>
    </row>
    <row r="1307" ht="12.75" customHeight="1">
      <c r="A1307" s="2">
        <v>42240.0</v>
      </c>
      <c r="B1307" s="77">
        <f t="shared" si="1"/>
        <v>8</v>
      </c>
      <c r="C1307" s="78">
        <f t="shared" si="2"/>
        <v>2015</v>
      </c>
      <c r="D1307" s="77">
        <v>2.534</v>
      </c>
      <c r="E1307" s="4">
        <f t="shared" si="3"/>
        <v>2.5216</v>
      </c>
      <c r="F1307" s="2">
        <f t="shared" si="4"/>
        <v>42217</v>
      </c>
    </row>
    <row r="1308" ht="12.75" customHeight="1">
      <c r="A1308" s="2">
        <v>42247.0</v>
      </c>
      <c r="B1308" s="77">
        <f t="shared" si="1"/>
        <v>8</v>
      </c>
      <c r="C1308" s="78">
        <f t="shared" si="2"/>
        <v>2015</v>
      </c>
      <c r="D1308" s="77">
        <v>2.406</v>
      </c>
      <c r="E1308" s="4">
        <f t="shared" si="3"/>
        <v>2.5216</v>
      </c>
      <c r="F1308" s="2">
        <f t="shared" si="4"/>
        <v>42217</v>
      </c>
    </row>
    <row r="1309" ht="12.75" customHeight="1">
      <c r="A1309" s="2">
        <v>42254.0</v>
      </c>
      <c r="B1309" s="77">
        <f t="shared" si="1"/>
        <v>9</v>
      </c>
      <c r="C1309" s="78">
        <f t="shared" si="2"/>
        <v>2015</v>
      </c>
      <c r="D1309" s="77">
        <v>2.337</v>
      </c>
      <c r="E1309" s="4">
        <f t="shared" si="3"/>
        <v>2.275</v>
      </c>
      <c r="F1309" s="2">
        <f t="shared" si="4"/>
        <v>42248</v>
      </c>
    </row>
    <row r="1310" ht="12.75" customHeight="1">
      <c r="A1310" s="2">
        <v>42261.0</v>
      </c>
      <c r="B1310" s="77">
        <f t="shared" si="1"/>
        <v>9</v>
      </c>
      <c r="C1310" s="78">
        <f t="shared" si="2"/>
        <v>2015</v>
      </c>
      <c r="D1310" s="77">
        <v>2.28</v>
      </c>
      <c r="E1310" s="4">
        <f t="shared" si="3"/>
        <v>2.275</v>
      </c>
      <c r="F1310" s="2">
        <f t="shared" si="4"/>
        <v>42248</v>
      </c>
    </row>
    <row r="1311" ht="12.75" customHeight="1">
      <c r="A1311" s="2">
        <v>42268.0</v>
      </c>
      <c r="B1311" s="77">
        <f t="shared" si="1"/>
        <v>9</v>
      </c>
      <c r="C1311" s="78">
        <f t="shared" si="2"/>
        <v>2015</v>
      </c>
      <c r="D1311" s="77">
        <v>2.237</v>
      </c>
      <c r="E1311" s="4">
        <f t="shared" si="3"/>
        <v>2.275</v>
      </c>
      <c r="F1311" s="2">
        <f t="shared" si="4"/>
        <v>42248</v>
      </c>
    </row>
    <row r="1312" ht="12.75" customHeight="1">
      <c r="A1312" s="2">
        <v>42275.0</v>
      </c>
      <c r="B1312" s="77">
        <f t="shared" si="1"/>
        <v>9</v>
      </c>
      <c r="C1312" s="78">
        <f t="shared" si="2"/>
        <v>2015</v>
      </c>
      <c r="D1312" s="77">
        <v>2.246</v>
      </c>
      <c r="E1312" s="4">
        <f t="shared" si="3"/>
        <v>2.275</v>
      </c>
      <c r="F1312" s="2">
        <f t="shared" si="4"/>
        <v>42248</v>
      </c>
    </row>
    <row r="1313" ht="12.75" customHeight="1">
      <c r="A1313" s="2">
        <v>42282.0</v>
      </c>
      <c r="B1313" s="77">
        <f t="shared" si="1"/>
        <v>10</v>
      </c>
      <c r="C1313" s="78">
        <f t="shared" si="2"/>
        <v>2015</v>
      </c>
      <c r="D1313" s="77">
        <v>2.252</v>
      </c>
      <c r="E1313" s="4">
        <f t="shared" si="3"/>
        <v>2.23025</v>
      </c>
      <c r="F1313" s="2">
        <f t="shared" si="4"/>
        <v>42278</v>
      </c>
    </row>
    <row r="1314" ht="12.75" customHeight="1">
      <c r="A1314" s="2">
        <v>42289.0</v>
      </c>
      <c r="B1314" s="77">
        <f t="shared" si="1"/>
        <v>10</v>
      </c>
      <c r="C1314" s="78">
        <f t="shared" si="2"/>
        <v>2015</v>
      </c>
      <c r="D1314" s="77">
        <v>2.283</v>
      </c>
      <c r="E1314" s="4">
        <f t="shared" si="3"/>
        <v>2.23025</v>
      </c>
      <c r="F1314" s="2">
        <f t="shared" si="4"/>
        <v>42278</v>
      </c>
    </row>
    <row r="1315" ht="12.75" customHeight="1">
      <c r="A1315" s="2">
        <v>42296.0</v>
      </c>
      <c r="B1315" s="77">
        <f t="shared" si="1"/>
        <v>10</v>
      </c>
      <c r="C1315" s="78">
        <f t="shared" si="2"/>
        <v>2015</v>
      </c>
      <c r="D1315" s="77">
        <v>2.22</v>
      </c>
      <c r="E1315" s="4">
        <f t="shared" si="3"/>
        <v>2.23025</v>
      </c>
      <c r="F1315" s="2">
        <f t="shared" si="4"/>
        <v>42278</v>
      </c>
    </row>
    <row r="1316" ht="12.75" customHeight="1">
      <c r="A1316" s="2">
        <v>42303.0</v>
      </c>
      <c r="B1316" s="77">
        <f t="shared" si="1"/>
        <v>10</v>
      </c>
      <c r="C1316" s="78">
        <f t="shared" si="2"/>
        <v>2015</v>
      </c>
      <c r="D1316" s="77">
        <v>2.166</v>
      </c>
      <c r="E1316" s="4">
        <f t="shared" si="3"/>
        <v>2.23025</v>
      </c>
      <c r="F1316" s="2">
        <f t="shared" si="4"/>
        <v>42278</v>
      </c>
    </row>
    <row r="1317" ht="12.75" customHeight="1">
      <c r="A1317" s="2">
        <v>42310.0</v>
      </c>
      <c r="B1317" s="77">
        <f t="shared" si="1"/>
        <v>11</v>
      </c>
      <c r="C1317" s="78">
        <f t="shared" si="2"/>
        <v>2015</v>
      </c>
      <c r="D1317" s="77">
        <v>2.17</v>
      </c>
      <c r="E1317" s="4">
        <f t="shared" si="3"/>
        <v>2.0882</v>
      </c>
      <c r="F1317" s="2">
        <f t="shared" si="4"/>
        <v>42309</v>
      </c>
    </row>
    <row r="1318" ht="12.75" customHeight="1">
      <c r="A1318" s="2">
        <v>42317.0</v>
      </c>
      <c r="B1318" s="77">
        <f t="shared" si="1"/>
        <v>11</v>
      </c>
      <c r="C1318" s="78">
        <f t="shared" si="2"/>
        <v>2015</v>
      </c>
      <c r="D1318" s="77">
        <v>2.172</v>
      </c>
      <c r="E1318" s="4">
        <f t="shared" si="3"/>
        <v>2.0882</v>
      </c>
      <c r="F1318" s="2">
        <f t="shared" si="4"/>
        <v>42309</v>
      </c>
    </row>
    <row r="1319" ht="12.75" customHeight="1">
      <c r="A1319" s="2">
        <v>42324.0</v>
      </c>
      <c r="B1319" s="77">
        <f t="shared" si="1"/>
        <v>11</v>
      </c>
      <c r="C1319" s="78">
        <f t="shared" si="2"/>
        <v>2015</v>
      </c>
      <c r="D1319" s="77">
        <v>2.11</v>
      </c>
      <c r="E1319" s="4">
        <f t="shared" si="3"/>
        <v>2.0882</v>
      </c>
      <c r="F1319" s="2">
        <f t="shared" si="4"/>
        <v>42309</v>
      </c>
    </row>
    <row r="1320" ht="12.75" customHeight="1">
      <c r="A1320" s="2">
        <v>42331.0</v>
      </c>
      <c r="B1320" s="77">
        <f t="shared" si="1"/>
        <v>11</v>
      </c>
      <c r="C1320" s="78">
        <f t="shared" si="2"/>
        <v>2015</v>
      </c>
      <c r="D1320" s="77">
        <v>2.015</v>
      </c>
      <c r="E1320" s="4">
        <f t="shared" si="3"/>
        <v>2.0882</v>
      </c>
      <c r="F1320" s="2">
        <f t="shared" si="4"/>
        <v>42309</v>
      </c>
    </row>
    <row r="1321" ht="12.75" customHeight="1">
      <c r="A1321" s="2">
        <v>42338.0</v>
      </c>
      <c r="B1321" s="77">
        <f t="shared" si="1"/>
        <v>11</v>
      </c>
      <c r="C1321" s="78">
        <f t="shared" si="2"/>
        <v>2015</v>
      </c>
      <c r="D1321" s="77">
        <v>1.974</v>
      </c>
      <c r="E1321" s="4">
        <f t="shared" si="3"/>
        <v>2.0882</v>
      </c>
      <c r="F1321" s="2">
        <f t="shared" si="4"/>
        <v>42309</v>
      </c>
    </row>
    <row r="1322" ht="12.75" customHeight="1">
      <c r="A1322" s="2">
        <v>42345.0</v>
      </c>
      <c r="B1322" s="77">
        <f t="shared" si="1"/>
        <v>12</v>
      </c>
      <c r="C1322" s="78">
        <f t="shared" si="2"/>
        <v>2015</v>
      </c>
      <c r="D1322" s="77">
        <v>1.969</v>
      </c>
      <c r="E1322" s="4">
        <f t="shared" si="3"/>
        <v>1.946</v>
      </c>
      <c r="F1322" s="2">
        <f t="shared" si="4"/>
        <v>42339</v>
      </c>
    </row>
    <row r="1323" ht="12.75" customHeight="1">
      <c r="A1323" s="2">
        <v>42352.0</v>
      </c>
      <c r="B1323" s="77">
        <f t="shared" si="1"/>
        <v>12</v>
      </c>
      <c r="C1323" s="78">
        <f t="shared" si="2"/>
        <v>2015</v>
      </c>
      <c r="D1323" s="77">
        <v>1.953</v>
      </c>
      <c r="E1323" s="4">
        <f t="shared" si="3"/>
        <v>1.946</v>
      </c>
      <c r="F1323" s="2">
        <f t="shared" si="4"/>
        <v>42339</v>
      </c>
    </row>
    <row r="1324" ht="12.75" customHeight="1">
      <c r="A1324" s="2">
        <v>42359.0</v>
      </c>
      <c r="B1324" s="77">
        <f t="shared" si="1"/>
        <v>12</v>
      </c>
      <c r="C1324" s="78">
        <f t="shared" si="2"/>
        <v>2015</v>
      </c>
      <c r="D1324" s="77">
        <v>1.929</v>
      </c>
      <c r="E1324" s="4">
        <f t="shared" si="3"/>
        <v>1.946</v>
      </c>
      <c r="F1324" s="2">
        <f t="shared" si="4"/>
        <v>42339</v>
      </c>
    </row>
    <row r="1325" ht="12.75" customHeight="1">
      <c r="A1325" s="2">
        <v>42366.0</v>
      </c>
      <c r="B1325" s="77">
        <f t="shared" si="1"/>
        <v>12</v>
      </c>
      <c r="C1325" s="78">
        <f t="shared" si="2"/>
        <v>2015</v>
      </c>
      <c r="D1325" s="77">
        <v>1.933</v>
      </c>
      <c r="E1325" s="4">
        <f t="shared" si="3"/>
        <v>1.946</v>
      </c>
      <c r="F1325" s="2">
        <f t="shared" si="4"/>
        <v>42339</v>
      </c>
    </row>
    <row r="1326" ht="12.75" customHeight="1">
      <c r="A1326" s="2">
        <v>42373.0</v>
      </c>
      <c r="B1326" s="77">
        <f t="shared" si="1"/>
        <v>1</v>
      </c>
      <c r="C1326" s="78">
        <f t="shared" si="2"/>
        <v>2016</v>
      </c>
      <c r="D1326" s="77">
        <v>1.922</v>
      </c>
      <c r="E1326" s="4">
        <f t="shared" si="3"/>
        <v>1.843</v>
      </c>
      <c r="F1326" s="2">
        <f t="shared" si="4"/>
        <v>42370</v>
      </c>
    </row>
    <row r="1327" ht="12.75" customHeight="1">
      <c r="A1327" s="2">
        <v>42380.0</v>
      </c>
      <c r="B1327" s="77">
        <f t="shared" si="1"/>
        <v>1</v>
      </c>
      <c r="C1327" s="78">
        <f t="shared" si="2"/>
        <v>2016</v>
      </c>
      <c r="D1327" s="77">
        <v>1.888</v>
      </c>
      <c r="E1327" s="4">
        <f t="shared" si="3"/>
        <v>1.843</v>
      </c>
      <c r="F1327" s="2">
        <f t="shared" si="4"/>
        <v>42370</v>
      </c>
    </row>
    <row r="1328" ht="12.75" customHeight="1">
      <c r="A1328" s="2">
        <v>42387.0</v>
      </c>
      <c r="B1328" s="77">
        <f t="shared" si="1"/>
        <v>1</v>
      </c>
      <c r="C1328" s="78">
        <f t="shared" si="2"/>
        <v>2016</v>
      </c>
      <c r="D1328" s="77">
        <v>1.81</v>
      </c>
      <c r="E1328" s="4">
        <f t="shared" si="3"/>
        <v>1.843</v>
      </c>
      <c r="F1328" s="2">
        <f t="shared" si="4"/>
        <v>42370</v>
      </c>
    </row>
    <row r="1329" ht="12.75" customHeight="1">
      <c r="A1329" s="2">
        <v>42394.0</v>
      </c>
      <c r="B1329" s="77">
        <f t="shared" si="1"/>
        <v>1</v>
      </c>
      <c r="C1329" s="78">
        <f t="shared" si="2"/>
        <v>2016</v>
      </c>
      <c r="D1329" s="77">
        <v>1.752</v>
      </c>
      <c r="E1329" s="4">
        <f t="shared" si="3"/>
        <v>1.843</v>
      </c>
      <c r="F1329" s="2">
        <f t="shared" si="4"/>
        <v>42370</v>
      </c>
    </row>
    <row r="1330" ht="12.75" customHeight="1">
      <c r="A1330" s="2">
        <v>42401.0</v>
      </c>
      <c r="B1330" s="77">
        <f t="shared" si="1"/>
        <v>2</v>
      </c>
      <c r="C1330" s="78">
        <f t="shared" si="2"/>
        <v>2016</v>
      </c>
      <c r="D1330" s="77">
        <v>1.729</v>
      </c>
      <c r="E1330" s="4">
        <f t="shared" si="3"/>
        <v>1.6812</v>
      </c>
      <c r="F1330" s="2">
        <f t="shared" si="4"/>
        <v>42401</v>
      </c>
    </row>
    <row r="1331" ht="12.75" customHeight="1">
      <c r="A1331" s="2">
        <v>42408.0</v>
      </c>
      <c r="B1331" s="77">
        <f t="shared" si="1"/>
        <v>2</v>
      </c>
      <c r="C1331" s="78">
        <f t="shared" si="2"/>
        <v>2016</v>
      </c>
      <c r="D1331" s="77">
        <v>1.663</v>
      </c>
      <c r="E1331" s="4">
        <f t="shared" si="3"/>
        <v>1.6812</v>
      </c>
      <c r="F1331" s="2">
        <f t="shared" si="4"/>
        <v>42401</v>
      </c>
    </row>
    <row r="1332" ht="12.75" customHeight="1">
      <c r="A1332" s="2">
        <v>42415.0</v>
      </c>
      <c r="B1332" s="77">
        <f t="shared" si="1"/>
        <v>2</v>
      </c>
      <c r="C1332" s="78">
        <f t="shared" si="2"/>
        <v>2016</v>
      </c>
      <c r="D1332" s="77">
        <v>1.638</v>
      </c>
      <c r="E1332" s="4">
        <f t="shared" si="3"/>
        <v>1.6812</v>
      </c>
      <c r="F1332" s="2">
        <f t="shared" si="4"/>
        <v>42401</v>
      </c>
    </row>
    <row r="1333" ht="12.75" customHeight="1">
      <c r="A1333" s="2">
        <v>42422.0</v>
      </c>
      <c r="B1333" s="77">
        <f t="shared" si="1"/>
        <v>2</v>
      </c>
      <c r="C1333" s="78">
        <f t="shared" si="2"/>
        <v>2016</v>
      </c>
      <c r="D1333" s="77">
        <v>1.661</v>
      </c>
      <c r="E1333" s="4">
        <f t="shared" si="3"/>
        <v>1.6812</v>
      </c>
      <c r="F1333" s="2">
        <f t="shared" si="4"/>
        <v>42401</v>
      </c>
    </row>
    <row r="1334" ht="12.75" customHeight="1">
      <c r="A1334" s="2">
        <v>42429.0</v>
      </c>
      <c r="B1334" s="77">
        <f t="shared" si="1"/>
        <v>2</v>
      </c>
      <c r="C1334" s="78">
        <f t="shared" si="2"/>
        <v>2016</v>
      </c>
      <c r="D1334" s="77">
        <v>1.715</v>
      </c>
      <c r="E1334" s="4">
        <f t="shared" si="3"/>
        <v>1.6812</v>
      </c>
      <c r="F1334" s="2">
        <f t="shared" si="4"/>
        <v>42401</v>
      </c>
    </row>
    <row r="1335" ht="12.75" customHeight="1">
      <c r="A1335" s="2">
        <v>42436.0</v>
      </c>
      <c r="B1335" s="77">
        <f t="shared" si="1"/>
        <v>3</v>
      </c>
      <c r="C1335" s="78">
        <f t="shared" si="2"/>
        <v>2016</v>
      </c>
      <c r="D1335" s="77">
        <v>1.782</v>
      </c>
      <c r="E1335" s="4">
        <f t="shared" si="3"/>
        <v>1.89525</v>
      </c>
      <c r="F1335" s="2">
        <f t="shared" si="4"/>
        <v>42430</v>
      </c>
    </row>
    <row r="1336" ht="12.75" customHeight="1">
      <c r="A1336" s="2">
        <v>42443.0</v>
      </c>
      <c r="B1336" s="77">
        <f t="shared" si="1"/>
        <v>3</v>
      </c>
      <c r="C1336" s="78">
        <f t="shared" si="2"/>
        <v>2016</v>
      </c>
      <c r="D1336" s="77">
        <v>1.888</v>
      </c>
      <c r="E1336" s="4">
        <f t="shared" si="3"/>
        <v>1.89525</v>
      </c>
      <c r="F1336" s="2">
        <f t="shared" si="4"/>
        <v>42430</v>
      </c>
    </row>
    <row r="1337" ht="12.75" customHeight="1">
      <c r="A1337" s="2">
        <v>42450.0</v>
      </c>
      <c r="B1337" s="77">
        <f t="shared" si="1"/>
        <v>3</v>
      </c>
      <c r="C1337" s="78">
        <f t="shared" si="2"/>
        <v>2016</v>
      </c>
      <c r="D1337" s="77">
        <v>1.935</v>
      </c>
      <c r="E1337" s="4">
        <f t="shared" si="3"/>
        <v>1.89525</v>
      </c>
      <c r="F1337" s="2">
        <f t="shared" si="4"/>
        <v>42430</v>
      </c>
    </row>
    <row r="1338" ht="12.75" customHeight="1">
      <c r="A1338" s="2">
        <v>42457.0</v>
      </c>
      <c r="B1338" s="77">
        <f t="shared" si="1"/>
        <v>3</v>
      </c>
      <c r="C1338" s="78">
        <f t="shared" si="2"/>
        <v>2016</v>
      </c>
      <c r="D1338" s="77">
        <v>1.976</v>
      </c>
      <c r="E1338" s="4">
        <f t="shared" si="3"/>
        <v>1.89525</v>
      </c>
      <c r="F1338" s="2">
        <f t="shared" si="4"/>
        <v>42430</v>
      </c>
    </row>
    <row r="1339" ht="12.75" customHeight="1">
      <c r="A1339" s="2">
        <v>42464.0</v>
      </c>
      <c r="B1339" s="77">
        <f t="shared" si="1"/>
        <v>4</v>
      </c>
      <c r="C1339" s="78">
        <f t="shared" si="2"/>
        <v>2016</v>
      </c>
      <c r="D1339" s="77">
        <v>1.994</v>
      </c>
      <c r="E1339" s="4">
        <f t="shared" si="3"/>
        <v>2.027</v>
      </c>
      <c r="F1339" s="2">
        <f t="shared" si="4"/>
        <v>42461</v>
      </c>
    </row>
    <row r="1340" ht="12.75" customHeight="1">
      <c r="A1340" s="2">
        <v>42471.0</v>
      </c>
      <c r="B1340" s="77">
        <f t="shared" si="1"/>
        <v>4</v>
      </c>
      <c r="C1340" s="78">
        <f t="shared" si="2"/>
        <v>2016</v>
      </c>
      <c r="D1340" s="77">
        <v>1.981</v>
      </c>
      <c r="E1340" s="4">
        <f t="shared" si="3"/>
        <v>2.027</v>
      </c>
      <c r="F1340" s="2">
        <f t="shared" si="4"/>
        <v>42461</v>
      </c>
    </row>
    <row r="1341" ht="12.75" customHeight="1">
      <c r="A1341" s="2">
        <v>42478.0</v>
      </c>
      <c r="B1341" s="77">
        <f t="shared" si="1"/>
        <v>4</v>
      </c>
      <c r="C1341" s="78">
        <f t="shared" si="2"/>
        <v>2016</v>
      </c>
      <c r="D1341" s="77">
        <v>2.053</v>
      </c>
      <c r="E1341" s="4">
        <f t="shared" si="3"/>
        <v>2.027</v>
      </c>
      <c r="F1341" s="2">
        <f t="shared" si="4"/>
        <v>42461</v>
      </c>
    </row>
    <row r="1342" ht="12.75" customHeight="1">
      <c r="A1342" s="2">
        <v>42485.0</v>
      </c>
      <c r="B1342" s="77">
        <f t="shared" si="1"/>
        <v>4</v>
      </c>
      <c r="C1342" s="78">
        <f t="shared" si="2"/>
        <v>2016</v>
      </c>
      <c r="D1342" s="77">
        <v>2.08</v>
      </c>
      <c r="E1342" s="4">
        <f t="shared" si="3"/>
        <v>2.027</v>
      </c>
      <c r="F1342" s="2">
        <f t="shared" si="4"/>
        <v>42461</v>
      </c>
    </row>
    <row r="1343" ht="12.75" customHeight="1">
      <c r="A1343" s="2">
        <v>42492.0</v>
      </c>
      <c r="B1343" s="77">
        <f t="shared" si="1"/>
        <v>5</v>
      </c>
      <c r="C1343" s="78">
        <f t="shared" si="2"/>
        <v>2016</v>
      </c>
      <c r="D1343" s="77">
        <v>2.168</v>
      </c>
      <c r="E1343" s="4">
        <f t="shared" si="3"/>
        <v>2.1994</v>
      </c>
      <c r="F1343" s="2">
        <f t="shared" si="4"/>
        <v>42491</v>
      </c>
    </row>
    <row r="1344" ht="12.75" customHeight="1">
      <c r="A1344" s="2">
        <v>42499.0</v>
      </c>
      <c r="B1344" s="77">
        <f t="shared" si="1"/>
        <v>5</v>
      </c>
      <c r="C1344" s="78">
        <f t="shared" si="2"/>
        <v>2016</v>
      </c>
      <c r="D1344" s="77">
        <v>2.143</v>
      </c>
      <c r="E1344" s="4">
        <f t="shared" si="3"/>
        <v>2.1994</v>
      </c>
      <c r="F1344" s="2">
        <f t="shared" si="4"/>
        <v>42491</v>
      </c>
    </row>
    <row r="1345" ht="12.75" customHeight="1">
      <c r="A1345" s="2">
        <v>42506.0</v>
      </c>
      <c r="B1345" s="77">
        <f t="shared" si="1"/>
        <v>5</v>
      </c>
      <c r="C1345" s="78">
        <f t="shared" si="2"/>
        <v>2016</v>
      </c>
      <c r="D1345" s="77">
        <v>2.17</v>
      </c>
      <c r="E1345" s="4">
        <f t="shared" si="3"/>
        <v>2.1994</v>
      </c>
      <c r="F1345" s="2">
        <f t="shared" si="4"/>
        <v>42491</v>
      </c>
    </row>
    <row r="1346" ht="12.75" customHeight="1">
      <c r="A1346" s="2">
        <v>42513.0</v>
      </c>
      <c r="B1346" s="77">
        <f t="shared" si="1"/>
        <v>5</v>
      </c>
      <c r="C1346" s="78">
        <f t="shared" si="2"/>
        <v>2016</v>
      </c>
      <c r="D1346" s="77">
        <v>2.235</v>
      </c>
      <c r="E1346" s="4">
        <f t="shared" si="3"/>
        <v>2.1994</v>
      </c>
      <c r="F1346" s="2">
        <f t="shared" si="4"/>
        <v>42491</v>
      </c>
    </row>
    <row r="1347" ht="12.75" customHeight="1">
      <c r="A1347" s="2">
        <v>42520.0</v>
      </c>
      <c r="B1347" s="77">
        <f t="shared" si="1"/>
        <v>5</v>
      </c>
      <c r="C1347" s="78">
        <f t="shared" si="2"/>
        <v>2016</v>
      </c>
      <c r="D1347" s="77">
        <v>2.281</v>
      </c>
      <c r="E1347" s="4">
        <f t="shared" si="3"/>
        <v>2.1994</v>
      </c>
      <c r="F1347" s="2">
        <f t="shared" si="4"/>
        <v>42491</v>
      </c>
    </row>
    <row r="1348" ht="12.75" customHeight="1">
      <c r="A1348" s="2">
        <v>42527.0</v>
      </c>
      <c r="B1348" s="77">
        <f t="shared" si="1"/>
        <v>6</v>
      </c>
      <c r="C1348" s="78">
        <f t="shared" si="2"/>
        <v>2016</v>
      </c>
      <c r="D1348" s="77">
        <v>2.328</v>
      </c>
      <c r="E1348" s="4">
        <f t="shared" si="3"/>
        <v>2.30275</v>
      </c>
      <c r="F1348" s="2">
        <f t="shared" si="4"/>
        <v>42522</v>
      </c>
    </row>
    <row r="1349" ht="12.75" customHeight="1">
      <c r="A1349" s="2">
        <v>42534.0</v>
      </c>
      <c r="B1349" s="77">
        <f t="shared" si="1"/>
        <v>6</v>
      </c>
      <c r="C1349" s="78">
        <f t="shared" si="2"/>
        <v>2016</v>
      </c>
      <c r="D1349" s="77">
        <v>2.343</v>
      </c>
      <c r="E1349" s="4">
        <f t="shared" si="3"/>
        <v>2.30275</v>
      </c>
      <c r="F1349" s="2">
        <f t="shared" si="4"/>
        <v>42522</v>
      </c>
    </row>
    <row r="1350" ht="12.75" customHeight="1">
      <c r="A1350" s="2">
        <v>42541.0</v>
      </c>
      <c r="B1350" s="77">
        <f t="shared" si="1"/>
        <v>6</v>
      </c>
      <c r="C1350" s="78">
        <f t="shared" si="2"/>
        <v>2016</v>
      </c>
      <c r="D1350" s="77">
        <v>2.29</v>
      </c>
      <c r="E1350" s="4">
        <f t="shared" si="3"/>
        <v>2.30275</v>
      </c>
      <c r="F1350" s="2">
        <f t="shared" si="4"/>
        <v>42522</v>
      </c>
    </row>
    <row r="1351" ht="12.75" customHeight="1">
      <c r="A1351" s="2">
        <v>42548.0</v>
      </c>
      <c r="B1351" s="77">
        <f t="shared" si="1"/>
        <v>6</v>
      </c>
      <c r="C1351" s="78">
        <f t="shared" si="2"/>
        <v>2016</v>
      </c>
      <c r="D1351" s="77">
        <v>2.25</v>
      </c>
      <c r="E1351" s="4">
        <f t="shared" si="3"/>
        <v>2.30275</v>
      </c>
      <c r="F1351" s="2">
        <f t="shared" si="4"/>
        <v>42522</v>
      </c>
    </row>
    <row r="1352" ht="12.75" customHeight="1">
      <c r="A1352" s="2">
        <v>42555.0</v>
      </c>
      <c r="B1352" s="77">
        <f t="shared" si="1"/>
        <v>7</v>
      </c>
      <c r="C1352" s="78">
        <f t="shared" si="2"/>
        <v>2016</v>
      </c>
      <c r="D1352" s="77">
        <v>2.205</v>
      </c>
      <c r="E1352" s="4">
        <f t="shared" si="3"/>
        <v>2.15725</v>
      </c>
      <c r="F1352" s="2">
        <f t="shared" si="4"/>
        <v>42552</v>
      </c>
    </row>
    <row r="1353" ht="12.75" customHeight="1">
      <c r="A1353" s="2">
        <v>42562.0</v>
      </c>
      <c r="B1353" s="77">
        <f t="shared" si="1"/>
        <v>7</v>
      </c>
      <c r="C1353" s="78">
        <f t="shared" si="2"/>
        <v>2016</v>
      </c>
      <c r="D1353" s="77">
        <v>2.171</v>
      </c>
      <c r="E1353" s="4">
        <f t="shared" si="3"/>
        <v>2.15725</v>
      </c>
      <c r="F1353" s="2">
        <f t="shared" si="4"/>
        <v>42552</v>
      </c>
    </row>
    <row r="1354" ht="12.75" customHeight="1">
      <c r="A1354" s="2">
        <v>42569.0</v>
      </c>
      <c r="B1354" s="77">
        <f t="shared" si="1"/>
        <v>7</v>
      </c>
      <c r="C1354" s="78">
        <f t="shared" si="2"/>
        <v>2016</v>
      </c>
      <c r="D1354" s="77">
        <v>2.148</v>
      </c>
      <c r="E1354" s="4">
        <f t="shared" si="3"/>
        <v>2.15725</v>
      </c>
      <c r="F1354" s="2">
        <f t="shared" si="4"/>
        <v>42552</v>
      </c>
    </row>
    <row r="1355" ht="12.75" customHeight="1">
      <c r="A1355" s="2">
        <v>42576.0</v>
      </c>
      <c r="B1355" s="77">
        <f t="shared" si="1"/>
        <v>7</v>
      </c>
      <c r="C1355" s="78">
        <f t="shared" si="2"/>
        <v>2016</v>
      </c>
      <c r="D1355" s="77">
        <v>2.105</v>
      </c>
      <c r="E1355" s="4">
        <f t="shared" si="3"/>
        <v>2.15725</v>
      </c>
      <c r="F1355" s="2">
        <f t="shared" si="4"/>
        <v>42552</v>
      </c>
    </row>
    <row r="1356" ht="12.75" customHeight="1">
      <c r="A1356" s="2">
        <v>42583.0</v>
      </c>
      <c r="B1356" s="77">
        <f t="shared" si="1"/>
        <v>8</v>
      </c>
      <c r="C1356" s="78">
        <f t="shared" si="2"/>
        <v>2016</v>
      </c>
      <c r="D1356" s="77">
        <v>2.091</v>
      </c>
      <c r="E1356" s="4">
        <f t="shared" si="3"/>
        <v>2.1194</v>
      </c>
      <c r="F1356" s="2">
        <f t="shared" si="4"/>
        <v>42583</v>
      </c>
    </row>
    <row r="1357" ht="12.75" customHeight="1">
      <c r="A1357" s="2">
        <v>42590.0</v>
      </c>
      <c r="B1357" s="77">
        <f t="shared" si="1"/>
        <v>8</v>
      </c>
      <c r="C1357" s="78">
        <f t="shared" si="2"/>
        <v>2016</v>
      </c>
      <c r="D1357" s="77">
        <v>2.087</v>
      </c>
      <c r="E1357" s="4">
        <f t="shared" si="3"/>
        <v>2.1194</v>
      </c>
      <c r="F1357" s="2">
        <f t="shared" si="4"/>
        <v>42583</v>
      </c>
    </row>
    <row r="1358" ht="12.75" customHeight="1">
      <c r="A1358" s="2">
        <v>42597.0</v>
      </c>
      <c r="B1358" s="77">
        <f t="shared" si="1"/>
        <v>8</v>
      </c>
      <c r="C1358" s="78">
        <f t="shared" si="2"/>
        <v>2016</v>
      </c>
      <c r="D1358" s="77">
        <v>2.096</v>
      </c>
      <c r="E1358" s="4">
        <f t="shared" si="3"/>
        <v>2.1194</v>
      </c>
      <c r="F1358" s="2">
        <f t="shared" si="4"/>
        <v>42583</v>
      </c>
    </row>
    <row r="1359" ht="12.75" customHeight="1">
      <c r="A1359" s="2">
        <v>42604.0</v>
      </c>
      <c r="B1359" s="77">
        <f t="shared" si="1"/>
        <v>8</v>
      </c>
      <c r="C1359" s="78">
        <f t="shared" si="2"/>
        <v>2016</v>
      </c>
      <c r="D1359" s="77">
        <v>2.136</v>
      </c>
      <c r="E1359" s="4">
        <f t="shared" si="3"/>
        <v>2.1194</v>
      </c>
      <c r="F1359" s="2">
        <f t="shared" si="4"/>
        <v>42583</v>
      </c>
    </row>
    <row r="1360" ht="12.75" customHeight="1">
      <c r="A1360" s="2">
        <v>42611.0</v>
      </c>
      <c r="B1360" s="77">
        <f t="shared" si="1"/>
        <v>8</v>
      </c>
      <c r="C1360" s="78">
        <f t="shared" si="2"/>
        <v>2016</v>
      </c>
      <c r="D1360" s="77">
        <v>2.187</v>
      </c>
      <c r="E1360" s="4">
        <f t="shared" si="3"/>
        <v>2.1194</v>
      </c>
      <c r="F1360" s="2">
        <f t="shared" si="4"/>
        <v>42583</v>
      </c>
    </row>
    <row r="1361" ht="12.75" customHeight="1">
      <c r="A1361" s="2">
        <v>42618.0</v>
      </c>
      <c r="B1361" s="77">
        <f t="shared" si="1"/>
        <v>9</v>
      </c>
      <c r="C1361" s="78">
        <f t="shared" si="2"/>
        <v>2016</v>
      </c>
      <c r="D1361" s="77">
        <v>2.17</v>
      </c>
      <c r="E1361" s="4">
        <f t="shared" si="3"/>
        <v>2.161</v>
      </c>
      <c r="F1361" s="2">
        <f t="shared" si="4"/>
        <v>42614</v>
      </c>
    </row>
    <row r="1362" ht="12.75" customHeight="1">
      <c r="A1362" s="2">
        <v>42625.0</v>
      </c>
      <c r="B1362" s="77">
        <f t="shared" si="1"/>
        <v>9</v>
      </c>
      <c r="C1362" s="78">
        <f t="shared" si="2"/>
        <v>2016</v>
      </c>
      <c r="D1362" s="77">
        <v>2.138</v>
      </c>
      <c r="E1362" s="4">
        <f t="shared" si="3"/>
        <v>2.161</v>
      </c>
      <c r="F1362" s="2">
        <f t="shared" si="4"/>
        <v>42614</v>
      </c>
    </row>
    <row r="1363" ht="12.75" customHeight="1">
      <c r="A1363" s="2">
        <v>42632.0</v>
      </c>
      <c r="B1363" s="77">
        <f t="shared" si="1"/>
        <v>9</v>
      </c>
      <c r="C1363" s="78">
        <f t="shared" si="2"/>
        <v>2016</v>
      </c>
      <c r="D1363" s="77">
        <v>2.17</v>
      </c>
      <c r="E1363" s="4">
        <f t="shared" si="3"/>
        <v>2.161</v>
      </c>
      <c r="F1363" s="2">
        <f t="shared" si="4"/>
        <v>42614</v>
      </c>
    </row>
    <row r="1364" ht="12.75" customHeight="1">
      <c r="A1364" s="2">
        <v>42639.0</v>
      </c>
      <c r="B1364" s="77">
        <f t="shared" si="1"/>
        <v>9</v>
      </c>
      <c r="C1364" s="78">
        <f t="shared" si="2"/>
        <v>2016</v>
      </c>
      <c r="D1364" s="77">
        <v>2.166</v>
      </c>
      <c r="E1364" s="4">
        <f t="shared" si="3"/>
        <v>2.161</v>
      </c>
      <c r="F1364" s="2">
        <f t="shared" si="4"/>
        <v>42614</v>
      </c>
    </row>
    <row r="1365" ht="12.75" customHeight="1">
      <c r="A1365" s="2">
        <v>42646.0</v>
      </c>
      <c r="B1365" s="77">
        <f t="shared" si="1"/>
        <v>10</v>
      </c>
      <c r="C1365" s="78">
        <f t="shared" si="2"/>
        <v>2016</v>
      </c>
      <c r="D1365" s="77">
        <v>2.184</v>
      </c>
      <c r="E1365" s="4">
        <f t="shared" si="3"/>
        <v>2.1864</v>
      </c>
      <c r="F1365" s="2">
        <f t="shared" si="4"/>
        <v>42644</v>
      </c>
    </row>
    <row r="1366" ht="12.75" customHeight="1">
      <c r="A1366" s="2">
        <v>42653.0</v>
      </c>
      <c r="B1366" s="77">
        <f t="shared" si="1"/>
        <v>10</v>
      </c>
      <c r="C1366" s="78">
        <f t="shared" si="2"/>
        <v>2016</v>
      </c>
      <c r="D1366" s="77">
        <v>2.216</v>
      </c>
      <c r="E1366" s="4">
        <f t="shared" si="3"/>
        <v>2.1864</v>
      </c>
      <c r="F1366" s="2">
        <f t="shared" si="4"/>
        <v>42644</v>
      </c>
    </row>
    <row r="1367" ht="12.75" customHeight="1">
      <c r="A1367" s="2">
        <v>42660.0</v>
      </c>
      <c r="B1367" s="77">
        <f t="shared" si="1"/>
        <v>10</v>
      </c>
      <c r="C1367" s="78">
        <f t="shared" si="2"/>
        <v>2016</v>
      </c>
      <c r="D1367" s="77">
        <v>2.198</v>
      </c>
      <c r="E1367" s="4">
        <f t="shared" si="3"/>
        <v>2.1864</v>
      </c>
      <c r="F1367" s="2">
        <f t="shared" si="4"/>
        <v>42644</v>
      </c>
    </row>
    <row r="1368" ht="12.75" customHeight="1">
      <c r="A1368" s="2">
        <v>42667.0</v>
      </c>
      <c r="B1368" s="77">
        <f t="shared" si="1"/>
        <v>10</v>
      </c>
      <c r="C1368" s="78">
        <f t="shared" si="2"/>
        <v>2016</v>
      </c>
      <c r="D1368" s="77">
        <v>2.175</v>
      </c>
      <c r="E1368" s="4">
        <f t="shared" si="3"/>
        <v>2.1864</v>
      </c>
      <c r="F1368" s="2">
        <f t="shared" si="4"/>
        <v>42644</v>
      </c>
    </row>
    <row r="1369" ht="12.75" customHeight="1">
      <c r="A1369" s="2">
        <v>42674.0</v>
      </c>
      <c r="B1369" s="77">
        <f t="shared" si="1"/>
        <v>10</v>
      </c>
      <c r="C1369" s="78">
        <f t="shared" si="2"/>
        <v>2016</v>
      </c>
      <c r="D1369" s="77">
        <v>2.159</v>
      </c>
      <c r="E1369" s="4">
        <f t="shared" si="3"/>
        <v>2.1864</v>
      </c>
      <c r="F1369" s="2">
        <f t="shared" si="4"/>
        <v>42644</v>
      </c>
    </row>
    <row r="1370" ht="12.75" customHeight="1">
      <c r="A1370" s="2">
        <v>42681.0</v>
      </c>
      <c r="B1370" s="77">
        <f t="shared" si="1"/>
        <v>11</v>
      </c>
      <c r="C1370" s="78">
        <f t="shared" si="2"/>
        <v>2016</v>
      </c>
      <c r="D1370" s="77">
        <v>2.157</v>
      </c>
      <c r="E1370" s="4">
        <f t="shared" si="3"/>
        <v>2.10475</v>
      </c>
      <c r="F1370" s="2">
        <f t="shared" si="4"/>
        <v>42675</v>
      </c>
    </row>
    <row r="1371" ht="12.75" customHeight="1">
      <c r="A1371" s="2">
        <v>42688.0</v>
      </c>
      <c r="B1371" s="77">
        <f t="shared" si="1"/>
        <v>11</v>
      </c>
      <c r="C1371" s="78">
        <f t="shared" si="2"/>
        <v>2016</v>
      </c>
      <c r="D1371" s="77">
        <v>2.105</v>
      </c>
      <c r="E1371" s="4">
        <f t="shared" si="3"/>
        <v>2.10475</v>
      </c>
      <c r="F1371" s="2">
        <f t="shared" si="4"/>
        <v>42675</v>
      </c>
    </row>
    <row r="1372" ht="12.75" customHeight="1">
      <c r="A1372" s="2">
        <v>42695.0</v>
      </c>
      <c r="B1372" s="77">
        <f t="shared" si="1"/>
        <v>11</v>
      </c>
      <c r="C1372" s="78">
        <f t="shared" si="2"/>
        <v>2016</v>
      </c>
      <c r="D1372" s="77">
        <v>2.078</v>
      </c>
      <c r="E1372" s="4">
        <f t="shared" si="3"/>
        <v>2.10475</v>
      </c>
      <c r="F1372" s="2">
        <f t="shared" si="4"/>
        <v>42675</v>
      </c>
    </row>
    <row r="1373" ht="12.75" customHeight="1">
      <c r="A1373" s="2">
        <v>42702.0</v>
      </c>
      <c r="B1373" s="77">
        <f t="shared" si="1"/>
        <v>11</v>
      </c>
      <c r="C1373" s="78">
        <f t="shared" si="2"/>
        <v>2016</v>
      </c>
      <c r="D1373" s="77">
        <v>2.079</v>
      </c>
      <c r="E1373" s="4">
        <f t="shared" si="3"/>
        <v>2.10475</v>
      </c>
      <c r="F1373" s="2">
        <f t="shared" si="4"/>
        <v>42675</v>
      </c>
    </row>
    <row r="1374" ht="12.75" customHeight="1">
      <c r="A1374" s="2">
        <v>42709.0</v>
      </c>
      <c r="B1374" s="77">
        <f t="shared" si="1"/>
        <v>12</v>
      </c>
      <c r="C1374" s="78">
        <f t="shared" si="2"/>
        <v>2016</v>
      </c>
      <c r="D1374" s="77">
        <v>2.137</v>
      </c>
      <c r="E1374" s="4">
        <f t="shared" si="3"/>
        <v>2.192</v>
      </c>
      <c r="F1374" s="2">
        <f t="shared" si="4"/>
        <v>42705</v>
      </c>
    </row>
    <row r="1375" ht="12.75" customHeight="1">
      <c r="A1375" s="2">
        <v>42716.0</v>
      </c>
      <c r="B1375" s="77">
        <f t="shared" si="1"/>
        <v>12</v>
      </c>
      <c r="C1375" s="78">
        <f t="shared" si="2"/>
        <v>2016</v>
      </c>
      <c r="D1375" s="77">
        <v>2.174</v>
      </c>
      <c r="E1375" s="4">
        <f t="shared" si="3"/>
        <v>2.192</v>
      </c>
      <c r="F1375" s="2">
        <f t="shared" si="4"/>
        <v>42705</v>
      </c>
    </row>
    <row r="1376" ht="12.75" customHeight="1">
      <c r="A1376" s="2">
        <v>42723.0</v>
      </c>
      <c r="B1376" s="77">
        <f t="shared" si="1"/>
        <v>12</v>
      </c>
      <c r="C1376" s="78">
        <f t="shared" si="2"/>
        <v>2016</v>
      </c>
      <c r="D1376" s="77">
        <v>2.203</v>
      </c>
      <c r="E1376" s="4">
        <f t="shared" si="3"/>
        <v>2.192</v>
      </c>
      <c r="F1376" s="2">
        <f t="shared" si="4"/>
        <v>42705</v>
      </c>
    </row>
    <row r="1377" ht="12.75" customHeight="1">
      <c r="A1377" s="2">
        <v>42730.0</v>
      </c>
      <c r="B1377" s="77">
        <f t="shared" si="1"/>
        <v>12</v>
      </c>
      <c r="C1377" s="78">
        <f t="shared" si="2"/>
        <v>2016</v>
      </c>
      <c r="D1377" s="77">
        <v>2.254</v>
      </c>
      <c r="E1377" s="4">
        <f t="shared" si="3"/>
        <v>2.192</v>
      </c>
      <c r="F1377" s="2">
        <f t="shared" si="4"/>
        <v>42705</v>
      </c>
    </row>
    <row r="1378" ht="12.75" customHeight="1">
      <c r="A1378" s="2">
        <v>42737.0</v>
      </c>
      <c r="B1378" s="77">
        <f t="shared" si="1"/>
        <v>1</v>
      </c>
      <c r="C1378" s="78">
        <f t="shared" si="2"/>
        <v>2017</v>
      </c>
      <c r="D1378" s="77">
        <v>2.319</v>
      </c>
      <c r="E1378" s="4">
        <f t="shared" si="3"/>
        <v>2.2854</v>
      </c>
      <c r="F1378" s="2">
        <f t="shared" si="4"/>
        <v>42736</v>
      </c>
    </row>
    <row r="1379" ht="12.75" customHeight="1">
      <c r="A1379" s="2">
        <v>42744.0</v>
      </c>
      <c r="B1379" s="77">
        <f t="shared" si="1"/>
        <v>1</v>
      </c>
      <c r="C1379" s="78">
        <f t="shared" si="2"/>
        <v>2017</v>
      </c>
      <c r="D1379" s="77">
        <v>2.328</v>
      </c>
      <c r="E1379" s="4">
        <f t="shared" si="3"/>
        <v>2.2854</v>
      </c>
      <c r="F1379" s="2">
        <f t="shared" si="4"/>
        <v>42736</v>
      </c>
    </row>
    <row r="1380" ht="12.75" customHeight="1">
      <c r="A1380" s="2">
        <v>42751.0</v>
      </c>
      <c r="B1380" s="77">
        <f t="shared" si="1"/>
        <v>1</v>
      </c>
      <c r="C1380" s="78">
        <f t="shared" si="2"/>
        <v>2017</v>
      </c>
      <c r="D1380" s="77">
        <v>2.298</v>
      </c>
      <c r="E1380" s="4">
        <f t="shared" si="3"/>
        <v>2.2854</v>
      </c>
      <c r="F1380" s="2">
        <f t="shared" si="4"/>
        <v>42736</v>
      </c>
    </row>
    <row r="1381" ht="12.75" customHeight="1">
      <c r="A1381" s="2">
        <v>42758.0</v>
      </c>
      <c r="B1381" s="77">
        <f t="shared" si="1"/>
        <v>1</v>
      </c>
      <c r="C1381" s="78">
        <f t="shared" si="2"/>
        <v>2017</v>
      </c>
      <c r="D1381" s="77">
        <v>2.258</v>
      </c>
      <c r="E1381" s="4">
        <f t="shared" si="3"/>
        <v>2.2854</v>
      </c>
      <c r="F1381" s="2">
        <f t="shared" si="4"/>
        <v>42736</v>
      </c>
    </row>
    <row r="1382" ht="12.75" customHeight="1">
      <c r="A1382" s="2">
        <v>42765.0</v>
      </c>
      <c r="B1382" s="77">
        <f t="shared" si="1"/>
        <v>1</v>
      </c>
      <c r="C1382" s="78">
        <f t="shared" si="2"/>
        <v>2017</v>
      </c>
      <c r="D1382" s="77">
        <v>2.224</v>
      </c>
      <c r="E1382" s="4">
        <f t="shared" si="3"/>
        <v>2.2854</v>
      </c>
      <c r="F1382" s="2">
        <f t="shared" si="4"/>
        <v>42736</v>
      </c>
    </row>
    <row r="1383" ht="12.75" customHeight="1">
      <c r="A1383" s="2">
        <v>42772.0</v>
      </c>
      <c r="B1383" s="77">
        <f t="shared" si="1"/>
        <v>2</v>
      </c>
      <c r="C1383" s="78">
        <f t="shared" si="2"/>
        <v>2017</v>
      </c>
      <c r="D1383" s="77">
        <v>2.221</v>
      </c>
      <c r="E1383" s="4">
        <f t="shared" si="3"/>
        <v>2.2265</v>
      </c>
      <c r="F1383" s="2">
        <f t="shared" si="4"/>
        <v>42767</v>
      </c>
    </row>
    <row r="1384" ht="12.75" customHeight="1">
      <c r="A1384" s="2">
        <v>42779.0</v>
      </c>
      <c r="B1384" s="77">
        <f t="shared" si="1"/>
        <v>2</v>
      </c>
      <c r="C1384" s="78">
        <f t="shared" si="2"/>
        <v>2017</v>
      </c>
      <c r="D1384" s="77">
        <v>2.228</v>
      </c>
      <c r="E1384" s="4">
        <f t="shared" si="3"/>
        <v>2.2265</v>
      </c>
      <c r="F1384" s="2">
        <f t="shared" si="4"/>
        <v>42767</v>
      </c>
    </row>
    <row r="1385" ht="12.75" customHeight="1">
      <c r="A1385" s="2">
        <v>42786.0</v>
      </c>
      <c r="B1385" s="77">
        <f t="shared" si="1"/>
        <v>2</v>
      </c>
      <c r="C1385" s="78">
        <f t="shared" si="2"/>
        <v>2017</v>
      </c>
      <c r="D1385" s="77">
        <v>2.224</v>
      </c>
      <c r="E1385" s="4">
        <f t="shared" si="3"/>
        <v>2.2265</v>
      </c>
      <c r="F1385" s="2">
        <f t="shared" si="4"/>
        <v>42767</v>
      </c>
    </row>
    <row r="1386" ht="12.75" customHeight="1">
      <c r="A1386" s="2">
        <v>42793.0</v>
      </c>
      <c r="B1386" s="77">
        <f t="shared" si="1"/>
        <v>2</v>
      </c>
      <c r="C1386" s="78">
        <f t="shared" si="2"/>
        <v>2017</v>
      </c>
      <c r="D1386" s="77">
        <v>2.233</v>
      </c>
      <c r="E1386" s="4">
        <f t="shared" si="3"/>
        <v>2.2265</v>
      </c>
      <c r="F1386" s="2">
        <f t="shared" si="4"/>
        <v>42767</v>
      </c>
    </row>
    <row r="1387" ht="12.75" customHeight="1">
      <c r="A1387" s="2">
        <v>42800.0</v>
      </c>
      <c r="B1387" s="77">
        <f t="shared" si="1"/>
        <v>3</v>
      </c>
      <c r="C1387" s="78">
        <f t="shared" si="2"/>
        <v>2017</v>
      </c>
      <c r="D1387" s="77">
        <v>2.264</v>
      </c>
      <c r="E1387" s="4">
        <f t="shared" si="3"/>
        <v>2.243</v>
      </c>
      <c r="F1387" s="2">
        <f t="shared" si="4"/>
        <v>42795</v>
      </c>
    </row>
    <row r="1388" ht="12.75" customHeight="1">
      <c r="A1388" s="2">
        <v>42807.0</v>
      </c>
      <c r="B1388" s="77">
        <f t="shared" si="1"/>
        <v>3</v>
      </c>
      <c r="C1388" s="78">
        <f t="shared" si="2"/>
        <v>2017</v>
      </c>
      <c r="D1388" s="77">
        <v>2.242</v>
      </c>
      <c r="E1388" s="4">
        <f t="shared" si="3"/>
        <v>2.243</v>
      </c>
      <c r="F1388" s="2">
        <f t="shared" si="4"/>
        <v>42795</v>
      </c>
    </row>
    <row r="1389" ht="12.75" customHeight="1">
      <c r="A1389" s="2">
        <v>42814.0</v>
      </c>
      <c r="B1389" s="77">
        <f t="shared" si="1"/>
        <v>3</v>
      </c>
      <c r="C1389" s="78">
        <f t="shared" si="2"/>
        <v>2017</v>
      </c>
      <c r="D1389" s="77">
        <v>2.238</v>
      </c>
      <c r="E1389" s="4">
        <f t="shared" si="3"/>
        <v>2.243</v>
      </c>
      <c r="F1389" s="2">
        <f t="shared" si="4"/>
        <v>42795</v>
      </c>
    </row>
    <row r="1390" ht="12.75" customHeight="1">
      <c r="A1390" s="2">
        <v>42821.0</v>
      </c>
      <c r="B1390" s="77">
        <f t="shared" si="1"/>
        <v>3</v>
      </c>
      <c r="C1390" s="78">
        <f t="shared" si="2"/>
        <v>2017</v>
      </c>
      <c r="D1390" s="77">
        <v>2.228</v>
      </c>
      <c r="E1390" s="4">
        <f t="shared" si="3"/>
        <v>2.243</v>
      </c>
      <c r="F1390" s="2">
        <f t="shared" si="4"/>
        <v>42795</v>
      </c>
    </row>
    <row r="1391" ht="12.75" customHeight="1">
      <c r="A1391" s="2">
        <v>42828.0</v>
      </c>
      <c r="B1391" s="77">
        <f t="shared" si="1"/>
        <v>4</v>
      </c>
      <c r="C1391" s="78">
        <f t="shared" si="2"/>
        <v>2017</v>
      </c>
      <c r="D1391" s="77">
        <v>2.281</v>
      </c>
      <c r="E1391" s="4">
        <f t="shared" si="3"/>
        <v>2.34</v>
      </c>
      <c r="F1391" s="2">
        <f t="shared" si="4"/>
        <v>42826</v>
      </c>
    </row>
    <row r="1392" ht="12.75" customHeight="1">
      <c r="A1392" s="2">
        <v>42835.0</v>
      </c>
      <c r="B1392" s="77">
        <f t="shared" si="1"/>
        <v>4</v>
      </c>
      <c r="C1392" s="78">
        <f t="shared" si="2"/>
        <v>2017</v>
      </c>
      <c r="D1392" s="77">
        <v>2.351</v>
      </c>
      <c r="E1392" s="4">
        <f t="shared" si="3"/>
        <v>2.34</v>
      </c>
      <c r="F1392" s="2">
        <f t="shared" si="4"/>
        <v>42826</v>
      </c>
    </row>
    <row r="1393" ht="12.75" customHeight="1">
      <c r="A1393" s="2">
        <v>42842.0</v>
      </c>
      <c r="B1393" s="77">
        <f t="shared" si="1"/>
        <v>4</v>
      </c>
      <c r="C1393" s="78">
        <f t="shared" si="2"/>
        <v>2017</v>
      </c>
      <c r="D1393" s="77">
        <v>2.356</v>
      </c>
      <c r="E1393" s="4">
        <f t="shared" si="3"/>
        <v>2.34</v>
      </c>
      <c r="F1393" s="2">
        <f t="shared" si="4"/>
        <v>42826</v>
      </c>
    </row>
    <row r="1394" ht="12.75" customHeight="1">
      <c r="A1394" s="2">
        <v>42849.0</v>
      </c>
      <c r="B1394" s="77">
        <f t="shared" si="1"/>
        <v>4</v>
      </c>
      <c r="C1394" s="78">
        <f t="shared" si="2"/>
        <v>2017</v>
      </c>
      <c r="D1394" s="77">
        <v>2.372</v>
      </c>
      <c r="E1394" s="4">
        <f t="shared" si="3"/>
        <v>2.34</v>
      </c>
      <c r="F1394" s="2">
        <f t="shared" si="4"/>
        <v>42826</v>
      </c>
    </row>
    <row r="1395" ht="12.75" customHeight="1">
      <c r="A1395" s="2">
        <v>42856.0</v>
      </c>
      <c r="B1395" s="77">
        <f t="shared" si="1"/>
        <v>5</v>
      </c>
      <c r="C1395" s="78">
        <f t="shared" si="2"/>
        <v>2017</v>
      </c>
      <c r="D1395" s="77">
        <v>2.331</v>
      </c>
      <c r="E1395" s="4">
        <f t="shared" si="3"/>
        <v>2.3032</v>
      </c>
      <c r="F1395" s="2">
        <f t="shared" si="4"/>
        <v>42856</v>
      </c>
    </row>
    <row r="1396" ht="12.75" customHeight="1">
      <c r="A1396" s="2">
        <v>42863.0</v>
      </c>
      <c r="B1396" s="77">
        <f t="shared" si="1"/>
        <v>5</v>
      </c>
      <c r="C1396" s="78">
        <f t="shared" si="2"/>
        <v>2017</v>
      </c>
      <c r="D1396" s="77">
        <v>2.288</v>
      </c>
      <c r="E1396" s="4">
        <f t="shared" si="3"/>
        <v>2.3032</v>
      </c>
      <c r="F1396" s="2">
        <f t="shared" si="4"/>
        <v>42856</v>
      </c>
    </row>
    <row r="1397" ht="12.75" customHeight="1">
      <c r="A1397" s="2">
        <v>42870.0</v>
      </c>
      <c r="B1397" s="77">
        <f t="shared" si="1"/>
        <v>5</v>
      </c>
      <c r="C1397" s="78">
        <f t="shared" si="2"/>
        <v>2017</v>
      </c>
      <c r="D1397" s="77">
        <v>2.283</v>
      </c>
      <c r="E1397" s="4">
        <f t="shared" si="3"/>
        <v>2.3032</v>
      </c>
      <c r="F1397" s="2">
        <f t="shared" si="4"/>
        <v>42856</v>
      </c>
    </row>
    <row r="1398" ht="12.75" customHeight="1">
      <c r="A1398" s="2">
        <v>42877.0</v>
      </c>
      <c r="B1398" s="77">
        <f t="shared" si="1"/>
        <v>5</v>
      </c>
      <c r="C1398" s="78">
        <f t="shared" si="2"/>
        <v>2017</v>
      </c>
      <c r="D1398" s="77">
        <v>2.306</v>
      </c>
      <c r="E1398" s="4">
        <f t="shared" si="3"/>
        <v>2.3032</v>
      </c>
      <c r="F1398" s="2">
        <f t="shared" si="4"/>
        <v>42856</v>
      </c>
    </row>
    <row r="1399" ht="12.75" customHeight="1">
      <c r="A1399" s="2">
        <v>42884.0</v>
      </c>
      <c r="B1399" s="77">
        <f t="shared" si="1"/>
        <v>5</v>
      </c>
      <c r="C1399" s="78">
        <f t="shared" si="2"/>
        <v>2017</v>
      </c>
      <c r="D1399" s="77">
        <v>2.308</v>
      </c>
      <c r="E1399" s="4">
        <f t="shared" si="3"/>
        <v>2.3032</v>
      </c>
      <c r="F1399" s="2">
        <f t="shared" si="4"/>
        <v>42856</v>
      </c>
    </row>
    <row r="1400" ht="12.75" customHeight="1">
      <c r="A1400" s="2">
        <v>42891.0</v>
      </c>
      <c r="B1400" s="77">
        <f t="shared" si="1"/>
        <v>6</v>
      </c>
      <c r="C1400" s="78">
        <f t="shared" si="2"/>
        <v>2017</v>
      </c>
      <c r="D1400" s="77">
        <v>2.325</v>
      </c>
      <c r="E1400" s="4">
        <f t="shared" si="3"/>
        <v>2.2565</v>
      </c>
      <c r="F1400" s="2">
        <f t="shared" si="4"/>
        <v>42887</v>
      </c>
    </row>
    <row r="1401" ht="12.75" customHeight="1">
      <c r="A1401" s="2">
        <v>42898.0</v>
      </c>
      <c r="B1401" s="77">
        <f t="shared" si="1"/>
        <v>6</v>
      </c>
      <c r="C1401" s="78">
        <f t="shared" si="2"/>
        <v>2017</v>
      </c>
      <c r="D1401" s="77">
        <v>2.276</v>
      </c>
      <c r="E1401" s="4">
        <f t="shared" si="3"/>
        <v>2.2565</v>
      </c>
      <c r="F1401" s="2">
        <f t="shared" si="4"/>
        <v>42887</v>
      </c>
    </row>
    <row r="1402" ht="12.75" customHeight="1">
      <c r="A1402" s="2">
        <v>42905.0</v>
      </c>
      <c r="B1402" s="77">
        <f t="shared" si="1"/>
        <v>6</v>
      </c>
      <c r="C1402" s="78">
        <f t="shared" si="2"/>
        <v>2017</v>
      </c>
      <c r="D1402" s="77">
        <v>2.224</v>
      </c>
      <c r="E1402" s="4">
        <f t="shared" si="3"/>
        <v>2.2565</v>
      </c>
      <c r="F1402" s="2">
        <f t="shared" si="4"/>
        <v>42887</v>
      </c>
    </row>
    <row r="1403" ht="12.75" customHeight="1">
      <c r="A1403" s="2">
        <v>42912.0</v>
      </c>
      <c r="B1403" s="77">
        <f t="shared" si="1"/>
        <v>6</v>
      </c>
      <c r="C1403" s="78">
        <f t="shared" si="2"/>
        <v>2017</v>
      </c>
      <c r="D1403" s="77">
        <v>2.201</v>
      </c>
      <c r="E1403" s="4">
        <f t="shared" si="3"/>
        <v>2.2565</v>
      </c>
      <c r="F1403" s="2">
        <f t="shared" si="4"/>
        <v>42887</v>
      </c>
    </row>
    <row r="1404" ht="12.75" customHeight="1">
      <c r="A1404" s="2">
        <v>42919.0</v>
      </c>
      <c r="B1404" s="77">
        <f t="shared" si="1"/>
        <v>7</v>
      </c>
      <c r="C1404" s="78">
        <f t="shared" si="2"/>
        <v>2017</v>
      </c>
      <c r="D1404" s="77">
        <v>2.163</v>
      </c>
      <c r="E1404" s="4">
        <f t="shared" si="3"/>
        <v>2.2108</v>
      </c>
      <c r="F1404" s="2">
        <f t="shared" si="4"/>
        <v>42917</v>
      </c>
    </row>
    <row r="1405" ht="12.75" customHeight="1">
      <c r="A1405" s="2">
        <v>42926.0</v>
      </c>
      <c r="B1405" s="77">
        <f t="shared" si="1"/>
        <v>7</v>
      </c>
      <c r="C1405" s="78">
        <f t="shared" si="2"/>
        <v>2017</v>
      </c>
      <c r="D1405" s="77">
        <v>2.21</v>
      </c>
      <c r="E1405" s="4">
        <f t="shared" si="3"/>
        <v>2.2108</v>
      </c>
      <c r="F1405" s="2">
        <f t="shared" si="4"/>
        <v>42917</v>
      </c>
    </row>
    <row r="1406" ht="12.75" customHeight="1">
      <c r="A1406" s="2">
        <v>42933.0</v>
      </c>
      <c r="B1406" s="77">
        <f t="shared" si="1"/>
        <v>7</v>
      </c>
      <c r="C1406" s="78">
        <f t="shared" si="2"/>
        <v>2017</v>
      </c>
      <c r="D1406" s="77">
        <v>2.188</v>
      </c>
      <c r="E1406" s="4">
        <f t="shared" si="3"/>
        <v>2.2108</v>
      </c>
      <c r="F1406" s="2">
        <f t="shared" si="4"/>
        <v>42917</v>
      </c>
    </row>
    <row r="1407" ht="12.75" customHeight="1">
      <c r="A1407" s="2">
        <v>42940.0</v>
      </c>
      <c r="B1407" s="77">
        <f t="shared" si="1"/>
        <v>7</v>
      </c>
      <c r="C1407" s="78">
        <f t="shared" si="2"/>
        <v>2017</v>
      </c>
      <c r="D1407" s="77">
        <v>2.224</v>
      </c>
      <c r="E1407" s="4">
        <f t="shared" si="3"/>
        <v>2.2108</v>
      </c>
      <c r="F1407" s="2">
        <f t="shared" si="4"/>
        <v>42917</v>
      </c>
    </row>
    <row r="1408" ht="12.75" customHeight="1">
      <c r="A1408" s="2">
        <v>42947.0</v>
      </c>
      <c r="B1408" s="77">
        <f t="shared" si="1"/>
        <v>7</v>
      </c>
      <c r="C1408" s="78">
        <f t="shared" si="2"/>
        <v>2017</v>
      </c>
      <c r="D1408" s="77">
        <v>2.269</v>
      </c>
      <c r="E1408" s="4">
        <f t="shared" si="3"/>
        <v>2.2108</v>
      </c>
      <c r="F1408" s="2">
        <f t="shared" si="4"/>
        <v>42917</v>
      </c>
    </row>
    <row r="1409" ht="12.75" customHeight="1">
      <c r="A1409" s="2">
        <v>42954.0</v>
      </c>
      <c r="B1409" s="77">
        <f t="shared" si="1"/>
        <v>8</v>
      </c>
      <c r="C1409" s="78">
        <f t="shared" si="2"/>
        <v>2017</v>
      </c>
      <c r="D1409" s="77">
        <v>2.29</v>
      </c>
      <c r="E1409" s="4">
        <f t="shared" si="3"/>
        <v>2.2965</v>
      </c>
      <c r="F1409" s="2">
        <f t="shared" si="4"/>
        <v>42948</v>
      </c>
    </row>
    <row r="1410" ht="12.75" customHeight="1">
      <c r="A1410" s="2">
        <v>42961.0</v>
      </c>
      <c r="B1410" s="77">
        <f t="shared" si="1"/>
        <v>8</v>
      </c>
      <c r="C1410" s="78">
        <f t="shared" si="2"/>
        <v>2017</v>
      </c>
      <c r="D1410" s="77">
        <v>2.301</v>
      </c>
      <c r="E1410" s="4">
        <f t="shared" si="3"/>
        <v>2.2965</v>
      </c>
      <c r="F1410" s="2">
        <f t="shared" si="4"/>
        <v>42948</v>
      </c>
    </row>
    <row r="1411" ht="12.75" customHeight="1">
      <c r="A1411" s="2">
        <v>42968.0</v>
      </c>
      <c r="B1411" s="77">
        <f t="shared" si="1"/>
        <v>8</v>
      </c>
      <c r="C1411" s="78">
        <f t="shared" si="2"/>
        <v>2017</v>
      </c>
      <c r="D1411" s="77">
        <v>2.273</v>
      </c>
      <c r="E1411" s="4">
        <f t="shared" si="3"/>
        <v>2.2965</v>
      </c>
      <c r="F1411" s="2">
        <f t="shared" si="4"/>
        <v>42948</v>
      </c>
    </row>
    <row r="1412" ht="12.75" customHeight="1">
      <c r="A1412" s="2">
        <v>42975.0</v>
      </c>
      <c r="B1412" s="77">
        <f t="shared" si="1"/>
        <v>8</v>
      </c>
      <c r="C1412" s="78">
        <f t="shared" si="2"/>
        <v>2017</v>
      </c>
      <c r="D1412" s="77">
        <v>2.322</v>
      </c>
      <c r="E1412" s="4">
        <f t="shared" si="3"/>
        <v>2.2965</v>
      </c>
      <c r="F1412" s="2">
        <f t="shared" si="4"/>
        <v>42948</v>
      </c>
    </row>
    <row r="1413" ht="12.75" customHeight="1">
      <c r="A1413" s="2">
        <v>42982.0</v>
      </c>
      <c r="B1413" s="77">
        <f t="shared" si="1"/>
        <v>9</v>
      </c>
      <c r="C1413" s="78">
        <f t="shared" si="2"/>
        <v>2017</v>
      </c>
      <c r="D1413" s="77">
        <v>2.604</v>
      </c>
      <c r="E1413" s="4">
        <f t="shared" si="3"/>
        <v>2.57025</v>
      </c>
      <c r="F1413" s="2">
        <f t="shared" si="4"/>
        <v>42979</v>
      </c>
    </row>
    <row r="1414" ht="12.75" customHeight="1">
      <c r="A1414" s="2">
        <v>42989.0</v>
      </c>
      <c r="B1414" s="77">
        <f t="shared" si="1"/>
        <v>9</v>
      </c>
      <c r="C1414" s="78">
        <f t="shared" si="2"/>
        <v>2017</v>
      </c>
      <c r="D1414" s="77">
        <v>2.61</v>
      </c>
      <c r="E1414" s="4">
        <f t="shared" si="3"/>
        <v>2.57025</v>
      </c>
      <c r="F1414" s="2">
        <f t="shared" si="4"/>
        <v>42979</v>
      </c>
    </row>
    <row r="1415" ht="12.75" customHeight="1">
      <c r="A1415" s="2">
        <v>42996.0</v>
      </c>
      <c r="B1415" s="77">
        <f t="shared" si="1"/>
        <v>9</v>
      </c>
      <c r="C1415" s="78">
        <f t="shared" si="2"/>
        <v>2017</v>
      </c>
      <c r="D1415" s="77">
        <v>2.559</v>
      </c>
      <c r="E1415" s="4">
        <f t="shared" si="3"/>
        <v>2.57025</v>
      </c>
      <c r="F1415" s="2">
        <f t="shared" si="4"/>
        <v>42979</v>
      </c>
    </row>
    <row r="1416" ht="12.75" customHeight="1">
      <c r="A1416" s="2">
        <v>43003.0</v>
      </c>
      <c r="B1416" s="77">
        <f t="shared" si="1"/>
        <v>9</v>
      </c>
      <c r="C1416" s="78">
        <f t="shared" si="2"/>
        <v>2017</v>
      </c>
      <c r="D1416" s="77">
        <v>2.508</v>
      </c>
      <c r="E1416" s="4">
        <f t="shared" si="3"/>
        <v>2.57025</v>
      </c>
      <c r="F1416" s="2">
        <f t="shared" si="4"/>
        <v>42979</v>
      </c>
    </row>
    <row r="1417" ht="12.75" customHeight="1">
      <c r="A1417" s="2">
        <v>43010.0</v>
      </c>
      <c r="B1417" s="77">
        <f t="shared" si="1"/>
        <v>10</v>
      </c>
      <c r="C1417" s="78">
        <f t="shared" si="2"/>
        <v>2017</v>
      </c>
      <c r="D1417" s="77">
        <v>2.493</v>
      </c>
      <c r="E1417" s="4">
        <f t="shared" si="3"/>
        <v>2.4296</v>
      </c>
      <c r="F1417" s="2">
        <f t="shared" si="4"/>
        <v>43009</v>
      </c>
    </row>
    <row r="1418" ht="12.75" customHeight="1">
      <c r="A1418" s="2">
        <v>43017.0</v>
      </c>
      <c r="B1418" s="77">
        <f t="shared" si="1"/>
        <v>10</v>
      </c>
      <c r="C1418" s="78">
        <f t="shared" si="2"/>
        <v>2017</v>
      </c>
      <c r="D1418" s="77">
        <v>2.426</v>
      </c>
      <c r="E1418" s="4">
        <f t="shared" si="3"/>
        <v>2.4296</v>
      </c>
      <c r="F1418" s="2">
        <f t="shared" si="4"/>
        <v>43009</v>
      </c>
    </row>
    <row r="1419" ht="12.75" customHeight="1">
      <c r="A1419" s="2">
        <v>43024.0</v>
      </c>
      <c r="B1419" s="77">
        <f t="shared" si="1"/>
        <v>10</v>
      </c>
      <c r="C1419" s="78">
        <f t="shared" si="2"/>
        <v>2017</v>
      </c>
      <c r="D1419" s="77">
        <v>2.413</v>
      </c>
      <c r="E1419" s="4">
        <f t="shared" si="3"/>
        <v>2.4296</v>
      </c>
      <c r="F1419" s="2">
        <f t="shared" si="4"/>
        <v>43009</v>
      </c>
    </row>
    <row r="1420" ht="12.75" customHeight="1">
      <c r="A1420" s="2">
        <v>43031.0</v>
      </c>
      <c r="B1420" s="77">
        <f t="shared" si="1"/>
        <v>10</v>
      </c>
      <c r="C1420" s="78">
        <f t="shared" si="2"/>
        <v>2017</v>
      </c>
      <c r="D1420" s="77">
        <v>2.406</v>
      </c>
      <c r="E1420" s="4">
        <f t="shared" si="3"/>
        <v>2.4296</v>
      </c>
      <c r="F1420" s="2">
        <f t="shared" si="4"/>
        <v>43009</v>
      </c>
    </row>
    <row r="1421" ht="12.75" customHeight="1">
      <c r="A1421" s="2">
        <v>43038.0</v>
      </c>
      <c r="B1421" s="77">
        <f t="shared" si="1"/>
        <v>10</v>
      </c>
      <c r="C1421" s="78">
        <f t="shared" si="2"/>
        <v>2017</v>
      </c>
      <c r="D1421" s="77">
        <v>2.41</v>
      </c>
      <c r="E1421" s="4">
        <f t="shared" si="3"/>
        <v>2.4296</v>
      </c>
      <c r="F1421" s="2">
        <f t="shared" si="4"/>
        <v>43009</v>
      </c>
    </row>
    <row r="1422" ht="12.75" customHeight="1">
      <c r="A1422" s="2">
        <v>43045.0</v>
      </c>
      <c r="B1422" s="77">
        <f t="shared" si="1"/>
        <v>11</v>
      </c>
      <c r="C1422" s="78">
        <f t="shared" si="2"/>
        <v>2017</v>
      </c>
      <c r="D1422" s="77">
        <v>2.468</v>
      </c>
      <c r="E1422" s="4">
        <f t="shared" si="3"/>
        <v>2.474</v>
      </c>
      <c r="F1422" s="2">
        <f t="shared" si="4"/>
        <v>43040</v>
      </c>
    </row>
    <row r="1423" ht="12.75" customHeight="1">
      <c r="A1423" s="2">
        <v>43052.0</v>
      </c>
      <c r="B1423" s="77">
        <f t="shared" si="1"/>
        <v>11</v>
      </c>
      <c r="C1423" s="78">
        <f t="shared" si="2"/>
        <v>2017</v>
      </c>
      <c r="D1423" s="77">
        <v>2.504</v>
      </c>
      <c r="E1423" s="4">
        <f t="shared" si="3"/>
        <v>2.474</v>
      </c>
      <c r="F1423" s="2">
        <f t="shared" si="4"/>
        <v>43040</v>
      </c>
    </row>
    <row r="1424" ht="12.75" customHeight="1">
      <c r="A1424" s="2">
        <v>43059.0</v>
      </c>
      <c r="B1424" s="77">
        <f t="shared" si="1"/>
        <v>11</v>
      </c>
      <c r="C1424" s="78">
        <f t="shared" si="2"/>
        <v>2017</v>
      </c>
      <c r="D1424" s="77">
        <v>2.48</v>
      </c>
      <c r="E1424" s="4">
        <f t="shared" si="3"/>
        <v>2.474</v>
      </c>
      <c r="F1424" s="2">
        <f t="shared" si="4"/>
        <v>43040</v>
      </c>
    </row>
    <row r="1425" ht="12.75" customHeight="1">
      <c r="A1425" s="2">
        <v>43066.0</v>
      </c>
      <c r="B1425" s="77">
        <f t="shared" si="1"/>
        <v>11</v>
      </c>
      <c r="C1425" s="78">
        <f t="shared" si="2"/>
        <v>2017</v>
      </c>
      <c r="D1425" s="77">
        <v>2.444</v>
      </c>
      <c r="E1425" s="4">
        <f t="shared" si="3"/>
        <v>2.474</v>
      </c>
      <c r="F1425" s="2">
        <f t="shared" si="4"/>
        <v>43040</v>
      </c>
    </row>
    <row r="1426" ht="12.75" customHeight="1">
      <c r="A1426" s="2">
        <v>43073.0</v>
      </c>
      <c r="B1426" s="77">
        <f t="shared" si="1"/>
        <v>12</v>
      </c>
      <c r="C1426" s="78">
        <f t="shared" si="2"/>
        <v>2017</v>
      </c>
      <c r="D1426" s="77">
        <v>2.41</v>
      </c>
      <c r="E1426" s="4">
        <f t="shared" si="3"/>
        <v>2.38825</v>
      </c>
      <c r="F1426" s="2">
        <f t="shared" si="4"/>
        <v>43070</v>
      </c>
    </row>
    <row r="1427" ht="12.75" customHeight="1">
      <c r="A1427" s="2">
        <v>43080.0</v>
      </c>
      <c r="B1427" s="77">
        <f t="shared" si="1"/>
        <v>12</v>
      </c>
      <c r="C1427" s="78">
        <f t="shared" si="2"/>
        <v>2017</v>
      </c>
      <c r="D1427" s="77">
        <v>2.401</v>
      </c>
      <c r="E1427" s="4">
        <f t="shared" si="3"/>
        <v>2.38825</v>
      </c>
      <c r="F1427" s="2">
        <f t="shared" si="4"/>
        <v>43070</v>
      </c>
    </row>
    <row r="1428" ht="12.75" customHeight="1">
      <c r="A1428" s="2">
        <v>43087.0</v>
      </c>
      <c r="B1428" s="77">
        <f t="shared" si="1"/>
        <v>12</v>
      </c>
      <c r="C1428" s="78">
        <f t="shared" si="2"/>
        <v>2017</v>
      </c>
      <c r="D1428" s="77">
        <v>2.358</v>
      </c>
      <c r="E1428" s="4">
        <f t="shared" si="3"/>
        <v>2.38825</v>
      </c>
      <c r="F1428" s="2">
        <f t="shared" si="4"/>
        <v>43070</v>
      </c>
    </row>
    <row r="1429" ht="12.75" customHeight="1">
      <c r="A1429" s="2">
        <v>43094.0</v>
      </c>
      <c r="B1429" s="77">
        <f t="shared" si="1"/>
        <v>12</v>
      </c>
      <c r="C1429" s="78">
        <f t="shared" si="2"/>
        <v>2017</v>
      </c>
      <c r="D1429" s="77">
        <v>2.384</v>
      </c>
      <c r="E1429" s="4">
        <f t="shared" si="3"/>
        <v>2.38825</v>
      </c>
      <c r="F1429" s="2">
        <f t="shared" si="4"/>
        <v>43070</v>
      </c>
    </row>
    <row r="1430" ht="12.75" customHeight="1">
      <c r="A1430" s="2">
        <v>43101.0</v>
      </c>
      <c r="B1430" s="77">
        <f t="shared" si="1"/>
        <v>1</v>
      </c>
      <c r="C1430" s="78">
        <f t="shared" si="2"/>
        <v>2018</v>
      </c>
      <c r="D1430" s="77">
        <v>2.436</v>
      </c>
      <c r="E1430" s="4">
        <f t="shared" si="3"/>
        <v>2.4672</v>
      </c>
      <c r="F1430" s="2">
        <f t="shared" si="4"/>
        <v>43101</v>
      </c>
    </row>
    <row r="1431" ht="12.75" customHeight="1">
      <c r="A1431" s="2">
        <v>43108.0</v>
      </c>
      <c r="B1431" s="77">
        <f t="shared" si="1"/>
        <v>1</v>
      </c>
      <c r="C1431" s="78">
        <f t="shared" si="2"/>
        <v>2018</v>
      </c>
      <c r="D1431" s="77">
        <v>2.429</v>
      </c>
      <c r="E1431" s="4">
        <f t="shared" si="3"/>
        <v>2.4672</v>
      </c>
      <c r="F1431" s="2">
        <f t="shared" si="4"/>
        <v>43101</v>
      </c>
    </row>
    <row r="1432" ht="12.75" customHeight="1">
      <c r="A1432" s="2">
        <v>43115.0</v>
      </c>
      <c r="B1432" s="77">
        <f t="shared" si="1"/>
        <v>1</v>
      </c>
      <c r="C1432" s="78">
        <f t="shared" si="2"/>
        <v>2018</v>
      </c>
      <c r="D1432" s="77">
        <v>2.473</v>
      </c>
      <c r="E1432" s="4">
        <f t="shared" si="3"/>
        <v>2.4672</v>
      </c>
      <c r="F1432" s="2">
        <f t="shared" si="4"/>
        <v>43101</v>
      </c>
    </row>
    <row r="1433" ht="12.75" customHeight="1">
      <c r="A1433" s="2">
        <v>43122.0</v>
      </c>
      <c r="B1433" s="77">
        <f t="shared" si="1"/>
        <v>1</v>
      </c>
      <c r="C1433" s="78">
        <f t="shared" si="2"/>
        <v>2018</v>
      </c>
      <c r="D1433" s="77">
        <v>2.482</v>
      </c>
      <c r="E1433" s="4">
        <f t="shared" si="3"/>
        <v>2.4672</v>
      </c>
      <c r="F1433" s="2">
        <f t="shared" si="4"/>
        <v>43101</v>
      </c>
    </row>
    <row r="1434" ht="12.75" customHeight="1">
      <c r="A1434" s="2">
        <v>43129.0</v>
      </c>
      <c r="B1434" s="77">
        <f t="shared" si="1"/>
        <v>1</v>
      </c>
      <c r="C1434" s="78">
        <f t="shared" si="2"/>
        <v>2018</v>
      </c>
      <c r="D1434" s="77">
        <v>2.516</v>
      </c>
      <c r="E1434" s="4">
        <f t="shared" si="3"/>
        <v>2.4672</v>
      </c>
      <c r="F1434" s="2">
        <f t="shared" si="4"/>
        <v>43101</v>
      </c>
    </row>
    <row r="1435" ht="12.75" customHeight="1">
      <c r="A1435" s="2">
        <v>43136.0</v>
      </c>
      <c r="B1435" s="77">
        <f t="shared" si="1"/>
        <v>2</v>
      </c>
      <c r="C1435" s="78">
        <f t="shared" si="2"/>
        <v>2018</v>
      </c>
      <c r="D1435" s="77">
        <v>2.544</v>
      </c>
      <c r="E1435" s="4">
        <f t="shared" si="3"/>
        <v>2.488</v>
      </c>
      <c r="F1435" s="2">
        <f t="shared" si="4"/>
        <v>43132</v>
      </c>
    </row>
    <row r="1436" ht="12.75" customHeight="1">
      <c r="A1436" s="2">
        <v>43143.0</v>
      </c>
      <c r="B1436" s="77">
        <f t="shared" si="1"/>
        <v>2</v>
      </c>
      <c r="C1436" s="78">
        <f t="shared" si="2"/>
        <v>2018</v>
      </c>
      <c r="D1436" s="77">
        <v>2.511</v>
      </c>
      <c r="E1436" s="4">
        <f t="shared" si="3"/>
        <v>2.488</v>
      </c>
      <c r="F1436" s="2">
        <f t="shared" si="4"/>
        <v>43132</v>
      </c>
    </row>
    <row r="1437" ht="12.75" customHeight="1">
      <c r="A1437" s="2">
        <v>43150.0</v>
      </c>
      <c r="B1437" s="77">
        <f t="shared" si="1"/>
        <v>2</v>
      </c>
      <c r="C1437" s="78">
        <f t="shared" si="2"/>
        <v>2018</v>
      </c>
      <c r="D1437" s="77">
        <v>2.455</v>
      </c>
      <c r="E1437" s="4">
        <f t="shared" si="3"/>
        <v>2.488</v>
      </c>
      <c r="F1437" s="2">
        <f t="shared" si="4"/>
        <v>43132</v>
      </c>
    </row>
    <row r="1438" ht="12.75" customHeight="1">
      <c r="A1438" s="2">
        <v>43157.0</v>
      </c>
      <c r="B1438" s="77">
        <f t="shared" si="1"/>
        <v>2</v>
      </c>
      <c r="C1438" s="78">
        <f t="shared" si="2"/>
        <v>2018</v>
      </c>
      <c r="D1438" s="77">
        <v>2.442</v>
      </c>
      <c r="E1438" s="4">
        <f t="shared" si="3"/>
        <v>2.488</v>
      </c>
      <c r="F1438" s="2">
        <f t="shared" si="4"/>
        <v>43132</v>
      </c>
    </row>
    <row r="1439" ht="12.75" customHeight="1">
      <c r="A1439" s="2">
        <v>43164.0</v>
      </c>
      <c r="B1439" s="77">
        <f t="shared" si="1"/>
        <v>3</v>
      </c>
      <c r="C1439" s="78">
        <f t="shared" si="2"/>
        <v>2018</v>
      </c>
      <c r="D1439" s="77">
        <v>2.462</v>
      </c>
      <c r="E1439" s="4">
        <f t="shared" si="3"/>
        <v>2.488</v>
      </c>
      <c r="F1439" s="2">
        <f t="shared" si="4"/>
        <v>43160</v>
      </c>
    </row>
    <row r="1440" ht="12.75" customHeight="1">
      <c r="A1440" s="2">
        <v>43171.0</v>
      </c>
      <c r="B1440" s="77">
        <f t="shared" si="1"/>
        <v>3</v>
      </c>
      <c r="C1440" s="78">
        <f t="shared" si="2"/>
        <v>2018</v>
      </c>
      <c r="D1440" s="77">
        <v>2.455</v>
      </c>
      <c r="E1440" s="4">
        <f t="shared" si="3"/>
        <v>2.488</v>
      </c>
      <c r="F1440" s="2">
        <f t="shared" si="4"/>
        <v>43160</v>
      </c>
    </row>
    <row r="1441" ht="12.75" customHeight="1">
      <c r="A1441" s="2">
        <v>43178.0</v>
      </c>
      <c r="B1441" s="77">
        <f t="shared" si="1"/>
        <v>3</v>
      </c>
      <c r="C1441" s="78">
        <f t="shared" si="2"/>
        <v>2018</v>
      </c>
      <c r="D1441" s="77">
        <v>2.494</v>
      </c>
      <c r="E1441" s="4">
        <f t="shared" si="3"/>
        <v>2.488</v>
      </c>
      <c r="F1441" s="2">
        <f t="shared" si="4"/>
        <v>43160</v>
      </c>
    </row>
    <row r="1442" ht="12.75" customHeight="1">
      <c r="A1442" s="2">
        <v>43185.0</v>
      </c>
      <c r="B1442" s="77">
        <f t="shared" si="1"/>
        <v>3</v>
      </c>
      <c r="C1442" s="78">
        <f t="shared" si="2"/>
        <v>2018</v>
      </c>
      <c r="D1442" s="77">
        <v>2.541</v>
      </c>
      <c r="E1442" s="4">
        <f t="shared" si="3"/>
        <v>2.488</v>
      </c>
      <c r="F1442" s="2">
        <f t="shared" si="4"/>
        <v>43160</v>
      </c>
    </row>
    <row r="1443" ht="12.75" customHeight="1">
      <c r="A1443" s="2">
        <v>43192.0</v>
      </c>
      <c r="B1443" s="77">
        <f t="shared" si="1"/>
        <v>4</v>
      </c>
      <c r="C1443" s="78">
        <f t="shared" si="2"/>
        <v>2018</v>
      </c>
      <c r="D1443" s="77">
        <v>2.592</v>
      </c>
      <c r="E1443" s="4">
        <f t="shared" si="3"/>
        <v>2.652</v>
      </c>
      <c r="F1443" s="2">
        <f t="shared" si="4"/>
        <v>43191</v>
      </c>
    </row>
    <row r="1444" ht="12.75" customHeight="1">
      <c r="A1444" s="2">
        <v>43199.0</v>
      </c>
      <c r="B1444" s="77">
        <f t="shared" si="1"/>
        <v>4</v>
      </c>
      <c r="C1444" s="78">
        <f t="shared" si="2"/>
        <v>2018</v>
      </c>
      <c r="D1444" s="77">
        <v>2.587</v>
      </c>
      <c r="E1444" s="4">
        <f t="shared" si="3"/>
        <v>2.652</v>
      </c>
      <c r="F1444" s="2">
        <f t="shared" si="4"/>
        <v>43191</v>
      </c>
    </row>
    <row r="1445" ht="12.75" customHeight="1">
      <c r="A1445" s="2">
        <v>43206.0</v>
      </c>
      <c r="B1445" s="77">
        <f t="shared" si="1"/>
        <v>4</v>
      </c>
      <c r="C1445" s="78">
        <f t="shared" si="2"/>
        <v>2018</v>
      </c>
      <c r="D1445" s="77">
        <v>2.644</v>
      </c>
      <c r="E1445" s="4">
        <f t="shared" si="3"/>
        <v>2.652</v>
      </c>
      <c r="F1445" s="2">
        <f t="shared" si="4"/>
        <v>43191</v>
      </c>
    </row>
    <row r="1446" ht="12.75" customHeight="1">
      <c r="A1446" s="2">
        <v>43213.0</v>
      </c>
      <c r="B1446" s="77">
        <f t="shared" si="1"/>
        <v>4</v>
      </c>
      <c r="C1446" s="78">
        <f t="shared" si="2"/>
        <v>2018</v>
      </c>
      <c r="D1446" s="77">
        <v>2.696</v>
      </c>
      <c r="E1446" s="4">
        <f t="shared" si="3"/>
        <v>2.652</v>
      </c>
      <c r="F1446" s="2">
        <f t="shared" si="4"/>
        <v>43191</v>
      </c>
    </row>
    <row r="1447" ht="12.75" customHeight="1">
      <c r="A1447" s="2">
        <v>43220.0</v>
      </c>
      <c r="B1447" s="77">
        <f t="shared" si="1"/>
        <v>4</v>
      </c>
      <c r="C1447" s="78">
        <f t="shared" si="2"/>
        <v>2018</v>
      </c>
      <c r="D1447" s="77">
        <v>2.741</v>
      </c>
      <c r="E1447" s="4">
        <f t="shared" si="3"/>
        <v>2.652</v>
      </c>
      <c r="F1447" s="2">
        <f t="shared" si="4"/>
        <v>43191</v>
      </c>
    </row>
    <row r="1448" ht="12.75" customHeight="1">
      <c r="A1448" s="2">
        <v>43227.0</v>
      </c>
      <c r="B1448" s="77">
        <f t="shared" si="1"/>
        <v>5</v>
      </c>
      <c r="C1448" s="78">
        <f t="shared" si="2"/>
        <v>2018</v>
      </c>
      <c r="D1448" s="77">
        <v>2.733</v>
      </c>
      <c r="E1448" s="4">
        <f t="shared" si="3"/>
        <v>2.8075</v>
      </c>
      <c r="F1448" s="2">
        <f t="shared" si="4"/>
        <v>43221</v>
      </c>
    </row>
    <row r="1449" ht="12.75" customHeight="1">
      <c r="A1449" s="2">
        <v>43234.0</v>
      </c>
      <c r="B1449" s="77">
        <f t="shared" si="1"/>
        <v>5</v>
      </c>
      <c r="C1449" s="78">
        <f t="shared" si="2"/>
        <v>2018</v>
      </c>
      <c r="D1449" s="77">
        <v>2.786</v>
      </c>
      <c r="E1449" s="4">
        <f t="shared" si="3"/>
        <v>2.8075</v>
      </c>
      <c r="F1449" s="2">
        <f t="shared" si="4"/>
        <v>43221</v>
      </c>
    </row>
    <row r="1450" ht="12.75" customHeight="1">
      <c r="A1450" s="2">
        <v>43241.0</v>
      </c>
      <c r="B1450" s="77">
        <f t="shared" si="1"/>
        <v>5</v>
      </c>
      <c r="C1450" s="78">
        <f t="shared" si="2"/>
        <v>2018</v>
      </c>
      <c r="D1450" s="77">
        <v>2.834</v>
      </c>
      <c r="E1450" s="4">
        <f t="shared" si="3"/>
        <v>2.8075</v>
      </c>
      <c r="F1450" s="2">
        <f t="shared" si="4"/>
        <v>43221</v>
      </c>
    </row>
    <row r="1451" ht="12.75" customHeight="1">
      <c r="A1451" s="2">
        <v>43248.0</v>
      </c>
      <c r="B1451" s="77">
        <f t="shared" si="1"/>
        <v>5</v>
      </c>
      <c r="C1451" s="78">
        <f t="shared" si="2"/>
        <v>2018</v>
      </c>
      <c r="D1451" s="77">
        <v>2.877</v>
      </c>
      <c r="E1451" s="4">
        <f t="shared" si="3"/>
        <v>2.8075</v>
      </c>
      <c r="F1451" s="2">
        <f t="shared" si="4"/>
        <v>43221</v>
      </c>
    </row>
    <row r="1452" ht="12.75" customHeight="1">
      <c r="A1452" s="2">
        <v>43255.0</v>
      </c>
      <c r="B1452" s="77">
        <f t="shared" si="1"/>
        <v>6</v>
      </c>
      <c r="C1452" s="78">
        <f t="shared" si="2"/>
        <v>2018</v>
      </c>
      <c r="D1452" s="77">
        <v>2.849</v>
      </c>
      <c r="E1452" s="4">
        <f t="shared" si="3"/>
        <v>2.8015</v>
      </c>
      <c r="F1452" s="2">
        <f t="shared" si="4"/>
        <v>43252</v>
      </c>
    </row>
    <row r="1453" ht="12.75" customHeight="1">
      <c r="A1453" s="2">
        <v>43262.0</v>
      </c>
      <c r="B1453" s="77">
        <f t="shared" si="1"/>
        <v>6</v>
      </c>
      <c r="C1453" s="78">
        <f t="shared" si="2"/>
        <v>2018</v>
      </c>
      <c r="D1453" s="77">
        <v>2.822</v>
      </c>
      <c r="E1453" s="4">
        <f t="shared" si="3"/>
        <v>2.8015</v>
      </c>
      <c r="F1453" s="2">
        <f t="shared" si="4"/>
        <v>43252</v>
      </c>
    </row>
    <row r="1454" ht="12.75" customHeight="1">
      <c r="A1454" s="2">
        <v>43269.0</v>
      </c>
      <c r="B1454" s="77">
        <f t="shared" si="1"/>
        <v>6</v>
      </c>
      <c r="C1454" s="78">
        <f t="shared" si="2"/>
        <v>2018</v>
      </c>
      <c r="D1454" s="77">
        <v>2.79</v>
      </c>
      <c r="E1454" s="4">
        <f t="shared" si="3"/>
        <v>2.8015</v>
      </c>
      <c r="F1454" s="2">
        <f t="shared" si="4"/>
        <v>43252</v>
      </c>
    </row>
    <row r="1455" ht="12.75" customHeight="1">
      <c r="A1455" s="2">
        <v>43276.0</v>
      </c>
      <c r="B1455" s="77">
        <f t="shared" si="1"/>
        <v>6</v>
      </c>
      <c r="C1455" s="78">
        <f t="shared" si="2"/>
        <v>2018</v>
      </c>
      <c r="D1455" s="77">
        <v>2.745</v>
      </c>
      <c r="E1455" s="4">
        <f t="shared" si="3"/>
        <v>2.8015</v>
      </c>
      <c r="F1455" s="2">
        <f t="shared" si="4"/>
        <v>43252</v>
      </c>
    </row>
    <row r="1456" ht="12.75" customHeight="1">
      <c r="A1456" s="2">
        <v>43283.0</v>
      </c>
      <c r="B1456" s="77">
        <f t="shared" si="1"/>
        <v>7</v>
      </c>
      <c r="C1456" s="78">
        <f t="shared" si="2"/>
        <v>2018</v>
      </c>
      <c r="D1456" s="77">
        <v>2.762</v>
      </c>
      <c r="E1456" s="4">
        <f t="shared" si="3"/>
        <v>2.7704</v>
      </c>
      <c r="F1456" s="2">
        <f t="shared" si="4"/>
        <v>43282</v>
      </c>
    </row>
    <row r="1457" ht="12.75" customHeight="1">
      <c r="A1457" s="2">
        <v>43290.0</v>
      </c>
      <c r="B1457" s="77">
        <f t="shared" si="1"/>
        <v>7</v>
      </c>
      <c r="C1457" s="78">
        <f t="shared" si="2"/>
        <v>2018</v>
      </c>
      <c r="D1457" s="77">
        <v>2.774</v>
      </c>
      <c r="E1457" s="4">
        <f t="shared" si="3"/>
        <v>2.7704</v>
      </c>
      <c r="F1457" s="2">
        <f t="shared" si="4"/>
        <v>43282</v>
      </c>
    </row>
    <row r="1458" ht="12.75" customHeight="1">
      <c r="A1458" s="2">
        <v>43297.0</v>
      </c>
      <c r="B1458" s="77">
        <f t="shared" si="1"/>
        <v>7</v>
      </c>
      <c r="C1458" s="78">
        <f t="shared" si="2"/>
        <v>2018</v>
      </c>
      <c r="D1458" s="77">
        <v>2.79</v>
      </c>
      <c r="E1458" s="4">
        <f t="shared" si="3"/>
        <v>2.7704</v>
      </c>
      <c r="F1458" s="2">
        <f t="shared" si="4"/>
        <v>43282</v>
      </c>
    </row>
    <row r="1459" ht="12.75" customHeight="1">
      <c r="A1459" s="2">
        <v>43304.0</v>
      </c>
      <c r="B1459" s="77">
        <f t="shared" si="1"/>
        <v>7</v>
      </c>
      <c r="C1459" s="78">
        <f t="shared" si="2"/>
        <v>2018</v>
      </c>
      <c r="D1459" s="77">
        <v>2.754</v>
      </c>
      <c r="E1459" s="4">
        <f t="shared" si="3"/>
        <v>2.7704</v>
      </c>
      <c r="F1459" s="2">
        <f t="shared" si="4"/>
        <v>43282</v>
      </c>
    </row>
    <row r="1460" ht="12.75" customHeight="1">
      <c r="A1460" s="2">
        <v>43311.0</v>
      </c>
      <c r="B1460" s="77">
        <f t="shared" si="1"/>
        <v>7</v>
      </c>
      <c r="C1460" s="78">
        <f t="shared" si="2"/>
        <v>2018</v>
      </c>
      <c r="D1460" s="77">
        <v>2.772</v>
      </c>
      <c r="E1460" s="4">
        <f t="shared" si="3"/>
        <v>2.7704</v>
      </c>
      <c r="F1460" s="2">
        <f t="shared" si="4"/>
        <v>43282</v>
      </c>
    </row>
    <row r="1461" ht="12.75" customHeight="1">
      <c r="A1461" s="2">
        <v>43318.0</v>
      </c>
      <c r="B1461" s="77">
        <f t="shared" si="1"/>
        <v>8</v>
      </c>
      <c r="C1461" s="78">
        <f t="shared" si="2"/>
        <v>2018</v>
      </c>
      <c r="D1461" s="77">
        <v>2.781</v>
      </c>
      <c r="E1461" s="4">
        <f t="shared" si="3"/>
        <v>2.76775</v>
      </c>
      <c r="F1461" s="2">
        <f t="shared" si="4"/>
        <v>43313</v>
      </c>
    </row>
    <row r="1462" ht="12.75" customHeight="1">
      <c r="A1462" s="2">
        <v>43325.0</v>
      </c>
      <c r="B1462" s="77">
        <f t="shared" si="1"/>
        <v>8</v>
      </c>
      <c r="C1462" s="78">
        <f t="shared" si="2"/>
        <v>2018</v>
      </c>
      <c r="D1462" s="77">
        <v>2.774</v>
      </c>
      <c r="E1462" s="4">
        <f t="shared" si="3"/>
        <v>2.76775</v>
      </c>
      <c r="F1462" s="2">
        <f t="shared" si="4"/>
        <v>43313</v>
      </c>
    </row>
    <row r="1463" ht="12.75" customHeight="1">
      <c r="A1463" s="2">
        <v>43332.0</v>
      </c>
      <c r="B1463" s="77">
        <f t="shared" si="1"/>
        <v>8</v>
      </c>
      <c r="C1463" s="78">
        <f t="shared" si="2"/>
        <v>2018</v>
      </c>
      <c r="D1463" s="77">
        <v>2.755</v>
      </c>
      <c r="E1463" s="4">
        <f t="shared" si="3"/>
        <v>2.76775</v>
      </c>
      <c r="F1463" s="2">
        <f t="shared" si="4"/>
        <v>43313</v>
      </c>
    </row>
    <row r="1464" ht="12.75" customHeight="1">
      <c r="A1464" s="2">
        <v>43339.0</v>
      </c>
      <c r="B1464" s="77">
        <f t="shared" si="1"/>
        <v>8</v>
      </c>
      <c r="C1464" s="78">
        <f t="shared" si="2"/>
        <v>2018</v>
      </c>
      <c r="D1464" s="77">
        <v>2.761</v>
      </c>
      <c r="E1464" s="4">
        <f t="shared" si="3"/>
        <v>2.76775</v>
      </c>
      <c r="F1464" s="2">
        <f t="shared" si="4"/>
        <v>43313</v>
      </c>
    </row>
    <row r="1465" ht="12.75" customHeight="1">
      <c r="A1465" s="2">
        <v>43346.0</v>
      </c>
      <c r="B1465" s="77">
        <f t="shared" si="1"/>
        <v>9</v>
      </c>
      <c r="C1465" s="78">
        <f t="shared" si="2"/>
        <v>2018</v>
      </c>
      <c r="D1465" s="77">
        <v>2.759</v>
      </c>
      <c r="E1465" s="4">
        <f t="shared" si="3"/>
        <v>2.7685</v>
      </c>
      <c r="F1465" s="2">
        <f t="shared" si="4"/>
        <v>43344</v>
      </c>
    </row>
    <row r="1466" ht="12.75" customHeight="1">
      <c r="A1466" s="2">
        <v>43353.0</v>
      </c>
      <c r="B1466" s="77">
        <f t="shared" si="1"/>
        <v>9</v>
      </c>
      <c r="C1466" s="78">
        <f t="shared" si="2"/>
        <v>2018</v>
      </c>
      <c r="D1466" s="77">
        <v>2.765</v>
      </c>
      <c r="E1466" s="4">
        <f t="shared" si="3"/>
        <v>2.7685</v>
      </c>
      <c r="F1466" s="2">
        <f t="shared" si="4"/>
        <v>43344</v>
      </c>
    </row>
    <row r="1467" ht="12.75" customHeight="1">
      <c r="A1467" s="2">
        <v>43360.0</v>
      </c>
      <c r="B1467" s="77">
        <f t="shared" si="1"/>
        <v>9</v>
      </c>
      <c r="C1467" s="78">
        <f t="shared" si="2"/>
        <v>2018</v>
      </c>
      <c r="D1467" s="77">
        <v>2.771</v>
      </c>
      <c r="E1467" s="4">
        <f t="shared" si="3"/>
        <v>2.7685</v>
      </c>
      <c r="F1467" s="2">
        <f t="shared" si="4"/>
        <v>43344</v>
      </c>
    </row>
    <row r="1468" ht="12.75" customHeight="1">
      <c r="A1468" s="2">
        <v>43367.0</v>
      </c>
      <c r="B1468" s="77">
        <f t="shared" si="1"/>
        <v>9</v>
      </c>
      <c r="C1468" s="78">
        <f t="shared" si="2"/>
        <v>2018</v>
      </c>
      <c r="D1468" s="77">
        <v>2.779</v>
      </c>
      <c r="E1468" s="4">
        <f t="shared" si="3"/>
        <v>2.7685</v>
      </c>
      <c r="F1468" s="2">
        <f t="shared" si="4"/>
        <v>43344</v>
      </c>
    </row>
    <row r="1469" ht="12.75" customHeight="1">
      <c r="A1469" s="2">
        <v>43374.0</v>
      </c>
      <c r="B1469" s="77">
        <f t="shared" si="1"/>
        <v>10</v>
      </c>
      <c r="C1469" s="78">
        <f t="shared" si="2"/>
        <v>2018</v>
      </c>
      <c r="D1469" s="77">
        <v>2.796</v>
      </c>
      <c r="E1469" s="4">
        <f t="shared" si="3"/>
        <v>2.7852</v>
      </c>
      <c r="F1469" s="2">
        <f t="shared" si="4"/>
        <v>43374</v>
      </c>
    </row>
    <row r="1470" ht="12.75" customHeight="1">
      <c r="A1470" s="2">
        <v>43381.0</v>
      </c>
      <c r="B1470" s="77">
        <f t="shared" si="1"/>
        <v>10</v>
      </c>
      <c r="C1470" s="78">
        <f t="shared" si="2"/>
        <v>2018</v>
      </c>
      <c r="D1470" s="77">
        <v>2.829</v>
      </c>
      <c r="E1470" s="4">
        <f t="shared" si="3"/>
        <v>2.7852</v>
      </c>
      <c r="F1470" s="2">
        <f t="shared" si="4"/>
        <v>43374</v>
      </c>
    </row>
    <row r="1471" ht="12.75" customHeight="1">
      <c r="A1471" s="2">
        <v>43388.0</v>
      </c>
      <c r="B1471" s="77">
        <f t="shared" si="1"/>
        <v>10</v>
      </c>
      <c r="C1471" s="78">
        <f t="shared" si="2"/>
        <v>2018</v>
      </c>
      <c r="D1471" s="77">
        <v>2.806</v>
      </c>
      <c r="E1471" s="4">
        <f t="shared" si="3"/>
        <v>2.7852</v>
      </c>
      <c r="F1471" s="2">
        <f t="shared" si="4"/>
        <v>43374</v>
      </c>
    </row>
    <row r="1472" ht="12.75" customHeight="1">
      <c r="A1472" s="2">
        <v>43395.0</v>
      </c>
      <c r="B1472" s="77">
        <f t="shared" si="1"/>
        <v>10</v>
      </c>
      <c r="C1472" s="78">
        <f t="shared" si="2"/>
        <v>2018</v>
      </c>
      <c r="D1472" s="77">
        <v>2.763</v>
      </c>
      <c r="E1472" s="4">
        <f t="shared" si="3"/>
        <v>2.7852</v>
      </c>
      <c r="F1472" s="2">
        <f t="shared" si="4"/>
        <v>43374</v>
      </c>
    </row>
    <row r="1473" ht="12.75" customHeight="1">
      <c r="A1473" s="2">
        <v>43402.0</v>
      </c>
      <c r="B1473" s="77">
        <f t="shared" si="1"/>
        <v>10</v>
      </c>
      <c r="C1473" s="78">
        <f t="shared" si="2"/>
        <v>2018</v>
      </c>
      <c r="D1473" s="77">
        <v>2.732</v>
      </c>
      <c r="E1473" s="4">
        <f t="shared" si="3"/>
        <v>2.7852</v>
      </c>
      <c r="F1473" s="2">
        <f t="shared" si="4"/>
        <v>43374</v>
      </c>
    </row>
    <row r="1474" ht="12.75" customHeight="1">
      <c r="A1474" s="2">
        <v>43409.0</v>
      </c>
      <c r="B1474" s="77">
        <f t="shared" si="1"/>
        <v>11</v>
      </c>
      <c r="C1474" s="78">
        <f t="shared" si="2"/>
        <v>2018</v>
      </c>
      <c r="D1474" s="77">
        <v>2.67</v>
      </c>
      <c r="E1474" s="4">
        <f t="shared" si="3"/>
        <v>2.561</v>
      </c>
      <c r="F1474" s="2">
        <f t="shared" si="4"/>
        <v>43405</v>
      </c>
    </row>
    <row r="1475" ht="12.75" customHeight="1">
      <c r="A1475" s="2">
        <v>43416.0</v>
      </c>
      <c r="B1475" s="77">
        <f t="shared" si="1"/>
        <v>11</v>
      </c>
      <c r="C1475" s="78">
        <f t="shared" si="2"/>
        <v>2018</v>
      </c>
      <c r="D1475" s="77">
        <v>2.604</v>
      </c>
      <c r="E1475" s="4">
        <f t="shared" si="3"/>
        <v>2.561</v>
      </c>
      <c r="F1475" s="2">
        <f t="shared" si="4"/>
        <v>43405</v>
      </c>
    </row>
    <row r="1476" ht="12.75" customHeight="1">
      <c r="A1476" s="2">
        <v>43423.0</v>
      </c>
      <c r="B1476" s="77">
        <f t="shared" si="1"/>
        <v>11</v>
      </c>
      <c r="C1476" s="78">
        <f t="shared" si="2"/>
        <v>2018</v>
      </c>
      <c r="D1476" s="77">
        <v>2.525</v>
      </c>
      <c r="E1476" s="4">
        <f t="shared" si="3"/>
        <v>2.561</v>
      </c>
      <c r="F1476" s="2">
        <f t="shared" si="4"/>
        <v>43405</v>
      </c>
    </row>
    <row r="1477" ht="12.75" customHeight="1">
      <c r="A1477" s="2">
        <v>43430.0</v>
      </c>
      <c r="B1477" s="77">
        <f t="shared" si="1"/>
        <v>11</v>
      </c>
      <c r="C1477" s="78">
        <f t="shared" si="2"/>
        <v>2018</v>
      </c>
      <c r="D1477" s="77">
        <v>2.445</v>
      </c>
      <c r="E1477" s="4">
        <f t="shared" si="3"/>
        <v>2.561</v>
      </c>
      <c r="F1477" s="2">
        <f t="shared" si="4"/>
        <v>43405</v>
      </c>
    </row>
    <row r="1478" ht="12.75" customHeight="1">
      <c r="A1478" s="2">
        <v>43437.0</v>
      </c>
      <c r="B1478" s="77">
        <f t="shared" si="1"/>
        <v>12</v>
      </c>
      <c r="C1478" s="78">
        <f t="shared" si="2"/>
        <v>2018</v>
      </c>
      <c r="D1478" s="77">
        <v>2.35</v>
      </c>
      <c r="E1478" s="4">
        <f t="shared" si="3"/>
        <v>2.263</v>
      </c>
      <c r="F1478" s="2">
        <f t="shared" si="4"/>
        <v>43435</v>
      </c>
    </row>
    <row r="1479" ht="12.75" customHeight="1">
      <c r="A1479" s="2">
        <v>43444.0</v>
      </c>
      <c r="B1479" s="77">
        <f t="shared" si="1"/>
        <v>12</v>
      </c>
      <c r="C1479" s="78">
        <f t="shared" si="2"/>
        <v>2018</v>
      </c>
      <c r="D1479" s="77">
        <v>2.325</v>
      </c>
      <c r="E1479" s="4">
        <f t="shared" si="3"/>
        <v>2.263</v>
      </c>
      <c r="F1479" s="2">
        <f t="shared" si="4"/>
        <v>43435</v>
      </c>
    </row>
    <row r="1480" ht="12.75" customHeight="1">
      <c r="A1480" s="2">
        <v>43451.0</v>
      </c>
      <c r="B1480" s="77">
        <f t="shared" si="1"/>
        <v>12</v>
      </c>
      <c r="C1480" s="78">
        <f t="shared" si="2"/>
        <v>2018</v>
      </c>
      <c r="D1480" s="77">
        <v>2.268</v>
      </c>
      <c r="E1480" s="4">
        <f t="shared" si="3"/>
        <v>2.263</v>
      </c>
      <c r="F1480" s="2">
        <f t="shared" si="4"/>
        <v>43435</v>
      </c>
    </row>
    <row r="1481" ht="12.75" customHeight="1">
      <c r="A1481" s="2">
        <v>43458.0</v>
      </c>
      <c r="B1481" s="77">
        <f t="shared" si="1"/>
        <v>12</v>
      </c>
      <c r="C1481" s="78">
        <f t="shared" si="2"/>
        <v>2018</v>
      </c>
      <c r="D1481" s="77">
        <v>2.216</v>
      </c>
      <c r="E1481" s="4">
        <f t="shared" si="3"/>
        <v>2.263</v>
      </c>
      <c r="F1481" s="2">
        <f t="shared" si="4"/>
        <v>43435</v>
      </c>
    </row>
    <row r="1482" ht="12.75" customHeight="1">
      <c r="A1482" s="2">
        <v>43465.0</v>
      </c>
      <c r="B1482" s="77">
        <f t="shared" si="1"/>
        <v>12</v>
      </c>
      <c r="C1482" s="78">
        <f t="shared" si="2"/>
        <v>2018</v>
      </c>
      <c r="D1482" s="77">
        <v>2.156</v>
      </c>
      <c r="E1482" s="4">
        <f t="shared" si="3"/>
        <v>2.263</v>
      </c>
      <c r="F1482" s="2">
        <f t="shared" si="4"/>
        <v>43435</v>
      </c>
    </row>
    <row r="1483" ht="12.75" customHeight="1">
      <c r="A1483" s="2">
        <v>43472.0</v>
      </c>
      <c r="B1483" s="77">
        <f t="shared" si="1"/>
        <v>1</v>
      </c>
      <c r="C1483" s="78">
        <f t="shared" si="2"/>
        <v>2019</v>
      </c>
      <c r="D1483" s="77">
        <v>2.128</v>
      </c>
      <c r="E1483" s="4">
        <f t="shared" si="3"/>
        <v>2.145</v>
      </c>
      <c r="F1483" s="2">
        <f t="shared" si="4"/>
        <v>43466</v>
      </c>
    </row>
    <row r="1484" ht="12.75" customHeight="1">
      <c r="A1484" s="2">
        <v>43479.0</v>
      </c>
      <c r="B1484" s="77">
        <f t="shared" si="1"/>
        <v>1</v>
      </c>
      <c r="C1484" s="78">
        <f t="shared" si="2"/>
        <v>2019</v>
      </c>
      <c r="D1484" s="77">
        <v>2.143</v>
      </c>
      <c r="E1484" s="4">
        <f t="shared" si="3"/>
        <v>2.145</v>
      </c>
      <c r="F1484" s="2">
        <f t="shared" si="4"/>
        <v>43466</v>
      </c>
    </row>
    <row r="1485" ht="12.75" customHeight="1">
      <c r="A1485" s="2">
        <v>43486.0</v>
      </c>
      <c r="B1485" s="77">
        <f t="shared" si="1"/>
        <v>1</v>
      </c>
      <c r="C1485" s="78">
        <f t="shared" si="2"/>
        <v>2019</v>
      </c>
      <c r="D1485" s="77">
        <v>2.147</v>
      </c>
      <c r="E1485" s="4">
        <f t="shared" si="3"/>
        <v>2.145</v>
      </c>
      <c r="F1485" s="2">
        <f t="shared" si="4"/>
        <v>43466</v>
      </c>
    </row>
    <row r="1486" ht="12.75" customHeight="1">
      <c r="A1486" s="2">
        <v>43493.0</v>
      </c>
      <c r="B1486" s="77">
        <f t="shared" si="1"/>
        <v>1</v>
      </c>
      <c r="C1486" s="78">
        <f t="shared" si="2"/>
        <v>2019</v>
      </c>
      <c r="D1486" s="77">
        <v>2.162</v>
      </c>
      <c r="E1486" s="4">
        <f t="shared" si="3"/>
        <v>2.145</v>
      </c>
      <c r="F1486" s="2">
        <f t="shared" si="4"/>
        <v>43466</v>
      </c>
    </row>
    <row r="1487" ht="12.75" customHeight="1">
      <c r="A1487" s="2">
        <v>43500.0</v>
      </c>
      <c r="B1487" s="77">
        <f t="shared" si="1"/>
        <v>2</v>
      </c>
      <c r="C1487" s="78">
        <f t="shared" si="2"/>
        <v>2019</v>
      </c>
      <c r="D1487" s="77">
        <v>2.162</v>
      </c>
      <c r="E1487" s="4">
        <f t="shared" si="3"/>
        <v>2.2225</v>
      </c>
      <c r="F1487" s="2">
        <f t="shared" si="4"/>
        <v>43497</v>
      </c>
    </row>
    <row r="1488" ht="12.75" customHeight="1">
      <c r="A1488" s="2">
        <v>43507.0</v>
      </c>
      <c r="B1488" s="77">
        <f t="shared" si="1"/>
        <v>2</v>
      </c>
      <c r="C1488" s="78">
        <f t="shared" si="2"/>
        <v>2019</v>
      </c>
      <c r="D1488" s="77">
        <v>2.187</v>
      </c>
      <c r="E1488" s="4">
        <f t="shared" si="3"/>
        <v>2.2225</v>
      </c>
      <c r="F1488" s="2">
        <f t="shared" si="4"/>
        <v>43497</v>
      </c>
    </row>
    <row r="1489" ht="12.75" customHeight="1">
      <c r="A1489" s="2">
        <v>43514.0</v>
      </c>
      <c r="B1489" s="77">
        <f t="shared" si="1"/>
        <v>2</v>
      </c>
      <c r="C1489" s="78">
        <f t="shared" si="2"/>
        <v>2019</v>
      </c>
      <c r="D1489" s="77">
        <v>2.23</v>
      </c>
      <c r="E1489" s="4">
        <f t="shared" si="3"/>
        <v>2.2225</v>
      </c>
      <c r="F1489" s="2">
        <f t="shared" si="4"/>
        <v>43497</v>
      </c>
    </row>
    <row r="1490" ht="12.75" customHeight="1">
      <c r="A1490" s="2">
        <v>43521.0</v>
      </c>
      <c r="B1490" s="77">
        <f t="shared" si="1"/>
        <v>2</v>
      </c>
      <c r="C1490" s="78">
        <f t="shared" si="2"/>
        <v>2019</v>
      </c>
      <c r="D1490" s="77">
        <v>2.311</v>
      </c>
      <c r="E1490" s="4">
        <f t="shared" si="3"/>
        <v>2.2225</v>
      </c>
      <c r="F1490" s="2">
        <f t="shared" si="4"/>
        <v>43497</v>
      </c>
    </row>
    <row r="1491" ht="12.75" customHeight="1">
      <c r="A1491" s="2">
        <v>43528.0</v>
      </c>
      <c r="B1491" s="77">
        <f t="shared" si="1"/>
        <v>3</v>
      </c>
      <c r="C1491" s="78">
        <f t="shared" si="2"/>
        <v>2019</v>
      </c>
      <c r="D1491" s="77">
        <v>2.352</v>
      </c>
      <c r="E1491" s="4">
        <f t="shared" si="3"/>
        <v>2.443</v>
      </c>
      <c r="F1491" s="2">
        <f t="shared" si="4"/>
        <v>43525</v>
      </c>
    </row>
    <row r="1492" ht="12.75" customHeight="1">
      <c r="A1492" s="2">
        <v>43535.0</v>
      </c>
      <c r="B1492" s="77">
        <f t="shared" si="1"/>
        <v>3</v>
      </c>
      <c r="C1492" s="78">
        <f t="shared" si="2"/>
        <v>2019</v>
      </c>
      <c r="D1492" s="77">
        <v>2.399</v>
      </c>
      <c r="E1492" s="4">
        <f t="shared" si="3"/>
        <v>2.443</v>
      </c>
      <c r="F1492" s="2">
        <f t="shared" si="4"/>
        <v>43525</v>
      </c>
    </row>
    <row r="1493" ht="12.75" customHeight="1">
      <c r="A1493" s="2">
        <v>43542.0</v>
      </c>
      <c r="B1493" s="77">
        <f t="shared" si="1"/>
        <v>3</v>
      </c>
      <c r="C1493" s="78">
        <f t="shared" si="2"/>
        <v>2019</v>
      </c>
      <c r="D1493" s="77">
        <v>2.477</v>
      </c>
      <c r="E1493" s="4">
        <f t="shared" si="3"/>
        <v>2.443</v>
      </c>
      <c r="F1493" s="2">
        <f t="shared" si="4"/>
        <v>43525</v>
      </c>
    </row>
    <row r="1494" ht="12.75" customHeight="1">
      <c r="A1494" s="2">
        <v>43549.0</v>
      </c>
      <c r="B1494" s="77">
        <f t="shared" si="1"/>
        <v>3</v>
      </c>
      <c r="C1494" s="78">
        <f t="shared" si="2"/>
        <v>2019</v>
      </c>
      <c r="D1494" s="77">
        <v>2.544</v>
      </c>
      <c r="E1494" s="4">
        <f t="shared" si="3"/>
        <v>2.443</v>
      </c>
      <c r="F1494" s="2">
        <f t="shared" si="4"/>
        <v>43525</v>
      </c>
    </row>
    <row r="1495" ht="12.75" customHeight="1">
      <c r="A1495" s="2">
        <v>43556.0</v>
      </c>
      <c r="B1495" s="77">
        <f t="shared" si="1"/>
        <v>4</v>
      </c>
      <c r="C1495" s="78">
        <f t="shared" si="2"/>
        <v>2019</v>
      </c>
      <c r="D1495" s="77">
        <v>2.611</v>
      </c>
      <c r="E1495" s="4">
        <f t="shared" si="3"/>
        <v>2.694</v>
      </c>
      <c r="F1495" s="2">
        <f t="shared" si="4"/>
        <v>43556</v>
      </c>
    </row>
    <row r="1496" ht="12.75" customHeight="1">
      <c r="A1496" s="2">
        <v>43563.0</v>
      </c>
      <c r="B1496" s="77">
        <f t="shared" si="1"/>
        <v>4</v>
      </c>
      <c r="C1496" s="78">
        <f t="shared" si="2"/>
        <v>2019</v>
      </c>
      <c r="D1496" s="77">
        <v>2.65</v>
      </c>
      <c r="E1496" s="4">
        <f t="shared" si="3"/>
        <v>2.694</v>
      </c>
      <c r="F1496" s="2">
        <f t="shared" si="4"/>
        <v>43556</v>
      </c>
    </row>
    <row r="1497" ht="12.75" customHeight="1">
      <c r="A1497" s="2">
        <v>43570.0</v>
      </c>
      <c r="B1497" s="77">
        <f t="shared" si="1"/>
        <v>4</v>
      </c>
      <c r="C1497" s="78">
        <f t="shared" si="2"/>
        <v>2019</v>
      </c>
      <c r="D1497" s="77">
        <v>2.725</v>
      </c>
      <c r="E1497" s="4">
        <f t="shared" si="3"/>
        <v>2.694</v>
      </c>
      <c r="F1497" s="2">
        <f t="shared" si="4"/>
        <v>43556</v>
      </c>
    </row>
    <row r="1498" ht="12.75" customHeight="1">
      <c r="A1498" s="2">
        <v>43577.0</v>
      </c>
      <c r="B1498" s="77">
        <f t="shared" si="1"/>
        <v>4</v>
      </c>
      <c r="C1498" s="78">
        <f t="shared" si="2"/>
        <v>2019</v>
      </c>
      <c r="D1498" s="77">
        <v>2.723</v>
      </c>
      <c r="E1498" s="4">
        <f t="shared" si="3"/>
        <v>2.694</v>
      </c>
      <c r="F1498" s="2">
        <f t="shared" si="4"/>
        <v>43556</v>
      </c>
    </row>
    <row r="1499" ht="12.75" customHeight="1">
      <c r="A1499" s="2">
        <v>43584.0</v>
      </c>
      <c r="B1499" s="77">
        <f t="shared" si="1"/>
        <v>4</v>
      </c>
      <c r="C1499" s="78">
        <f t="shared" si="2"/>
        <v>2019</v>
      </c>
      <c r="D1499" s="77">
        <v>2.761</v>
      </c>
      <c r="E1499" s="4">
        <f t="shared" si="3"/>
        <v>2.694</v>
      </c>
      <c r="F1499" s="2">
        <f t="shared" si="4"/>
        <v>43556</v>
      </c>
    </row>
    <row r="1500" ht="12.75" customHeight="1">
      <c r="A1500" s="2">
        <v>43591.0</v>
      </c>
      <c r="B1500" s="77">
        <f t="shared" si="1"/>
        <v>5</v>
      </c>
      <c r="C1500" s="78">
        <f t="shared" si="2"/>
        <v>2019</v>
      </c>
      <c r="D1500" s="77">
        <v>2.771</v>
      </c>
      <c r="E1500" s="4">
        <f t="shared" si="3"/>
        <v>2.73125</v>
      </c>
      <c r="F1500" s="2">
        <f t="shared" si="4"/>
        <v>43586</v>
      </c>
    </row>
    <row r="1501" ht="12.75" customHeight="1">
      <c r="A1501" s="2">
        <v>43598.0</v>
      </c>
      <c r="B1501" s="77">
        <f t="shared" si="1"/>
        <v>5</v>
      </c>
      <c r="C1501" s="78">
        <f t="shared" si="2"/>
        <v>2019</v>
      </c>
      <c r="D1501" s="77">
        <v>2.735</v>
      </c>
      <c r="E1501" s="4">
        <f t="shared" si="3"/>
        <v>2.73125</v>
      </c>
      <c r="F1501" s="2">
        <f t="shared" si="4"/>
        <v>43586</v>
      </c>
    </row>
    <row r="1502" ht="12.75" customHeight="1">
      <c r="A1502" s="2">
        <v>43605.0</v>
      </c>
      <c r="B1502" s="77">
        <f t="shared" si="1"/>
        <v>5</v>
      </c>
      <c r="C1502" s="78">
        <f t="shared" si="2"/>
        <v>2019</v>
      </c>
      <c r="D1502" s="77">
        <v>2.723</v>
      </c>
      <c r="E1502" s="4">
        <f t="shared" si="3"/>
        <v>2.73125</v>
      </c>
      <c r="F1502" s="2">
        <f t="shared" si="4"/>
        <v>43586</v>
      </c>
    </row>
    <row r="1503" ht="12.75" customHeight="1">
      <c r="A1503" s="2">
        <v>43612.0</v>
      </c>
      <c r="B1503" s="77">
        <f t="shared" si="1"/>
        <v>5</v>
      </c>
      <c r="C1503" s="78">
        <f t="shared" si="2"/>
        <v>2019</v>
      </c>
      <c r="D1503" s="77">
        <v>2.696</v>
      </c>
      <c r="E1503" s="4">
        <f t="shared" si="3"/>
        <v>2.73125</v>
      </c>
      <c r="F1503" s="2">
        <f t="shared" si="4"/>
        <v>43586</v>
      </c>
    </row>
    <row r="1504" ht="12.75" customHeight="1">
      <c r="A1504" s="2">
        <v>43619.0</v>
      </c>
      <c r="B1504" s="77">
        <f t="shared" si="1"/>
        <v>6</v>
      </c>
      <c r="C1504" s="78">
        <f t="shared" si="2"/>
        <v>2019</v>
      </c>
      <c r="D1504" s="77">
        <v>2.691</v>
      </c>
      <c r="E1504" s="4">
        <f t="shared" si="3"/>
        <v>2.60125</v>
      </c>
      <c r="F1504" s="2">
        <f t="shared" si="4"/>
        <v>43617</v>
      </c>
    </row>
    <row r="1505" ht="12.75" customHeight="1">
      <c r="A1505" s="2">
        <v>43626.0</v>
      </c>
      <c r="B1505" s="77">
        <f t="shared" si="1"/>
        <v>6</v>
      </c>
      <c r="C1505" s="78">
        <f t="shared" si="2"/>
        <v>2019</v>
      </c>
      <c r="D1505" s="77">
        <v>2.62</v>
      </c>
      <c r="E1505" s="4">
        <f t="shared" si="3"/>
        <v>2.60125</v>
      </c>
      <c r="F1505" s="2">
        <f t="shared" si="4"/>
        <v>43617</v>
      </c>
    </row>
    <row r="1506" ht="12.75" customHeight="1">
      <c r="A1506" s="2">
        <v>43633.0</v>
      </c>
      <c r="B1506" s="77">
        <f t="shared" si="1"/>
        <v>6</v>
      </c>
      <c r="C1506" s="78">
        <f t="shared" si="2"/>
        <v>2019</v>
      </c>
      <c r="D1506" s="77">
        <v>2.553</v>
      </c>
      <c r="E1506" s="4">
        <f t="shared" si="3"/>
        <v>2.60125</v>
      </c>
      <c r="F1506" s="2">
        <f t="shared" si="4"/>
        <v>43617</v>
      </c>
    </row>
    <row r="1507" ht="12.75" customHeight="1">
      <c r="A1507" s="2">
        <v>43640.0</v>
      </c>
      <c r="B1507" s="77">
        <f t="shared" si="1"/>
        <v>6</v>
      </c>
      <c r="C1507" s="78">
        <f t="shared" si="2"/>
        <v>2019</v>
      </c>
      <c r="D1507" s="77">
        <v>2.541</v>
      </c>
      <c r="E1507" s="4">
        <f t="shared" si="3"/>
        <v>2.60125</v>
      </c>
      <c r="F1507" s="2">
        <f t="shared" si="4"/>
        <v>43617</v>
      </c>
    </row>
    <row r="1508" ht="12.75" customHeight="1">
      <c r="A1508" s="2">
        <v>43647.0</v>
      </c>
      <c r="B1508" s="77">
        <f t="shared" si="1"/>
        <v>7</v>
      </c>
      <c r="C1508" s="78">
        <f t="shared" si="2"/>
        <v>2019</v>
      </c>
      <c r="D1508" s="77">
        <v>2.608</v>
      </c>
      <c r="E1508" s="4">
        <f t="shared" si="3"/>
        <v>2.6404</v>
      </c>
      <c r="F1508" s="2">
        <f t="shared" si="4"/>
        <v>43647</v>
      </c>
    </row>
    <row r="1509" ht="12.75" customHeight="1">
      <c r="A1509" s="2">
        <v>43654.0</v>
      </c>
      <c r="B1509" s="77">
        <f t="shared" si="1"/>
        <v>7</v>
      </c>
      <c r="C1509" s="78">
        <f t="shared" si="2"/>
        <v>2019</v>
      </c>
      <c r="D1509" s="77">
        <v>2.644</v>
      </c>
      <c r="E1509" s="4">
        <f t="shared" si="3"/>
        <v>2.6404</v>
      </c>
      <c r="F1509" s="2">
        <f t="shared" si="4"/>
        <v>43647</v>
      </c>
    </row>
    <row r="1510" ht="12.75" customHeight="1">
      <c r="A1510" s="2">
        <v>43661.0</v>
      </c>
      <c r="B1510" s="77">
        <f t="shared" si="1"/>
        <v>7</v>
      </c>
      <c r="C1510" s="78">
        <f t="shared" si="2"/>
        <v>2019</v>
      </c>
      <c r="D1510" s="77">
        <v>2.682</v>
      </c>
      <c r="E1510" s="4">
        <f t="shared" si="3"/>
        <v>2.6404</v>
      </c>
      <c r="F1510" s="2">
        <f t="shared" si="4"/>
        <v>43647</v>
      </c>
    </row>
    <row r="1511" ht="12.75" customHeight="1">
      <c r="A1511" s="2">
        <v>43668.0</v>
      </c>
      <c r="B1511" s="77">
        <f t="shared" si="1"/>
        <v>7</v>
      </c>
      <c r="C1511" s="78">
        <f t="shared" si="2"/>
        <v>2019</v>
      </c>
      <c r="D1511" s="77">
        <v>2.653</v>
      </c>
      <c r="E1511" s="4">
        <f t="shared" si="3"/>
        <v>2.6404</v>
      </c>
      <c r="F1511" s="2">
        <f t="shared" si="4"/>
        <v>43647</v>
      </c>
    </row>
    <row r="1512" ht="12.75" customHeight="1">
      <c r="A1512" s="2">
        <v>43675.0</v>
      </c>
      <c r="B1512" s="77">
        <f t="shared" si="1"/>
        <v>7</v>
      </c>
      <c r="C1512" s="78">
        <f t="shared" si="2"/>
        <v>2019</v>
      </c>
      <c r="D1512" s="77">
        <v>2.615</v>
      </c>
      <c r="E1512" s="4">
        <f t="shared" si="3"/>
        <v>2.6404</v>
      </c>
      <c r="F1512" s="2">
        <f t="shared" si="4"/>
        <v>43647</v>
      </c>
    </row>
    <row r="1513" ht="12.75" customHeight="1">
      <c r="A1513" s="2">
        <v>43682.0</v>
      </c>
      <c r="B1513" s="77">
        <f t="shared" si="1"/>
        <v>8</v>
      </c>
      <c r="C1513" s="78">
        <f t="shared" si="2"/>
        <v>2019</v>
      </c>
      <c r="D1513" s="77">
        <v>2.588</v>
      </c>
      <c r="E1513" s="4">
        <f t="shared" si="3"/>
        <v>2.521</v>
      </c>
      <c r="F1513" s="2">
        <f t="shared" si="4"/>
        <v>43678</v>
      </c>
    </row>
    <row r="1514" ht="12.75" customHeight="1">
      <c r="A1514" s="2">
        <v>43689.0</v>
      </c>
      <c r="B1514" s="77">
        <f t="shared" si="1"/>
        <v>8</v>
      </c>
      <c r="C1514" s="78">
        <f t="shared" si="2"/>
        <v>2019</v>
      </c>
      <c r="D1514" s="77">
        <v>2.524</v>
      </c>
      <c r="E1514" s="4">
        <f t="shared" si="3"/>
        <v>2.521</v>
      </c>
      <c r="F1514" s="2">
        <f t="shared" si="4"/>
        <v>43678</v>
      </c>
    </row>
    <row r="1515" ht="12.75" customHeight="1">
      <c r="A1515" s="2">
        <v>43696.0</v>
      </c>
      <c r="B1515" s="77">
        <f t="shared" si="1"/>
        <v>8</v>
      </c>
      <c r="C1515" s="78">
        <f t="shared" si="2"/>
        <v>2019</v>
      </c>
      <c r="D1515" s="77">
        <v>2.501</v>
      </c>
      <c r="E1515" s="4">
        <f t="shared" si="3"/>
        <v>2.521</v>
      </c>
      <c r="F1515" s="2">
        <f t="shared" si="4"/>
        <v>43678</v>
      </c>
    </row>
    <row r="1516" ht="12.75" customHeight="1">
      <c r="A1516" s="2">
        <v>43703.0</v>
      </c>
      <c r="B1516" s="77">
        <f t="shared" si="1"/>
        <v>8</v>
      </c>
      <c r="C1516" s="78">
        <f t="shared" si="2"/>
        <v>2019</v>
      </c>
      <c r="D1516" s="77">
        <v>2.471</v>
      </c>
      <c r="E1516" s="4">
        <f t="shared" si="3"/>
        <v>2.521</v>
      </c>
      <c r="F1516" s="2">
        <f t="shared" si="4"/>
        <v>43678</v>
      </c>
    </row>
    <row r="1517" ht="12.75" customHeight="1">
      <c r="A1517" s="2">
        <v>43710.0</v>
      </c>
      <c r="B1517" s="77">
        <f t="shared" si="1"/>
        <v>9</v>
      </c>
      <c r="C1517" s="78">
        <f t="shared" si="2"/>
        <v>2019</v>
      </c>
      <c r="D1517" s="77">
        <v>2.461</v>
      </c>
      <c r="E1517" s="4">
        <f t="shared" si="3"/>
        <v>2.4888</v>
      </c>
      <c r="F1517" s="2">
        <f t="shared" si="4"/>
        <v>43709</v>
      </c>
    </row>
    <row r="1518" ht="12.75" customHeight="1">
      <c r="A1518" s="2">
        <v>43717.0</v>
      </c>
      <c r="B1518" s="77">
        <f t="shared" si="1"/>
        <v>9</v>
      </c>
      <c r="C1518" s="78">
        <f t="shared" si="2"/>
        <v>2019</v>
      </c>
      <c r="D1518" s="77">
        <v>2.45</v>
      </c>
      <c r="E1518" s="4">
        <f t="shared" si="3"/>
        <v>2.4888</v>
      </c>
      <c r="F1518" s="2">
        <f t="shared" si="4"/>
        <v>43709</v>
      </c>
    </row>
    <row r="1519" ht="12.75" customHeight="1">
      <c r="A1519" s="2">
        <v>43724.0</v>
      </c>
      <c r="B1519" s="77">
        <f t="shared" si="1"/>
        <v>9</v>
      </c>
      <c r="C1519" s="78">
        <f t="shared" si="2"/>
        <v>2019</v>
      </c>
      <c r="D1519" s="77">
        <v>2.454</v>
      </c>
      <c r="E1519" s="4">
        <f t="shared" si="3"/>
        <v>2.4888</v>
      </c>
      <c r="F1519" s="2">
        <f t="shared" si="4"/>
        <v>43709</v>
      </c>
    </row>
    <row r="1520" ht="12.75" customHeight="1">
      <c r="A1520" s="2">
        <v>43731.0</v>
      </c>
      <c r="B1520" s="77">
        <f t="shared" si="1"/>
        <v>9</v>
      </c>
      <c r="C1520" s="78">
        <f t="shared" si="2"/>
        <v>2019</v>
      </c>
      <c r="D1520" s="77">
        <v>2.561</v>
      </c>
      <c r="E1520" s="4">
        <f t="shared" si="3"/>
        <v>2.4888</v>
      </c>
      <c r="F1520" s="2">
        <f t="shared" si="4"/>
        <v>43709</v>
      </c>
    </row>
    <row r="1521" ht="12.75" customHeight="1">
      <c r="A1521" s="2">
        <v>43738.0</v>
      </c>
      <c r="B1521" s="77">
        <f t="shared" si="1"/>
        <v>9</v>
      </c>
      <c r="C1521" s="78">
        <f t="shared" si="2"/>
        <v>2019</v>
      </c>
      <c r="D1521" s="77">
        <v>2.518</v>
      </c>
      <c r="E1521" s="4">
        <f t="shared" si="3"/>
        <v>2.4888</v>
      </c>
      <c r="F1521" s="2">
        <f t="shared" si="4"/>
        <v>43709</v>
      </c>
    </row>
    <row r="1522" ht="12.75" customHeight="1">
      <c r="A1522" s="2">
        <v>43745.0</v>
      </c>
      <c r="B1522" s="77">
        <f t="shared" si="1"/>
        <v>10</v>
      </c>
      <c r="C1522" s="78">
        <f t="shared" si="2"/>
        <v>2019</v>
      </c>
      <c r="D1522" s="77">
        <v>2.513</v>
      </c>
      <c r="E1522" s="4">
        <f t="shared" si="3"/>
        <v>2.49725</v>
      </c>
      <c r="F1522" s="2">
        <f t="shared" si="4"/>
        <v>43739</v>
      </c>
    </row>
    <row r="1523" ht="12.75" customHeight="1">
      <c r="A1523" s="2">
        <v>43752.0</v>
      </c>
      <c r="B1523" s="77">
        <f t="shared" si="1"/>
        <v>10</v>
      </c>
      <c r="C1523" s="78">
        <f t="shared" si="2"/>
        <v>2019</v>
      </c>
      <c r="D1523" s="77">
        <v>2.495</v>
      </c>
      <c r="E1523" s="4">
        <f t="shared" si="3"/>
        <v>2.49725</v>
      </c>
      <c r="F1523" s="2">
        <f t="shared" si="4"/>
        <v>43739</v>
      </c>
    </row>
    <row r="1524" ht="12.75" customHeight="1">
      <c r="A1524" s="2">
        <v>43759.0</v>
      </c>
      <c r="B1524" s="77">
        <f t="shared" si="1"/>
        <v>10</v>
      </c>
      <c r="C1524" s="78">
        <f t="shared" si="2"/>
        <v>2019</v>
      </c>
      <c r="D1524" s="77">
        <v>2.512</v>
      </c>
      <c r="E1524" s="4">
        <f t="shared" si="3"/>
        <v>2.49725</v>
      </c>
      <c r="F1524" s="2">
        <f t="shared" si="4"/>
        <v>43739</v>
      </c>
    </row>
    <row r="1525" ht="12.75" customHeight="1">
      <c r="A1525" s="2">
        <v>43766.0</v>
      </c>
      <c r="B1525" s="77">
        <f t="shared" si="1"/>
        <v>10</v>
      </c>
      <c r="C1525" s="78">
        <f t="shared" si="2"/>
        <v>2019</v>
      </c>
      <c r="D1525" s="77">
        <v>2.469</v>
      </c>
      <c r="E1525" s="4">
        <f t="shared" si="3"/>
        <v>2.49725</v>
      </c>
      <c r="F1525" s="2">
        <f t="shared" si="4"/>
        <v>43739</v>
      </c>
    </row>
    <row r="1526" ht="12.75" customHeight="1">
      <c r="A1526" s="2">
        <v>43773.0</v>
      </c>
      <c r="B1526" s="77">
        <f t="shared" si="1"/>
        <v>11</v>
      </c>
      <c r="C1526" s="78">
        <f t="shared" si="2"/>
        <v>2019</v>
      </c>
      <c r="D1526" s="77">
        <v>2.485</v>
      </c>
      <c r="E1526" s="4">
        <f t="shared" si="3"/>
        <v>2.48</v>
      </c>
      <c r="F1526" s="2">
        <f t="shared" si="4"/>
        <v>43770</v>
      </c>
    </row>
    <row r="1527" ht="12.75" customHeight="1">
      <c r="A1527" s="2">
        <v>43780.0</v>
      </c>
      <c r="B1527" s="77">
        <f t="shared" si="1"/>
        <v>11</v>
      </c>
      <c r="C1527" s="78">
        <f t="shared" si="2"/>
        <v>2019</v>
      </c>
      <c r="D1527" s="77">
        <v>2.493</v>
      </c>
      <c r="E1527" s="4">
        <f t="shared" si="3"/>
        <v>2.48</v>
      </c>
      <c r="F1527" s="2">
        <f t="shared" si="4"/>
        <v>43770</v>
      </c>
    </row>
    <row r="1528" ht="12.75" customHeight="1">
      <c r="A1528" s="2">
        <v>43787.0</v>
      </c>
      <c r="B1528" s="77">
        <f t="shared" si="1"/>
        <v>11</v>
      </c>
      <c r="C1528" s="78">
        <f t="shared" si="2"/>
        <v>2019</v>
      </c>
      <c r="D1528" s="77">
        <v>2.473</v>
      </c>
      <c r="E1528" s="4">
        <f t="shared" si="3"/>
        <v>2.48</v>
      </c>
      <c r="F1528" s="2">
        <f t="shared" si="4"/>
        <v>43770</v>
      </c>
    </row>
    <row r="1529" ht="12.75" customHeight="1">
      <c r="A1529" s="2">
        <v>43794.0</v>
      </c>
      <c r="B1529" s="77">
        <f t="shared" si="1"/>
        <v>11</v>
      </c>
      <c r="C1529" s="78">
        <f t="shared" si="2"/>
        <v>2019</v>
      </c>
      <c r="D1529" s="77">
        <v>2.469</v>
      </c>
      <c r="E1529" s="4">
        <f t="shared" si="3"/>
        <v>2.48</v>
      </c>
      <c r="F1529" s="2">
        <f t="shared" si="4"/>
        <v>43770</v>
      </c>
    </row>
    <row r="1530" ht="12.75" customHeight="1">
      <c r="A1530" s="2">
        <v>43801.0</v>
      </c>
      <c r="B1530" s="77">
        <f t="shared" si="1"/>
        <v>12</v>
      </c>
      <c r="C1530" s="78">
        <f t="shared" si="2"/>
        <v>2019</v>
      </c>
      <c r="D1530" s="77">
        <v>2.485</v>
      </c>
      <c r="E1530" s="4">
        <f t="shared" si="3"/>
        <v>2.4692</v>
      </c>
      <c r="F1530" s="2">
        <f t="shared" si="4"/>
        <v>43800</v>
      </c>
    </row>
    <row r="1531" ht="12.75" customHeight="1">
      <c r="A1531" s="2">
        <v>43808.0</v>
      </c>
      <c r="B1531" s="77">
        <f t="shared" si="1"/>
        <v>12</v>
      </c>
      <c r="C1531" s="78">
        <f t="shared" si="2"/>
        <v>2019</v>
      </c>
      <c r="D1531" s="77">
        <v>2.478</v>
      </c>
      <c r="E1531" s="4">
        <f t="shared" si="3"/>
        <v>2.4692</v>
      </c>
      <c r="F1531" s="2">
        <f t="shared" si="4"/>
        <v>43800</v>
      </c>
    </row>
    <row r="1532" ht="12.75" customHeight="1">
      <c r="A1532" s="2">
        <v>43815.0</v>
      </c>
      <c r="B1532" s="77">
        <f t="shared" si="1"/>
        <v>12</v>
      </c>
      <c r="C1532" s="78">
        <f t="shared" si="2"/>
        <v>2019</v>
      </c>
      <c r="D1532" s="77">
        <v>2.448</v>
      </c>
      <c r="E1532" s="4">
        <f t="shared" si="3"/>
        <v>2.4692</v>
      </c>
      <c r="F1532" s="2">
        <f t="shared" si="4"/>
        <v>43800</v>
      </c>
    </row>
    <row r="1533" ht="12.75" customHeight="1">
      <c r="A1533" s="2">
        <v>43822.0</v>
      </c>
      <c r="B1533" s="77">
        <f t="shared" si="1"/>
        <v>12</v>
      </c>
      <c r="C1533" s="78">
        <f t="shared" si="2"/>
        <v>2019</v>
      </c>
      <c r="D1533" s="77">
        <v>2.447</v>
      </c>
      <c r="E1533" s="4">
        <f t="shared" si="3"/>
        <v>2.4692</v>
      </c>
      <c r="F1533" s="2">
        <f t="shared" si="4"/>
        <v>43800</v>
      </c>
    </row>
    <row r="1534" ht="12.75" customHeight="1">
      <c r="A1534" s="2">
        <v>43829.0</v>
      </c>
      <c r="B1534" s="77">
        <f t="shared" si="1"/>
        <v>12</v>
      </c>
      <c r="C1534" s="78">
        <f t="shared" si="2"/>
        <v>2019</v>
      </c>
      <c r="D1534" s="77">
        <v>2.488</v>
      </c>
      <c r="E1534" s="4">
        <f t="shared" si="3"/>
        <v>2.4692</v>
      </c>
      <c r="F1534" s="2">
        <f t="shared" si="4"/>
        <v>43800</v>
      </c>
    </row>
    <row r="1535" ht="12.75" customHeight="1">
      <c r="A1535" s="2">
        <v>43836.0</v>
      </c>
      <c r="B1535" s="77">
        <f t="shared" si="1"/>
        <v>1</v>
      </c>
      <c r="C1535" s="78">
        <f t="shared" si="2"/>
        <v>2020</v>
      </c>
      <c r="D1535" s="77">
        <v>2.494</v>
      </c>
      <c r="E1535" s="4">
        <f t="shared" si="3"/>
        <v>2.459</v>
      </c>
      <c r="F1535" s="2">
        <f t="shared" si="4"/>
        <v>43831</v>
      </c>
    </row>
    <row r="1536" ht="12.75" customHeight="1">
      <c r="A1536" s="2">
        <v>43843.0</v>
      </c>
      <c r="B1536" s="77">
        <f t="shared" si="1"/>
        <v>1</v>
      </c>
      <c r="C1536" s="78">
        <f t="shared" si="2"/>
        <v>2020</v>
      </c>
      <c r="D1536" s="77">
        <v>2.482</v>
      </c>
      <c r="E1536" s="4">
        <f t="shared" si="3"/>
        <v>2.459</v>
      </c>
      <c r="F1536" s="2">
        <f t="shared" si="4"/>
        <v>43831</v>
      </c>
    </row>
    <row r="1537" ht="12.75" customHeight="1">
      <c r="A1537" s="2">
        <v>43850.0</v>
      </c>
      <c r="B1537" s="77">
        <f t="shared" si="1"/>
        <v>1</v>
      </c>
      <c r="C1537" s="78">
        <f t="shared" si="2"/>
        <v>2020</v>
      </c>
      <c r="D1537" s="77">
        <v>2.448</v>
      </c>
      <c r="E1537" s="4">
        <f t="shared" si="3"/>
        <v>2.459</v>
      </c>
      <c r="F1537" s="2">
        <f t="shared" si="4"/>
        <v>43831</v>
      </c>
    </row>
    <row r="1538" ht="12.75" customHeight="1">
      <c r="A1538" s="2">
        <v>43857.0</v>
      </c>
      <c r="B1538" s="77">
        <f t="shared" si="1"/>
        <v>1</v>
      </c>
      <c r="C1538" s="78">
        <f t="shared" si="2"/>
        <v>2020</v>
      </c>
      <c r="D1538" s="77">
        <v>2.412</v>
      </c>
      <c r="E1538" s="4">
        <f t="shared" si="3"/>
        <v>2.459</v>
      </c>
      <c r="F1538" s="2">
        <f t="shared" si="4"/>
        <v>43831</v>
      </c>
    </row>
    <row r="1539" ht="12.75" customHeight="1">
      <c r="A1539" s="2">
        <v>43864.0</v>
      </c>
      <c r="B1539" s="77">
        <f t="shared" si="1"/>
        <v>2</v>
      </c>
      <c r="C1539" s="78">
        <f t="shared" si="2"/>
        <v>2020</v>
      </c>
      <c r="D1539" s="77">
        <v>2.358</v>
      </c>
      <c r="E1539" s="4">
        <f t="shared" si="3"/>
        <v>2.348</v>
      </c>
      <c r="F1539" s="2">
        <f t="shared" si="4"/>
        <v>43862</v>
      </c>
    </row>
    <row r="1540" ht="12.75" customHeight="1">
      <c r="A1540" s="2">
        <v>43871.0</v>
      </c>
      <c r="B1540" s="77">
        <f t="shared" si="1"/>
        <v>2</v>
      </c>
      <c r="C1540" s="78">
        <f t="shared" si="2"/>
        <v>2020</v>
      </c>
      <c r="D1540" s="77">
        <v>2.324</v>
      </c>
      <c r="E1540" s="4">
        <f t="shared" si="3"/>
        <v>2.348</v>
      </c>
      <c r="F1540" s="2">
        <f t="shared" si="4"/>
        <v>43862</v>
      </c>
    </row>
    <row r="1541" ht="12.75" customHeight="1">
      <c r="A1541" s="2">
        <v>43878.0</v>
      </c>
      <c r="B1541" s="77">
        <f t="shared" si="1"/>
        <v>2</v>
      </c>
      <c r="C1541" s="78">
        <f t="shared" si="2"/>
        <v>2020</v>
      </c>
      <c r="D1541" s="77">
        <v>2.337</v>
      </c>
      <c r="E1541" s="4">
        <f t="shared" si="3"/>
        <v>2.348</v>
      </c>
      <c r="F1541" s="2">
        <f t="shared" si="4"/>
        <v>43862</v>
      </c>
    </row>
    <row r="1542" ht="12.75" customHeight="1">
      <c r="A1542" s="2">
        <v>43885.0</v>
      </c>
      <c r="B1542" s="77">
        <f t="shared" si="1"/>
        <v>2</v>
      </c>
      <c r="C1542" s="78">
        <f t="shared" si="2"/>
        <v>2020</v>
      </c>
      <c r="D1542" s="77">
        <v>2.373</v>
      </c>
      <c r="E1542" s="4">
        <f t="shared" si="3"/>
        <v>2.348</v>
      </c>
      <c r="F1542" s="2">
        <f t="shared" si="4"/>
        <v>43862</v>
      </c>
    </row>
    <row r="1543" ht="12.75" customHeight="1">
      <c r="A1543" s="2">
        <v>43892.0</v>
      </c>
      <c r="B1543" s="77">
        <f t="shared" si="1"/>
        <v>3</v>
      </c>
      <c r="C1543" s="78">
        <f t="shared" si="2"/>
        <v>2020</v>
      </c>
      <c r="D1543" s="77">
        <v>2.324</v>
      </c>
      <c r="E1543" s="4">
        <f t="shared" si="3"/>
        <v>2.1256</v>
      </c>
      <c r="F1543" s="2">
        <f t="shared" si="4"/>
        <v>43891</v>
      </c>
    </row>
    <row r="1544" ht="12.75" customHeight="1">
      <c r="A1544" s="2">
        <v>43899.0</v>
      </c>
      <c r="B1544" s="77">
        <f t="shared" si="1"/>
        <v>3</v>
      </c>
      <c r="C1544" s="78">
        <f t="shared" si="2"/>
        <v>2020</v>
      </c>
      <c r="D1544" s="77">
        <v>2.272</v>
      </c>
      <c r="E1544" s="4">
        <f t="shared" si="3"/>
        <v>2.1256</v>
      </c>
      <c r="F1544" s="2">
        <f t="shared" si="4"/>
        <v>43891</v>
      </c>
    </row>
    <row r="1545" ht="12.75" customHeight="1">
      <c r="A1545" s="2">
        <v>43906.0</v>
      </c>
      <c r="B1545" s="77">
        <f t="shared" si="1"/>
        <v>3</v>
      </c>
      <c r="C1545" s="78">
        <f t="shared" si="2"/>
        <v>2020</v>
      </c>
      <c r="D1545" s="77">
        <v>2.139</v>
      </c>
      <c r="E1545" s="4">
        <f t="shared" si="3"/>
        <v>2.1256</v>
      </c>
      <c r="F1545" s="2">
        <f t="shared" si="4"/>
        <v>43891</v>
      </c>
    </row>
    <row r="1546" ht="12.75" customHeight="1">
      <c r="A1546" s="2">
        <v>43913.0</v>
      </c>
      <c r="B1546" s="77">
        <f t="shared" si="1"/>
        <v>3</v>
      </c>
      <c r="C1546" s="78">
        <f t="shared" si="2"/>
        <v>2020</v>
      </c>
      <c r="D1546" s="77">
        <v>2.007</v>
      </c>
      <c r="E1546" s="4">
        <f t="shared" si="3"/>
        <v>2.1256</v>
      </c>
      <c r="F1546" s="2">
        <f t="shared" si="4"/>
        <v>43891</v>
      </c>
    </row>
    <row r="1547" ht="12.75" customHeight="1">
      <c r="A1547" s="2">
        <v>43920.0</v>
      </c>
      <c r="B1547" s="77">
        <f t="shared" si="1"/>
        <v>3</v>
      </c>
      <c r="C1547" s="78">
        <f t="shared" si="2"/>
        <v>2020</v>
      </c>
      <c r="D1547" s="77">
        <v>1.886</v>
      </c>
      <c r="E1547" s="4">
        <f t="shared" si="3"/>
        <v>2.1256</v>
      </c>
      <c r="F1547" s="2">
        <f t="shared" si="4"/>
        <v>43891</v>
      </c>
    </row>
    <row r="1548" ht="12.75" customHeight="1">
      <c r="A1548" s="2">
        <v>43927.0</v>
      </c>
      <c r="B1548" s="77">
        <f t="shared" si="1"/>
        <v>4</v>
      </c>
      <c r="C1548" s="78">
        <f t="shared" si="2"/>
        <v>2020</v>
      </c>
      <c r="D1548" s="77">
        <v>1.8</v>
      </c>
      <c r="E1548" s="4">
        <f t="shared" si="3"/>
        <v>1.721</v>
      </c>
      <c r="F1548" s="2">
        <f t="shared" si="4"/>
        <v>43922</v>
      </c>
    </row>
    <row r="1549" ht="12.75" customHeight="1">
      <c r="A1549" s="2">
        <v>43934.0</v>
      </c>
      <c r="B1549" s="77">
        <f t="shared" si="1"/>
        <v>4</v>
      </c>
      <c r="C1549" s="78">
        <f t="shared" si="2"/>
        <v>2020</v>
      </c>
      <c r="D1549" s="77">
        <v>1.735</v>
      </c>
      <c r="E1549" s="4">
        <f t="shared" si="3"/>
        <v>1.721</v>
      </c>
      <c r="F1549" s="2">
        <f t="shared" si="4"/>
        <v>43922</v>
      </c>
    </row>
    <row r="1550" ht="12.75" customHeight="1">
      <c r="A1550" s="2">
        <v>43941.0</v>
      </c>
      <c r="B1550" s="77">
        <f t="shared" si="1"/>
        <v>4</v>
      </c>
      <c r="C1550" s="78">
        <f t="shared" si="2"/>
        <v>2020</v>
      </c>
      <c r="D1550" s="77">
        <v>1.694</v>
      </c>
      <c r="E1550" s="4">
        <f t="shared" si="3"/>
        <v>1.721</v>
      </c>
      <c r="F1550" s="2">
        <f t="shared" si="4"/>
        <v>43922</v>
      </c>
    </row>
    <row r="1551" ht="12.75" customHeight="1">
      <c r="A1551" s="2">
        <v>43948.0</v>
      </c>
      <c r="B1551" s="77">
        <f t="shared" si="1"/>
        <v>4</v>
      </c>
      <c r="C1551" s="78">
        <f t="shared" si="2"/>
        <v>2020</v>
      </c>
      <c r="D1551" s="77">
        <v>1.655</v>
      </c>
      <c r="E1551" s="4">
        <f t="shared" si="3"/>
        <v>1.721</v>
      </c>
      <c r="F1551" s="2">
        <f t="shared" si="4"/>
        <v>43922</v>
      </c>
    </row>
    <row r="1552" ht="12.75" customHeight="1">
      <c r="A1552" s="2">
        <v>43955.0</v>
      </c>
      <c r="B1552" s="77">
        <f t="shared" si="1"/>
        <v>5</v>
      </c>
      <c r="C1552" s="78">
        <f t="shared" si="2"/>
        <v>2020</v>
      </c>
      <c r="D1552" s="77">
        <v>1.68</v>
      </c>
      <c r="E1552" s="4">
        <f t="shared" si="3"/>
        <v>1.769</v>
      </c>
      <c r="F1552" s="2">
        <f t="shared" si="4"/>
        <v>43952</v>
      </c>
    </row>
    <row r="1553" ht="12.75" customHeight="1">
      <c r="A1553" s="2">
        <v>43962.0</v>
      </c>
      <c r="B1553" s="77">
        <f t="shared" si="1"/>
        <v>5</v>
      </c>
      <c r="C1553" s="78">
        <f t="shared" si="2"/>
        <v>2020</v>
      </c>
      <c r="D1553" s="77">
        <v>1.75</v>
      </c>
      <c r="E1553" s="4">
        <f t="shared" si="3"/>
        <v>1.769</v>
      </c>
      <c r="F1553" s="2">
        <f t="shared" si="4"/>
        <v>43952</v>
      </c>
    </row>
    <row r="1554" ht="12.75" customHeight="1">
      <c r="A1554" s="2">
        <v>43969.0</v>
      </c>
      <c r="B1554" s="77">
        <f t="shared" si="1"/>
        <v>5</v>
      </c>
      <c r="C1554" s="78">
        <f t="shared" si="2"/>
        <v>2020</v>
      </c>
      <c r="D1554" s="77">
        <v>1.776</v>
      </c>
      <c r="E1554" s="4">
        <f t="shared" si="3"/>
        <v>1.769</v>
      </c>
      <c r="F1554" s="2">
        <f t="shared" si="4"/>
        <v>43952</v>
      </c>
    </row>
    <row r="1555" ht="12.75" customHeight="1">
      <c r="A1555" s="2">
        <v>43976.0</v>
      </c>
      <c r="B1555" s="77">
        <f t="shared" si="1"/>
        <v>5</v>
      </c>
      <c r="C1555" s="78">
        <f t="shared" si="2"/>
        <v>2020</v>
      </c>
      <c r="D1555" s="77">
        <v>1.87</v>
      </c>
      <c r="E1555" s="4">
        <f t="shared" si="3"/>
        <v>1.769</v>
      </c>
      <c r="F1555" s="2">
        <f t="shared" si="4"/>
        <v>43952</v>
      </c>
    </row>
    <row r="1556" ht="12.75" customHeight="1">
      <c r="A1556" s="2">
        <v>43983.0</v>
      </c>
      <c r="B1556" s="77">
        <f t="shared" si="1"/>
        <v>6</v>
      </c>
      <c r="C1556" s="78">
        <f t="shared" si="2"/>
        <v>2020</v>
      </c>
      <c r="D1556" s="77">
        <v>1.883</v>
      </c>
      <c r="E1556" s="4">
        <f t="shared" si="3"/>
        <v>1.9978</v>
      </c>
      <c r="F1556" s="2">
        <f t="shared" si="4"/>
        <v>43983</v>
      </c>
    </row>
    <row r="1557" ht="12.75" customHeight="1">
      <c r="A1557" s="2">
        <v>43990.0</v>
      </c>
      <c r="B1557" s="77">
        <f t="shared" si="1"/>
        <v>6</v>
      </c>
      <c r="C1557" s="78">
        <f t="shared" si="2"/>
        <v>2020</v>
      </c>
      <c r="D1557" s="77">
        <v>1.947</v>
      </c>
      <c r="E1557" s="4">
        <f t="shared" si="3"/>
        <v>1.9978</v>
      </c>
      <c r="F1557" s="2">
        <f t="shared" si="4"/>
        <v>43983</v>
      </c>
    </row>
    <row r="1558" ht="12.75" customHeight="1">
      <c r="A1558" s="2">
        <v>43997.0</v>
      </c>
      <c r="B1558" s="77">
        <f t="shared" si="1"/>
        <v>6</v>
      </c>
      <c r="C1558" s="78">
        <f t="shared" si="2"/>
        <v>2020</v>
      </c>
      <c r="D1558" s="77">
        <v>2.017</v>
      </c>
      <c r="E1558" s="4">
        <f t="shared" si="3"/>
        <v>1.9978</v>
      </c>
      <c r="F1558" s="2">
        <f t="shared" si="4"/>
        <v>43983</v>
      </c>
    </row>
    <row r="1559" ht="12.75" customHeight="1">
      <c r="A1559" s="2">
        <v>44004.0</v>
      </c>
      <c r="B1559" s="77">
        <f t="shared" si="1"/>
        <v>6</v>
      </c>
      <c r="C1559" s="78">
        <f t="shared" si="2"/>
        <v>2020</v>
      </c>
      <c r="D1559" s="77">
        <v>2.048</v>
      </c>
      <c r="E1559" s="4">
        <f t="shared" si="3"/>
        <v>1.9978</v>
      </c>
      <c r="F1559" s="2">
        <f t="shared" si="4"/>
        <v>43983</v>
      </c>
    </row>
    <row r="1560" ht="12.75" customHeight="1">
      <c r="A1560" s="2">
        <v>44011.0</v>
      </c>
      <c r="B1560" s="77">
        <f t="shared" si="1"/>
        <v>6</v>
      </c>
      <c r="C1560" s="78">
        <f t="shared" si="2"/>
        <v>2020</v>
      </c>
      <c r="D1560" s="77">
        <v>2.094</v>
      </c>
      <c r="E1560" s="4">
        <f t="shared" si="3"/>
        <v>1.9978</v>
      </c>
      <c r="F1560" s="2">
        <f t="shared" si="4"/>
        <v>43983</v>
      </c>
    </row>
    <row r="1561" ht="12.75" customHeight="1">
      <c r="A1561" s="2">
        <v>44018.0</v>
      </c>
      <c r="B1561" s="77">
        <f t="shared" si="1"/>
        <v>7</v>
      </c>
      <c r="C1561" s="78">
        <f t="shared" si="2"/>
        <v>2020</v>
      </c>
      <c r="D1561" s="77">
        <v>2.1</v>
      </c>
      <c r="E1561" s="4">
        <f t="shared" si="3"/>
        <v>2.09925</v>
      </c>
      <c r="F1561" s="2">
        <f t="shared" si="4"/>
        <v>44013</v>
      </c>
    </row>
    <row r="1562" ht="12.75" customHeight="1">
      <c r="A1562" s="2">
        <v>44025.0</v>
      </c>
      <c r="B1562" s="77">
        <f t="shared" si="1"/>
        <v>7</v>
      </c>
      <c r="C1562" s="78">
        <f t="shared" si="2"/>
        <v>2020</v>
      </c>
      <c r="D1562" s="77">
        <v>2.113</v>
      </c>
      <c r="E1562" s="4">
        <f t="shared" si="3"/>
        <v>2.09925</v>
      </c>
      <c r="F1562" s="2">
        <f t="shared" si="4"/>
        <v>44013</v>
      </c>
    </row>
    <row r="1563" ht="12.75" customHeight="1">
      <c r="A1563" s="2">
        <v>44032.0</v>
      </c>
      <c r="B1563" s="77">
        <f t="shared" si="1"/>
        <v>7</v>
      </c>
      <c r="C1563" s="78">
        <f t="shared" si="2"/>
        <v>2020</v>
      </c>
      <c r="D1563" s="77">
        <v>2.099</v>
      </c>
      <c r="E1563" s="4">
        <f t="shared" si="3"/>
        <v>2.09925</v>
      </c>
      <c r="F1563" s="2">
        <f t="shared" si="4"/>
        <v>44013</v>
      </c>
    </row>
    <row r="1564" ht="12.75" customHeight="1">
      <c r="A1564" s="2">
        <v>44039.0</v>
      </c>
      <c r="B1564" s="77">
        <f t="shared" si="1"/>
        <v>7</v>
      </c>
      <c r="C1564" s="78">
        <f t="shared" si="2"/>
        <v>2020</v>
      </c>
      <c r="D1564" s="77">
        <v>2.085</v>
      </c>
      <c r="E1564" s="4">
        <f t="shared" si="3"/>
        <v>2.09925</v>
      </c>
      <c r="F1564" s="2">
        <f t="shared" si="4"/>
        <v>44013</v>
      </c>
    </row>
    <row r="1565" ht="12.75" customHeight="1">
      <c r="A1565" s="2">
        <v>44046.0</v>
      </c>
      <c r="B1565" s="77">
        <f t="shared" si="1"/>
        <v>8</v>
      </c>
      <c r="C1565" s="78">
        <f t="shared" si="2"/>
        <v>2020</v>
      </c>
      <c r="D1565" s="77">
        <v>2.085</v>
      </c>
      <c r="E1565" s="4">
        <f t="shared" si="3"/>
        <v>2.093</v>
      </c>
      <c r="F1565" s="2">
        <f t="shared" si="4"/>
        <v>44044</v>
      </c>
    </row>
    <row r="1566" ht="12.75" customHeight="1">
      <c r="A1566" s="2">
        <v>44053.0</v>
      </c>
      <c r="B1566" s="77">
        <f t="shared" si="1"/>
        <v>8</v>
      </c>
      <c r="C1566" s="78">
        <f t="shared" si="2"/>
        <v>2020</v>
      </c>
      <c r="D1566" s="77">
        <v>2.078</v>
      </c>
      <c r="E1566" s="4">
        <f t="shared" si="3"/>
        <v>2.093</v>
      </c>
      <c r="F1566" s="2">
        <f t="shared" si="4"/>
        <v>44044</v>
      </c>
    </row>
    <row r="1567" ht="12.75" customHeight="1">
      <c r="A1567" s="2">
        <v>44060.0</v>
      </c>
      <c r="B1567" s="77">
        <f t="shared" si="1"/>
        <v>8</v>
      </c>
      <c r="C1567" s="78">
        <f t="shared" si="2"/>
        <v>2020</v>
      </c>
      <c r="D1567" s="77">
        <v>2.077</v>
      </c>
      <c r="E1567" s="4">
        <f t="shared" si="3"/>
        <v>2.093</v>
      </c>
      <c r="F1567" s="2">
        <f t="shared" si="4"/>
        <v>44044</v>
      </c>
    </row>
    <row r="1568" ht="12.75" customHeight="1">
      <c r="A1568" s="2">
        <v>44067.0</v>
      </c>
      <c r="B1568" s="77">
        <f t="shared" si="1"/>
        <v>8</v>
      </c>
      <c r="C1568" s="78">
        <f t="shared" si="2"/>
        <v>2020</v>
      </c>
      <c r="D1568" s="77">
        <v>2.09</v>
      </c>
      <c r="E1568" s="4">
        <f t="shared" si="3"/>
        <v>2.093</v>
      </c>
      <c r="F1568" s="2">
        <f t="shared" si="4"/>
        <v>44044</v>
      </c>
    </row>
    <row r="1569" ht="12.75" customHeight="1">
      <c r="A1569" s="2">
        <v>44074.0</v>
      </c>
      <c r="B1569" s="77">
        <f t="shared" si="1"/>
        <v>8</v>
      </c>
      <c r="C1569" s="78">
        <f t="shared" si="2"/>
        <v>2020</v>
      </c>
      <c r="D1569" s="77">
        <v>2.135</v>
      </c>
      <c r="E1569" s="4">
        <f t="shared" si="3"/>
        <v>2.093</v>
      </c>
      <c r="F1569" s="2">
        <f t="shared" si="4"/>
        <v>44044</v>
      </c>
    </row>
    <row r="1570" ht="12.75" customHeight="1">
      <c r="A1570" s="2">
        <v>44081.0</v>
      </c>
      <c r="B1570" s="77">
        <f t="shared" si="1"/>
        <v>9</v>
      </c>
      <c r="C1570" s="78">
        <f t="shared" si="2"/>
        <v>2020</v>
      </c>
      <c r="D1570" s="77">
        <v>2.122</v>
      </c>
      <c r="E1570" s="4">
        <f t="shared" si="3"/>
        <v>2.09475</v>
      </c>
      <c r="F1570" s="2">
        <f t="shared" si="4"/>
        <v>44075</v>
      </c>
    </row>
    <row r="1571" ht="12.75" customHeight="1">
      <c r="A1571" s="2">
        <v>44088.0</v>
      </c>
      <c r="B1571" s="77">
        <f t="shared" si="1"/>
        <v>9</v>
      </c>
      <c r="C1571" s="78">
        <f t="shared" si="2"/>
        <v>2020</v>
      </c>
      <c r="D1571" s="77">
        <v>2.091</v>
      </c>
      <c r="E1571" s="4">
        <f t="shared" si="3"/>
        <v>2.09475</v>
      </c>
      <c r="F1571" s="2">
        <f t="shared" si="4"/>
        <v>44075</v>
      </c>
    </row>
    <row r="1572" ht="12.75" customHeight="1">
      <c r="A1572" s="2">
        <v>44095.0</v>
      </c>
      <c r="B1572" s="77">
        <f t="shared" si="1"/>
        <v>9</v>
      </c>
      <c r="C1572" s="78">
        <f t="shared" si="2"/>
        <v>2020</v>
      </c>
      <c r="D1572" s="77">
        <v>2.078</v>
      </c>
      <c r="E1572" s="4">
        <f t="shared" si="3"/>
        <v>2.09475</v>
      </c>
      <c r="F1572" s="2">
        <f t="shared" si="4"/>
        <v>44075</v>
      </c>
    </row>
    <row r="1573" ht="12.75" customHeight="1">
      <c r="A1573" s="2">
        <v>44102.0</v>
      </c>
      <c r="B1573" s="77">
        <f t="shared" si="1"/>
        <v>9</v>
      </c>
      <c r="C1573" s="78">
        <f t="shared" si="2"/>
        <v>2020</v>
      </c>
      <c r="D1573" s="77">
        <v>2.088</v>
      </c>
      <c r="E1573" s="4">
        <f t="shared" si="3"/>
        <v>2.09475</v>
      </c>
      <c r="F1573" s="2">
        <f t="shared" si="4"/>
        <v>44075</v>
      </c>
    </row>
    <row r="1574" ht="12.75" customHeight="1">
      <c r="A1574" s="2">
        <v>44109.0</v>
      </c>
      <c r="B1574" s="77">
        <f t="shared" si="1"/>
        <v>10</v>
      </c>
      <c r="C1574" s="78">
        <f t="shared" si="2"/>
        <v>2020</v>
      </c>
      <c r="D1574" s="77">
        <v>2.091</v>
      </c>
      <c r="E1574" s="4">
        <f t="shared" si="3"/>
        <v>2.073</v>
      </c>
      <c r="F1574" s="2">
        <f t="shared" si="4"/>
        <v>44105</v>
      </c>
    </row>
    <row r="1575" ht="12.75" customHeight="1">
      <c r="A1575" s="2">
        <v>44116.0</v>
      </c>
      <c r="B1575" s="77">
        <f t="shared" si="1"/>
        <v>10</v>
      </c>
      <c r="C1575" s="78">
        <f t="shared" si="2"/>
        <v>2020</v>
      </c>
      <c r="D1575" s="77">
        <v>2.084</v>
      </c>
      <c r="E1575" s="4">
        <f t="shared" si="3"/>
        <v>2.073</v>
      </c>
      <c r="F1575" s="2">
        <f t="shared" si="4"/>
        <v>44105</v>
      </c>
    </row>
    <row r="1576" ht="12.75" customHeight="1">
      <c r="A1576" s="2">
        <v>44123.0</v>
      </c>
      <c r="B1576" s="77">
        <f t="shared" si="1"/>
        <v>10</v>
      </c>
      <c r="C1576" s="78">
        <f t="shared" si="2"/>
        <v>2020</v>
      </c>
      <c r="D1576" s="77">
        <v>2.064</v>
      </c>
      <c r="E1576" s="4">
        <f t="shared" si="3"/>
        <v>2.073</v>
      </c>
      <c r="F1576" s="2">
        <f t="shared" si="4"/>
        <v>44105</v>
      </c>
    </row>
    <row r="1577" ht="12.75" customHeight="1">
      <c r="A1577" s="2">
        <v>44130.0</v>
      </c>
      <c r="B1577" s="77">
        <f t="shared" si="1"/>
        <v>10</v>
      </c>
      <c r="C1577" s="78">
        <f t="shared" si="2"/>
        <v>2020</v>
      </c>
      <c r="D1577" s="77">
        <v>2.053</v>
      </c>
      <c r="E1577" s="4">
        <f t="shared" si="3"/>
        <v>2.073</v>
      </c>
      <c r="F1577" s="2">
        <f t="shared" si="4"/>
        <v>44105</v>
      </c>
    </row>
    <row r="1578" ht="12.75" customHeight="1">
      <c r="A1578" s="2">
        <v>44137.0</v>
      </c>
      <c r="B1578" s="77">
        <f t="shared" si="1"/>
        <v>11</v>
      </c>
      <c r="C1578" s="78">
        <f t="shared" si="2"/>
        <v>2020</v>
      </c>
      <c r="D1578" s="77">
        <v>2.021</v>
      </c>
      <c r="E1578" s="4">
        <f t="shared" si="3"/>
        <v>2.0148</v>
      </c>
      <c r="F1578" s="2">
        <f t="shared" si="4"/>
        <v>44136</v>
      </c>
    </row>
    <row r="1579" ht="12.75" customHeight="1">
      <c r="A1579" s="2">
        <v>44144.0</v>
      </c>
      <c r="B1579" s="77">
        <f t="shared" si="1"/>
        <v>11</v>
      </c>
      <c r="C1579" s="78">
        <f t="shared" si="2"/>
        <v>2020</v>
      </c>
      <c r="D1579" s="77">
        <v>2.004</v>
      </c>
      <c r="E1579" s="4">
        <f t="shared" si="3"/>
        <v>2.0148</v>
      </c>
      <c r="F1579" s="2">
        <f t="shared" si="4"/>
        <v>44136</v>
      </c>
    </row>
    <row r="1580" ht="12.75" customHeight="1">
      <c r="A1580" s="2">
        <v>44151.0</v>
      </c>
      <c r="B1580" s="77">
        <f t="shared" si="1"/>
        <v>11</v>
      </c>
      <c r="C1580" s="78">
        <f t="shared" si="2"/>
        <v>2020</v>
      </c>
      <c r="D1580" s="77">
        <v>2.018</v>
      </c>
      <c r="E1580" s="4">
        <f t="shared" si="3"/>
        <v>2.0148</v>
      </c>
      <c r="F1580" s="2">
        <f t="shared" si="4"/>
        <v>44136</v>
      </c>
    </row>
    <row r="1581" ht="12.75" customHeight="1">
      <c r="A1581" s="2">
        <v>44158.0</v>
      </c>
      <c r="B1581" s="77">
        <f t="shared" si="1"/>
        <v>11</v>
      </c>
      <c r="C1581" s="78">
        <f t="shared" si="2"/>
        <v>2020</v>
      </c>
      <c r="D1581" s="77">
        <v>2.009</v>
      </c>
      <c r="E1581" s="4">
        <f t="shared" si="3"/>
        <v>2.0148</v>
      </c>
      <c r="F1581" s="2">
        <f t="shared" si="4"/>
        <v>44136</v>
      </c>
    </row>
    <row r="1582" ht="12.75" customHeight="1">
      <c r="A1582" s="2">
        <v>44165.0</v>
      </c>
      <c r="B1582" s="77">
        <f t="shared" si="1"/>
        <v>11</v>
      </c>
      <c r="C1582" s="78">
        <f t="shared" si="2"/>
        <v>2020</v>
      </c>
      <c r="D1582" s="77">
        <v>2.022</v>
      </c>
      <c r="E1582" s="4">
        <f t="shared" si="3"/>
        <v>2.0148</v>
      </c>
      <c r="F1582" s="2">
        <f t="shared" si="4"/>
        <v>44136</v>
      </c>
    </row>
    <row r="1583" ht="12.75" customHeight="1">
      <c r="A1583" s="2">
        <v>44172.0</v>
      </c>
      <c r="B1583" s="77">
        <f t="shared" si="1"/>
        <v>12</v>
      </c>
      <c r="C1583" s="78">
        <f t="shared" si="2"/>
        <v>2020</v>
      </c>
      <c r="D1583" s="77">
        <v>2.063</v>
      </c>
      <c r="E1583" s="4">
        <f t="shared" si="3"/>
        <v>2.10525</v>
      </c>
      <c r="F1583" s="2">
        <f t="shared" si="4"/>
        <v>44166</v>
      </c>
    </row>
    <row r="1584" ht="12.75" customHeight="1">
      <c r="A1584" s="2">
        <v>44179.0</v>
      </c>
      <c r="B1584" s="77">
        <f t="shared" si="1"/>
        <v>12</v>
      </c>
      <c r="C1584" s="78">
        <f t="shared" si="2"/>
        <v>2020</v>
      </c>
      <c r="D1584" s="77">
        <v>2.063</v>
      </c>
      <c r="E1584" s="4">
        <f t="shared" si="3"/>
        <v>2.10525</v>
      </c>
      <c r="F1584" s="2">
        <f t="shared" si="4"/>
        <v>44166</v>
      </c>
    </row>
    <row r="1585" ht="12.75" customHeight="1">
      <c r="A1585" s="2">
        <v>44186.0</v>
      </c>
      <c r="B1585" s="77">
        <f t="shared" si="1"/>
        <v>12</v>
      </c>
      <c r="C1585" s="78">
        <f t="shared" si="2"/>
        <v>2020</v>
      </c>
      <c r="D1585" s="77">
        <v>2.137</v>
      </c>
      <c r="E1585" s="4">
        <f t="shared" si="3"/>
        <v>2.10525</v>
      </c>
      <c r="F1585" s="2">
        <f t="shared" si="4"/>
        <v>44166</v>
      </c>
    </row>
    <row r="1586" ht="12.75" customHeight="1">
      <c r="A1586" s="2">
        <v>44193.0</v>
      </c>
      <c r="B1586" s="77">
        <f t="shared" si="1"/>
        <v>12</v>
      </c>
      <c r="C1586" s="78">
        <f t="shared" si="2"/>
        <v>2020</v>
      </c>
      <c r="D1586" s="77">
        <v>2.158</v>
      </c>
      <c r="E1586" s="4">
        <f t="shared" si="3"/>
        <v>2.10525</v>
      </c>
      <c r="F1586" s="2">
        <f t="shared" si="4"/>
        <v>44166</v>
      </c>
    </row>
    <row r="1587" ht="12.75" customHeight="1">
      <c r="A1587" s="2">
        <v>44200.0</v>
      </c>
      <c r="B1587" s="77">
        <f t="shared" si="1"/>
        <v>1</v>
      </c>
      <c r="C1587" s="78">
        <f t="shared" si="2"/>
        <v>2021</v>
      </c>
      <c r="D1587" s="77">
        <v>2.16</v>
      </c>
      <c r="E1587" s="4">
        <f t="shared" si="3"/>
        <v>2.24375</v>
      </c>
      <c r="F1587" s="2">
        <f t="shared" si="4"/>
        <v>44197</v>
      </c>
    </row>
    <row r="1588" ht="12.75" customHeight="1">
      <c r="A1588" s="2">
        <v>44207.0</v>
      </c>
      <c r="B1588" s="77">
        <f t="shared" si="1"/>
        <v>1</v>
      </c>
      <c r="C1588" s="78">
        <f t="shared" si="2"/>
        <v>2021</v>
      </c>
      <c r="D1588" s="77">
        <v>2.232</v>
      </c>
      <c r="E1588" s="4">
        <f t="shared" si="3"/>
        <v>2.24375</v>
      </c>
      <c r="F1588" s="2">
        <f t="shared" si="4"/>
        <v>44197</v>
      </c>
    </row>
    <row r="1589" ht="12.75" customHeight="1">
      <c r="A1589" s="2">
        <v>44214.0</v>
      </c>
      <c r="B1589" s="77">
        <f t="shared" si="1"/>
        <v>1</v>
      </c>
      <c r="C1589" s="78">
        <f t="shared" si="2"/>
        <v>2021</v>
      </c>
      <c r="D1589" s="77">
        <v>2.285</v>
      </c>
      <c r="E1589" s="4">
        <f t="shared" si="3"/>
        <v>2.24375</v>
      </c>
      <c r="F1589" s="2">
        <f t="shared" si="4"/>
        <v>44197</v>
      </c>
    </row>
    <row r="1590" ht="12.75" customHeight="1">
      <c r="A1590" s="2">
        <v>44221.0</v>
      </c>
      <c r="B1590" s="77">
        <f t="shared" si="1"/>
        <v>1</v>
      </c>
      <c r="C1590" s="78">
        <f t="shared" si="2"/>
        <v>2021</v>
      </c>
      <c r="D1590" s="77">
        <v>2.298</v>
      </c>
      <c r="E1590" s="4">
        <f t="shared" si="3"/>
        <v>2.24375</v>
      </c>
      <c r="F1590" s="2">
        <f t="shared" si="4"/>
        <v>44197</v>
      </c>
    </row>
    <row r="1591" ht="12.75" customHeight="1">
      <c r="A1591" s="2">
        <v>44228.0</v>
      </c>
      <c r="B1591" s="77">
        <f t="shared" si="1"/>
        <v>2</v>
      </c>
      <c r="C1591" s="78">
        <f t="shared" si="2"/>
        <v>2021</v>
      </c>
      <c r="D1591" s="77">
        <v>2.316</v>
      </c>
      <c r="E1591" s="4">
        <f t="shared" si="3"/>
        <v>2.4115</v>
      </c>
      <c r="F1591" s="2">
        <f t="shared" si="4"/>
        <v>44228</v>
      </c>
    </row>
    <row r="1592" ht="12.75" customHeight="1">
      <c r="A1592" s="2">
        <v>44235.0</v>
      </c>
      <c r="B1592" s="77">
        <f t="shared" si="1"/>
        <v>2</v>
      </c>
      <c r="C1592" s="78">
        <f t="shared" si="2"/>
        <v>2021</v>
      </c>
      <c r="D1592" s="77">
        <v>2.372</v>
      </c>
      <c r="E1592" s="4">
        <f t="shared" si="3"/>
        <v>2.4115</v>
      </c>
      <c r="F1592" s="2">
        <f t="shared" si="4"/>
        <v>44228</v>
      </c>
    </row>
    <row r="1593" ht="12.75" customHeight="1">
      <c r="A1593" s="2">
        <v>44242.0</v>
      </c>
      <c r="B1593" s="77">
        <f t="shared" si="1"/>
        <v>2</v>
      </c>
      <c r="C1593" s="78">
        <f t="shared" si="2"/>
        <v>2021</v>
      </c>
      <c r="D1593" s="77">
        <v>2.409</v>
      </c>
      <c r="E1593" s="4">
        <f t="shared" si="3"/>
        <v>2.4115</v>
      </c>
      <c r="F1593" s="2">
        <f t="shared" si="4"/>
        <v>44228</v>
      </c>
    </row>
    <row r="1594" ht="12.75" customHeight="1">
      <c r="A1594" s="2">
        <v>44249.0</v>
      </c>
      <c r="B1594" s="77">
        <f t="shared" si="1"/>
        <v>2</v>
      </c>
      <c r="C1594" s="78">
        <f t="shared" si="2"/>
        <v>2021</v>
      </c>
      <c r="D1594" s="77">
        <v>2.549</v>
      </c>
      <c r="E1594" s="4">
        <f t="shared" si="3"/>
        <v>2.4115</v>
      </c>
      <c r="F1594" s="2">
        <f t="shared" si="4"/>
        <v>44228</v>
      </c>
    </row>
    <row r="1595" ht="12.75" customHeight="1">
      <c r="A1595" s="2">
        <v>44256.0</v>
      </c>
      <c r="B1595" s="77">
        <f t="shared" si="1"/>
        <v>3</v>
      </c>
      <c r="C1595" s="78">
        <f t="shared" si="2"/>
        <v>2021</v>
      </c>
      <c r="D1595" s="77">
        <v>2.625</v>
      </c>
      <c r="E1595" s="4">
        <f t="shared" si="3"/>
        <v>2.7252</v>
      </c>
      <c r="F1595" s="2">
        <f t="shared" si="4"/>
        <v>44256</v>
      </c>
    </row>
    <row r="1596" ht="12.75" customHeight="1">
      <c r="A1596" s="2">
        <v>44263.0</v>
      </c>
      <c r="B1596" s="77">
        <f t="shared" si="1"/>
        <v>3</v>
      </c>
      <c r="C1596" s="78">
        <f t="shared" si="2"/>
        <v>2021</v>
      </c>
      <c r="D1596" s="77">
        <v>2.684</v>
      </c>
      <c r="E1596" s="4">
        <f t="shared" si="3"/>
        <v>2.7252</v>
      </c>
      <c r="F1596" s="2">
        <f t="shared" si="4"/>
        <v>44256</v>
      </c>
    </row>
    <row r="1597" ht="12.75" customHeight="1">
      <c r="A1597" s="2">
        <v>44270.0</v>
      </c>
      <c r="B1597" s="77">
        <f t="shared" si="1"/>
        <v>3</v>
      </c>
      <c r="C1597" s="78">
        <f t="shared" si="2"/>
        <v>2021</v>
      </c>
      <c r="D1597" s="77">
        <v>2.766</v>
      </c>
      <c r="E1597" s="4">
        <f t="shared" si="3"/>
        <v>2.7252</v>
      </c>
      <c r="F1597" s="2">
        <f t="shared" si="4"/>
        <v>44256</v>
      </c>
    </row>
    <row r="1598" ht="12.75" customHeight="1">
      <c r="A1598" s="2">
        <v>44277.0</v>
      </c>
      <c r="B1598" s="77">
        <f t="shared" si="1"/>
        <v>3</v>
      </c>
      <c r="C1598" s="78">
        <f t="shared" si="2"/>
        <v>2021</v>
      </c>
      <c r="D1598" s="77">
        <v>2.78</v>
      </c>
      <c r="E1598" s="4">
        <f t="shared" si="3"/>
        <v>2.7252</v>
      </c>
      <c r="F1598" s="2">
        <f t="shared" si="4"/>
        <v>44256</v>
      </c>
    </row>
    <row r="1599" ht="12.75" customHeight="1">
      <c r="A1599" s="2">
        <v>44284.0</v>
      </c>
      <c r="B1599" s="77">
        <f t="shared" si="1"/>
        <v>3</v>
      </c>
      <c r="C1599" s="78">
        <f t="shared" si="2"/>
        <v>2021</v>
      </c>
      <c r="D1599" s="77">
        <v>2.771</v>
      </c>
      <c r="E1599" s="4">
        <f t="shared" si="3"/>
        <v>2.7252</v>
      </c>
      <c r="F1599" s="2">
        <f t="shared" si="4"/>
        <v>44256</v>
      </c>
    </row>
    <row r="1600" ht="12.75" customHeight="1">
      <c r="A1600" s="2">
        <v>44291.0</v>
      </c>
      <c r="B1600" s="77">
        <f t="shared" si="1"/>
        <v>4</v>
      </c>
      <c r="C1600" s="78">
        <f t="shared" si="2"/>
        <v>2021</v>
      </c>
      <c r="D1600" s="77">
        <v>2.777</v>
      </c>
      <c r="E1600" s="4">
        <f t="shared" si="3"/>
        <v>2.77075</v>
      </c>
      <c r="F1600" s="2">
        <f t="shared" si="4"/>
        <v>44287</v>
      </c>
    </row>
    <row r="1601" ht="12.75" customHeight="1">
      <c r="A1601" s="2">
        <v>44298.0</v>
      </c>
      <c r="B1601" s="77">
        <f t="shared" si="1"/>
        <v>4</v>
      </c>
      <c r="C1601" s="78">
        <f t="shared" si="2"/>
        <v>2021</v>
      </c>
      <c r="D1601" s="77">
        <v>2.763</v>
      </c>
      <c r="E1601" s="4">
        <f t="shared" si="3"/>
        <v>2.77075</v>
      </c>
      <c r="F1601" s="2">
        <f t="shared" si="4"/>
        <v>44287</v>
      </c>
    </row>
    <row r="1602" ht="12.75" customHeight="1">
      <c r="A1602" s="2">
        <v>44305.0</v>
      </c>
      <c r="B1602" s="77">
        <f t="shared" si="1"/>
        <v>4</v>
      </c>
      <c r="C1602" s="78">
        <f t="shared" si="2"/>
        <v>2021</v>
      </c>
      <c r="D1602" s="77">
        <v>2.767</v>
      </c>
      <c r="E1602" s="4">
        <f t="shared" si="3"/>
        <v>2.77075</v>
      </c>
      <c r="F1602" s="2">
        <f t="shared" si="4"/>
        <v>44287</v>
      </c>
    </row>
    <row r="1603" ht="12.75" customHeight="1">
      <c r="A1603" s="2">
        <v>44312.0</v>
      </c>
      <c r="B1603" s="77">
        <f t="shared" si="1"/>
        <v>4</v>
      </c>
      <c r="C1603" s="78">
        <f t="shared" si="2"/>
        <v>2021</v>
      </c>
      <c r="D1603" s="77">
        <v>2.776</v>
      </c>
      <c r="E1603" s="4">
        <f t="shared" si="3"/>
        <v>2.77075</v>
      </c>
      <c r="F1603" s="2">
        <f t="shared" si="4"/>
        <v>44287</v>
      </c>
    </row>
    <row r="1604" ht="12.75" customHeight="1">
      <c r="A1604" s="2">
        <v>44319.0</v>
      </c>
      <c r="B1604" s="77">
        <f t="shared" si="1"/>
        <v>5</v>
      </c>
      <c r="C1604" s="78">
        <f t="shared" si="2"/>
        <v>2021</v>
      </c>
      <c r="D1604" s="77">
        <v>2.79</v>
      </c>
      <c r="E1604" s="4">
        <f t="shared" si="3"/>
        <v>2.885</v>
      </c>
      <c r="F1604" s="2">
        <f t="shared" si="4"/>
        <v>44317</v>
      </c>
    </row>
    <row r="1605" ht="12.75" customHeight="1">
      <c r="A1605" s="2">
        <v>44326.0</v>
      </c>
      <c r="B1605" s="77">
        <f t="shared" si="1"/>
        <v>5</v>
      </c>
      <c r="C1605" s="78">
        <f t="shared" si="2"/>
        <v>2021</v>
      </c>
      <c r="D1605" s="77">
        <v>2.86</v>
      </c>
      <c r="E1605" s="4">
        <f t="shared" si="3"/>
        <v>2.885</v>
      </c>
      <c r="F1605" s="2">
        <f t="shared" si="4"/>
        <v>44317</v>
      </c>
    </row>
    <row r="1606" ht="12.75" customHeight="1">
      <c r="A1606" s="2">
        <v>44333.0</v>
      </c>
      <c r="B1606" s="77">
        <f t="shared" si="1"/>
        <v>5</v>
      </c>
      <c r="C1606" s="78">
        <f t="shared" si="2"/>
        <v>2021</v>
      </c>
      <c r="D1606" s="77">
        <v>2.928</v>
      </c>
      <c r="E1606" s="4">
        <f t="shared" si="3"/>
        <v>2.885</v>
      </c>
      <c r="F1606" s="2">
        <f t="shared" si="4"/>
        <v>44317</v>
      </c>
    </row>
    <row r="1607" ht="12.75" customHeight="1">
      <c r="A1607" s="2">
        <v>44340.0</v>
      </c>
      <c r="B1607" s="77">
        <f t="shared" si="1"/>
        <v>5</v>
      </c>
      <c r="C1607" s="78">
        <f t="shared" si="2"/>
        <v>2021</v>
      </c>
      <c r="D1607" s="77">
        <v>2.92</v>
      </c>
      <c r="E1607" s="4">
        <f t="shared" si="3"/>
        <v>2.885</v>
      </c>
      <c r="F1607" s="2">
        <f t="shared" si="4"/>
        <v>44317</v>
      </c>
    </row>
    <row r="1608" ht="12.75" customHeight="1">
      <c r="A1608" s="2">
        <v>44347.0</v>
      </c>
      <c r="B1608" s="77">
        <f t="shared" si="1"/>
        <v>5</v>
      </c>
      <c r="C1608" s="78">
        <f t="shared" si="2"/>
        <v>2021</v>
      </c>
      <c r="D1608" s="77">
        <v>2.927</v>
      </c>
      <c r="E1608" s="4">
        <f t="shared" si="3"/>
        <v>2.885</v>
      </c>
      <c r="F1608" s="2">
        <f t="shared" si="4"/>
        <v>44317</v>
      </c>
    </row>
    <row r="1609" ht="12.75" customHeight="1">
      <c r="A1609" s="2">
        <v>44354.0</v>
      </c>
      <c r="B1609" s="77">
        <f t="shared" si="1"/>
        <v>6</v>
      </c>
      <c r="C1609" s="78">
        <f t="shared" si="2"/>
        <v>2021</v>
      </c>
      <c r="D1609" s="77">
        <v>2.935</v>
      </c>
      <c r="E1609" s="4">
        <f t="shared" si="3"/>
        <v>2.964</v>
      </c>
      <c r="F1609" s="2">
        <f t="shared" si="4"/>
        <v>44348</v>
      </c>
    </row>
    <row r="1610" ht="12.75" customHeight="1">
      <c r="A1610" s="2">
        <v>44361.0</v>
      </c>
      <c r="B1610" s="77">
        <f t="shared" si="1"/>
        <v>6</v>
      </c>
      <c r="C1610" s="78">
        <f t="shared" si="2"/>
        <v>2021</v>
      </c>
      <c r="D1610" s="77">
        <v>2.97</v>
      </c>
      <c r="E1610" s="4">
        <f t="shared" si="3"/>
        <v>2.964</v>
      </c>
      <c r="F1610" s="2">
        <f t="shared" si="4"/>
        <v>44348</v>
      </c>
    </row>
    <row r="1611" ht="12.75" customHeight="1">
      <c r="A1611" s="2">
        <v>44368.0</v>
      </c>
      <c r="B1611" s="77">
        <f t="shared" si="1"/>
        <v>6</v>
      </c>
      <c r="C1611" s="78">
        <f t="shared" si="2"/>
        <v>2021</v>
      </c>
      <c r="D1611" s="77">
        <v>2.961</v>
      </c>
      <c r="E1611" s="4">
        <f t="shared" si="3"/>
        <v>2.964</v>
      </c>
      <c r="F1611" s="2">
        <f t="shared" si="4"/>
        <v>44348</v>
      </c>
    </row>
    <row r="1612" ht="12.75" customHeight="1">
      <c r="A1612" s="2">
        <v>44375.0</v>
      </c>
      <c r="B1612" s="77">
        <f t="shared" si="1"/>
        <v>6</v>
      </c>
      <c r="C1612" s="78">
        <f t="shared" si="2"/>
        <v>2021</v>
      </c>
      <c r="D1612" s="77">
        <v>2.99</v>
      </c>
      <c r="E1612" s="4">
        <f t="shared" si="3"/>
        <v>2.964</v>
      </c>
      <c r="F1612" s="2">
        <f t="shared" si="4"/>
        <v>44348</v>
      </c>
    </row>
    <row r="1613" ht="12.75" customHeight="1">
      <c r="A1613" s="2">
        <v>44382.0</v>
      </c>
      <c r="B1613" s="77">
        <f t="shared" si="1"/>
        <v>7</v>
      </c>
      <c r="C1613" s="78">
        <f t="shared" si="2"/>
        <v>2021</v>
      </c>
      <c r="D1613" s="77">
        <v>3.032</v>
      </c>
      <c r="E1613" s="4">
        <f t="shared" si="3"/>
        <v>3.044</v>
      </c>
      <c r="F1613" s="2">
        <f t="shared" si="4"/>
        <v>44378</v>
      </c>
    </row>
    <row r="1614" ht="12.75" customHeight="1">
      <c r="A1614" s="2">
        <v>44389.0</v>
      </c>
      <c r="B1614" s="77">
        <f t="shared" si="1"/>
        <v>7</v>
      </c>
      <c r="C1614" s="78">
        <f t="shared" si="2"/>
        <v>2021</v>
      </c>
      <c r="D1614" s="77">
        <v>3.039</v>
      </c>
      <c r="E1614" s="4">
        <f t="shared" si="3"/>
        <v>3.044</v>
      </c>
      <c r="F1614" s="2">
        <f t="shared" si="4"/>
        <v>44378</v>
      </c>
    </row>
    <row r="1615" ht="12.75" customHeight="1">
      <c r="A1615" s="2">
        <v>44396.0</v>
      </c>
      <c r="B1615" s="77">
        <f t="shared" si="1"/>
        <v>7</v>
      </c>
      <c r="C1615" s="78">
        <f t="shared" si="2"/>
        <v>2021</v>
      </c>
      <c r="D1615" s="77">
        <v>3.061</v>
      </c>
      <c r="E1615" s="4">
        <f t="shared" si="3"/>
        <v>3.044</v>
      </c>
      <c r="F1615" s="2">
        <f t="shared" si="4"/>
        <v>44378</v>
      </c>
    </row>
    <row r="1616" ht="12.75" customHeight="1">
      <c r="A1616" s="2">
        <v>44403.0</v>
      </c>
      <c r="B1616" s="77">
        <f t="shared" si="1"/>
        <v>7</v>
      </c>
      <c r="C1616" s="78">
        <f t="shared" si="2"/>
        <v>2021</v>
      </c>
      <c r="D1616" s="77">
        <v>3.044</v>
      </c>
      <c r="E1616" s="4">
        <f t="shared" si="3"/>
        <v>3.044</v>
      </c>
      <c r="F1616" s="2">
        <f t="shared" si="4"/>
        <v>44378</v>
      </c>
    </row>
    <row r="1617" ht="12.75" customHeight="1">
      <c r="A1617" s="2">
        <v>44410.0</v>
      </c>
      <c r="B1617" s="77">
        <f t="shared" si="1"/>
        <v>8</v>
      </c>
      <c r="C1617" s="78">
        <f t="shared" si="2"/>
        <v>2021</v>
      </c>
      <c r="D1617" s="77">
        <v>3.059</v>
      </c>
      <c r="E1617" s="4">
        <f t="shared" si="3"/>
        <v>3.0616</v>
      </c>
      <c r="F1617" s="2">
        <f t="shared" si="4"/>
        <v>44409</v>
      </c>
    </row>
    <row r="1618" ht="12.75" customHeight="1">
      <c r="A1618" s="2">
        <v>44417.0</v>
      </c>
      <c r="B1618" s="77">
        <f t="shared" si="1"/>
        <v>8</v>
      </c>
      <c r="C1618" s="78">
        <f t="shared" si="2"/>
        <v>2021</v>
      </c>
      <c r="D1618" s="77">
        <v>3.081</v>
      </c>
      <c r="E1618" s="4">
        <f t="shared" si="3"/>
        <v>3.0616</v>
      </c>
      <c r="F1618" s="2">
        <f t="shared" si="4"/>
        <v>44409</v>
      </c>
    </row>
    <row r="1619" ht="12.75" customHeight="1">
      <c r="A1619" s="2">
        <v>44424.0</v>
      </c>
      <c r="B1619" s="77">
        <f t="shared" si="1"/>
        <v>8</v>
      </c>
      <c r="C1619" s="78">
        <f t="shared" si="2"/>
        <v>2021</v>
      </c>
      <c r="D1619" s="77">
        <v>3.079</v>
      </c>
      <c r="E1619" s="4">
        <f t="shared" si="3"/>
        <v>3.0616</v>
      </c>
      <c r="F1619" s="2">
        <f t="shared" si="4"/>
        <v>44409</v>
      </c>
    </row>
    <row r="1620" ht="12.75" customHeight="1">
      <c r="A1620" s="2">
        <v>44431.0</v>
      </c>
      <c r="B1620" s="77">
        <f t="shared" si="1"/>
        <v>8</v>
      </c>
      <c r="C1620" s="78">
        <f t="shared" si="2"/>
        <v>2021</v>
      </c>
      <c r="D1620" s="77">
        <v>3.048</v>
      </c>
      <c r="E1620" s="4">
        <f t="shared" si="3"/>
        <v>3.0616</v>
      </c>
      <c r="F1620" s="2">
        <f t="shared" si="4"/>
        <v>44409</v>
      </c>
    </row>
    <row r="1621" ht="12.75" customHeight="1">
      <c r="A1621" s="2">
        <v>44438.0</v>
      </c>
      <c r="B1621" s="77">
        <f t="shared" si="1"/>
        <v>8</v>
      </c>
      <c r="C1621" s="78">
        <f t="shared" si="2"/>
        <v>2021</v>
      </c>
      <c r="D1621" s="77">
        <v>3.041</v>
      </c>
      <c r="E1621" s="4">
        <f t="shared" si="3"/>
        <v>3.0616</v>
      </c>
      <c r="F1621" s="2">
        <f t="shared" si="4"/>
        <v>44409</v>
      </c>
    </row>
    <row r="1622" ht="12.75" customHeight="1">
      <c r="A1622" s="2">
        <v>44445.0</v>
      </c>
      <c r="B1622" s="77">
        <f t="shared" si="1"/>
        <v>9</v>
      </c>
      <c r="C1622" s="78">
        <f t="shared" si="2"/>
        <v>2021</v>
      </c>
      <c r="D1622" s="77">
        <v>3.08</v>
      </c>
      <c r="E1622" s="4">
        <f t="shared" si="3"/>
        <v>3.0805</v>
      </c>
      <c r="F1622" s="2">
        <f t="shared" si="4"/>
        <v>44440</v>
      </c>
    </row>
    <row r="1623" ht="12.75" customHeight="1">
      <c r="A1623" s="2">
        <v>44452.0</v>
      </c>
      <c r="B1623" s="77">
        <f t="shared" si="1"/>
        <v>9</v>
      </c>
      <c r="C1623" s="78">
        <f t="shared" si="2"/>
        <v>2021</v>
      </c>
      <c r="D1623" s="77">
        <v>3.068</v>
      </c>
      <c r="E1623" s="4">
        <f t="shared" si="3"/>
        <v>3.0805</v>
      </c>
      <c r="F1623" s="2">
        <f t="shared" si="4"/>
        <v>44440</v>
      </c>
    </row>
    <row r="1624" ht="12.75" customHeight="1">
      <c r="A1624" s="2">
        <v>44459.0</v>
      </c>
      <c r="B1624" s="77">
        <f t="shared" si="1"/>
        <v>9</v>
      </c>
      <c r="C1624" s="78">
        <f t="shared" si="2"/>
        <v>2021</v>
      </c>
      <c r="D1624" s="77">
        <v>3.094</v>
      </c>
      <c r="E1624" s="4">
        <f t="shared" si="3"/>
        <v>3.0805</v>
      </c>
      <c r="F1624" s="2">
        <f t="shared" si="4"/>
        <v>44440</v>
      </c>
    </row>
    <row r="1625" ht="12.75" customHeight="1">
      <c r="A1625" s="2">
        <v>44466.0</v>
      </c>
      <c r="B1625" s="77">
        <f t="shared" si="1"/>
        <v>9</v>
      </c>
      <c r="C1625" s="78">
        <f t="shared" si="2"/>
        <v>2021</v>
      </c>
      <c r="D1625" s="77">
        <v>3.08</v>
      </c>
      <c r="E1625" s="4">
        <f t="shared" si="3"/>
        <v>3.0805</v>
      </c>
      <c r="F1625" s="2">
        <f t="shared" si="4"/>
        <v>44440</v>
      </c>
    </row>
    <row r="1626" ht="12.75" customHeight="1">
      <c r="A1626" s="2">
        <v>44473.0</v>
      </c>
      <c r="B1626" s="77">
        <f t="shared" si="1"/>
        <v>10</v>
      </c>
      <c r="C1626" s="78">
        <f t="shared" si="2"/>
        <v>2021</v>
      </c>
      <c r="D1626" s="77">
        <v>3.093</v>
      </c>
      <c r="E1626" s="4">
        <f t="shared" si="3"/>
        <v>3.1925</v>
      </c>
      <c r="F1626" s="2">
        <f t="shared" si="4"/>
        <v>44470</v>
      </c>
    </row>
    <row r="1627" ht="12.75" customHeight="1">
      <c r="A1627" s="2">
        <v>44480.0</v>
      </c>
      <c r="B1627" s="77">
        <f t="shared" si="1"/>
        <v>10</v>
      </c>
      <c r="C1627" s="78">
        <f t="shared" si="2"/>
        <v>2021</v>
      </c>
      <c r="D1627" s="77">
        <v>3.173</v>
      </c>
      <c r="E1627" s="4">
        <f t="shared" si="3"/>
        <v>3.1925</v>
      </c>
      <c r="F1627" s="2">
        <f t="shared" si="4"/>
        <v>44470</v>
      </c>
    </row>
    <row r="1628" ht="12.75" customHeight="1">
      <c r="A1628" s="2">
        <v>44487.0</v>
      </c>
      <c r="B1628" s="77">
        <f t="shared" si="1"/>
        <v>10</v>
      </c>
      <c r="C1628" s="78">
        <f t="shared" si="2"/>
        <v>2021</v>
      </c>
      <c r="D1628" s="77">
        <v>3.225</v>
      </c>
      <c r="E1628" s="4">
        <f t="shared" si="3"/>
        <v>3.1925</v>
      </c>
      <c r="F1628" s="2">
        <f t="shared" si="4"/>
        <v>44470</v>
      </c>
    </row>
    <row r="1629" ht="12.75" customHeight="1">
      <c r="A1629" s="2">
        <v>44494.0</v>
      </c>
      <c r="B1629" s="77">
        <f t="shared" si="1"/>
        <v>10</v>
      </c>
      <c r="C1629" s="78">
        <f t="shared" si="2"/>
        <v>2021</v>
      </c>
      <c r="D1629" s="77">
        <v>3.279</v>
      </c>
      <c r="E1629" s="4">
        <f t="shared" si="3"/>
        <v>3.1925</v>
      </c>
      <c r="F1629" s="2">
        <f t="shared" si="4"/>
        <v>44470</v>
      </c>
    </row>
    <row r="1630" ht="12.75" customHeight="1">
      <c r="A1630" s="2">
        <v>44501.0</v>
      </c>
      <c r="B1630" s="77">
        <f t="shared" si="1"/>
        <v>11</v>
      </c>
      <c r="C1630" s="78">
        <f t="shared" si="2"/>
        <v>2021</v>
      </c>
      <c r="D1630" s="77">
        <v>3.28</v>
      </c>
      <c r="E1630" s="4">
        <f t="shared" si="3"/>
        <v>3.275</v>
      </c>
      <c r="F1630" s="2">
        <f t="shared" si="4"/>
        <v>44501</v>
      </c>
    </row>
    <row r="1631" ht="12.75" customHeight="1">
      <c r="A1631" s="2">
        <v>44508.0</v>
      </c>
      <c r="B1631" s="77">
        <f t="shared" si="1"/>
        <v>11</v>
      </c>
      <c r="C1631" s="78">
        <f t="shared" si="2"/>
        <v>2021</v>
      </c>
      <c r="D1631" s="77">
        <v>3.294</v>
      </c>
      <c r="E1631" s="4">
        <f t="shared" si="3"/>
        <v>3.275</v>
      </c>
      <c r="F1631" s="2">
        <f t="shared" si="4"/>
        <v>44501</v>
      </c>
    </row>
    <row r="1632" ht="12.75" customHeight="1">
      <c r="A1632" s="2">
        <v>44515.0</v>
      </c>
      <c r="B1632" s="77">
        <f t="shared" si="1"/>
        <v>11</v>
      </c>
      <c r="C1632" s="78">
        <f t="shared" si="2"/>
        <v>2021</v>
      </c>
      <c r="D1632" s="77">
        <v>3.277</v>
      </c>
      <c r="E1632" s="4">
        <f t="shared" si="3"/>
        <v>3.275</v>
      </c>
      <c r="F1632" s="2">
        <f t="shared" si="4"/>
        <v>44501</v>
      </c>
    </row>
    <row r="1633" ht="12.75" customHeight="1">
      <c r="A1633" s="2">
        <v>44522.0</v>
      </c>
      <c r="B1633" s="77">
        <f t="shared" si="1"/>
        <v>11</v>
      </c>
      <c r="C1633" s="78">
        <f t="shared" si="2"/>
        <v>2021</v>
      </c>
      <c r="D1633" s="77">
        <v>3.271</v>
      </c>
      <c r="E1633" s="4">
        <f t="shared" si="3"/>
        <v>3.275</v>
      </c>
      <c r="F1633" s="2">
        <f t="shared" si="4"/>
        <v>44501</v>
      </c>
    </row>
    <row r="1634" ht="12.75" customHeight="1">
      <c r="A1634" s="2">
        <v>44529.0</v>
      </c>
      <c r="B1634" s="77">
        <f t="shared" si="1"/>
        <v>11</v>
      </c>
      <c r="C1634" s="78">
        <f t="shared" si="2"/>
        <v>2021</v>
      </c>
      <c r="D1634" s="77">
        <v>3.253</v>
      </c>
      <c r="E1634" s="4">
        <f t="shared" si="3"/>
        <v>3.275</v>
      </c>
      <c r="F1634" s="2">
        <f t="shared" si="4"/>
        <v>44501</v>
      </c>
    </row>
    <row r="1635" ht="12.75" customHeight="1">
      <c r="A1635" s="2">
        <v>44536.0</v>
      </c>
      <c r="B1635" s="77">
        <f t="shared" si="1"/>
        <v>12</v>
      </c>
      <c r="C1635" s="78">
        <f t="shared" si="2"/>
        <v>2021</v>
      </c>
      <c r="D1635" s="77">
        <v>3.204</v>
      </c>
      <c r="E1635" s="4">
        <f t="shared" si="3"/>
        <v>3.168</v>
      </c>
      <c r="F1635" s="2">
        <f t="shared" si="4"/>
        <v>44531</v>
      </c>
    </row>
    <row r="1636" ht="12.75" customHeight="1">
      <c r="A1636" s="2">
        <v>44543.0</v>
      </c>
      <c r="B1636" s="77">
        <f t="shared" si="1"/>
        <v>12</v>
      </c>
      <c r="C1636" s="78">
        <f t="shared" si="2"/>
        <v>2021</v>
      </c>
      <c r="D1636" s="77">
        <v>3.178</v>
      </c>
      <c r="E1636" s="4">
        <f t="shared" si="3"/>
        <v>3.168</v>
      </c>
      <c r="F1636" s="2">
        <f t="shared" si="4"/>
        <v>44531</v>
      </c>
    </row>
    <row r="1637" ht="12.75" customHeight="1">
      <c r="A1637" s="2">
        <v>44550.0</v>
      </c>
      <c r="B1637" s="77">
        <f t="shared" si="1"/>
        <v>12</v>
      </c>
      <c r="C1637" s="78">
        <f t="shared" si="2"/>
        <v>2021</v>
      </c>
      <c r="D1637" s="77">
        <v>3.154</v>
      </c>
      <c r="E1637" s="4">
        <f t="shared" si="3"/>
        <v>3.168</v>
      </c>
      <c r="F1637" s="2">
        <f t="shared" si="4"/>
        <v>44531</v>
      </c>
    </row>
    <row r="1638" ht="12.75" customHeight="1">
      <c r="A1638" s="2">
        <v>44557.0</v>
      </c>
      <c r="B1638" s="77">
        <f t="shared" si="1"/>
        <v>12</v>
      </c>
      <c r="C1638" s="78">
        <f t="shared" si="2"/>
        <v>2021</v>
      </c>
      <c r="D1638" s="77">
        <v>3.136</v>
      </c>
      <c r="E1638" s="4">
        <f t="shared" si="3"/>
        <v>3.168</v>
      </c>
      <c r="F1638" s="2">
        <f t="shared" si="4"/>
        <v>44531</v>
      </c>
    </row>
    <row r="1639" ht="12.75" customHeight="1">
      <c r="A1639" s="2">
        <v>44564.0</v>
      </c>
      <c r="B1639" s="77">
        <f t="shared" si="1"/>
        <v>1</v>
      </c>
      <c r="C1639" s="78">
        <f t="shared" si="2"/>
        <v>2022</v>
      </c>
      <c r="D1639" s="77">
        <v>3.141</v>
      </c>
      <c r="E1639" s="4">
        <f t="shared" si="3"/>
        <v>3.187</v>
      </c>
      <c r="F1639" s="2">
        <f t="shared" si="4"/>
        <v>44562</v>
      </c>
    </row>
    <row r="1640" ht="12.75" customHeight="1">
      <c r="A1640" s="2">
        <v>44571.0</v>
      </c>
      <c r="B1640" s="77">
        <f t="shared" si="1"/>
        <v>1</v>
      </c>
      <c r="C1640" s="78">
        <f t="shared" si="2"/>
        <v>2022</v>
      </c>
      <c r="D1640" s="77">
        <v>3.164</v>
      </c>
      <c r="E1640" s="4">
        <f t="shared" si="3"/>
        <v>3.187</v>
      </c>
      <c r="F1640" s="2">
        <f t="shared" si="4"/>
        <v>44562</v>
      </c>
    </row>
    <row r="1641" ht="12.75" customHeight="1">
      <c r="A1641" s="2">
        <v>44578.0</v>
      </c>
      <c r="B1641" s="77">
        <f t="shared" si="1"/>
        <v>1</v>
      </c>
      <c r="C1641" s="78">
        <f t="shared" si="2"/>
        <v>2022</v>
      </c>
      <c r="D1641" s="77">
        <v>3.182</v>
      </c>
      <c r="E1641" s="4">
        <f t="shared" si="3"/>
        <v>3.187</v>
      </c>
      <c r="F1641" s="2">
        <f t="shared" si="4"/>
        <v>44562</v>
      </c>
    </row>
    <row r="1642" ht="12.75" customHeight="1">
      <c r="A1642" s="2">
        <v>44585.0</v>
      </c>
      <c r="B1642" s="77">
        <f t="shared" si="1"/>
        <v>1</v>
      </c>
      <c r="C1642" s="78">
        <f t="shared" si="2"/>
        <v>2022</v>
      </c>
      <c r="D1642" s="77">
        <v>3.199</v>
      </c>
      <c r="E1642" s="4">
        <f t="shared" si="3"/>
        <v>3.187</v>
      </c>
      <c r="F1642" s="2">
        <f t="shared" si="4"/>
        <v>44562</v>
      </c>
    </row>
    <row r="1643" ht="12.75" customHeight="1">
      <c r="A1643" s="2">
        <v>44592.0</v>
      </c>
      <c r="B1643" s="77">
        <f t="shared" si="1"/>
        <v>1</v>
      </c>
      <c r="C1643" s="78">
        <f t="shared" si="2"/>
        <v>2022</v>
      </c>
      <c r="D1643" s="77">
        <v>3.249</v>
      </c>
      <c r="E1643" s="4">
        <f t="shared" si="3"/>
        <v>3.187</v>
      </c>
      <c r="F1643" s="2">
        <f t="shared" si="4"/>
        <v>44562</v>
      </c>
    </row>
    <row r="1644" ht="12.75" customHeight="1">
      <c r="A1644" s="2">
        <v>44599.0</v>
      </c>
      <c r="B1644" s="77">
        <f t="shared" si="1"/>
        <v>2</v>
      </c>
      <c r="C1644" s="78">
        <f t="shared" si="2"/>
        <v>2022</v>
      </c>
      <c r="D1644" s="77">
        <v>3.33</v>
      </c>
      <c r="E1644" s="4">
        <f t="shared" si="3"/>
        <v>3.3995</v>
      </c>
      <c r="F1644" s="2">
        <f t="shared" si="4"/>
        <v>44593</v>
      </c>
    </row>
    <row r="1645" ht="12.75" customHeight="1">
      <c r="A1645" s="2">
        <v>44606.0</v>
      </c>
      <c r="B1645" s="77">
        <f t="shared" si="1"/>
        <v>2</v>
      </c>
      <c r="C1645" s="78">
        <f t="shared" si="2"/>
        <v>2022</v>
      </c>
      <c r="D1645" s="77">
        <v>3.372</v>
      </c>
      <c r="E1645" s="4">
        <f t="shared" si="3"/>
        <v>3.3995</v>
      </c>
      <c r="F1645" s="2">
        <f t="shared" si="4"/>
        <v>44593</v>
      </c>
    </row>
    <row r="1646" ht="12.75" customHeight="1">
      <c r="A1646" s="2">
        <v>44613.0</v>
      </c>
      <c r="B1646" s="77">
        <f t="shared" si="1"/>
        <v>2</v>
      </c>
      <c r="C1646" s="78">
        <f t="shared" si="2"/>
        <v>2022</v>
      </c>
      <c r="D1646" s="77">
        <v>3.41</v>
      </c>
      <c r="E1646" s="4">
        <f t="shared" si="3"/>
        <v>3.3995</v>
      </c>
      <c r="F1646" s="2">
        <f t="shared" si="4"/>
        <v>44593</v>
      </c>
    </row>
    <row r="1647" ht="12.75" customHeight="1">
      <c r="A1647" s="2">
        <v>44620.0</v>
      </c>
      <c r="B1647" s="77">
        <f t="shared" si="1"/>
        <v>2</v>
      </c>
      <c r="C1647" s="78">
        <f t="shared" si="2"/>
        <v>2022</v>
      </c>
      <c r="D1647" s="77">
        <v>3.486</v>
      </c>
      <c r="E1647" s="4">
        <f t="shared" si="3"/>
        <v>3.3995</v>
      </c>
      <c r="F1647" s="2">
        <f t="shared" si="4"/>
        <v>44593</v>
      </c>
    </row>
    <row r="1648" ht="12.75" customHeight="1">
      <c r="A1648" s="2">
        <v>44627.0</v>
      </c>
      <c r="B1648" s="77">
        <f t="shared" si="1"/>
        <v>3</v>
      </c>
      <c r="C1648" s="78">
        <f t="shared" si="2"/>
        <v>2022</v>
      </c>
      <c r="D1648" s="77">
        <v>3.963</v>
      </c>
      <c r="E1648" s="4">
        <f t="shared" si="3"/>
        <v>4.078</v>
      </c>
      <c r="F1648" s="2">
        <f t="shared" si="4"/>
        <v>44621</v>
      </c>
    </row>
    <row r="1649" ht="12.75" customHeight="1">
      <c r="A1649" s="2">
        <v>44634.0</v>
      </c>
      <c r="B1649" s="77">
        <f t="shared" si="1"/>
        <v>3</v>
      </c>
      <c r="C1649" s="78">
        <f t="shared" si="2"/>
        <v>2022</v>
      </c>
      <c r="D1649" s="77">
        <v>4.18</v>
      </c>
      <c r="E1649" s="4">
        <f t="shared" si="3"/>
        <v>4.078</v>
      </c>
      <c r="F1649" s="2">
        <f t="shared" si="4"/>
        <v>44621</v>
      </c>
    </row>
    <row r="1650" ht="12.75" customHeight="1">
      <c r="A1650" s="2">
        <v>44641.0</v>
      </c>
      <c r="B1650" s="77">
        <f t="shared" si="1"/>
        <v>3</v>
      </c>
      <c r="C1650" s="78">
        <f t="shared" si="2"/>
        <v>2022</v>
      </c>
      <c r="D1650" s="77">
        <v>4.091</v>
      </c>
      <c r="E1650" s="4">
        <f t="shared" si="3"/>
        <v>4.078</v>
      </c>
      <c r="F1650" s="2">
        <f t="shared" si="4"/>
        <v>44621</v>
      </c>
    </row>
    <row r="1651" ht="12.75" customHeight="1">
      <c r="A1651" s="2">
        <v>44648.0</v>
      </c>
      <c r="B1651" s="77">
        <f t="shared" si="1"/>
        <v>3</v>
      </c>
      <c r="C1651" s="78">
        <f t="shared" si="2"/>
        <v>2022</v>
      </c>
      <c r="D1651" s="77">
        <v>4.078</v>
      </c>
      <c r="E1651" s="4">
        <f t="shared" si="3"/>
        <v>4.078</v>
      </c>
      <c r="F1651" s="2">
        <f t="shared" si="4"/>
        <v>44621</v>
      </c>
    </row>
    <row r="1652" ht="12.75" customHeight="1">
      <c r="A1652" s="2">
        <v>44655.0</v>
      </c>
      <c r="B1652" s="77">
        <f t="shared" si="1"/>
        <v>4</v>
      </c>
      <c r="C1652" s="78">
        <f t="shared" si="2"/>
        <v>2022</v>
      </c>
      <c r="D1652" s="77">
        <v>4.021</v>
      </c>
      <c r="E1652" s="4">
        <f t="shared" si="3"/>
        <v>3.9595</v>
      </c>
      <c r="F1652" s="2">
        <f t="shared" si="4"/>
        <v>44652</v>
      </c>
    </row>
    <row r="1653" ht="12.75" customHeight="1">
      <c r="A1653" s="2">
        <v>44662.0</v>
      </c>
      <c r="B1653" s="77">
        <f t="shared" si="1"/>
        <v>4</v>
      </c>
      <c r="C1653" s="78">
        <f t="shared" si="2"/>
        <v>2022</v>
      </c>
      <c r="D1653" s="77">
        <v>3.943</v>
      </c>
      <c r="E1653" s="4">
        <f t="shared" si="3"/>
        <v>3.9595</v>
      </c>
      <c r="F1653" s="2">
        <f t="shared" si="4"/>
        <v>44652</v>
      </c>
    </row>
    <row r="1654" ht="12.75" customHeight="1">
      <c r="A1654" s="2">
        <v>44669.0</v>
      </c>
      <c r="B1654" s="77">
        <f t="shared" si="1"/>
        <v>4</v>
      </c>
      <c r="C1654" s="78">
        <f t="shared" si="2"/>
        <v>2022</v>
      </c>
      <c r="D1654" s="77">
        <v>3.915</v>
      </c>
      <c r="E1654" s="4">
        <f t="shared" si="3"/>
        <v>3.9595</v>
      </c>
      <c r="F1654" s="2">
        <f t="shared" si="4"/>
        <v>44652</v>
      </c>
    </row>
    <row r="1655" ht="12.75" customHeight="1">
      <c r="A1655" s="2">
        <v>44676.0</v>
      </c>
      <c r="B1655" s="77">
        <f t="shared" si="1"/>
        <v>4</v>
      </c>
      <c r="C1655" s="78">
        <f t="shared" si="2"/>
        <v>2022</v>
      </c>
      <c r="D1655" s="77">
        <v>3.959</v>
      </c>
      <c r="E1655" s="4">
        <f t="shared" si="3"/>
        <v>3.9595</v>
      </c>
      <c r="F1655" s="2">
        <f t="shared" si="4"/>
        <v>44652</v>
      </c>
    </row>
    <row r="1656" ht="12.75" customHeight="1">
      <c r="A1656" s="2">
        <v>44683.0</v>
      </c>
      <c r="B1656" s="77">
        <f t="shared" si="1"/>
        <v>5</v>
      </c>
      <c r="C1656" s="78">
        <f t="shared" si="2"/>
        <v>2022</v>
      </c>
      <c r="D1656" s="77">
        <v>4.031</v>
      </c>
      <c r="E1656" s="4">
        <f t="shared" si="3"/>
        <v>4.2722</v>
      </c>
      <c r="F1656" s="2">
        <f t="shared" si="4"/>
        <v>44682</v>
      </c>
    </row>
    <row r="1657" ht="12.75" customHeight="1">
      <c r="A1657" s="2">
        <v>44690.0</v>
      </c>
      <c r="B1657" s="77">
        <f t="shared" si="1"/>
        <v>5</v>
      </c>
      <c r="C1657" s="78">
        <f t="shared" si="2"/>
        <v>2022</v>
      </c>
      <c r="D1657" s="77">
        <v>4.161</v>
      </c>
      <c r="E1657" s="4">
        <f t="shared" si="3"/>
        <v>4.2722</v>
      </c>
      <c r="F1657" s="2">
        <f t="shared" si="4"/>
        <v>44682</v>
      </c>
    </row>
    <row r="1658" ht="12.75" customHeight="1">
      <c r="A1658" s="2">
        <v>44697.0</v>
      </c>
      <c r="B1658" s="77">
        <f t="shared" si="1"/>
        <v>5</v>
      </c>
      <c r="C1658" s="78">
        <f t="shared" si="2"/>
        <v>2022</v>
      </c>
      <c r="D1658" s="77">
        <v>4.32</v>
      </c>
      <c r="E1658" s="4">
        <f t="shared" si="3"/>
        <v>4.2722</v>
      </c>
      <c r="F1658" s="2">
        <f t="shared" si="4"/>
        <v>44682</v>
      </c>
    </row>
    <row r="1659" ht="12.75" customHeight="1">
      <c r="A1659" s="2">
        <v>44704.0</v>
      </c>
      <c r="B1659" s="77">
        <f t="shared" si="1"/>
        <v>5</v>
      </c>
      <c r="C1659" s="78">
        <f t="shared" si="2"/>
        <v>2022</v>
      </c>
      <c r="D1659" s="77">
        <v>4.41</v>
      </c>
      <c r="E1659" s="4">
        <f t="shared" si="3"/>
        <v>4.2722</v>
      </c>
      <c r="F1659" s="2">
        <f t="shared" si="4"/>
        <v>44682</v>
      </c>
    </row>
    <row r="1660" ht="12.75" customHeight="1">
      <c r="A1660" s="2">
        <v>44711.0</v>
      </c>
      <c r="B1660" s="77">
        <f t="shared" si="1"/>
        <v>5</v>
      </c>
      <c r="C1660" s="78">
        <f t="shared" si="2"/>
        <v>2022</v>
      </c>
      <c r="D1660" s="77">
        <v>4.439</v>
      </c>
      <c r="E1660" s="4">
        <f t="shared" si="3"/>
        <v>4.2722</v>
      </c>
      <c r="F1660" s="2">
        <f t="shared" si="4"/>
        <v>44682</v>
      </c>
    </row>
    <row r="1661" ht="12.75" customHeight="1">
      <c r="A1661" s="2">
        <v>44718.0</v>
      </c>
      <c r="B1661" s="77">
        <f t="shared" si="1"/>
        <v>6</v>
      </c>
      <c r="C1661" s="78">
        <f t="shared" si="2"/>
        <v>2022</v>
      </c>
      <c r="D1661" s="77">
        <v>4.702</v>
      </c>
      <c r="E1661" s="4">
        <f t="shared" si="3"/>
        <v>4.7635</v>
      </c>
      <c r="F1661" s="2">
        <f t="shared" si="4"/>
        <v>44713</v>
      </c>
    </row>
    <row r="1662" ht="12.75" customHeight="1">
      <c r="A1662" s="2">
        <v>44725.0</v>
      </c>
      <c r="B1662" s="77">
        <f t="shared" si="1"/>
        <v>6</v>
      </c>
      <c r="C1662" s="78">
        <f t="shared" si="2"/>
        <v>2022</v>
      </c>
      <c r="D1662" s="77">
        <v>4.844</v>
      </c>
      <c r="E1662" s="4">
        <f t="shared" si="3"/>
        <v>4.7635</v>
      </c>
      <c r="F1662" s="2">
        <f t="shared" si="4"/>
        <v>44713</v>
      </c>
    </row>
    <row r="1663" ht="12.75" customHeight="1">
      <c r="A1663" s="2">
        <v>44732.0</v>
      </c>
      <c r="B1663" s="77">
        <f t="shared" si="1"/>
        <v>6</v>
      </c>
      <c r="C1663" s="78">
        <f t="shared" si="2"/>
        <v>2022</v>
      </c>
      <c r="D1663" s="77">
        <v>4.798</v>
      </c>
      <c r="E1663" s="4">
        <f t="shared" si="3"/>
        <v>4.7635</v>
      </c>
      <c r="F1663" s="2">
        <f t="shared" si="4"/>
        <v>44713</v>
      </c>
    </row>
    <row r="1664" ht="12.75" customHeight="1">
      <c r="A1664" s="2">
        <v>44739.0</v>
      </c>
      <c r="B1664" s="77">
        <f t="shared" si="1"/>
        <v>6</v>
      </c>
      <c r="C1664" s="78">
        <f t="shared" si="2"/>
        <v>2022</v>
      </c>
      <c r="D1664" s="77">
        <v>4.71</v>
      </c>
      <c r="E1664" s="4">
        <f t="shared" si="3"/>
        <v>4.7635</v>
      </c>
      <c r="F1664" s="2">
        <f t="shared" si="4"/>
        <v>44713</v>
      </c>
    </row>
    <row r="1665" ht="12.75" customHeight="1">
      <c r="A1665" s="2">
        <v>44746.0</v>
      </c>
      <c r="B1665" s="77">
        <f t="shared" si="1"/>
        <v>7</v>
      </c>
      <c r="C1665" s="78">
        <f t="shared" si="2"/>
        <v>2022</v>
      </c>
      <c r="D1665" s="77">
        <v>4.619</v>
      </c>
      <c r="E1665" s="4">
        <f t="shared" si="3"/>
        <v>4.41325</v>
      </c>
      <c r="F1665" s="2">
        <f t="shared" si="4"/>
        <v>44743</v>
      </c>
    </row>
    <row r="1666" ht="12.75" customHeight="1">
      <c r="A1666" s="2">
        <v>44753.0</v>
      </c>
      <c r="B1666" s="77">
        <f t="shared" si="1"/>
        <v>7</v>
      </c>
      <c r="C1666" s="78">
        <f t="shared" si="2"/>
        <v>2022</v>
      </c>
      <c r="D1666" s="77">
        <v>4.501</v>
      </c>
      <c r="E1666" s="4">
        <f t="shared" si="3"/>
        <v>4.41325</v>
      </c>
      <c r="F1666" s="2">
        <f t="shared" si="4"/>
        <v>44743</v>
      </c>
    </row>
    <row r="1667" ht="12.75" customHeight="1">
      <c r="A1667" s="2">
        <v>44760.0</v>
      </c>
      <c r="B1667" s="77">
        <f t="shared" si="1"/>
        <v>7</v>
      </c>
      <c r="C1667" s="78">
        <f t="shared" si="2"/>
        <v>2022</v>
      </c>
      <c r="D1667" s="77">
        <v>4.35</v>
      </c>
      <c r="E1667" s="4">
        <f t="shared" si="3"/>
        <v>4.41325</v>
      </c>
      <c r="F1667" s="2">
        <f t="shared" si="4"/>
        <v>44743</v>
      </c>
    </row>
    <row r="1668" ht="12.75" customHeight="1">
      <c r="A1668" s="2">
        <v>44767.0</v>
      </c>
      <c r="B1668" s="77">
        <f t="shared" si="1"/>
        <v>7</v>
      </c>
      <c r="C1668" s="78">
        <f t="shared" si="2"/>
        <v>2022</v>
      </c>
      <c r="D1668" s="77">
        <v>4.183</v>
      </c>
      <c r="E1668" s="4">
        <f t="shared" si="3"/>
        <v>4.41325</v>
      </c>
      <c r="F1668" s="2">
        <f t="shared" si="4"/>
        <v>44743</v>
      </c>
    </row>
    <row r="1669" ht="12.75" customHeight="1">
      <c r="A1669" s="2">
        <v>44774.0</v>
      </c>
      <c r="B1669" s="77">
        <f t="shared" si="1"/>
        <v>8</v>
      </c>
      <c r="C1669" s="78">
        <f t="shared" si="2"/>
        <v>2022</v>
      </c>
      <c r="D1669" s="77">
        <v>4.034</v>
      </c>
      <c r="E1669" s="4">
        <f t="shared" si="3"/>
        <v>3.8216</v>
      </c>
      <c r="F1669" s="2">
        <f t="shared" si="4"/>
        <v>44774</v>
      </c>
    </row>
    <row r="1670" ht="12.75" customHeight="1">
      <c r="A1670" s="2">
        <v>44781.0</v>
      </c>
      <c r="B1670" s="77">
        <f t="shared" si="1"/>
        <v>8</v>
      </c>
      <c r="C1670" s="78">
        <f t="shared" si="2"/>
        <v>2022</v>
      </c>
      <c r="D1670" s="77">
        <v>3.879</v>
      </c>
      <c r="E1670" s="4">
        <f t="shared" si="3"/>
        <v>3.8216</v>
      </c>
      <c r="F1670" s="2">
        <f t="shared" si="4"/>
        <v>44774</v>
      </c>
    </row>
    <row r="1671" ht="12.75" customHeight="1">
      <c r="A1671" s="2">
        <v>44788.0</v>
      </c>
      <c r="B1671" s="77">
        <f t="shared" si="1"/>
        <v>8</v>
      </c>
      <c r="C1671" s="78">
        <f t="shared" si="2"/>
        <v>2022</v>
      </c>
      <c r="D1671" s="77">
        <v>3.78</v>
      </c>
      <c r="E1671" s="4">
        <f t="shared" si="3"/>
        <v>3.8216</v>
      </c>
      <c r="F1671" s="2">
        <f t="shared" si="4"/>
        <v>44774</v>
      </c>
    </row>
    <row r="1672" ht="12.75" customHeight="1">
      <c r="A1672" s="2">
        <v>44795.0</v>
      </c>
      <c r="B1672" s="77">
        <f t="shared" si="1"/>
        <v>8</v>
      </c>
      <c r="C1672" s="78">
        <f t="shared" si="2"/>
        <v>2022</v>
      </c>
      <c r="D1672" s="77">
        <v>3.724</v>
      </c>
      <c r="E1672" s="4">
        <f t="shared" si="3"/>
        <v>3.8216</v>
      </c>
      <c r="F1672" s="2">
        <f t="shared" si="4"/>
        <v>44774</v>
      </c>
    </row>
    <row r="1673" ht="12.75" customHeight="1">
      <c r="A1673" s="2">
        <v>44802.0</v>
      </c>
      <c r="B1673" s="77">
        <f t="shared" si="1"/>
        <v>8</v>
      </c>
      <c r="C1673" s="78">
        <f t="shared" si="2"/>
        <v>2022</v>
      </c>
      <c r="D1673" s="77">
        <v>3.691</v>
      </c>
      <c r="E1673" s="4">
        <f t="shared" si="3"/>
        <v>3.8216</v>
      </c>
      <c r="F1673" s="2">
        <f t="shared" si="4"/>
        <v>44774</v>
      </c>
    </row>
    <row r="1674" ht="12.75" customHeight="1">
      <c r="A1674" s="2">
        <v>44809.0</v>
      </c>
      <c r="B1674" s="77">
        <f t="shared" si="1"/>
        <v>9</v>
      </c>
      <c r="C1674" s="78">
        <f t="shared" si="2"/>
        <v>2022</v>
      </c>
      <c r="D1674" s="77">
        <v>3.617</v>
      </c>
      <c r="E1674" s="4">
        <f t="shared" si="3"/>
        <v>3.5625</v>
      </c>
      <c r="F1674" s="2">
        <f t="shared" si="4"/>
        <v>44805</v>
      </c>
    </row>
    <row r="1675" ht="12.75" customHeight="1">
      <c r="A1675" s="2">
        <v>44816.0</v>
      </c>
      <c r="B1675" s="77">
        <f t="shared" si="1"/>
        <v>9</v>
      </c>
      <c r="C1675" s="78">
        <f t="shared" si="2"/>
        <v>2022</v>
      </c>
      <c r="D1675" s="77">
        <v>3.551</v>
      </c>
      <c r="E1675" s="4">
        <f t="shared" si="3"/>
        <v>3.5625</v>
      </c>
      <c r="F1675" s="2">
        <f t="shared" si="4"/>
        <v>44805</v>
      </c>
    </row>
    <row r="1676" ht="12.75" customHeight="1">
      <c r="A1676" s="2">
        <v>44823.0</v>
      </c>
      <c r="B1676" s="77">
        <f t="shared" si="1"/>
        <v>9</v>
      </c>
      <c r="C1676" s="78">
        <f t="shared" si="2"/>
        <v>2022</v>
      </c>
      <c r="D1676" s="77">
        <v>3.513</v>
      </c>
      <c r="E1676" s="4">
        <f t="shared" si="3"/>
        <v>3.5625</v>
      </c>
      <c r="F1676" s="2">
        <f t="shared" si="4"/>
        <v>44805</v>
      </c>
    </row>
    <row r="1677" ht="12.75" customHeight="1">
      <c r="A1677" s="2">
        <v>44830.0</v>
      </c>
      <c r="B1677" s="77">
        <f t="shared" si="1"/>
        <v>9</v>
      </c>
      <c r="C1677" s="78">
        <f t="shared" si="2"/>
        <v>2022</v>
      </c>
      <c r="D1677" s="77">
        <v>3.569</v>
      </c>
      <c r="E1677" s="4">
        <f t="shared" si="3"/>
        <v>3.5625</v>
      </c>
      <c r="F1677" s="2">
        <f t="shared" si="4"/>
        <v>44805</v>
      </c>
    </row>
    <row r="1678" ht="12.75" customHeight="1">
      <c r="A1678" s="2">
        <v>44837.0</v>
      </c>
      <c r="B1678" s="77">
        <f t="shared" si="1"/>
        <v>10</v>
      </c>
      <c r="C1678" s="78">
        <f t="shared" si="2"/>
        <v>2022</v>
      </c>
      <c r="D1678" s="77">
        <v>3.592</v>
      </c>
      <c r="E1678" s="4">
        <f t="shared" si="3"/>
        <v>3.6372</v>
      </c>
      <c r="F1678" s="2">
        <f t="shared" si="4"/>
        <v>44835</v>
      </c>
    </row>
    <row r="1679" ht="12.75" customHeight="1">
      <c r="A1679" s="2">
        <v>44844.0</v>
      </c>
      <c r="B1679" s="77">
        <f t="shared" si="1"/>
        <v>10</v>
      </c>
      <c r="C1679" s="78">
        <f t="shared" si="2"/>
        <v>2022</v>
      </c>
      <c r="D1679" s="77">
        <v>3.723</v>
      </c>
      <c r="E1679" s="4">
        <f t="shared" si="3"/>
        <v>3.6372</v>
      </c>
      <c r="F1679" s="2">
        <f t="shared" si="4"/>
        <v>44835</v>
      </c>
    </row>
    <row r="1680" ht="12.75" customHeight="1">
      <c r="A1680" s="2">
        <v>44851.0</v>
      </c>
      <c r="B1680" s="77">
        <f t="shared" si="1"/>
        <v>10</v>
      </c>
      <c r="C1680" s="78">
        <f t="shared" si="2"/>
        <v>2022</v>
      </c>
      <c r="D1680" s="77">
        <v>3.692</v>
      </c>
      <c r="E1680" s="4">
        <f t="shared" si="3"/>
        <v>3.6372</v>
      </c>
      <c r="F1680" s="2">
        <f t="shared" si="4"/>
        <v>44835</v>
      </c>
    </row>
    <row r="1681" ht="12.75" customHeight="1">
      <c r="A1681" s="2">
        <v>44858.0</v>
      </c>
      <c r="B1681" s="77">
        <f t="shared" si="1"/>
        <v>10</v>
      </c>
      <c r="C1681" s="78">
        <f t="shared" si="2"/>
        <v>2022</v>
      </c>
      <c r="D1681" s="77">
        <v>3.609</v>
      </c>
      <c r="E1681" s="4">
        <f t="shared" si="3"/>
        <v>3.6372</v>
      </c>
      <c r="F1681" s="2">
        <f t="shared" si="4"/>
        <v>44835</v>
      </c>
    </row>
    <row r="1682" ht="12.75" customHeight="1">
      <c r="A1682" s="2">
        <v>44865.0</v>
      </c>
      <c r="B1682" s="77">
        <f t="shared" si="1"/>
        <v>10</v>
      </c>
      <c r="C1682" s="78">
        <f t="shared" si="2"/>
        <v>2022</v>
      </c>
      <c r="D1682" s="77">
        <v>3.57</v>
      </c>
      <c r="E1682" s="4">
        <f t="shared" si="3"/>
        <v>3.6372</v>
      </c>
      <c r="F1682" s="2">
        <f t="shared" si="4"/>
        <v>44835</v>
      </c>
    </row>
    <row r="1683" ht="12.75" customHeight="1">
      <c r="A1683" s="2">
        <v>44872.0</v>
      </c>
      <c r="B1683" s="77">
        <f t="shared" si="1"/>
        <v>11</v>
      </c>
      <c r="C1683" s="78">
        <f t="shared" si="2"/>
        <v>2022</v>
      </c>
      <c r="D1683" s="77">
        <v>3.628</v>
      </c>
      <c r="E1683" s="4">
        <f t="shared" si="3"/>
        <v>3.53025</v>
      </c>
      <c r="F1683" s="2">
        <f t="shared" si="4"/>
        <v>44866</v>
      </c>
    </row>
    <row r="1684" ht="12.75" customHeight="1">
      <c r="A1684" s="2">
        <v>44879.0</v>
      </c>
      <c r="B1684" s="77">
        <f t="shared" si="1"/>
        <v>11</v>
      </c>
      <c r="C1684" s="78">
        <f t="shared" si="2"/>
        <v>2022</v>
      </c>
      <c r="D1684" s="77">
        <v>3.606</v>
      </c>
      <c r="E1684" s="4">
        <f t="shared" si="3"/>
        <v>3.53025</v>
      </c>
      <c r="F1684" s="2">
        <f t="shared" si="4"/>
        <v>44866</v>
      </c>
    </row>
    <row r="1685" ht="12.75" customHeight="1">
      <c r="A1685" s="2">
        <v>44886.0</v>
      </c>
      <c r="B1685" s="77">
        <f t="shared" si="1"/>
        <v>11</v>
      </c>
      <c r="C1685" s="78">
        <f t="shared" si="2"/>
        <v>2022</v>
      </c>
      <c r="D1685" s="77">
        <v>3.498</v>
      </c>
      <c r="E1685" s="4">
        <f t="shared" si="3"/>
        <v>3.53025</v>
      </c>
      <c r="F1685" s="2">
        <f t="shared" si="4"/>
        <v>44866</v>
      </c>
    </row>
    <row r="1686" ht="12.75" customHeight="1">
      <c r="A1686" s="2">
        <v>44893.0</v>
      </c>
      <c r="B1686" s="77">
        <f t="shared" si="1"/>
        <v>11</v>
      </c>
      <c r="C1686" s="78">
        <f t="shared" si="2"/>
        <v>2022</v>
      </c>
      <c r="D1686" s="77">
        <v>3.389</v>
      </c>
      <c r="E1686" s="4">
        <f t="shared" si="3"/>
        <v>3.53025</v>
      </c>
      <c r="F1686" s="2">
        <f t="shared" si="4"/>
        <v>44866</v>
      </c>
    </row>
    <row r="1687" ht="12.75" customHeight="1">
      <c r="A1687" s="2">
        <v>44900.0</v>
      </c>
      <c r="B1687" s="77">
        <f t="shared" si="1"/>
        <v>12</v>
      </c>
      <c r="C1687" s="78">
        <f t="shared" si="2"/>
        <v>2022</v>
      </c>
      <c r="D1687" s="77">
        <v>3.26</v>
      </c>
      <c r="E1687" s="4">
        <f t="shared" si="3"/>
        <v>3.0835</v>
      </c>
      <c r="F1687" s="2">
        <f t="shared" si="4"/>
        <v>44896</v>
      </c>
    </row>
    <row r="1688" ht="12.75" customHeight="1">
      <c r="A1688" s="2">
        <v>44907.0</v>
      </c>
      <c r="B1688" s="77">
        <f t="shared" si="1"/>
        <v>12</v>
      </c>
      <c r="C1688" s="78">
        <f t="shared" si="2"/>
        <v>2022</v>
      </c>
      <c r="D1688" s="77">
        <v>3.109</v>
      </c>
      <c r="E1688" s="4">
        <f t="shared" si="3"/>
        <v>3.0835</v>
      </c>
      <c r="F1688" s="2">
        <f t="shared" si="4"/>
        <v>44896</v>
      </c>
    </row>
    <row r="1689" ht="12.75" customHeight="1">
      <c r="A1689" s="2">
        <v>44914.0</v>
      </c>
      <c r="B1689" s="77">
        <f t="shared" si="1"/>
        <v>12</v>
      </c>
      <c r="C1689" s="78">
        <f t="shared" si="2"/>
        <v>2022</v>
      </c>
      <c r="D1689" s="77">
        <v>2.994</v>
      </c>
      <c r="E1689" s="4">
        <f t="shared" si="3"/>
        <v>3.0835</v>
      </c>
      <c r="F1689" s="2">
        <f t="shared" si="4"/>
        <v>44896</v>
      </c>
    </row>
    <row r="1690" ht="12.75" customHeight="1">
      <c r="A1690" s="2">
        <v>44921.0</v>
      </c>
      <c r="B1690" s="77">
        <f t="shared" si="1"/>
        <v>12</v>
      </c>
      <c r="C1690" s="78">
        <f t="shared" si="2"/>
        <v>2022</v>
      </c>
      <c r="D1690" s="77">
        <v>2.971</v>
      </c>
      <c r="E1690" s="4">
        <f t="shared" si="3"/>
        <v>3.0835</v>
      </c>
      <c r="F1690" s="2">
        <f t="shared" si="4"/>
        <v>44896</v>
      </c>
    </row>
    <row r="1691" ht="12.75" customHeight="1">
      <c r="A1691" s="2">
        <v>44928.0</v>
      </c>
      <c r="B1691" s="77">
        <f t="shared" si="1"/>
        <v>1</v>
      </c>
      <c r="C1691" s="78">
        <f t="shared" si="2"/>
        <v>2023</v>
      </c>
      <c r="D1691" s="77">
        <v>3.123</v>
      </c>
      <c r="E1691" s="4">
        <f t="shared" si="3"/>
        <v>3.2544</v>
      </c>
      <c r="F1691" s="2">
        <f t="shared" si="4"/>
        <v>44927</v>
      </c>
    </row>
    <row r="1692" ht="12.75" customHeight="1">
      <c r="A1692" s="2">
        <v>44935.0</v>
      </c>
      <c r="B1692" s="77">
        <f t="shared" si="1"/>
        <v>1</v>
      </c>
      <c r="C1692" s="78">
        <f t="shared" si="2"/>
        <v>2023</v>
      </c>
      <c r="D1692" s="77">
        <v>3.167</v>
      </c>
      <c r="E1692" s="4">
        <f t="shared" si="3"/>
        <v>3.2544</v>
      </c>
      <c r="F1692" s="2">
        <f t="shared" si="4"/>
        <v>44927</v>
      </c>
    </row>
    <row r="1693" ht="12.75" customHeight="1">
      <c r="A1693" s="2">
        <v>44942.0</v>
      </c>
      <c r="B1693" s="77">
        <f t="shared" si="1"/>
        <v>1</v>
      </c>
      <c r="C1693" s="78">
        <f t="shared" si="2"/>
        <v>2023</v>
      </c>
      <c r="D1693" s="77">
        <v>3.225</v>
      </c>
      <c r="E1693" s="4">
        <f t="shared" si="3"/>
        <v>3.2544</v>
      </c>
      <c r="F1693" s="2">
        <f t="shared" si="4"/>
        <v>44927</v>
      </c>
    </row>
    <row r="1694" ht="12.75" customHeight="1">
      <c r="A1694" s="2">
        <v>44949.0</v>
      </c>
      <c r="B1694" s="77">
        <f t="shared" si="1"/>
        <v>1</v>
      </c>
      <c r="C1694" s="78">
        <f t="shared" si="2"/>
        <v>2023</v>
      </c>
      <c r="D1694" s="77">
        <v>3.34</v>
      </c>
      <c r="E1694" s="4">
        <f t="shared" si="3"/>
        <v>3.2544</v>
      </c>
      <c r="F1694" s="2">
        <f t="shared" si="4"/>
        <v>44927</v>
      </c>
    </row>
    <row r="1695" ht="12.75" customHeight="1">
      <c r="A1695" s="2">
        <v>44956.0</v>
      </c>
      <c r="B1695" s="77">
        <f t="shared" si="1"/>
        <v>1</v>
      </c>
      <c r="C1695" s="78">
        <f t="shared" si="2"/>
        <v>2023</v>
      </c>
      <c r="D1695" s="77">
        <v>3.417</v>
      </c>
      <c r="E1695" s="4">
        <f t="shared" si="3"/>
        <v>3.2544</v>
      </c>
      <c r="F1695" s="2">
        <f t="shared" si="4"/>
        <v>44927</v>
      </c>
    </row>
    <row r="1696" ht="12.75" customHeight="1">
      <c r="A1696" s="2">
        <v>44963.0</v>
      </c>
      <c r="B1696" s="77">
        <f t="shared" si="1"/>
        <v>2</v>
      </c>
      <c r="C1696" s="78">
        <f t="shared" si="2"/>
        <v>2023</v>
      </c>
      <c r="D1696" s="77">
        <v>3.362</v>
      </c>
      <c r="E1696" s="4">
        <f t="shared" si="3"/>
        <v>3.304</v>
      </c>
      <c r="F1696" s="2">
        <f t="shared" si="4"/>
        <v>44958</v>
      </c>
    </row>
    <row r="1697" ht="12.75" customHeight="1">
      <c r="A1697" s="2">
        <v>44970.0</v>
      </c>
      <c r="B1697" s="77">
        <f t="shared" si="1"/>
        <v>2</v>
      </c>
      <c r="C1697" s="78">
        <f t="shared" si="2"/>
        <v>2023</v>
      </c>
      <c r="D1697" s="77">
        <v>3.311</v>
      </c>
      <c r="E1697" s="4">
        <f t="shared" si="3"/>
        <v>3.304</v>
      </c>
      <c r="F1697" s="2">
        <f t="shared" si="4"/>
        <v>44958</v>
      </c>
    </row>
    <row r="1698" ht="12.75" customHeight="1">
      <c r="A1698" s="2">
        <v>44977.0</v>
      </c>
      <c r="B1698" s="77">
        <f t="shared" si="1"/>
        <v>2</v>
      </c>
      <c r="C1698" s="78">
        <f t="shared" si="2"/>
        <v>2023</v>
      </c>
      <c r="D1698" s="77">
        <v>3.293</v>
      </c>
      <c r="E1698" s="4">
        <f t="shared" si="3"/>
        <v>3.304</v>
      </c>
      <c r="F1698" s="2">
        <f t="shared" si="4"/>
        <v>44958</v>
      </c>
    </row>
    <row r="1699" ht="12.75" customHeight="1">
      <c r="A1699" s="2">
        <v>44984.0</v>
      </c>
      <c r="B1699" s="77">
        <f t="shared" si="1"/>
        <v>2</v>
      </c>
      <c r="C1699" s="78">
        <f t="shared" si="2"/>
        <v>2023</v>
      </c>
      <c r="D1699" s="77">
        <v>3.25</v>
      </c>
      <c r="E1699" s="4">
        <f t="shared" si="3"/>
        <v>3.304</v>
      </c>
      <c r="F1699" s="2">
        <f t="shared" si="4"/>
        <v>44958</v>
      </c>
    </row>
    <row r="1700" ht="12.75" customHeight="1">
      <c r="A1700" s="2">
        <v>44991.0</v>
      </c>
      <c r="B1700" s="77">
        <f t="shared" si="1"/>
        <v>3</v>
      </c>
      <c r="C1700" s="78">
        <f t="shared" si="2"/>
        <v>2023</v>
      </c>
      <c r="D1700" s="77">
        <v>3.288</v>
      </c>
      <c r="E1700" s="4">
        <f t="shared" si="3"/>
        <v>3.31575</v>
      </c>
      <c r="F1700" s="2">
        <f t="shared" si="4"/>
        <v>44986</v>
      </c>
    </row>
    <row r="1701" ht="12.75" customHeight="1">
      <c r="A1701" s="2">
        <v>44998.0</v>
      </c>
      <c r="B1701" s="77">
        <f t="shared" si="1"/>
        <v>3</v>
      </c>
      <c r="C1701" s="78">
        <f t="shared" si="2"/>
        <v>2023</v>
      </c>
      <c r="D1701" s="77">
        <v>3.35</v>
      </c>
      <c r="E1701" s="4">
        <f t="shared" si="3"/>
        <v>3.31575</v>
      </c>
      <c r="F1701" s="2">
        <f t="shared" si="4"/>
        <v>44986</v>
      </c>
    </row>
    <row r="1702" ht="12.75" customHeight="1">
      <c r="A1702" s="2">
        <v>45005.0</v>
      </c>
      <c r="B1702" s="77">
        <f t="shared" si="1"/>
        <v>3</v>
      </c>
      <c r="C1702" s="78">
        <f t="shared" si="2"/>
        <v>2023</v>
      </c>
      <c r="D1702" s="77">
        <v>3.321</v>
      </c>
      <c r="E1702" s="4">
        <f t="shared" si="3"/>
        <v>3.31575</v>
      </c>
      <c r="F1702" s="2">
        <f t="shared" si="4"/>
        <v>44986</v>
      </c>
    </row>
    <row r="1703" ht="12.75" customHeight="1">
      <c r="A1703" s="2">
        <v>45012.0</v>
      </c>
      <c r="B1703" s="77">
        <f t="shared" si="1"/>
        <v>3</v>
      </c>
      <c r="C1703" s="78">
        <f t="shared" si="2"/>
        <v>2023</v>
      </c>
      <c r="D1703" s="77">
        <v>3.304</v>
      </c>
      <c r="E1703" s="4">
        <f t="shared" si="3"/>
        <v>3.31575</v>
      </c>
      <c r="F1703" s="2">
        <f t="shared" si="4"/>
        <v>44986</v>
      </c>
    </row>
    <row r="1704" ht="12.75" customHeight="1">
      <c r="A1704" s="2">
        <v>45019.0</v>
      </c>
      <c r="B1704" s="77">
        <f t="shared" si="1"/>
        <v>4</v>
      </c>
      <c r="C1704" s="78">
        <f t="shared" si="2"/>
        <v>2023</v>
      </c>
      <c r="D1704" s="77">
        <v>3.384</v>
      </c>
      <c r="E1704" s="4">
        <f t="shared" si="3"/>
        <v>3.493</v>
      </c>
      <c r="F1704" s="2">
        <f t="shared" si="4"/>
        <v>45017</v>
      </c>
    </row>
    <row r="1705" ht="12.75" customHeight="1">
      <c r="A1705" s="2">
        <v>45026.0</v>
      </c>
      <c r="B1705" s="77">
        <f t="shared" si="1"/>
        <v>4</v>
      </c>
      <c r="C1705" s="78">
        <f t="shared" si="2"/>
        <v>2023</v>
      </c>
      <c r="D1705" s="77">
        <v>3.493</v>
      </c>
      <c r="E1705" s="4">
        <f t="shared" si="3"/>
        <v>3.493</v>
      </c>
      <c r="F1705" s="2">
        <f t="shared" si="4"/>
        <v>45017</v>
      </c>
    </row>
    <row r="1706" ht="12.75" customHeight="1">
      <c r="A1706" s="2">
        <v>45033.0</v>
      </c>
      <c r="B1706" s="77">
        <f t="shared" si="1"/>
        <v>4</v>
      </c>
      <c r="C1706" s="78">
        <f t="shared" si="2"/>
        <v>2023</v>
      </c>
      <c r="D1706" s="77">
        <v>3.553</v>
      </c>
      <c r="E1706" s="4">
        <f t="shared" si="3"/>
        <v>3.493</v>
      </c>
      <c r="F1706" s="2">
        <f t="shared" si="4"/>
        <v>45017</v>
      </c>
    </row>
    <row r="1707" ht="12.75" customHeight="1">
      <c r="A1707" s="2">
        <v>45040.0</v>
      </c>
      <c r="B1707" s="77">
        <f t="shared" si="1"/>
        <v>4</v>
      </c>
      <c r="C1707" s="78">
        <f t="shared" si="2"/>
        <v>2023</v>
      </c>
      <c r="D1707" s="77">
        <v>3.542</v>
      </c>
      <c r="E1707" s="4">
        <f t="shared" si="3"/>
        <v>3.493</v>
      </c>
      <c r="F1707" s="2">
        <f t="shared" si="4"/>
        <v>45017</v>
      </c>
    </row>
    <row r="1708" ht="12.75" customHeight="1">
      <c r="A1708" s="2">
        <v>45047.0</v>
      </c>
      <c r="B1708" s="77">
        <f t="shared" si="1"/>
        <v>5</v>
      </c>
      <c r="C1708" s="78">
        <f t="shared" si="2"/>
        <v>2023</v>
      </c>
      <c r="D1708" s="77">
        <v>3.48</v>
      </c>
      <c r="E1708" s="4">
        <f t="shared" si="3"/>
        <v>3.4322</v>
      </c>
      <c r="F1708" s="2">
        <f t="shared" si="4"/>
        <v>45047</v>
      </c>
    </row>
    <row r="1709" ht="12.75" customHeight="1">
      <c r="A1709" s="2">
        <v>45054.0</v>
      </c>
      <c r="B1709" s="77">
        <f t="shared" si="1"/>
        <v>5</v>
      </c>
      <c r="C1709" s="78">
        <f t="shared" si="2"/>
        <v>2023</v>
      </c>
      <c r="D1709" s="77">
        <v>3.407</v>
      </c>
      <c r="E1709" s="4">
        <f t="shared" si="3"/>
        <v>3.4322</v>
      </c>
      <c r="F1709" s="2">
        <f t="shared" si="4"/>
        <v>45047</v>
      </c>
    </row>
    <row r="1710" ht="12.75" customHeight="1">
      <c r="A1710" s="2">
        <v>45061.0</v>
      </c>
      <c r="B1710" s="77">
        <f t="shared" si="1"/>
        <v>5</v>
      </c>
      <c r="C1710" s="78">
        <f t="shared" si="2"/>
        <v>2023</v>
      </c>
      <c r="D1710" s="77">
        <v>3.415</v>
      </c>
      <c r="E1710" s="4">
        <f t="shared" si="3"/>
        <v>3.4322</v>
      </c>
      <c r="F1710" s="2">
        <f t="shared" si="4"/>
        <v>45047</v>
      </c>
    </row>
    <row r="1711" ht="12.75" customHeight="1">
      <c r="A1711" s="2">
        <v>45068.0</v>
      </c>
      <c r="B1711" s="77">
        <f t="shared" si="1"/>
        <v>5</v>
      </c>
      <c r="C1711" s="78">
        <f t="shared" si="2"/>
        <v>2023</v>
      </c>
      <c r="D1711" s="77">
        <v>3.416</v>
      </c>
      <c r="E1711" s="4">
        <f t="shared" si="3"/>
        <v>3.4322</v>
      </c>
      <c r="F1711" s="2">
        <f t="shared" si="4"/>
        <v>45047</v>
      </c>
    </row>
    <row r="1712" ht="12.75" customHeight="1">
      <c r="A1712" s="2">
        <v>45075.0</v>
      </c>
      <c r="B1712" s="77">
        <f t="shared" si="1"/>
        <v>5</v>
      </c>
      <c r="C1712" s="78">
        <f t="shared" si="2"/>
        <v>2023</v>
      </c>
      <c r="D1712" s="77">
        <v>3.443</v>
      </c>
      <c r="E1712" s="4">
        <f t="shared" si="3"/>
        <v>3.4322</v>
      </c>
      <c r="F1712" s="2">
        <f t="shared" si="4"/>
        <v>45047</v>
      </c>
    </row>
    <row r="1713" ht="12.75" customHeight="1">
      <c r="A1713" s="2">
        <v>45082.0</v>
      </c>
      <c r="B1713" s="77">
        <f t="shared" si="1"/>
        <v>6</v>
      </c>
      <c r="C1713" s="78">
        <f t="shared" si="2"/>
        <v>2023</v>
      </c>
      <c r="D1713" s="77">
        <v>3.414</v>
      </c>
      <c r="E1713" s="4">
        <f t="shared" si="3"/>
        <v>3.44575</v>
      </c>
      <c r="F1713" s="2">
        <f t="shared" si="4"/>
        <v>45078</v>
      </c>
    </row>
    <row r="1714" ht="12.75" customHeight="1">
      <c r="A1714" s="2">
        <v>45089.0</v>
      </c>
      <c r="B1714" s="77">
        <f t="shared" si="1"/>
        <v>6</v>
      </c>
      <c r="C1714" s="78">
        <f t="shared" si="2"/>
        <v>2023</v>
      </c>
      <c r="D1714" s="77">
        <v>3.475</v>
      </c>
      <c r="E1714" s="4">
        <f t="shared" si="3"/>
        <v>3.44575</v>
      </c>
      <c r="F1714" s="2">
        <f t="shared" si="4"/>
        <v>45078</v>
      </c>
    </row>
    <row r="1715" ht="12.75" customHeight="1">
      <c r="A1715" s="2">
        <v>45096.0</v>
      </c>
      <c r="B1715" s="77">
        <f t="shared" si="1"/>
        <v>6</v>
      </c>
      <c r="C1715" s="78">
        <f t="shared" si="2"/>
        <v>2023</v>
      </c>
      <c r="D1715" s="77">
        <v>3.449</v>
      </c>
      <c r="E1715" s="4">
        <f t="shared" si="3"/>
        <v>3.44575</v>
      </c>
      <c r="F1715" s="2">
        <f t="shared" si="4"/>
        <v>45078</v>
      </c>
    </row>
    <row r="1716" ht="12.75" customHeight="1">
      <c r="A1716" s="2">
        <v>45103.0</v>
      </c>
      <c r="B1716" s="77">
        <f t="shared" si="1"/>
        <v>6</v>
      </c>
      <c r="C1716" s="78">
        <f t="shared" si="2"/>
        <v>2023</v>
      </c>
      <c r="D1716" s="77">
        <v>3.445</v>
      </c>
      <c r="E1716" s="4">
        <f t="shared" si="3"/>
        <v>3.44575</v>
      </c>
      <c r="F1716" s="2">
        <f t="shared" si="4"/>
        <v>45078</v>
      </c>
    </row>
    <row r="1717" ht="12.75" customHeight="1">
      <c r="A1717" s="2">
        <v>45110.0</v>
      </c>
      <c r="B1717" s="77">
        <f t="shared" si="1"/>
        <v>7</v>
      </c>
      <c r="C1717" s="78">
        <f t="shared" si="2"/>
        <v>2023</v>
      </c>
      <c r="D1717" s="77">
        <v>3.397</v>
      </c>
      <c r="E1717" s="4">
        <f t="shared" si="3"/>
        <v>3.4768</v>
      </c>
      <c r="F1717" s="2">
        <f t="shared" si="4"/>
        <v>45108</v>
      </c>
    </row>
    <row r="1718" ht="12.75" customHeight="1">
      <c r="A1718" s="2">
        <v>45117.0</v>
      </c>
      <c r="B1718" s="77">
        <f t="shared" si="1"/>
        <v>7</v>
      </c>
      <c r="C1718" s="78">
        <f t="shared" si="2"/>
        <v>2023</v>
      </c>
      <c r="D1718" s="77">
        <v>3.42</v>
      </c>
      <c r="E1718" s="4">
        <f t="shared" si="3"/>
        <v>3.4768</v>
      </c>
      <c r="F1718" s="2">
        <f t="shared" si="4"/>
        <v>45108</v>
      </c>
    </row>
    <row r="1719" ht="12.75" customHeight="1">
      <c r="A1719" s="2">
        <v>45124.0</v>
      </c>
      <c r="B1719" s="77">
        <f t="shared" si="1"/>
        <v>7</v>
      </c>
      <c r="C1719" s="78">
        <f t="shared" si="2"/>
        <v>2023</v>
      </c>
      <c r="D1719" s="77">
        <v>3.438</v>
      </c>
      <c r="E1719" s="4">
        <f t="shared" si="3"/>
        <v>3.4768</v>
      </c>
      <c r="F1719" s="2">
        <f t="shared" si="4"/>
        <v>45108</v>
      </c>
    </row>
    <row r="1720" ht="12.75" customHeight="1">
      <c r="A1720" s="2">
        <v>45131.0</v>
      </c>
      <c r="B1720" s="77">
        <f t="shared" si="1"/>
        <v>7</v>
      </c>
      <c r="C1720" s="78">
        <f t="shared" si="2"/>
        <v>2023</v>
      </c>
      <c r="D1720" s="77">
        <v>3.479</v>
      </c>
      <c r="E1720" s="4">
        <f t="shared" si="3"/>
        <v>3.4768</v>
      </c>
      <c r="F1720" s="2">
        <f t="shared" si="4"/>
        <v>45108</v>
      </c>
    </row>
    <row r="1721" ht="12.75" customHeight="1">
      <c r="A1721" s="2">
        <v>45138.0</v>
      </c>
      <c r="B1721" s="77">
        <f t="shared" si="1"/>
        <v>7</v>
      </c>
      <c r="C1721" s="78">
        <f t="shared" si="2"/>
        <v>2023</v>
      </c>
      <c r="D1721" s="77">
        <v>3.65</v>
      </c>
      <c r="E1721" s="4">
        <f t="shared" si="3"/>
        <v>3.4768</v>
      </c>
      <c r="F1721" s="2">
        <f t="shared" si="4"/>
        <v>45108</v>
      </c>
    </row>
    <row r="1722" ht="12.75" customHeight="1">
      <c r="A1722" s="2">
        <v>45145.0</v>
      </c>
      <c r="B1722" s="77">
        <f t="shared" si="1"/>
        <v>8</v>
      </c>
      <c r="C1722" s="78">
        <f t="shared" si="2"/>
        <v>2023</v>
      </c>
      <c r="D1722" s="77">
        <v>3.731</v>
      </c>
      <c r="E1722" s="4">
        <f t="shared" si="3"/>
        <v>3.72675</v>
      </c>
      <c r="F1722" s="2">
        <f t="shared" si="4"/>
        <v>45139</v>
      </c>
    </row>
    <row r="1723" ht="12.75" customHeight="1">
      <c r="A1723" s="2">
        <v>45152.0</v>
      </c>
      <c r="B1723" s="77">
        <f t="shared" si="1"/>
        <v>8</v>
      </c>
      <c r="C1723" s="78">
        <f t="shared" si="2"/>
        <v>2023</v>
      </c>
      <c r="D1723" s="77">
        <v>3.746</v>
      </c>
      <c r="E1723" s="4">
        <f t="shared" si="3"/>
        <v>3.72675</v>
      </c>
      <c r="F1723" s="2">
        <f t="shared" si="4"/>
        <v>45139</v>
      </c>
    </row>
    <row r="1724" ht="12.75" customHeight="1">
      <c r="A1724" s="2">
        <v>45159.0</v>
      </c>
      <c r="B1724" s="77">
        <f t="shared" si="1"/>
        <v>8</v>
      </c>
      <c r="C1724" s="78">
        <f t="shared" si="2"/>
        <v>2023</v>
      </c>
      <c r="D1724" s="77">
        <v>3.746</v>
      </c>
      <c r="E1724" s="4">
        <f t="shared" si="3"/>
        <v>3.72675</v>
      </c>
      <c r="F1724" s="2">
        <f t="shared" si="4"/>
        <v>45139</v>
      </c>
    </row>
    <row r="1725" ht="12.75" customHeight="1">
      <c r="A1725" s="2">
        <v>45166.0</v>
      </c>
      <c r="B1725" s="77">
        <f t="shared" si="1"/>
        <v>8</v>
      </c>
      <c r="C1725" s="78">
        <f t="shared" si="2"/>
        <v>2023</v>
      </c>
      <c r="D1725" s="77">
        <v>3.684</v>
      </c>
      <c r="E1725" s="4">
        <f t="shared" si="3"/>
        <v>3.72675</v>
      </c>
      <c r="F1725" s="2">
        <f t="shared" si="4"/>
        <v>45139</v>
      </c>
    </row>
    <row r="1726" ht="12.75" customHeight="1">
      <c r="A1726" s="2">
        <v>45173.0</v>
      </c>
      <c r="B1726" s="77">
        <f t="shared" si="1"/>
        <v>9</v>
      </c>
      <c r="C1726" s="78">
        <f t="shared" si="2"/>
        <v>2023</v>
      </c>
      <c r="D1726" s="77">
        <v>3.68</v>
      </c>
      <c r="E1726" s="4">
        <f t="shared" si="3"/>
        <v>3.68975</v>
      </c>
      <c r="F1726" s="2">
        <f t="shared" si="4"/>
        <v>45170</v>
      </c>
    </row>
    <row r="1727" ht="12.75" customHeight="1">
      <c r="A1727" s="2">
        <v>45180.0</v>
      </c>
      <c r="B1727" s="77">
        <f t="shared" si="1"/>
        <v>9</v>
      </c>
      <c r="C1727" s="78">
        <f t="shared" si="2"/>
        <v>2023</v>
      </c>
      <c r="D1727" s="77">
        <v>3.692</v>
      </c>
      <c r="E1727" s="4">
        <f t="shared" si="3"/>
        <v>3.68975</v>
      </c>
      <c r="F1727" s="2">
        <f t="shared" si="4"/>
        <v>45170</v>
      </c>
    </row>
    <row r="1728" ht="12.75" customHeight="1">
      <c r="A1728" s="2">
        <v>45187.0</v>
      </c>
      <c r="B1728" s="77">
        <f t="shared" si="1"/>
        <v>9</v>
      </c>
      <c r="C1728" s="78">
        <f t="shared" si="2"/>
        <v>2023</v>
      </c>
      <c r="D1728" s="77">
        <v>3.724</v>
      </c>
      <c r="E1728" s="4">
        <f t="shared" si="3"/>
        <v>3.68975</v>
      </c>
      <c r="F1728" s="2">
        <f t="shared" si="4"/>
        <v>45170</v>
      </c>
    </row>
    <row r="1729" ht="12.75" customHeight="1">
      <c r="A1729" s="2">
        <v>45194.0</v>
      </c>
      <c r="B1729" s="77">
        <f t="shared" si="1"/>
        <v>9</v>
      </c>
      <c r="C1729" s="78">
        <f t="shared" si="2"/>
        <v>2023</v>
      </c>
      <c r="D1729" s="77">
        <v>3.663</v>
      </c>
      <c r="E1729" s="4">
        <f t="shared" si="3"/>
        <v>3.68975</v>
      </c>
      <c r="F1729" s="2">
        <f t="shared" si="4"/>
        <v>45170</v>
      </c>
    </row>
    <row r="1730" ht="12.75" customHeight="1">
      <c r="A1730" s="2">
        <v>45201.0</v>
      </c>
      <c r="B1730" s="77">
        <f t="shared" si="1"/>
        <v>10</v>
      </c>
      <c r="C1730" s="78">
        <f t="shared" si="2"/>
        <v>2023</v>
      </c>
      <c r="D1730" s="77">
        <v>3.598</v>
      </c>
      <c r="E1730" s="4">
        <f t="shared" si="3"/>
        <v>3.4394</v>
      </c>
      <c r="F1730" s="2">
        <f t="shared" si="4"/>
        <v>45200</v>
      </c>
    </row>
    <row r="1731" ht="12.75" customHeight="1">
      <c r="A1731" s="2">
        <v>45208.0</v>
      </c>
      <c r="B1731" s="77">
        <f t="shared" si="1"/>
        <v>10</v>
      </c>
      <c r="C1731" s="78">
        <f t="shared" si="2"/>
        <v>2023</v>
      </c>
      <c r="D1731" s="77">
        <v>3.506</v>
      </c>
      <c r="E1731" s="4">
        <f t="shared" si="3"/>
        <v>3.4394</v>
      </c>
      <c r="F1731" s="2">
        <f t="shared" si="4"/>
        <v>45200</v>
      </c>
    </row>
    <row r="1732" ht="12.75" customHeight="1">
      <c r="A1732" s="2">
        <v>45215.0</v>
      </c>
      <c r="B1732" s="77">
        <f t="shared" si="1"/>
        <v>10</v>
      </c>
      <c r="C1732" s="78">
        <f t="shared" si="2"/>
        <v>2023</v>
      </c>
      <c r="D1732" s="77">
        <v>3.404</v>
      </c>
      <c r="E1732" s="4">
        <f t="shared" si="3"/>
        <v>3.4394</v>
      </c>
      <c r="F1732" s="2">
        <f t="shared" si="4"/>
        <v>45200</v>
      </c>
    </row>
    <row r="1733" ht="12.75" customHeight="1">
      <c r="A1733" s="2">
        <v>45222.0</v>
      </c>
      <c r="B1733" s="77">
        <f t="shared" si="1"/>
        <v>10</v>
      </c>
      <c r="C1733" s="78">
        <f t="shared" si="2"/>
        <v>2023</v>
      </c>
      <c r="D1733" s="77">
        <v>3.369</v>
      </c>
      <c r="E1733" s="4">
        <f t="shared" si="3"/>
        <v>3.4394</v>
      </c>
      <c r="F1733" s="2">
        <f t="shared" si="4"/>
        <v>45200</v>
      </c>
    </row>
    <row r="1734" ht="12.75" customHeight="1">
      <c r="A1734" s="2">
        <v>45229.0</v>
      </c>
      <c r="B1734" s="77">
        <f t="shared" si="1"/>
        <v>10</v>
      </c>
      <c r="C1734" s="78">
        <f t="shared" si="2"/>
        <v>2023</v>
      </c>
      <c r="D1734" s="77">
        <v>3.32</v>
      </c>
      <c r="E1734" s="4">
        <f t="shared" si="3"/>
        <v>3.4394</v>
      </c>
      <c r="F1734" s="2">
        <f t="shared" si="4"/>
        <v>45200</v>
      </c>
    </row>
    <row r="1735" ht="12.75" customHeight="1">
      <c r="A1735" s="2">
        <v>45236.0</v>
      </c>
      <c r="B1735" s="77">
        <f t="shared" si="1"/>
        <v>11</v>
      </c>
      <c r="C1735" s="78">
        <f t="shared" si="2"/>
        <v>2023</v>
      </c>
      <c r="D1735" s="77">
        <v>3.245</v>
      </c>
      <c r="E1735" s="4">
        <f t="shared" si="3"/>
        <v>3.17225</v>
      </c>
      <c r="F1735" s="2">
        <f t="shared" si="4"/>
        <v>45231</v>
      </c>
    </row>
    <row r="1736" ht="12.75" customHeight="1">
      <c r="A1736" s="2">
        <v>45243.0</v>
      </c>
      <c r="B1736" s="77">
        <f t="shared" si="1"/>
        <v>11</v>
      </c>
      <c r="C1736" s="78">
        <f t="shared" si="2"/>
        <v>2023</v>
      </c>
      <c r="D1736" s="77">
        <v>3.212</v>
      </c>
      <c r="E1736" s="4">
        <f t="shared" si="3"/>
        <v>3.17225</v>
      </c>
      <c r="F1736" s="2">
        <f t="shared" si="4"/>
        <v>45231</v>
      </c>
    </row>
    <row r="1737" ht="12.75" customHeight="1">
      <c r="A1737" s="2">
        <v>45250.0</v>
      </c>
      <c r="B1737" s="77">
        <f t="shared" si="1"/>
        <v>11</v>
      </c>
      <c r="C1737" s="78">
        <f t="shared" si="2"/>
        <v>2023</v>
      </c>
      <c r="D1737" s="77">
        <v>3.144</v>
      </c>
      <c r="E1737" s="4">
        <f t="shared" si="3"/>
        <v>3.17225</v>
      </c>
      <c r="F1737" s="2">
        <f t="shared" si="4"/>
        <v>45231</v>
      </c>
    </row>
    <row r="1738" ht="12.75" customHeight="1">
      <c r="A1738" s="2">
        <v>45257.0</v>
      </c>
      <c r="B1738" s="77">
        <f t="shared" si="1"/>
        <v>11</v>
      </c>
      <c r="C1738" s="78">
        <f t="shared" si="2"/>
        <v>2023</v>
      </c>
      <c r="D1738" s="77">
        <v>3.088</v>
      </c>
      <c r="E1738" s="4">
        <f t="shared" si="3"/>
        <v>3.17225</v>
      </c>
      <c r="F1738" s="2">
        <f t="shared" si="4"/>
        <v>45231</v>
      </c>
    </row>
    <row r="1739" ht="12.75" customHeight="1">
      <c r="A1739" s="2">
        <v>45264.0</v>
      </c>
      <c r="B1739" s="77">
        <f t="shared" si="1"/>
        <v>12</v>
      </c>
      <c r="C1739" s="78">
        <f t="shared" si="2"/>
        <v>2023</v>
      </c>
      <c r="D1739" s="77">
        <v>3.104</v>
      </c>
      <c r="E1739" s="4">
        <f t="shared" si="3"/>
        <v>3.0135</v>
      </c>
      <c r="F1739" s="2">
        <f t="shared" si="4"/>
        <v>45261</v>
      </c>
    </row>
    <row r="1740" ht="12.75" customHeight="1">
      <c r="A1740" s="2">
        <v>45271.0</v>
      </c>
      <c r="B1740" s="77">
        <f t="shared" si="1"/>
        <v>12</v>
      </c>
      <c r="C1740" s="78">
        <f t="shared" si="2"/>
        <v>2023</v>
      </c>
      <c r="D1740" s="77">
        <v>3.014</v>
      </c>
      <c r="E1740" s="4">
        <f t="shared" si="3"/>
        <v>3.0135</v>
      </c>
      <c r="F1740" s="2">
        <f t="shared" si="4"/>
        <v>45261</v>
      </c>
    </row>
    <row r="1741" ht="12.75" customHeight="1">
      <c r="A1741" s="2">
        <v>45278.0</v>
      </c>
      <c r="B1741" s="77">
        <f t="shared" si="1"/>
        <v>12</v>
      </c>
      <c r="C1741" s="78">
        <f t="shared" si="2"/>
        <v>2023</v>
      </c>
      <c r="D1741" s="77">
        <v>2.931</v>
      </c>
      <c r="E1741" s="4">
        <f t="shared" si="3"/>
        <v>3.0135</v>
      </c>
      <c r="F1741" s="2">
        <f t="shared" si="4"/>
        <v>45261</v>
      </c>
    </row>
    <row r="1742" ht="12.75" customHeight="1">
      <c r="A1742" s="2">
        <v>45285.0</v>
      </c>
      <c r="B1742" s="77">
        <f t="shared" si="1"/>
        <v>12</v>
      </c>
      <c r="C1742" s="78">
        <f t="shared" si="2"/>
        <v>2023</v>
      </c>
      <c r="D1742" s="77">
        <v>3.005</v>
      </c>
      <c r="E1742" s="4">
        <f t="shared" si="3"/>
        <v>3.0135</v>
      </c>
      <c r="F1742" s="2">
        <f t="shared" si="4"/>
        <v>45261</v>
      </c>
    </row>
    <row r="1743" ht="12.75" customHeight="1">
      <c r="A1743" s="2">
        <v>45292.0</v>
      </c>
      <c r="B1743" s="77">
        <f t="shared" si="1"/>
        <v>1</v>
      </c>
      <c r="C1743" s="78">
        <f t="shared" si="2"/>
        <v>2024</v>
      </c>
      <c r="D1743" s="77">
        <v>2.966</v>
      </c>
      <c r="E1743" s="4">
        <f t="shared" si="3"/>
        <v>2.9568</v>
      </c>
      <c r="F1743" s="2">
        <f t="shared" si="4"/>
        <v>45292</v>
      </c>
    </row>
    <row r="1744" ht="12.75" customHeight="1">
      <c r="A1744" s="2">
        <v>45299.0</v>
      </c>
      <c r="B1744" s="77">
        <f t="shared" si="1"/>
        <v>1</v>
      </c>
      <c r="C1744" s="78">
        <f t="shared" si="2"/>
        <v>2024</v>
      </c>
      <c r="D1744" s="77">
        <v>2.945</v>
      </c>
      <c r="E1744" s="4">
        <f t="shared" si="3"/>
        <v>2.9568</v>
      </c>
      <c r="F1744" s="2">
        <f t="shared" si="4"/>
        <v>45292</v>
      </c>
    </row>
    <row r="1745" ht="12.75" customHeight="1">
      <c r="A1745" s="2">
        <v>45306.0</v>
      </c>
      <c r="B1745" s="77">
        <f t="shared" si="1"/>
        <v>1</v>
      </c>
      <c r="C1745" s="78">
        <f t="shared" si="2"/>
        <v>2024</v>
      </c>
      <c r="D1745" s="77">
        <v>2.944</v>
      </c>
      <c r="E1745" s="4">
        <f t="shared" si="3"/>
        <v>2.9568</v>
      </c>
      <c r="F1745" s="2">
        <f t="shared" si="4"/>
        <v>45292</v>
      </c>
    </row>
    <row r="1746" ht="12.75" customHeight="1">
      <c r="A1746" s="2">
        <v>45313.0</v>
      </c>
      <c r="B1746" s="77">
        <f t="shared" si="1"/>
        <v>1</v>
      </c>
      <c r="C1746" s="78">
        <f t="shared" si="2"/>
        <v>2024</v>
      </c>
      <c r="D1746" s="77">
        <v>2.95</v>
      </c>
      <c r="E1746" s="4">
        <f t="shared" si="3"/>
        <v>2.9568</v>
      </c>
      <c r="F1746" s="2">
        <f t="shared" si="4"/>
        <v>45292</v>
      </c>
    </row>
    <row r="1747" ht="12.75" customHeight="1">
      <c r="A1747" s="2">
        <v>45320.0</v>
      </c>
      <c r="B1747" s="77">
        <f t="shared" si="1"/>
        <v>1</v>
      </c>
      <c r="C1747" s="78">
        <f t="shared" si="2"/>
        <v>2024</v>
      </c>
      <c r="D1747" s="77">
        <v>2.979</v>
      </c>
      <c r="E1747" s="4">
        <f t="shared" si="3"/>
        <v>2.9568</v>
      </c>
      <c r="F1747" s="2">
        <f t="shared" si="4"/>
        <v>45292</v>
      </c>
    </row>
    <row r="1748" ht="12.75" customHeight="1">
      <c r="A1748" s="2">
        <v>45327.0</v>
      </c>
      <c r="B1748" s="77">
        <f t="shared" si="1"/>
        <v>2</v>
      </c>
      <c r="C1748" s="78">
        <f t="shared" si="2"/>
        <v>2024</v>
      </c>
      <c r="D1748" s="77">
        <v>3.021</v>
      </c>
      <c r="E1748" s="4">
        <f t="shared" si="3"/>
        <v>3.102</v>
      </c>
      <c r="F1748" s="2">
        <f t="shared" si="4"/>
        <v>45323</v>
      </c>
    </row>
    <row r="1749" ht="12.75" customHeight="1">
      <c r="A1749" s="2">
        <v>45334.0</v>
      </c>
      <c r="B1749" s="77">
        <f t="shared" si="1"/>
        <v>2</v>
      </c>
      <c r="C1749" s="78">
        <f t="shared" si="2"/>
        <v>2024</v>
      </c>
      <c r="D1749" s="77">
        <v>3.083</v>
      </c>
      <c r="E1749" s="4">
        <f t="shared" si="3"/>
        <v>3.102</v>
      </c>
      <c r="F1749" s="2">
        <f t="shared" si="4"/>
        <v>45323</v>
      </c>
    </row>
    <row r="1750" ht="12.75" customHeight="1">
      <c r="A1750" s="2">
        <v>45341.0</v>
      </c>
      <c r="B1750" s="77">
        <f t="shared" si="1"/>
        <v>2</v>
      </c>
      <c r="C1750" s="78">
        <f t="shared" si="2"/>
        <v>2024</v>
      </c>
      <c r="D1750" s="77">
        <v>3.159</v>
      </c>
      <c r="E1750" s="4">
        <f t="shared" si="3"/>
        <v>3.102</v>
      </c>
      <c r="F1750" s="2">
        <f t="shared" si="4"/>
        <v>45323</v>
      </c>
    </row>
    <row r="1751" ht="12.75" customHeight="1">
      <c r="A1751" s="2">
        <v>45348.0</v>
      </c>
      <c r="B1751" s="77">
        <f t="shared" si="1"/>
        <v>2</v>
      </c>
      <c r="C1751" s="78">
        <f t="shared" si="2"/>
        <v>2024</v>
      </c>
      <c r="D1751" s="77">
        <v>3.145</v>
      </c>
      <c r="E1751" s="4">
        <f t="shared" si="3"/>
        <v>3.102</v>
      </c>
      <c r="F1751" s="2">
        <f t="shared" si="4"/>
        <v>45323</v>
      </c>
    </row>
    <row r="1752" ht="12.75" customHeight="1">
      <c r="A1752" s="2">
        <v>45355.0</v>
      </c>
      <c r="B1752" s="77">
        <f t="shared" si="1"/>
        <v>3</v>
      </c>
      <c r="C1752" s="78">
        <f t="shared" si="2"/>
        <v>2024</v>
      </c>
      <c r="D1752" s="77">
        <v>3.243</v>
      </c>
      <c r="E1752" s="4">
        <f t="shared" si="3"/>
        <v>3.3175</v>
      </c>
      <c r="F1752" s="2">
        <f t="shared" si="4"/>
        <v>45352</v>
      </c>
    </row>
    <row r="1753" ht="12.75" customHeight="1">
      <c r="A1753" s="2">
        <v>45362.0</v>
      </c>
      <c r="B1753" s="77">
        <f t="shared" si="1"/>
        <v>3</v>
      </c>
      <c r="C1753" s="78">
        <f t="shared" si="2"/>
        <v>2024</v>
      </c>
      <c r="D1753" s="77">
        <v>3.27</v>
      </c>
      <c r="E1753" s="4">
        <f t="shared" si="3"/>
        <v>3.3175</v>
      </c>
      <c r="F1753" s="2">
        <f t="shared" si="4"/>
        <v>45352</v>
      </c>
    </row>
    <row r="1754" ht="12.75" customHeight="1">
      <c r="A1754" s="2">
        <v>45369.0</v>
      </c>
      <c r="B1754" s="77">
        <f t="shared" si="1"/>
        <v>3</v>
      </c>
      <c r="C1754" s="78">
        <f t="shared" si="2"/>
        <v>2024</v>
      </c>
      <c r="D1754" s="77">
        <v>3.348</v>
      </c>
      <c r="E1754" s="4">
        <f t="shared" si="3"/>
        <v>3.3175</v>
      </c>
      <c r="F1754" s="2">
        <f t="shared" si="4"/>
        <v>45352</v>
      </c>
    </row>
    <row r="1755" ht="12.75" customHeight="1">
      <c r="A1755" s="2">
        <v>45376.0</v>
      </c>
      <c r="B1755" s="77">
        <f t="shared" si="1"/>
        <v>3</v>
      </c>
      <c r="C1755" s="78">
        <f t="shared" si="2"/>
        <v>2024</v>
      </c>
      <c r="D1755" s="77">
        <v>3.409</v>
      </c>
      <c r="E1755" s="4">
        <f t="shared" si="3"/>
        <v>3.3175</v>
      </c>
      <c r="F1755" s="2">
        <f t="shared" si="4"/>
        <v>45352</v>
      </c>
    </row>
    <row r="1756" ht="12.75" customHeight="1">
      <c r="A1756" s="2">
        <v>45383.0</v>
      </c>
      <c r="B1756" s="77">
        <f t="shared" si="1"/>
        <v>4</v>
      </c>
      <c r="C1756" s="78">
        <f t="shared" si="2"/>
        <v>2024</v>
      </c>
      <c r="D1756" s="77">
        <v>3.401</v>
      </c>
      <c r="E1756" s="4">
        <f t="shared" si="3"/>
        <v>3.4664</v>
      </c>
      <c r="F1756" s="2">
        <f t="shared" si="4"/>
        <v>45383</v>
      </c>
    </row>
    <row r="1757" ht="12.75" customHeight="1">
      <c r="A1757" s="2">
        <v>45390.0</v>
      </c>
      <c r="B1757" s="77">
        <f t="shared" si="1"/>
        <v>4</v>
      </c>
      <c r="C1757" s="78">
        <f t="shared" si="2"/>
        <v>2024</v>
      </c>
      <c r="D1757" s="77">
        <v>3.448</v>
      </c>
      <c r="E1757" s="4">
        <f t="shared" si="3"/>
        <v>3.4664</v>
      </c>
      <c r="F1757" s="2">
        <f t="shared" si="4"/>
        <v>45383</v>
      </c>
    </row>
    <row r="1758" ht="12.75" customHeight="1">
      <c r="A1758" s="2">
        <v>45397.0</v>
      </c>
      <c r="B1758" s="77">
        <f t="shared" si="1"/>
        <v>4</v>
      </c>
      <c r="C1758" s="78">
        <f t="shared" si="2"/>
        <v>2024</v>
      </c>
      <c r="D1758" s="77">
        <v>3.479</v>
      </c>
      <c r="E1758" s="4">
        <f t="shared" si="3"/>
        <v>3.4664</v>
      </c>
      <c r="F1758" s="2">
        <f t="shared" si="4"/>
        <v>45383</v>
      </c>
    </row>
    <row r="1759" ht="12.75" customHeight="1">
      <c r="A1759" s="2">
        <v>45404.0</v>
      </c>
      <c r="B1759" s="77">
        <f t="shared" si="1"/>
        <v>4</v>
      </c>
      <c r="C1759" s="78">
        <f t="shared" si="2"/>
        <v>2024</v>
      </c>
      <c r="D1759" s="77">
        <v>3.506</v>
      </c>
      <c r="E1759" s="4">
        <f t="shared" si="3"/>
        <v>3.4664</v>
      </c>
      <c r="F1759" s="2">
        <f t="shared" si="4"/>
        <v>45383</v>
      </c>
    </row>
    <row r="1760" ht="12.75" customHeight="1">
      <c r="A1760" s="2">
        <v>45411.0</v>
      </c>
      <c r="B1760" s="77">
        <f t="shared" si="1"/>
        <v>4</v>
      </c>
      <c r="C1760" s="78">
        <f t="shared" si="2"/>
        <v>2024</v>
      </c>
      <c r="D1760" s="77">
        <v>3.498</v>
      </c>
      <c r="E1760" s="4">
        <f t="shared" si="3"/>
        <v>3.4664</v>
      </c>
      <c r="F1760" s="2">
        <f t="shared" si="4"/>
        <v>45383</v>
      </c>
    </row>
    <row r="1761" ht="12.75" customHeight="1">
      <c r="A1761" s="2">
        <v>45418.0</v>
      </c>
      <c r="B1761" s="77">
        <f t="shared" si="1"/>
        <v>5</v>
      </c>
      <c r="C1761" s="78">
        <f t="shared" si="2"/>
        <v>2024</v>
      </c>
      <c r="D1761" s="77">
        <v>3.487</v>
      </c>
      <c r="E1761" s="4">
        <f t="shared" si="3"/>
        <v>3.45875</v>
      </c>
      <c r="F1761" s="2">
        <f t="shared" si="4"/>
        <v>45413</v>
      </c>
    </row>
    <row r="1762" ht="12.75" customHeight="1">
      <c r="A1762" s="2">
        <v>45425.0</v>
      </c>
      <c r="B1762" s="77">
        <f t="shared" si="1"/>
        <v>5</v>
      </c>
      <c r="C1762" s="78">
        <f t="shared" si="2"/>
        <v>2024</v>
      </c>
      <c r="D1762" s="77">
        <v>3.463</v>
      </c>
      <c r="E1762" s="4">
        <f t="shared" si="3"/>
        <v>3.45875</v>
      </c>
      <c r="F1762" s="2">
        <f t="shared" si="4"/>
        <v>45413</v>
      </c>
    </row>
    <row r="1763" ht="12.75" customHeight="1">
      <c r="A1763" s="2">
        <v>45432.0</v>
      </c>
      <c r="B1763" s="77">
        <f t="shared" si="1"/>
        <v>5</v>
      </c>
      <c r="C1763" s="78">
        <f t="shared" si="2"/>
        <v>2024</v>
      </c>
      <c r="D1763" s="77">
        <v>3.451</v>
      </c>
      <c r="E1763" s="4">
        <f t="shared" si="3"/>
        <v>3.45875</v>
      </c>
      <c r="F1763" s="2">
        <f t="shared" si="4"/>
        <v>45413</v>
      </c>
    </row>
    <row r="1764" ht="12.75" customHeight="1">
      <c r="A1764" s="2">
        <v>45439.0</v>
      </c>
      <c r="B1764" s="77">
        <f t="shared" si="1"/>
        <v>5</v>
      </c>
      <c r="C1764" s="78">
        <f t="shared" si="2"/>
        <v>2024</v>
      </c>
      <c r="D1764" s="77">
        <v>3.434</v>
      </c>
      <c r="E1764" s="4">
        <f t="shared" si="3"/>
        <v>3.45875</v>
      </c>
      <c r="F1764" s="2">
        <f t="shared" si="4"/>
        <v>45413</v>
      </c>
    </row>
    <row r="1765" ht="12.75" customHeight="1">
      <c r="A1765" s="2">
        <v>45446.0</v>
      </c>
      <c r="B1765" s="77">
        <f t="shared" si="1"/>
        <v>6</v>
      </c>
      <c r="C1765" s="78">
        <f t="shared" si="2"/>
        <v>2024</v>
      </c>
      <c r="D1765" s="77">
        <v>3.376</v>
      </c>
      <c r="E1765" s="4">
        <f t="shared" si="3"/>
        <v>3.32625</v>
      </c>
      <c r="F1765" s="2">
        <f t="shared" si="4"/>
        <v>45444</v>
      </c>
    </row>
    <row r="1766" ht="12.75" customHeight="1">
      <c r="A1766" s="2">
        <v>45453.0</v>
      </c>
      <c r="B1766" s="77">
        <f t="shared" si="1"/>
        <v>6</v>
      </c>
      <c r="C1766" s="78">
        <f t="shared" si="2"/>
        <v>2024</v>
      </c>
      <c r="D1766" s="77">
        <v>3.297</v>
      </c>
      <c r="E1766" s="4">
        <f t="shared" si="3"/>
        <v>3.32625</v>
      </c>
      <c r="F1766" s="2">
        <f t="shared" si="4"/>
        <v>45444</v>
      </c>
    </row>
    <row r="1767" ht="12.75" customHeight="1">
      <c r="A1767" s="2">
        <v>45460.0</v>
      </c>
      <c r="B1767" s="77">
        <f t="shared" si="1"/>
        <v>6</v>
      </c>
      <c r="C1767" s="78">
        <f t="shared" si="2"/>
        <v>2024</v>
      </c>
      <c r="D1767" s="77">
        <v>3.31</v>
      </c>
      <c r="E1767" s="4">
        <f t="shared" si="3"/>
        <v>3.32625</v>
      </c>
      <c r="F1767" s="2">
        <f t="shared" si="4"/>
        <v>45444</v>
      </c>
    </row>
    <row r="1768" ht="12.75" customHeight="1">
      <c r="A1768" s="2">
        <v>45467.0</v>
      </c>
      <c r="B1768" s="77">
        <f t="shared" si="1"/>
        <v>6</v>
      </c>
      <c r="C1768" s="78">
        <f t="shared" si="2"/>
        <v>2024</v>
      </c>
      <c r="D1768" s="77">
        <v>3.322</v>
      </c>
      <c r="E1768" s="4">
        <f t="shared" si="3"/>
        <v>3.32625</v>
      </c>
      <c r="F1768" s="2">
        <f t="shared" si="4"/>
        <v>45444</v>
      </c>
    </row>
    <row r="1769" ht="12.75" customHeight="1">
      <c r="A1769" s="2">
        <v>45474.0</v>
      </c>
      <c r="B1769" s="77">
        <f t="shared" si="1"/>
        <v>7</v>
      </c>
      <c r="C1769" s="78">
        <f t="shared" si="2"/>
        <v>2024</v>
      </c>
      <c r="D1769" s="77">
        <v>3.371</v>
      </c>
      <c r="E1769" s="4">
        <f t="shared" si="3"/>
        <v>3.3776</v>
      </c>
      <c r="F1769" s="2">
        <f t="shared" si="4"/>
        <v>45474</v>
      </c>
    </row>
    <row r="1770" ht="12.75" customHeight="1">
      <c r="A1770" s="2">
        <v>45481.0</v>
      </c>
      <c r="B1770" s="77">
        <f t="shared" si="1"/>
        <v>7</v>
      </c>
      <c r="C1770" s="78">
        <f t="shared" si="2"/>
        <v>2024</v>
      </c>
      <c r="D1770" s="77">
        <v>3.384</v>
      </c>
      <c r="E1770" s="4">
        <f t="shared" si="3"/>
        <v>3.3776</v>
      </c>
      <c r="F1770" s="2">
        <f t="shared" si="4"/>
        <v>45474</v>
      </c>
    </row>
    <row r="1771" ht="12.75" customHeight="1">
      <c r="A1771" s="2">
        <v>45488.0</v>
      </c>
      <c r="B1771" s="77">
        <f t="shared" si="1"/>
        <v>7</v>
      </c>
      <c r="C1771" s="78">
        <f t="shared" si="2"/>
        <v>2024</v>
      </c>
      <c r="D1771" s="77">
        <v>3.388</v>
      </c>
      <c r="E1771" s="4">
        <f t="shared" si="3"/>
        <v>3.3776</v>
      </c>
      <c r="F1771" s="2">
        <f t="shared" si="4"/>
        <v>45474</v>
      </c>
    </row>
    <row r="1772" ht="12.75" customHeight="1">
      <c r="A1772" s="2">
        <v>45495.0</v>
      </c>
      <c r="B1772" s="77">
        <f t="shared" si="1"/>
        <v>7</v>
      </c>
      <c r="C1772" s="78">
        <f t="shared" si="2"/>
        <v>2024</v>
      </c>
      <c r="D1772" s="77">
        <v>3.364</v>
      </c>
      <c r="E1772" s="4">
        <f t="shared" si="3"/>
        <v>3.3776</v>
      </c>
      <c r="F1772" s="2">
        <f t="shared" si="4"/>
        <v>45474</v>
      </c>
    </row>
    <row r="1773" ht="12.75" customHeight="1">
      <c r="A1773" s="2">
        <v>45502.0</v>
      </c>
      <c r="B1773" s="77">
        <f t="shared" si="1"/>
        <v>7</v>
      </c>
      <c r="C1773" s="78">
        <f t="shared" si="2"/>
        <v>2024</v>
      </c>
      <c r="D1773" s="77">
        <v>3.381</v>
      </c>
      <c r="E1773" s="4">
        <f t="shared" si="3"/>
        <v>3.3776</v>
      </c>
      <c r="F1773" s="2">
        <f t="shared" si="4"/>
        <v>45474</v>
      </c>
    </row>
    <row r="1774" ht="12.75" customHeight="1">
      <c r="A1774" s="2">
        <v>45509.0</v>
      </c>
      <c r="B1774" s="77">
        <f t="shared" si="1"/>
        <v>8</v>
      </c>
      <c r="C1774" s="78">
        <f t="shared" si="2"/>
        <v>2024</v>
      </c>
      <c r="D1774" s="77">
        <v>3.357</v>
      </c>
      <c r="E1774" s="4">
        <f t="shared" si="3"/>
        <v>3.29525</v>
      </c>
      <c r="F1774" s="2">
        <f t="shared" si="4"/>
        <v>45505</v>
      </c>
    </row>
    <row r="1775" ht="12.75" customHeight="1">
      <c r="A1775" s="2">
        <v>45516.0</v>
      </c>
      <c r="B1775" s="77">
        <f t="shared" si="1"/>
        <v>8</v>
      </c>
      <c r="C1775" s="78">
        <f t="shared" si="2"/>
        <v>2024</v>
      </c>
      <c r="D1775" s="77">
        <v>3.326</v>
      </c>
      <c r="E1775" s="4">
        <f t="shared" si="3"/>
        <v>3.29525</v>
      </c>
      <c r="F1775" s="2">
        <f t="shared" si="4"/>
        <v>45505</v>
      </c>
    </row>
    <row r="1776" ht="12.75" customHeight="1">
      <c r="A1776" s="2">
        <v>45523.0</v>
      </c>
      <c r="B1776" s="77">
        <f t="shared" si="1"/>
        <v>8</v>
      </c>
      <c r="C1776" s="78">
        <f t="shared" si="2"/>
        <v>2024</v>
      </c>
      <c r="D1776" s="77">
        <v>3.286</v>
      </c>
      <c r="E1776" s="4">
        <f t="shared" si="3"/>
        <v>3.29525</v>
      </c>
      <c r="F1776" s="2">
        <f t="shared" si="4"/>
        <v>45505</v>
      </c>
    </row>
    <row r="1777" ht="12.75" customHeight="1">
      <c r="A1777" s="2">
        <v>45530.0</v>
      </c>
      <c r="B1777" s="77">
        <f t="shared" si="1"/>
        <v>8</v>
      </c>
      <c r="C1777" s="78">
        <f t="shared" si="2"/>
        <v>2024</v>
      </c>
      <c r="D1777" s="77">
        <v>3.212</v>
      </c>
      <c r="E1777" s="4">
        <f t="shared" si="3"/>
        <v>3.29525</v>
      </c>
      <c r="F1777" s="2">
        <f t="shared" si="4"/>
        <v>45505</v>
      </c>
    </row>
    <row r="1778" ht="12.75" customHeight="1">
      <c r="A1778" s="2">
        <v>45537.0</v>
      </c>
      <c r="B1778" s="77">
        <f t="shared" si="1"/>
        <v>9</v>
      </c>
      <c r="C1778" s="78">
        <f t="shared" si="2"/>
        <v>2024</v>
      </c>
      <c r="D1778" s="77">
        <v>3.191</v>
      </c>
      <c r="E1778" s="4">
        <f t="shared" si="3"/>
        <v>3.1058</v>
      </c>
      <c r="F1778" s="2">
        <f t="shared" si="4"/>
        <v>45536</v>
      </c>
    </row>
    <row r="1779" ht="12.75" customHeight="1">
      <c r="A1779" s="2">
        <v>45544.0</v>
      </c>
      <c r="B1779" s="77">
        <f t="shared" si="1"/>
        <v>9</v>
      </c>
      <c r="C1779" s="78">
        <f t="shared" si="2"/>
        <v>2024</v>
      </c>
      <c r="D1779" s="77">
        <v>3.12</v>
      </c>
      <c r="E1779" s="4">
        <f t="shared" si="3"/>
        <v>3.1058</v>
      </c>
      <c r="F1779" s="2">
        <f t="shared" si="4"/>
        <v>45536</v>
      </c>
    </row>
    <row r="1780" ht="12.75" customHeight="1">
      <c r="A1780" s="2">
        <v>45551.0</v>
      </c>
      <c r="B1780" s="77">
        <f t="shared" si="1"/>
        <v>9</v>
      </c>
      <c r="C1780" s="78">
        <f t="shared" si="2"/>
        <v>2024</v>
      </c>
      <c r="D1780" s="77">
        <v>3.057</v>
      </c>
      <c r="E1780" s="4">
        <f t="shared" si="3"/>
        <v>3.1058</v>
      </c>
      <c r="F1780" s="2">
        <f t="shared" si="4"/>
        <v>45536</v>
      </c>
    </row>
    <row r="1781" ht="12.75" customHeight="1">
      <c r="A1781" s="2">
        <v>45558.0</v>
      </c>
      <c r="B1781" s="77">
        <f t="shared" si="1"/>
        <v>9</v>
      </c>
      <c r="C1781" s="78">
        <f t="shared" si="2"/>
        <v>2024</v>
      </c>
      <c r="D1781" s="77">
        <v>3.074</v>
      </c>
      <c r="E1781" s="4">
        <f t="shared" si="3"/>
        <v>3.1058</v>
      </c>
      <c r="F1781" s="2">
        <f t="shared" si="4"/>
        <v>45536</v>
      </c>
    </row>
    <row r="1782" ht="12.75" customHeight="1">
      <c r="A1782" s="2">
        <v>45565.0</v>
      </c>
      <c r="B1782" s="77">
        <f t="shared" si="1"/>
        <v>9</v>
      </c>
      <c r="C1782" s="78">
        <f t="shared" si="2"/>
        <v>2024</v>
      </c>
      <c r="D1782" s="77">
        <v>3.087</v>
      </c>
      <c r="E1782" s="4">
        <f t="shared" si="3"/>
        <v>3.1058</v>
      </c>
      <c r="F1782" s="2">
        <f t="shared" si="4"/>
        <v>45536</v>
      </c>
    </row>
    <row r="1783" ht="12.75" customHeight="1">
      <c r="A1783" s="2">
        <v>45572.0</v>
      </c>
      <c r="B1783" s="77">
        <f t="shared" si="1"/>
        <v>10</v>
      </c>
      <c r="C1783" s="78">
        <f t="shared" si="2"/>
        <v>2024</v>
      </c>
      <c r="D1783" s="77">
        <v>3.026</v>
      </c>
      <c r="E1783" s="4">
        <f t="shared" si="3"/>
        <v>3.036</v>
      </c>
      <c r="F1783" s="2">
        <f t="shared" si="4"/>
        <v>45566</v>
      </c>
    </row>
    <row r="1784" ht="12.75" customHeight="1">
      <c r="A1784" s="2">
        <v>45579.0</v>
      </c>
      <c r="B1784" s="77">
        <f t="shared" si="1"/>
        <v>10</v>
      </c>
      <c r="C1784" s="78">
        <f t="shared" si="2"/>
        <v>2024</v>
      </c>
      <c r="D1784" s="77">
        <v>3.069</v>
      </c>
      <c r="E1784" s="4">
        <f t="shared" si="3"/>
        <v>3.036</v>
      </c>
      <c r="F1784" s="2">
        <f t="shared" si="4"/>
        <v>45566</v>
      </c>
    </row>
    <row r="1785" ht="12.75" customHeight="1">
      <c r="A1785" s="2">
        <v>45586.0</v>
      </c>
      <c r="B1785" s="77">
        <f t="shared" si="1"/>
        <v>10</v>
      </c>
      <c r="C1785" s="78">
        <f t="shared" si="2"/>
        <v>2024</v>
      </c>
      <c r="D1785" s="77">
        <v>3.044</v>
      </c>
      <c r="E1785" s="4">
        <f t="shared" si="3"/>
        <v>3.036</v>
      </c>
      <c r="F1785" s="2">
        <f t="shared" si="4"/>
        <v>45566</v>
      </c>
    </row>
    <row r="1786" ht="12.75" customHeight="1">
      <c r="A1786" s="2">
        <v>45593.0</v>
      </c>
      <c r="B1786" s="77">
        <f t="shared" si="1"/>
        <v>10</v>
      </c>
      <c r="C1786" s="78">
        <f t="shared" si="2"/>
        <v>2024</v>
      </c>
      <c r="D1786" s="77">
        <v>3.005</v>
      </c>
      <c r="E1786" s="4">
        <f t="shared" si="3"/>
        <v>3.036</v>
      </c>
      <c r="F1786" s="2">
        <f t="shared" si="4"/>
        <v>45566</v>
      </c>
    </row>
    <row r="1787" ht="12.75" customHeight="1">
      <c r="A1787" s="2">
        <v>45600.0</v>
      </c>
      <c r="B1787" s="77">
        <f t="shared" si="1"/>
        <v>11</v>
      </c>
      <c r="C1787" s="78">
        <f t="shared" si="2"/>
        <v>2024</v>
      </c>
      <c r="D1787" s="77">
        <v>2.975</v>
      </c>
      <c r="E1787" s="4">
        <f t="shared" si="3"/>
        <v>2.962333333</v>
      </c>
      <c r="F1787" s="2">
        <f t="shared" si="4"/>
        <v>45597</v>
      </c>
    </row>
    <row r="1788" ht="12.75" customHeight="1">
      <c r="A1788" s="2">
        <v>45607.0</v>
      </c>
      <c r="B1788" s="77">
        <f t="shared" si="1"/>
        <v>11</v>
      </c>
      <c r="C1788" s="78">
        <f t="shared" si="2"/>
        <v>2024</v>
      </c>
      <c r="D1788" s="77">
        <v>2.962</v>
      </c>
      <c r="E1788" s="4">
        <f t="shared" si="3"/>
        <v>2.962333333</v>
      </c>
      <c r="F1788" s="2">
        <f t="shared" si="4"/>
        <v>45597</v>
      </c>
    </row>
    <row r="1789" ht="12.75" customHeight="1">
      <c r="A1789" s="2">
        <v>45614.0</v>
      </c>
      <c r="B1789" s="77">
        <f t="shared" si="1"/>
        <v>11</v>
      </c>
      <c r="C1789" s="78">
        <f t="shared" si="2"/>
        <v>2024</v>
      </c>
      <c r="D1789" s="77">
        <v>2.95</v>
      </c>
      <c r="E1789" s="4">
        <f t="shared" si="3"/>
        <v>2.962333333</v>
      </c>
      <c r="F1789" s="2">
        <f t="shared" si="4"/>
        <v>45597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3.29"/>
    <col customWidth="1" min="3" max="6" width="17.86"/>
    <col customWidth="1" min="7" max="26" width="8.71"/>
  </cols>
  <sheetData>
    <row r="1" ht="12.75" customHeight="1">
      <c r="A1" s="1" t="s">
        <v>2828</v>
      </c>
      <c r="B1" s="1" t="s">
        <v>2829</v>
      </c>
      <c r="C1" s="1" t="s">
        <v>2830</v>
      </c>
      <c r="D1" s="1" t="s">
        <v>2831</v>
      </c>
      <c r="E1" s="1" t="s">
        <v>2832</v>
      </c>
      <c r="F1" s="1" t="s">
        <v>2833</v>
      </c>
    </row>
    <row r="2" ht="12.75" customHeight="1">
      <c r="A2" s="1" t="s">
        <v>2834</v>
      </c>
      <c r="B2" s="1" t="s">
        <v>2835</v>
      </c>
      <c r="C2" s="1" t="s">
        <v>2836</v>
      </c>
      <c r="D2" s="1">
        <f t="shared" ref="D2:D39" si="1">IFERROR(IFERROR(LEFT(C2,FIND("-",C2)-1),LEFT(C2,FIND("+",C2)-1)),1)*1</f>
        <v>900</v>
      </c>
      <c r="E2" s="1">
        <v>1100.0</v>
      </c>
      <c r="F2" s="1" t="s">
        <v>2837</v>
      </c>
    </row>
    <row r="3" ht="12.75" customHeight="1">
      <c r="A3" s="1" t="s">
        <v>2838</v>
      </c>
      <c r="B3" s="1" t="s">
        <v>2835</v>
      </c>
      <c r="C3" s="1" t="s">
        <v>2839</v>
      </c>
      <c r="D3" s="1">
        <f t="shared" si="1"/>
        <v>80</v>
      </c>
      <c r="E3" s="1">
        <v>120.0</v>
      </c>
      <c r="F3" s="1" t="s">
        <v>2837</v>
      </c>
    </row>
    <row r="4" ht="12.75" customHeight="1">
      <c r="A4" s="1" t="s">
        <v>2840</v>
      </c>
      <c r="B4" s="1" t="s">
        <v>2835</v>
      </c>
      <c r="C4" s="1" t="s">
        <v>2841</v>
      </c>
      <c r="D4" s="1">
        <f t="shared" si="1"/>
        <v>20</v>
      </c>
      <c r="E4" s="1">
        <v>30.0</v>
      </c>
      <c r="F4" s="1" t="s">
        <v>2837</v>
      </c>
    </row>
    <row r="5" ht="12.75" customHeight="1">
      <c r="A5" s="1" t="s">
        <v>2842</v>
      </c>
      <c r="B5" s="1" t="s">
        <v>2843</v>
      </c>
      <c r="C5" s="1" t="s">
        <v>2844</v>
      </c>
      <c r="D5" s="1">
        <f t="shared" si="1"/>
        <v>150</v>
      </c>
      <c r="E5" s="1">
        <v>200.0</v>
      </c>
      <c r="F5" s="1" t="s">
        <v>2837</v>
      </c>
    </row>
    <row r="6" ht="12.75" customHeight="1">
      <c r="A6" s="1" t="s">
        <v>2845</v>
      </c>
      <c r="B6" s="1" t="s">
        <v>2843</v>
      </c>
      <c r="C6" s="1" t="s">
        <v>2846</v>
      </c>
      <c r="D6" s="1">
        <f t="shared" si="1"/>
        <v>50</v>
      </c>
      <c r="E6" s="1">
        <v>75.0</v>
      </c>
      <c r="F6" s="1" t="s">
        <v>2837</v>
      </c>
    </row>
    <row r="7" ht="12.75" customHeight="1">
      <c r="A7" s="1" t="s">
        <v>2847</v>
      </c>
      <c r="B7" s="1" t="s">
        <v>2848</v>
      </c>
      <c r="C7" s="1" t="s">
        <v>2849</v>
      </c>
      <c r="D7" s="1">
        <f t="shared" si="1"/>
        <v>50</v>
      </c>
      <c r="E7" s="1">
        <v>60.0</v>
      </c>
      <c r="F7" s="1" t="s">
        <v>2837</v>
      </c>
    </row>
    <row r="8" ht="12.75" customHeight="1">
      <c r="A8" s="1" t="s">
        <v>2850</v>
      </c>
      <c r="B8" s="1" t="s">
        <v>2835</v>
      </c>
      <c r="C8" s="1" t="s">
        <v>2851</v>
      </c>
      <c r="D8" s="1">
        <f t="shared" si="1"/>
        <v>10</v>
      </c>
      <c r="E8" s="1">
        <v>15.0</v>
      </c>
      <c r="F8" s="1" t="s">
        <v>2837</v>
      </c>
    </row>
    <row r="9" ht="12.75" customHeight="1">
      <c r="A9" s="1" t="s">
        <v>2852</v>
      </c>
      <c r="B9" s="1" t="s">
        <v>2835</v>
      </c>
      <c r="C9" s="1" t="s">
        <v>2853</v>
      </c>
      <c r="D9" s="1">
        <f t="shared" si="1"/>
        <v>5</v>
      </c>
      <c r="E9" s="1">
        <v>10.0</v>
      </c>
      <c r="F9" s="1" t="s">
        <v>2837</v>
      </c>
    </row>
    <row r="10" ht="12.75" customHeight="1">
      <c r="A10" s="1" t="s">
        <v>2854</v>
      </c>
      <c r="B10" s="1" t="s">
        <v>2835</v>
      </c>
      <c r="C10" s="1" t="s">
        <v>2855</v>
      </c>
      <c r="D10" s="1">
        <f t="shared" si="1"/>
        <v>2</v>
      </c>
      <c r="E10" s="1">
        <v>5.0</v>
      </c>
      <c r="F10" s="1" t="s">
        <v>2837</v>
      </c>
    </row>
    <row r="11" ht="12.75" customHeight="1">
      <c r="A11" s="1" t="s">
        <v>2834</v>
      </c>
      <c r="B11" s="1" t="s">
        <v>2835</v>
      </c>
      <c r="C11" s="1" t="s">
        <v>2856</v>
      </c>
      <c r="D11" s="1">
        <f t="shared" si="1"/>
        <v>1200</v>
      </c>
      <c r="E11" s="1">
        <f t="shared" ref="E11:E12" si="2">D11*1.44</f>
        <v>1728</v>
      </c>
      <c r="F11" s="1" t="s">
        <v>2857</v>
      </c>
    </row>
    <row r="12" ht="12.75" customHeight="1">
      <c r="A12" s="1" t="s">
        <v>2838</v>
      </c>
      <c r="B12" s="1" t="s">
        <v>2835</v>
      </c>
      <c r="C12" s="1" t="s">
        <v>2858</v>
      </c>
      <c r="D12" s="1">
        <f t="shared" si="1"/>
        <v>200</v>
      </c>
      <c r="E12" s="1">
        <f t="shared" si="2"/>
        <v>288</v>
      </c>
      <c r="F12" s="1" t="s">
        <v>2857</v>
      </c>
    </row>
    <row r="13" ht="12.75" customHeight="1">
      <c r="A13" s="1" t="s">
        <v>2840</v>
      </c>
      <c r="B13" s="1" t="s">
        <v>2835</v>
      </c>
      <c r="C13" s="1" t="s">
        <v>2859</v>
      </c>
      <c r="D13" s="1">
        <f t="shared" si="1"/>
        <v>50</v>
      </c>
      <c r="E13" s="1">
        <v>70.0</v>
      </c>
      <c r="F13" s="1" t="s">
        <v>2857</v>
      </c>
    </row>
    <row r="14" ht="12.75" customHeight="1">
      <c r="A14" s="1" t="s">
        <v>2847</v>
      </c>
      <c r="B14" s="1" t="s">
        <v>2848</v>
      </c>
      <c r="C14" s="1" t="s">
        <v>2860</v>
      </c>
      <c r="D14" s="1">
        <f t="shared" si="1"/>
        <v>70</v>
      </c>
      <c r="E14" s="1">
        <v>90.0</v>
      </c>
      <c r="F14" s="1" t="s">
        <v>2857</v>
      </c>
    </row>
    <row r="15" ht="12.75" customHeight="1">
      <c r="A15" s="1" t="s">
        <v>2861</v>
      </c>
      <c r="B15" s="1" t="s">
        <v>2862</v>
      </c>
      <c r="C15" s="1" t="s">
        <v>2863</v>
      </c>
      <c r="D15" s="1">
        <f t="shared" si="1"/>
        <v>30</v>
      </c>
      <c r="E15" s="1">
        <v>50.0</v>
      </c>
      <c r="F15" s="1" t="s">
        <v>2857</v>
      </c>
    </row>
    <row r="16" ht="12.75" customHeight="1">
      <c r="A16" s="1" t="s">
        <v>2864</v>
      </c>
      <c r="B16" s="1" t="s">
        <v>2835</v>
      </c>
      <c r="C16" s="1" t="s">
        <v>2865</v>
      </c>
      <c r="D16" s="1">
        <f t="shared" si="1"/>
        <v>1</v>
      </c>
      <c r="E16" s="1">
        <f>D16*1.44</f>
        <v>1.44</v>
      </c>
      <c r="F16" s="1" t="s">
        <v>2857</v>
      </c>
    </row>
    <row r="17" ht="12.75" customHeight="1">
      <c r="A17" s="1" t="s">
        <v>2834</v>
      </c>
      <c r="B17" s="1" t="s">
        <v>2835</v>
      </c>
      <c r="C17" s="1" t="s">
        <v>2866</v>
      </c>
      <c r="D17" s="1">
        <f t="shared" si="1"/>
        <v>700</v>
      </c>
      <c r="E17" s="1">
        <v>900.0</v>
      </c>
      <c r="F17" s="1" t="s">
        <v>2867</v>
      </c>
    </row>
    <row r="18" ht="12.75" customHeight="1">
      <c r="A18" s="1" t="s">
        <v>2838</v>
      </c>
      <c r="B18" s="1" t="s">
        <v>2835</v>
      </c>
      <c r="C18" s="1" t="s">
        <v>2844</v>
      </c>
      <c r="D18" s="1">
        <f t="shared" si="1"/>
        <v>150</v>
      </c>
      <c r="E18" s="1">
        <v>200.0</v>
      </c>
      <c r="F18" s="1" t="s">
        <v>2867</v>
      </c>
    </row>
    <row r="19" ht="12.75" customHeight="1">
      <c r="A19" s="1" t="s">
        <v>2840</v>
      </c>
      <c r="B19" s="1" t="s">
        <v>2835</v>
      </c>
      <c r="C19" s="1" t="s">
        <v>2868</v>
      </c>
      <c r="D19" s="1">
        <f t="shared" si="1"/>
        <v>60</v>
      </c>
      <c r="E19" s="1">
        <v>80.0</v>
      </c>
      <c r="F19" s="1" t="s">
        <v>2867</v>
      </c>
    </row>
    <row r="20" ht="12.75" customHeight="1">
      <c r="A20" s="1" t="s">
        <v>2842</v>
      </c>
      <c r="B20" s="1" t="s">
        <v>2843</v>
      </c>
      <c r="C20" s="1" t="s">
        <v>2869</v>
      </c>
      <c r="D20" s="1">
        <f t="shared" si="1"/>
        <v>200</v>
      </c>
      <c r="E20" s="1">
        <v>250.0</v>
      </c>
      <c r="F20" s="1" t="s">
        <v>2867</v>
      </c>
    </row>
    <row r="21" ht="12.75" customHeight="1">
      <c r="A21" s="1" t="s">
        <v>2845</v>
      </c>
      <c r="B21" s="1" t="s">
        <v>2843</v>
      </c>
      <c r="C21" s="1" t="s">
        <v>2846</v>
      </c>
      <c r="D21" s="1">
        <f t="shared" si="1"/>
        <v>50</v>
      </c>
      <c r="E21" s="1">
        <v>75.0</v>
      </c>
      <c r="F21" s="1" t="s">
        <v>2867</v>
      </c>
    </row>
    <row r="22" ht="12.75" customHeight="1">
      <c r="A22" s="1" t="s">
        <v>2847</v>
      </c>
      <c r="B22" s="1" t="s">
        <v>2848</v>
      </c>
      <c r="C22" s="1" t="s">
        <v>2849</v>
      </c>
      <c r="D22" s="1">
        <f t="shared" si="1"/>
        <v>50</v>
      </c>
      <c r="E22" s="1">
        <v>60.0</v>
      </c>
      <c r="F22" s="1" t="s">
        <v>2867</v>
      </c>
    </row>
    <row r="23" ht="12.75" customHeight="1">
      <c r="A23" s="1" t="s">
        <v>2870</v>
      </c>
      <c r="B23" s="1" t="s">
        <v>2871</v>
      </c>
      <c r="C23" s="1" t="s">
        <v>2872</v>
      </c>
      <c r="D23" s="1">
        <f t="shared" si="1"/>
        <v>8</v>
      </c>
      <c r="E23" s="1">
        <v>12.0</v>
      </c>
      <c r="F23" s="1" t="s">
        <v>2867</v>
      </c>
    </row>
    <row r="24" ht="12.75" customHeight="1">
      <c r="A24" s="1" t="s">
        <v>2873</v>
      </c>
      <c r="B24" s="1" t="s">
        <v>2835</v>
      </c>
      <c r="C24" s="1" t="s">
        <v>2874</v>
      </c>
      <c r="D24" s="1">
        <f t="shared" si="1"/>
        <v>25</v>
      </c>
      <c r="E24" s="1">
        <v>30.0</v>
      </c>
      <c r="F24" s="1" t="s">
        <v>2867</v>
      </c>
    </row>
    <row r="25" ht="12.75" customHeight="1">
      <c r="A25" s="1" t="s">
        <v>2875</v>
      </c>
      <c r="B25" s="1" t="s">
        <v>2835</v>
      </c>
      <c r="C25" s="1" t="s">
        <v>2853</v>
      </c>
      <c r="D25" s="1">
        <f t="shared" si="1"/>
        <v>5</v>
      </c>
      <c r="E25" s="1">
        <v>10.0</v>
      </c>
      <c r="F25" s="1" t="s">
        <v>2867</v>
      </c>
    </row>
    <row r="26" ht="12.75" customHeight="1">
      <c r="A26" s="1" t="s">
        <v>2876</v>
      </c>
      <c r="B26" s="1" t="s">
        <v>2835</v>
      </c>
      <c r="C26" s="1" t="s">
        <v>2877</v>
      </c>
      <c r="D26" s="1">
        <f t="shared" si="1"/>
        <v>5</v>
      </c>
      <c r="E26" s="1">
        <v>7.0</v>
      </c>
      <c r="F26" s="1" t="s">
        <v>2867</v>
      </c>
    </row>
    <row r="27" ht="12.75" customHeight="1">
      <c r="A27" s="1" t="s">
        <v>2878</v>
      </c>
      <c r="B27" s="1" t="s">
        <v>2871</v>
      </c>
      <c r="C27" s="1" t="s">
        <v>2879</v>
      </c>
      <c r="D27" s="1">
        <f t="shared" si="1"/>
        <v>30</v>
      </c>
      <c r="E27" s="1">
        <v>50.0</v>
      </c>
      <c r="F27" s="1" t="s">
        <v>2867</v>
      </c>
    </row>
    <row r="28" ht="12.75" customHeight="1">
      <c r="A28" s="1" t="s">
        <v>2834</v>
      </c>
      <c r="B28" s="1" t="s">
        <v>2835</v>
      </c>
      <c r="C28" s="1" t="s">
        <v>2866</v>
      </c>
      <c r="D28" s="1">
        <f t="shared" si="1"/>
        <v>700</v>
      </c>
      <c r="E28" s="1">
        <v>900.0</v>
      </c>
      <c r="F28" s="1" t="s">
        <v>2880</v>
      </c>
    </row>
    <row r="29" ht="12.75" customHeight="1">
      <c r="A29" s="1" t="s">
        <v>2838</v>
      </c>
      <c r="B29" s="1" t="s">
        <v>2835</v>
      </c>
      <c r="C29" s="1" t="s">
        <v>2881</v>
      </c>
      <c r="D29" s="1">
        <f t="shared" si="1"/>
        <v>250</v>
      </c>
      <c r="E29" s="1">
        <v>300.0</v>
      </c>
      <c r="F29" s="1" t="s">
        <v>2880</v>
      </c>
    </row>
    <row r="30" ht="12.75" customHeight="1">
      <c r="A30" s="1" t="s">
        <v>2840</v>
      </c>
      <c r="B30" s="1" t="s">
        <v>2835</v>
      </c>
      <c r="C30" s="1" t="s">
        <v>2839</v>
      </c>
      <c r="D30" s="1">
        <f t="shared" si="1"/>
        <v>80</v>
      </c>
      <c r="E30" s="1">
        <v>120.0</v>
      </c>
      <c r="F30" s="1" t="s">
        <v>2880</v>
      </c>
    </row>
    <row r="31" ht="12.75" customHeight="1">
      <c r="A31" s="1" t="s">
        <v>2842</v>
      </c>
      <c r="B31" s="1" t="s">
        <v>2843</v>
      </c>
      <c r="C31" s="1" t="s">
        <v>2881</v>
      </c>
      <c r="D31" s="1">
        <f t="shared" si="1"/>
        <v>250</v>
      </c>
      <c r="E31" s="1">
        <v>300.0</v>
      </c>
      <c r="F31" s="1" t="s">
        <v>2880</v>
      </c>
    </row>
    <row r="32" ht="12.75" customHeight="1">
      <c r="A32" s="1" t="s">
        <v>2845</v>
      </c>
      <c r="B32" s="1" t="s">
        <v>2843</v>
      </c>
      <c r="C32" s="1" t="s">
        <v>2846</v>
      </c>
      <c r="D32" s="1">
        <f t="shared" si="1"/>
        <v>50</v>
      </c>
      <c r="E32" s="1">
        <v>75.0</v>
      </c>
      <c r="F32" s="1" t="s">
        <v>2880</v>
      </c>
    </row>
    <row r="33" ht="12.75" customHeight="1">
      <c r="A33" s="1" t="s">
        <v>2847</v>
      </c>
      <c r="B33" s="1" t="s">
        <v>2848</v>
      </c>
      <c r="C33" s="1" t="s">
        <v>2882</v>
      </c>
      <c r="D33" s="1">
        <f t="shared" si="1"/>
        <v>60</v>
      </c>
      <c r="E33" s="1">
        <v>70.0</v>
      </c>
      <c r="F33" s="1" t="s">
        <v>2880</v>
      </c>
    </row>
    <row r="34" ht="12.75" customHeight="1">
      <c r="A34" s="1" t="s">
        <v>2870</v>
      </c>
      <c r="B34" s="1" t="s">
        <v>2871</v>
      </c>
      <c r="C34" s="1" t="s">
        <v>2883</v>
      </c>
      <c r="D34" s="1">
        <f t="shared" si="1"/>
        <v>12</v>
      </c>
      <c r="E34" s="1">
        <v>15.0</v>
      </c>
      <c r="F34" s="1" t="s">
        <v>2880</v>
      </c>
    </row>
    <row r="35" ht="12.75" customHeight="1">
      <c r="A35" s="1" t="s">
        <v>2873</v>
      </c>
      <c r="B35" s="1" t="s">
        <v>2835</v>
      </c>
      <c r="C35" s="1" t="s">
        <v>2884</v>
      </c>
      <c r="D35" s="1">
        <f t="shared" si="1"/>
        <v>40</v>
      </c>
      <c r="E35" s="1">
        <v>50.0</v>
      </c>
      <c r="F35" s="1" t="s">
        <v>2880</v>
      </c>
    </row>
    <row r="36" ht="12.75" customHeight="1">
      <c r="A36" s="1" t="s">
        <v>2875</v>
      </c>
      <c r="B36" s="1" t="s">
        <v>2835</v>
      </c>
      <c r="C36" s="1" t="s">
        <v>2851</v>
      </c>
      <c r="D36" s="1">
        <f t="shared" si="1"/>
        <v>10</v>
      </c>
      <c r="E36" s="1">
        <v>15.0</v>
      </c>
      <c r="F36" s="1" t="s">
        <v>2880</v>
      </c>
    </row>
    <row r="37" ht="12.75" customHeight="1">
      <c r="A37" s="1" t="s">
        <v>2876</v>
      </c>
      <c r="B37" s="1" t="s">
        <v>2835</v>
      </c>
      <c r="C37" s="1" t="s">
        <v>2877</v>
      </c>
      <c r="D37" s="1">
        <f t="shared" si="1"/>
        <v>5</v>
      </c>
      <c r="E37" s="1">
        <v>7.0</v>
      </c>
      <c r="F37" s="1" t="s">
        <v>2880</v>
      </c>
    </row>
    <row r="38" ht="12.75" customHeight="1">
      <c r="A38" s="1" t="s">
        <v>2878</v>
      </c>
      <c r="B38" s="1" t="s">
        <v>2871</v>
      </c>
      <c r="C38" s="1" t="s">
        <v>2859</v>
      </c>
      <c r="D38" s="1">
        <f t="shared" si="1"/>
        <v>50</v>
      </c>
      <c r="E38" s="1">
        <v>70.0</v>
      </c>
      <c r="F38" s="1" t="s">
        <v>2880</v>
      </c>
    </row>
    <row r="39" ht="12.75" customHeight="1">
      <c r="A39" s="1" t="s">
        <v>2885</v>
      </c>
      <c r="B39" s="1" t="s">
        <v>2871</v>
      </c>
      <c r="C39" s="1" t="s">
        <v>2865</v>
      </c>
      <c r="D39" s="1">
        <f t="shared" si="1"/>
        <v>1</v>
      </c>
      <c r="E39" s="1">
        <f>D39*1.44</f>
        <v>1.44</v>
      </c>
      <c r="F39" s="1" t="s">
        <v>2880</v>
      </c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3.29"/>
    <col customWidth="1" min="3" max="3" width="24.71"/>
    <col customWidth="1" min="4" max="4" width="41.86"/>
    <col customWidth="1" min="5" max="5" width="48.86"/>
    <col customWidth="1" min="6" max="6" width="55.86"/>
    <col customWidth="1" min="7" max="7" width="50.0"/>
    <col customWidth="1" min="8" max="8" width="25.14"/>
    <col customWidth="1" min="9" max="9" width="37.71"/>
    <col customWidth="1" min="10" max="10" width="31.0"/>
    <col customWidth="1" min="11" max="11" width="26.57"/>
    <col customWidth="1" min="12" max="12" width="26.0"/>
    <col customWidth="1" min="13" max="26" width="8.71"/>
  </cols>
  <sheetData>
    <row r="1" ht="12.75" customHeight="1">
      <c r="A1" s="1" t="s">
        <v>2825</v>
      </c>
      <c r="B1" s="79" t="s">
        <v>2835</v>
      </c>
      <c r="C1" s="1" t="s">
        <v>2843</v>
      </c>
      <c r="D1" s="1" t="s">
        <v>2886</v>
      </c>
      <c r="E1" s="1" t="s">
        <v>2862</v>
      </c>
      <c r="F1" s="1" t="s">
        <v>2887</v>
      </c>
      <c r="G1" s="1" t="s">
        <v>2871</v>
      </c>
      <c r="H1" s="1" t="s">
        <v>2848</v>
      </c>
      <c r="I1" s="1" t="s">
        <v>2888</v>
      </c>
      <c r="J1" s="1" t="s">
        <v>2889</v>
      </c>
      <c r="K1" s="1" t="s">
        <v>2890</v>
      </c>
      <c r="L1" s="1" t="s">
        <v>2891</v>
      </c>
      <c r="M1" s="1" t="s">
        <v>2892</v>
      </c>
    </row>
    <row r="2" ht="12.75" customHeight="1">
      <c r="A2" s="2">
        <v>36526.0</v>
      </c>
      <c r="B2" s="1">
        <v>128.3</v>
      </c>
      <c r="C2" s="1">
        <v>123.8</v>
      </c>
      <c r="D2" s="1">
        <v>120.8</v>
      </c>
      <c r="E2" s="1">
        <v>149.0</v>
      </c>
      <c r="F2" s="1">
        <v>119.0</v>
      </c>
      <c r="G2" s="1">
        <v>147.7</v>
      </c>
      <c r="H2" s="1">
        <v>141.5</v>
      </c>
      <c r="I2" s="1">
        <v>121.0</v>
      </c>
      <c r="J2" s="1">
        <v>76.3</v>
      </c>
      <c r="K2" s="1">
        <v>76.1</v>
      </c>
      <c r="L2" s="1">
        <v>126.8</v>
      </c>
      <c r="M2" s="1" t="s">
        <v>2827</v>
      </c>
    </row>
    <row r="3" ht="12.75" customHeight="1">
      <c r="A3" s="2">
        <v>36557.0</v>
      </c>
      <c r="B3" s="1">
        <v>128.8</v>
      </c>
      <c r="C3" s="1">
        <v>123.7</v>
      </c>
      <c r="D3" s="1">
        <v>121.0</v>
      </c>
      <c r="E3" s="1">
        <v>148.9</v>
      </c>
      <c r="F3" s="1">
        <v>118.8</v>
      </c>
      <c r="G3" s="1">
        <v>148.9</v>
      </c>
      <c r="H3" s="1">
        <v>141.7</v>
      </c>
      <c r="I3" s="1">
        <v>120.6</v>
      </c>
      <c r="J3" s="1">
        <v>86.1</v>
      </c>
      <c r="K3" s="1">
        <v>86.1</v>
      </c>
      <c r="L3" s="1">
        <v>126.7</v>
      </c>
      <c r="M3" s="1" t="s">
        <v>2827</v>
      </c>
    </row>
    <row r="4" ht="12.75" customHeight="1">
      <c r="A4" s="2">
        <v>36586.0</v>
      </c>
      <c r="B4" s="1">
        <v>128.7</v>
      </c>
      <c r="C4" s="1">
        <v>123.9</v>
      </c>
      <c r="D4" s="1">
        <v>121.2</v>
      </c>
      <c r="E4" s="1">
        <v>148.4</v>
      </c>
      <c r="F4" s="1">
        <v>118.6</v>
      </c>
      <c r="G4" s="1">
        <v>149.9</v>
      </c>
      <c r="H4" s="1">
        <v>142.1</v>
      </c>
      <c r="I4" s="1">
        <v>118.4</v>
      </c>
      <c r="J4" s="1">
        <v>94.9</v>
      </c>
      <c r="K4" s="1">
        <v>90.0</v>
      </c>
      <c r="L4" s="1">
        <v>126.7</v>
      </c>
      <c r="M4" s="1" t="s">
        <v>2827</v>
      </c>
    </row>
    <row r="5" ht="12.75" customHeight="1">
      <c r="A5" s="2">
        <v>36617.0</v>
      </c>
      <c r="B5" s="1">
        <v>128.6</v>
      </c>
      <c r="C5" s="1">
        <v>124.3</v>
      </c>
      <c r="D5" s="1">
        <v>121.3</v>
      </c>
      <c r="E5" s="1">
        <v>149.2</v>
      </c>
      <c r="F5" s="1">
        <v>118.7</v>
      </c>
      <c r="G5" s="1">
        <v>150.7</v>
      </c>
      <c r="H5" s="1">
        <v>142.7</v>
      </c>
      <c r="I5" s="1">
        <v>129.5</v>
      </c>
      <c r="J5" s="1">
        <v>88.8</v>
      </c>
      <c r="K5" s="1">
        <v>84.1</v>
      </c>
      <c r="L5" s="1">
        <v>126.8</v>
      </c>
      <c r="M5" s="1" t="s">
        <v>2827</v>
      </c>
    </row>
    <row r="6" ht="12.75" customHeight="1">
      <c r="A6" s="2">
        <v>36647.0</v>
      </c>
      <c r="B6" s="1">
        <v>128.2</v>
      </c>
      <c r="C6" s="1">
        <v>124.4</v>
      </c>
      <c r="D6" s="1">
        <v>121.4</v>
      </c>
      <c r="E6" s="1">
        <v>149.7</v>
      </c>
      <c r="F6" s="1">
        <v>118.8</v>
      </c>
      <c r="G6" s="1">
        <v>151.3</v>
      </c>
      <c r="H6" s="1">
        <v>143.0</v>
      </c>
      <c r="I6" s="1">
        <v>128.6</v>
      </c>
      <c r="J6" s="1">
        <v>95.2</v>
      </c>
      <c r="K6" s="1">
        <v>82.8</v>
      </c>
      <c r="L6" s="1">
        <v>128.6</v>
      </c>
      <c r="M6" s="1" t="s">
        <v>2827</v>
      </c>
    </row>
    <row r="7" ht="12.75" customHeight="1">
      <c r="A7" s="2">
        <v>36678.0</v>
      </c>
      <c r="B7" s="1">
        <v>127.9</v>
      </c>
      <c r="C7" s="1">
        <v>125.2</v>
      </c>
      <c r="D7" s="1">
        <v>121.4</v>
      </c>
      <c r="E7" s="1">
        <v>149.6</v>
      </c>
      <c r="F7" s="1">
        <v>118.8</v>
      </c>
      <c r="G7" s="1">
        <v>151.7</v>
      </c>
      <c r="H7" s="1">
        <v>143.1</v>
      </c>
      <c r="I7" s="1">
        <v>127.7</v>
      </c>
      <c r="J7" s="1">
        <v>110.3</v>
      </c>
      <c r="K7" s="1">
        <v>85.7</v>
      </c>
      <c r="L7" s="1">
        <v>133.6</v>
      </c>
      <c r="M7" s="1" t="s">
        <v>2827</v>
      </c>
    </row>
    <row r="8" ht="12.75" customHeight="1">
      <c r="A8" s="2">
        <v>36708.0</v>
      </c>
      <c r="B8" s="1">
        <v>128.0</v>
      </c>
      <c r="C8" s="1">
        <v>125.8</v>
      </c>
      <c r="D8" s="1">
        <v>121.6</v>
      </c>
      <c r="E8" s="1">
        <v>151.0</v>
      </c>
      <c r="F8" s="1">
        <v>119.0</v>
      </c>
      <c r="G8" s="1">
        <v>152.6</v>
      </c>
      <c r="H8" s="1">
        <v>142.9</v>
      </c>
      <c r="I8" s="1">
        <v>127.5</v>
      </c>
      <c r="J8" s="1">
        <v>100.0</v>
      </c>
      <c r="K8" s="1">
        <v>89.5</v>
      </c>
      <c r="L8" s="1">
        <v>136.2</v>
      </c>
      <c r="M8" s="1" t="s">
        <v>2827</v>
      </c>
    </row>
    <row r="9" ht="12.75" customHeight="1">
      <c r="A9" s="2">
        <v>36739.0</v>
      </c>
      <c r="B9" s="1">
        <v>128.0</v>
      </c>
      <c r="C9" s="1">
        <v>125.7</v>
      </c>
      <c r="D9" s="1">
        <v>121.7</v>
      </c>
      <c r="E9" s="1">
        <v>152.3</v>
      </c>
      <c r="F9" s="1">
        <v>118.9</v>
      </c>
      <c r="G9" s="1">
        <v>152.0</v>
      </c>
      <c r="H9" s="1">
        <v>142.7</v>
      </c>
      <c r="I9" s="1">
        <v>127.0</v>
      </c>
      <c r="J9" s="1">
        <v>94.3</v>
      </c>
      <c r="K9" s="1">
        <v>92.1</v>
      </c>
      <c r="L9" s="1">
        <v>137.4</v>
      </c>
      <c r="M9" s="1" t="s">
        <v>2827</v>
      </c>
    </row>
    <row r="10" ht="12.75" customHeight="1">
      <c r="A10" s="2">
        <v>36770.0</v>
      </c>
      <c r="B10" s="1">
        <v>128.4</v>
      </c>
      <c r="C10" s="1">
        <v>126.4</v>
      </c>
      <c r="D10" s="1">
        <v>121.6</v>
      </c>
      <c r="E10" s="1">
        <v>153.3</v>
      </c>
      <c r="F10" s="1">
        <v>118.9</v>
      </c>
      <c r="G10" s="1">
        <v>151.9</v>
      </c>
      <c r="H10" s="1">
        <v>142.8</v>
      </c>
      <c r="I10" s="1">
        <v>127.6</v>
      </c>
      <c r="J10" s="1">
        <v>104.2</v>
      </c>
      <c r="K10" s="1">
        <v>110.8</v>
      </c>
      <c r="L10" s="1">
        <v>137.8</v>
      </c>
      <c r="M10" s="1" t="s">
        <v>2827</v>
      </c>
    </row>
    <row r="11" ht="12.75" customHeight="1">
      <c r="A11" s="2">
        <v>36800.0</v>
      </c>
      <c r="B11" s="1">
        <v>127.9</v>
      </c>
      <c r="C11" s="1">
        <v>126.4</v>
      </c>
      <c r="D11" s="1">
        <v>121.6</v>
      </c>
      <c r="E11" s="1">
        <v>155.0</v>
      </c>
      <c r="F11" s="1">
        <v>118.7</v>
      </c>
      <c r="G11" s="1">
        <v>151.9</v>
      </c>
      <c r="H11" s="1">
        <v>142.6</v>
      </c>
      <c r="I11" s="1">
        <v>127.1</v>
      </c>
      <c r="J11" s="1">
        <v>98.2</v>
      </c>
      <c r="K11" s="1">
        <v>110.0</v>
      </c>
      <c r="L11" s="1">
        <v>134.1</v>
      </c>
      <c r="M11" s="1" t="s">
        <v>2827</v>
      </c>
    </row>
    <row r="12" ht="12.75" customHeight="1">
      <c r="A12" s="2">
        <v>36831.0</v>
      </c>
      <c r="B12" s="1">
        <v>126.8</v>
      </c>
      <c r="C12" s="1">
        <v>127.9</v>
      </c>
      <c r="D12" s="1">
        <v>121.7</v>
      </c>
      <c r="E12" s="1">
        <v>155.0</v>
      </c>
      <c r="F12" s="1">
        <v>118.6</v>
      </c>
      <c r="G12" s="1">
        <v>151.3</v>
      </c>
      <c r="H12" s="1">
        <v>142.4</v>
      </c>
      <c r="I12" s="1">
        <v>126.7</v>
      </c>
      <c r="J12" s="1">
        <v>98.8</v>
      </c>
      <c r="K12" s="1">
        <v>110.4</v>
      </c>
      <c r="L12" s="1">
        <v>130.9</v>
      </c>
      <c r="M12" s="1" t="s">
        <v>2827</v>
      </c>
    </row>
    <row r="13" ht="12.75" customHeight="1">
      <c r="A13" s="2">
        <v>36861.0</v>
      </c>
      <c r="B13" s="1">
        <v>126.9</v>
      </c>
      <c r="C13" s="1">
        <v>128.0</v>
      </c>
      <c r="D13" s="1">
        <v>121.7</v>
      </c>
      <c r="E13" s="1">
        <v>156.2</v>
      </c>
      <c r="F13" s="1">
        <v>118.1</v>
      </c>
      <c r="G13" s="1">
        <v>151.7</v>
      </c>
      <c r="H13" s="1">
        <v>142.3</v>
      </c>
      <c r="I13" s="1">
        <v>125.8</v>
      </c>
      <c r="J13" s="1">
        <v>88.5</v>
      </c>
      <c r="K13" s="1">
        <v>101.6</v>
      </c>
      <c r="L13" s="1">
        <v>132.7</v>
      </c>
      <c r="M13" s="1" t="s">
        <v>2827</v>
      </c>
    </row>
    <row r="14" ht="12.75" customHeight="1">
      <c r="A14" s="2">
        <v>36892.0</v>
      </c>
      <c r="B14" s="1">
        <v>126.9</v>
      </c>
      <c r="C14" s="1">
        <v>127.5</v>
      </c>
      <c r="D14" s="1">
        <v>121.7</v>
      </c>
      <c r="E14" s="1">
        <v>156.7</v>
      </c>
      <c r="F14" s="1">
        <v>118.2</v>
      </c>
      <c r="G14" s="1">
        <v>153.9</v>
      </c>
      <c r="H14" s="1">
        <v>142.8</v>
      </c>
      <c r="I14" s="1">
        <v>125.9</v>
      </c>
      <c r="J14" s="1">
        <v>93.4</v>
      </c>
      <c r="K14" s="1">
        <v>96.7</v>
      </c>
      <c r="L14" s="1">
        <v>136.4</v>
      </c>
      <c r="M14" s="1" t="s">
        <v>2827</v>
      </c>
    </row>
    <row r="15" ht="12.75" customHeight="1">
      <c r="A15" s="2">
        <v>36923.0</v>
      </c>
      <c r="B15" s="1">
        <v>126.6</v>
      </c>
      <c r="C15" s="1">
        <v>127.1</v>
      </c>
      <c r="D15" s="1">
        <v>121.9</v>
      </c>
      <c r="E15" s="1">
        <v>157.9</v>
      </c>
      <c r="F15" s="1">
        <v>118.0</v>
      </c>
      <c r="G15" s="1">
        <v>155.2</v>
      </c>
      <c r="H15" s="1">
        <v>143.6</v>
      </c>
      <c r="I15" s="1">
        <v>125.1</v>
      </c>
      <c r="J15" s="1">
        <v>94.1</v>
      </c>
      <c r="K15" s="1">
        <v>92.4</v>
      </c>
      <c r="L15" s="1">
        <v>136.4</v>
      </c>
      <c r="M15" s="1" t="s">
        <v>2827</v>
      </c>
    </row>
    <row r="16" ht="12.75" customHeight="1">
      <c r="A16" s="2">
        <v>36951.0</v>
      </c>
      <c r="B16" s="1">
        <v>126.6</v>
      </c>
      <c r="C16" s="1">
        <v>127.5</v>
      </c>
      <c r="D16" s="1">
        <v>122.0</v>
      </c>
      <c r="E16" s="1">
        <v>159.5</v>
      </c>
      <c r="F16" s="1">
        <v>118.1</v>
      </c>
      <c r="G16" s="1">
        <v>155.4</v>
      </c>
      <c r="H16" s="1">
        <v>143.6</v>
      </c>
      <c r="I16" s="1">
        <v>120.4</v>
      </c>
      <c r="J16" s="1">
        <v>90.6</v>
      </c>
      <c r="K16" s="1">
        <v>83.5</v>
      </c>
      <c r="L16" s="1">
        <v>136.5</v>
      </c>
      <c r="M16" s="1" t="s">
        <v>2827</v>
      </c>
    </row>
    <row r="17" ht="12.75" customHeight="1">
      <c r="A17" s="2">
        <v>36982.0</v>
      </c>
      <c r="B17" s="1">
        <v>126.0</v>
      </c>
      <c r="C17" s="1">
        <v>127.6</v>
      </c>
      <c r="D17" s="1">
        <v>122.0</v>
      </c>
      <c r="E17" s="1">
        <v>163.9</v>
      </c>
      <c r="F17" s="1">
        <v>117.8</v>
      </c>
      <c r="G17" s="1">
        <v>154.8</v>
      </c>
      <c r="H17" s="1">
        <v>144.0</v>
      </c>
      <c r="I17" s="1">
        <v>129.0</v>
      </c>
      <c r="J17" s="1">
        <v>104.8</v>
      </c>
      <c r="K17" s="1">
        <v>86.4</v>
      </c>
      <c r="L17" s="1">
        <v>135.1</v>
      </c>
      <c r="M17" s="1" t="s">
        <v>2827</v>
      </c>
    </row>
    <row r="18" ht="12.75" customHeight="1">
      <c r="A18" s="2">
        <v>37012.0</v>
      </c>
      <c r="B18" s="1">
        <v>126.1</v>
      </c>
      <c r="C18" s="1">
        <v>127.9</v>
      </c>
      <c r="D18" s="1">
        <v>121.6</v>
      </c>
      <c r="E18" s="1">
        <v>166.0</v>
      </c>
      <c r="F18" s="1">
        <v>117.7</v>
      </c>
      <c r="G18" s="1">
        <v>153.7</v>
      </c>
      <c r="H18" s="1">
        <v>144.0</v>
      </c>
      <c r="I18" s="1">
        <v>128.9</v>
      </c>
      <c r="J18" s="1">
        <v>114.0</v>
      </c>
      <c r="K18" s="1">
        <v>93.1</v>
      </c>
      <c r="L18" s="1">
        <v>136.2</v>
      </c>
      <c r="M18" s="1" t="s">
        <v>2827</v>
      </c>
    </row>
    <row r="19" ht="12.75" customHeight="1">
      <c r="A19" s="2">
        <v>37043.0</v>
      </c>
      <c r="B19" s="1">
        <v>125.8</v>
      </c>
      <c r="C19" s="1">
        <v>127.7</v>
      </c>
      <c r="D19" s="1">
        <v>121.5</v>
      </c>
      <c r="E19" s="1">
        <v>163.4</v>
      </c>
      <c r="F19" s="1">
        <v>117.4</v>
      </c>
      <c r="G19" s="1">
        <v>153.2</v>
      </c>
      <c r="H19" s="1">
        <v>143.8</v>
      </c>
      <c r="I19" s="1">
        <v>128.5</v>
      </c>
      <c r="J19" s="1">
        <v>104.4</v>
      </c>
      <c r="K19" s="1">
        <v>90.2</v>
      </c>
      <c r="L19" s="1">
        <v>148.4</v>
      </c>
      <c r="M19" s="1" t="s">
        <v>2827</v>
      </c>
    </row>
    <row r="20" ht="12.75" customHeight="1">
      <c r="A20" s="2">
        <v>37073.0</v>
      </c>
      <c r="B20" s="1">
        <v>125.5</v>
      </c>
      <c r="C20" s="1">
        <v>127.5</v>
      </c>
      <c r="D20" s="1">
        <v>121.2</v>
      </c>
      <c r="E20" s="1">
        <v>160.8</v>
      </c>
      <c r="F20" s="1">
        <v>117.1</v>
      </c>
      <c r="G20" s="1">
        <v>151.2</v>
      </c>
      <c r="H20" s="1">
        <v>144.3</v>
      </c>
      <c r="I20" s="1">
        <v>128.8</v>
      </c>
      <c r="J20" s="1">
        <v>85.9</v>
      </c>
      <c r="K20" s="1">
        <v>81.6</v>
      </c>
      <c r="L20" s="1">
        <v>149.5</v>
      </c>
      <c r="M20" s="1" t="s">
        <v>2827</v>
      </c>
    </row>
    <row r="21" ht="12.75" customHeight="1">
      <c r="A21" s="2">
        <v>37104.0</v>
      </c>
      <c r="B21" s="1">
        <v>125.0</v>
      </c>
      <c r="C21" s="1">
        <v>127.1</v>
      </c>
      <c r="D21" s="1">
        <v>121.1</v>
      </c>
      <c r="E21" s="1">
        <v>156.1</v>
      </c>
      <c r="F21" s="1">
        <v>116.9</v>
      </c>
      <c r="G21" s="1">
        <v>149.9</v>
      </c>
      <c r="H21" s="1">
        <v>144.5</v>
      </c>
      <c r="I21" s="1">
        <v>129.4</v>
      </c>
      <c r="J21" s="1">
        <v>91.3</v>
      </c>
      <c r="K21" s="1">
        <v>82.0</v>
      </c>
      <c r="L21" s="1">
        <v>148.9</v>
      </c>
      <c r="M21" s="1" t="s">
        <v>2827</v>
      </c>
    </row>
    <row r="22" ht="12.75" customHeight="1">
      <c r="A22" s="2">
        <v>37135.0</v>
      </c>
      <c r="B22" s="1">
        <v>124.9</v>
      </c>
      <c r="C22" s="1">
        <v>126.8</v>
      </c>
      <c r="D22" s="1">
        <v>121.1</v>
      </c>
      <c r="E22" s="1">
        <v>155.9</v>
      </c>
      <c r="F22" s="1">
        <v>116.8</v>
      </c>
      <c r="G22" s="1">
        <v>150.1</v>
      </c>
      <c r="H22" s="1">
        <v>144.8</v>
      </c>
      <c r="I22" s="1">
        <v>129.3</v>
      </c>
      <c r="J22" s="1">
        <v>102.3</v>
      </c>
      <c r="K22" s="1">
        <v>91.6</v>
      </c>
      <c r="L22" s="1">
        <v>148.2</v>
      </c>
      <c r="M22" s="1" t="s">
        <v>2827</v>
      </c>
    </row>
    <row r="23" ht="12.75" customHeight="1">
      <c r="A23" s="2">
        <v>37165.0</v>
      </c>
      <c r="B23" s="1">
        <v>124.1</v>
      </c>
      <c r="C23" s="1">
        <v>126.6</v>
      </c>
      <c r="D23" s="1">
        <v>120.9</v>
      </c>
      <c r="E23" s="1">
        <v>153.8</v>
      </c>
      <c r="F23" s="1">
        <v>116.7</v>
      </c>
      <c r="G23" s="1">
        <v>149.1</v>
      </c>
      <c r="H23" s="1">
        <v>145.2</v>
      </c>
      <c r="I23" s="1">
        <v>129.5</v>
      </c>
      <c r="J23" s="1">
        <v>77.7</v>
      </c>
      <c r="K23" s="1">
        <v>75.9</v>
      </c>
      <c r="L23" s="1">
        <v>143.8</v>
      </c>
      <c r="M23" s="1" t="s">
        <v>2827</v>
      </c>
    </row>
    <row r="24" ht="12.75" customHeight="1">
      <c r="A24" s="2">
        <v>37196.0</v>
      </c>
      <c r="B24" s="1">
        <v>123.6</v>
      </c>
      <c r="C24" s="1">
        <v>126.7</v>
      </c>
      <c r="D24" s="1">
        <v>120.6</v>
      </c>
      <c r="E24" s="1">
        <v>154.2</v>
      </c>
      <c r="F24" s="1">
        <v>116.7</v>
      </c>
      <c r="G24" s="1">
        <v>148.4</v>
      </c>
      <c r="H24" s="1">
        <v>145.4</v>
      </c>
      <c r="I24" s="1">
        <v>129.0</v>
      </c>
      <c r="J24" s="1">
        <v>67.9</v>
      </c>
      <c r="K24" s="1">
        <v>71.3</v>
      </c>
      <c r="L24" s="1">
        <v>137.3</v>
      </c>
      <c r="M24" s="1" t="s">
        <v>2827</v>
      </c>
    </row>
    <row r="25" ht="12.75" customHeight="1">
      <c r="A25" s="2">
        <v>37226.0</v>
      </c>
      <c r="B25" s="1">
        <v>123.6</v>
      </c>
      <c r="C25" s="1">
        <v>126.4</v>
      </c>
      <c r="D25" s="1">
        <v>120.4</v>
      </c>
      <c r="E25" s="1">
        <v>152.4</v>
      </c>
      <c r="F25" s="1">
        <v>116.7</v>
      </c>
      <c r="G25" s="1">
        <v>147.1</v>
      </c>
      <c r="H25" s="1">
        <v>145.2</v>
      </c>
      <c r="I25" s="1">
        <v>129.3</v>
      </c>
      <c r="J25" s="1">
        <v>59.2</v>
      </c>
      <c r="K25" s="1">
        <v>56.2</v>
      </c>
      <c r="L25" s="1">
        <v>136.9</v>
      </c>
      <c r="M25" s="1" t="s">
        <v>2827</v>
      </c>
    </row>
    <row r="26" ht="12.75" customHeight="1">
      <c r="A26" s="2">
        <v>37257.0</v>
      </c>
      <c r="B26" s="1">
        <v>123.7</v>
      </c>
      <c r="C26" s="1">
        <v>126.4</v>
      </c>
      <c r="D26" s="1">
        <v>120.3</v>
      </c>
      <c r="E26" s="1">
        <v>152.4</v>
      </c>
      <c r="F26" s="1">
        <v>116.9</v>
      </c>
      <c r="G26" s="1">
        <v>147.1</v>
      </c>
      <c r="H26" s="1">
        <v>145.7</v>
      </c>
      <c r="I26" s="1">
        <v>129.4</v>
      </c>
      <c r="J26" s="1">
        <v>62.3</v>
      </c>
      <c r="K26" s="1">
        <v>58.9</v>
      </c>
      <c r="L26" s="1">
        <v>136.3</v>
      </c>
      <c r="M26" s="1" t="s">
        <v>2827</v>
      </c>
    </row>
    <row r="27" ht="12.75" customHeight="1">
      <c r="A27" s="2">
        <v>37288.0</v>
      </c>
      <c r="B27" s="1">
        <v>124.0</v>
      </c>
      <c r="C27" s="1">
        <v>125.8</v>
      </c>
      <c r="D27" s="1">
        <v>119.9</v>
      </c>
      <c r="E27" s="1">
        <v>152.5</v>
      </c>
      <c r="F27" s="1">
        <v>116.9</v>
      </c>
      <c r="G27" s="1">
        <v>147.3</v>
      </c>
      <c r="H27" s="1">
        <v>145.3</v>
      </c>
      <c r="I27" s="1">
        <v>128.8</v>
      </c>
      <c r="J27" s="1">
        <v>64.8</v>
      </c>
      <c r="K27" s="1">
        <v>60.0</v>
      </c>
      <c r="L27" s="1">
        <v>135.4</v>
      </c>
      <c r="M27" s="1" t="s">
        <v>2827</v>
      </c>
    </row>
    <row r="28" ht="12.75" customHeight="1">
      <c r="A28" s="2">
        <v>37316.0</v>
      </c>
      <c r="B28" s="1">
        <v>124.5</v>
      </c>
      <c r="C28" s="1">
        <v>126.0</v>
      </c>
      <c r="D28" s="1">
        <v>120.0</v>
      </c>
      <c r="E28" s="1">
        <v>154.3</v>
      </c>
      <c r="F28" s="1">
        <v>117.1</v>
      </c>
      <c r="G28" s="1">
        <v>148.8</v>
      </c>
      <c r="H28" s="1">
        <v>145.1</v>
      </c>
      <c r="I28" s="1">
        <v>124.3</v>
      </c>
      <c r="J28" s="1">
        <v>77.9</v>
      </c>
      <c r="K28" s="1">
        <v>69.7</v>
      </c>
      <c r="L28" s="1">
        <v>135.7</v>
      </c>
      <c r="M28" s="1" t="s">
        <v>2827</v>
      </c>
    </row>
    <row r="29" ht="12.75" customHeight="1">
      <c r="A29" s="2">
        <v>37347.0</v>
      </c>
      <c r="B29" s="1">
        <v>125.0</v>
      </c>
      <c r="C29" s="1">
        <v>126.2</v>
      </c>
      <c r="D29" s="1">
        <v>119.8</v>
      </c>
      <c r="E29" s="1">
        <v>154.4</v>
      </c>
      <c r="F29" s="1">
        <v>116.6</v>
      </c>
      <c r="G29" s="1">
        <v>150.5</v>
      </c>
      <c r="H29" s="1">
        <v>145.7</v>
      </c>
      <c r="I29" s="1">
        <v>131.4</v>
      </c>
      <c r="J29" s="1">
        <v>89.0</v>
      </c>
      <c r="K29" s="1">
        <v>76.9</v>
      </c>
      <c r="L29" s="1">
        <v>135.4</v>
      </c>
      <c r="M29" s="1" t="s">
        <v>2827</v>
      </c>
    </row>
    <row r="30" ht="12.75" customHeight="1">
      <c r="A30" s="2">
        <v>37377.0</v>
      </c>
      <c r="B30" s="1">
        <v>125.6</v>
      </c>
      <c r="C30" s="1">
        <v>126.6</v>
      </c>
      <c r="D30" s="1">
        <v>119.8</v>
      </c>
      <c r="E30" s="1">
        <v>156.5</v>
      </c>
      <c r="F30" s="1">
        <v>116.4</v>
      </c>
      <c r="G30" s="1">
        <v>150.6</v>
      </c>
      <c r="H30" s="1">
        <v>146.4</v>
      </c>
      <c r="I30" s="1">
        <v>132.4</v>
      </c>
      <c r="J30" s="1">
        <v>86.1</v>
      </c>
      <c r="K30" s="1">
        <v>74.7</v>
      </c>
      <c r="L30" s="1">
        <v>137.9</v>
      </c>
      <c r="M30" s="1" t="s">
        <v>2827</v>
      </c>
    </row>
    <row r="31" ht="12.75" customHeight="1">
      <c r="A31" s="2">
        <v>37408.0</v>
      </c>
      <c r="B31" s="1">
        <v>126.4</v>
      </c>
      <c r="C31" s="1">
        <v>127.1</v>
      </c>
      <c r="D31" s="1">
        <v>119.9</v>
      </c>
      <c r="E31" s="1">
        <v>158.0</v>
      </c>
      <c r="F31" s="1">
        <v>116.4</v>
      </c>
      <c r="G31" s="1">
        <v>151.3</v>
      </c>
      <c r="H31" s="1">
        <v>146.5</v>
      </c>
      <c r="I31" s="1">
        <v>132.6</v>
      </c>
      <c r="J31" s="1">
        <v>85.4</v>
      </c>
      <c r="K31" s="1">
        <v>73.3</v>
      </c>
      <c r="L31" s="1">
        <v>143.6</v>
      </c>
      <c r="M31" s="1" t="s">
        <v>2827</v>
      </c>
    </row>
    <row r="32" ht="12.75" customHeight="1">
      <c r="A32" s="2">
        <v>37438.0</v>
      </c>
      <c r="B32" s="1">
        <v>126.8</v>
      </c>
      <c r="C32" s="1">
        <v>126.7</v>
      </c>
      <c r="D32" s="1">
        <v>119.9</v>
      </c>
      <c r="E32" s="1">
        <v>158.5</v>
      </c>
      <c r="F32" s="1">
        <v>116.0</v>
      </c>
      <c r="G32" s="1">
        <v>152.9</v>
      </c>
      <c r="H32" s="1">
        <v>146.4</v>
      </c>
      <c r="I32" s="1">
        <v>133.5</v>
      </c>
      <c r="J32" s="1">
        <v>87.0</v>
      </c>
      <c r="K32" s="1">
        <v>77.6</v>
      </c>
      <c r="L32" s="1">
        <v>144.9</v>
      </c>
      <c r="M32" s="1" t="s">
        <v>2827</v>
      </c>
    </row>
    <row r="33" ht="12.75" customHeight="1">
      <c r="A33" s="2">
        <v>37469.0</v>
      </c>
      <c r="B33" s="1">
        <v>126.6</v>
      </c>
      <c r="C33" s="1">
        <v>127.1</v>
      </c>
      <c r="D33" s="1">
        <v>119.8</v>
      </c>
      <c r="E33" s="1">
        <v>160.4</v>
      </c>
      <c r="F33" s="1">
        <v>116.1</v>
      </c>
      <c r="G33" s="1">
        <v>153.6</v>
      </c>
      <c r="H33" s="1">
        <v>146.6</v>
      </c>
      <c r="I33" s="1">
        <v>133.5</v>
      </c>
      <c r="J33" s="1">
        <v>88.1</v>
      </c>
      <c r="K33" s="1">
        <v>80.4</v>
      </c>
      <c r="L33" s="1">
        <v>145.0</v>
      </c>
      <c r="M33" s="1" t="s">
        <v>2827</v>
      </c>
    </row>
    <row r="34" ht="12.75" customHeight="1">
      <c r="A34" s="2">
        <v>37500.0</v>
      </c>
      <c r="B34" s="1">
        <v>127.1</v>
      </c>
      <c r="C34" s="1">
        <v>127.8</v>
      </c>
      <c r="D34" s="1">
        <v>119.8</v>
      </c>
      <c r="E34" s="1">
        <v>161.0</v>
      </c>
      <c r="F34" s="1">
        <v>116.1</v>
      </c>
      <c r="G34" s="1">
        <v>154.1</v>
      </c>
      <c r="H34" s="1">
        <v>146.7</v>
      </c>
      <c r="I34" s="1">
        <v>133.3</v>
      </c>
      <c r="J34" s="1">
        <v>90.3</v>
      </c>
      <c r="K34" s="1">
        <v>92.3</v>
      </c>
      <c r="L34" s="1">
        <v>145.8</v>
      </c>
      <c r="M34" s="1" t="s">
        <v>2827</v>
      </c>
    </row>
    <row r="35" ht="12.75" customHeight="1">
      <c r="A35" s="2">
        <v>37530.0</v>
      </c>
      <c r="B35" s="1">
        <v>127.0</v>
      </c>
      <c r="C35" s="1">
        <v>127.8</v>
      </c>
      <c r="D35" s="1">
        <v>119.7</v>
      </c>
      <c r="E35" s="1">
        <v>160.9</v>
      </c>
      <c r="F35" s="1">
        <v>115.8</v>
      </c>
      <c r="G35" s="1">
        <v>155.3</v>
      </c>
      <c r="H35" s="1">
        <v>146.7</v>
      </c>
      <c r="I35" s="1">
        <v>133.1</v>
      </c>
      <c r="J35" s="1">
        <v>99.4</v>
      </c>
      <c r="K35" s="1">
        <v>98.7</v>
      </c>
      <c r="L35" s="1">
        <v>140.0</v>
      </c>
      <c r="M35" s="1" t="s">
        <v>2827</v>
      </c>
    </row>
    <row r="36" ht="12.75" customHeight="1">
      <c r="A36" s="2">
        <v>37561.0</v>
      </c>
      <c r="B36" s="1">
        <v>127.3</v>
      </c>
      <c r="C36" s="1">
        <v>127.3</v>
      </c>
      <c r="D36" s="1">
        <v>119.8</v>
      </c>
      <c r="E36" s="1">
        <v>160.9</v>
      </c>
      <c r="F36" s="1">
        <v>115.8</v>
      </c>
      <c r="G36" s="1">
        <v>155.6</v>
      </c>
      <c r="H36" s="1">
        <v>146.5</v>
      </c>
      <c r="I36" s="1">
        <v>133.9</v>
      </c>
      <c r="J36" s="1">
        <v>87.9</v>
      </c>
      <c r="K36" s="1">
        <v>85.5</v>
      </c>
      <c r="L36" s="1">
        <v>139.5</v>
      </c>
      <c r="M36" s="1" t="s">
        <v>2827</v>
      </c>
    </row>
    <row r="37" ht="12.75" customHeight="1">
      <c r="A37" s="2">
        <v>37591.0</v>
      </c>
      <c r="B37" s="1">
        <v>127.2</v>
      </c>
      <c r="C37" s="1">
        <v>127.3</v>
      </c>
      <c r="D37" s="1">
        <v>120.0</v>
      </c>
      <c r="E37" s="1">
        <v>161.0</v>
      </c>
      <c r="F37" s="1">
        <v>115.4</v>
      </c>
      <c r="G37" s="1">
        <v>155.1</v>
      </c>
      <c r="H37" s="1">
        <v>146.3</v>
      </c>
      <c r="I37" s="1">
        <v>133.5</v>
      </c>
      <c r="J37" s="1">
        <v>82.1</v>
      </c>
      <c r="K37" s="1">
        <v>86.8</v>
      </c>
      <c r="L37" s="1">
        <v>139.6</v>
      </c>
      <c r="M37" s="1" t="s">
        <v>2827</v>
      </c>
    </row>
    <row r="38" ht="12.75" customHeight="1">
      <c r="A38" s="2">
        <v>37622.0</v>
      </c>
      <c r="B38" s="1">
        <v>127.6</v>
      </c>
      <c r="C38" s="1">
        <v>127.8</v>
      </c>
      <c r="D38" s="1">
        <v>119.7</v>
      </c>
      <c r="E38" s="1">
        <v>160.8</v>
      </c>
      <c r="F38" s="1">
        <v>115.3</v>
      </c>
      <c r="G38" s="1">
        <v>158.0</v>
      </c>
      <c r="H38" s="1">
        <v>146.8</v>
      </c>
      <c r="I38" s="1">
        <v>133.8</v>
      </c>
      <c r="J38" s="1">
        <v>95.7</v>
      </c>
      <c r="K38" s="1">
        <v>97.6</v>
      </c>
      <c r="L38" s="1">
        <v>140.3</v>
      </c>
      <c r="M38" s="1" t="s">
        <v>2827</v>
      </c>
    </row>
    <row r="39" ht="12.75" customHeight="1">
      <c r="A39" s="2">
        <v>37653.0</v>
      </c>
      <c r="B39" s="1">
        <v>128.3</v>
      </c>
      <c r="C39" s="1">
        <v>128.7</v>
      </c>
      <c r="D39" s="1">
        <v>119.6</v>
      </c>
      <c r="E39" s="1">
        <v>162.2</v>
      </c>
      <c r="F39" s="1">
        <v>115.0</v>
      </c>
      <c r="G39" s="1">
        <v>162.2</v>
      </c>
      <c r="H39" s="1">
        <v>147.5</v>
      </c>
      <c r="I39" s="1">
        <v>133.8</v>
      </c>
      <c r="J39" s="1">
        <v>112.6</v>
      </c>
      <c r="K39" s="1">
        <v>123.8</v>
      </c>
      <c r="L39" s="1">
        <v>140.6</v>
      </c>
      <c r="M39" s="1" t="s">
        <v>2827</v>
      </c>
    </row>
    <row r="40" ht="12.75" customHeight="1">
      <c r="A40" s="2">
        <v>37681.0</v>
      </c>
      <c r="B40" s="1">
        <v>128.5</v>
      </c>
      <c r="C40" s="1">
        <v>129.9</v>
      </c>
      <c r="D40" s="1">
        <v>119.7</v>
      </c>
      <c r="E40" s="1">
        <v>162.3</v>
      </c>
      <c r="F40" s="1">
        <v>115.1</v>
      </c>
      <c r="G40" s="1">
        <v>164.5</v>
      </c>
      <c r="H40" s="1">
        <v>147.8</v>
      </c>
      <c r="I40" s="1">
        <v>129.0</v>
      </c>
      <c r="J40" s="1">
        <v>120.4</v>
      </c>
      <c r="K40" s="1">
        <v>129.4</v>
      </c>
      <c r="L40" s="1">
        <v>143.3</v>
      </c>
      <c r="M40" s="1" t="s">
        <v>2827</v>
      </c>
    </row>
    <row r="41" ht="12.75" customHeight="1">
      <c r="A41" s="2">
        <v>37712.0</v>
      </c>
      <c r="B41" s="1">
        <v>128.2</v>
      </c>
      <c r="C41" s="1">
        <v>130.9</v>
      </c>
      <c r="D41" s="1">
        <v>119.7</v>
      </c>
      <c r="E41" s="1">
        <v>162.8</v>
      </c>
      <c r="F41" s="1">
        <v>115.2</v>
      </c>
      <c r="G41" s="1">
        <v>162.2</v>
      </c>
      <c r="H41" s="1">
        <v>148.5</v>
      </c>
      <c r="I41" s="1">
        <v>135.5</v>
      </c>
      <c r="J41" s="1">
        <v>100.1</v>
      </c>
      <c r="K41" s="1">
        <v>102.3</v>
      </c>
      <c r="L41" s="1">
        <v>144.3</v>
      </c>
      <c r="M41" s="1" t="s">
        <v>2827</v>
      </c>
    </row>
    <row r="42" ht="12.75" customHeight="1">
      <c r="A42" s="2">
        <v>37742.0</v>
      </c>
      <c r="B42" s="1">
        <v>128.3</v>
      </c>
      <c r="C42" s="1">
        <v>131.0</v>
      </c>
      <c r="D42" s="1">
        <v>119.9</v>
      </c>
      <c r="E42" s="1">
        <v>161.0</v>
      </c>
      <c r="F42" s="1">
        <v>115.2</v>
      </c>
      <c r="G42" s="1">
        <v>162.1</v>
      </c>
      <c r="H42" s="1">
        <v>148.4</v>
      </c>
      <c r="I42" s="1">
        <v>135.3</v>
      </c>
      <c r="J42" s="1">
        <v>94.5</v>
      </c>
      <c r="K42" s="1">
        <v>87.9</v>
      </c>
      <c r="L42" s="1">
        <v>145.1</v>
      </c>
      <c r="M42" s="1" t="s">
        <v>2827</v>
      </c>
    </row>
    <row r="43" ht="12.75" customHeight="1">
      <c r="A43" s="2">
        <v>37773.0</v>
      </c>
      <c r="B43" s="1">
        <v>128.3</v>
      </c>
      <c r="C43" s="1">
        <v>130.5</v>
      </c>
      <c r="D43" s="1">
        <v>119.7</v>
      </c>
      <c r="E43" s="1">
        <v>160.8</v>
      </c>
      <c r="F43" s="1">
        <v>114.9</v>
      </c>
      <c r="G43" s="1">
        <v>162.2</v>
      </c>
      <c r="H43" s="1">
        <v>148.2</v>
      </c>
      <c r="I43" s="1">
        <v>135.4</v>
      </c>
      <c r="J43" s="1">
        <v>99.4</v>
      </c>
      <c r="K43" s="1">
        <v>89.8</v>
      </c>
      <c r="L43" s="1">
        <v>148.3</v>
      </c>
      <c r="M43" s="1" t="s">
        <v>2827</v>
      </c>
    </row>
    <row r="44" ht="12.75" customHeight="1">
      <c r="A44" s="2">
        <v>37803.0</v>
      </c>
      <c r="B44" s="1">
        <v>128.4</v>
      </c>
      <c r="C44" s="1">
        <v>130.4</v>
      </c>
      <c r="D44" s="1">
        <v>119.6</v>
      </c>
      <c r="E44" s="1">
        <v>160.8</v>
      </c>
      <c r="F44" s="1">
        <v>114.6</v>
      </c>
      <c r="G44" s="1">
        <v>160.9</v>
      </c>
      <c r="H44" s="1">
        <v>148.2</v>
      </c>
      <c r="I44" s="1">
        <v>135.5</v>
      </c>
      <c r="J44" s="1">
        <v>101.4</v>
      </c>
      <c r="K44" s="1">
        <v>92.7</v>
      </c>
      <c r="L44" s="1">
        <v>151.6</v>
      </c>
      <c r="M44" s="1" t="s">
        <v>2827</v>
      </c>
    </row>
    <row r="45" ht="12.75" customHeight="1">
      <c r="A45" s="2">
        <v>37834.0</v>
      </c>
      <c r="B45" s="1">
        <v>129.0</v>
      </c>
      <c r="C45" s="1">
        <v>130.5</v>
      </c>
      <c r="D45" s="1">
        <v>119.9</v>
      </c>
      <c r="E45" s="1">
        <v>161.9</v>
      </c>
      <c r="F45" s="1">
        <v>114.4</v>
      </c>
      <c r="G45" s="1">
        <v>161.2</v>
      </c>
      <c r="H45" s="1">
        <v>148.3</v>
      </c>
      <c r="I45" s="1">
        <v>135.1</v>
      </c>
      <c r="J45" s="1">
        <v>106.4</v>
      </c>
      <c r="K45" s="1">
        <v>96.6</v>
      </c>
      <c r="L45" s="1">
        <v>151.3</v>
      </c>
      <c r="M45" s="1" t="s">
        <v>2827</v>
      </c>
    </row>
    <row r="46" ht="12.75" customHeight="1">
      <c r="A46" s="2">
        <v>37865.0</v>
      </c>
      <c r="B46" s="1">
        <v>129.5</v>
      </c>
      <c r="C46" s="1">
        <v>130.4</v>
      </c>
      <c r="D46" s="1">
        <v>120.0</v>
      </c>
      <c r="E46" s="1">
        <v>162.9</v>
      </c>
      <c r="F46" s="1">
        <v>114.4</v>
      </c>
      <c r="G46" s="1">
        <v>161.4</v>
      </c>
      <c r="H46" s="1">
        <v>148.5</v>
      </c>
      <c r="I46" s="1">
        <v>134.2</v>
      </c>
      <c r="J46" s="1">
        <v>109.9</v>
      </c>
      <c r="K46" s="1">
        <v>91.1</v>
      </c>
      <c r="L46" s="1">
        <v>152.0</v>
      </c>
      <c r="M46" s="1" t="s">
        <v>2827</v>
      </c>
    </row>
    <row r="47" ht="12.75" customHeight="1">
      <c r="A47" s="2">
        <v>37895.0</v>
      </c>
      <c r="B47" s="1">
        <v>130.2</v>
      </c>
      <c r="C47" s="1">
        <v>130.5</v>
      </c>
      <c r="D47" s="1">
        <v>119.9</v>
      </c>
      <c r="E47" s="1">
        <v>163.7</v>
      </c>
      <c r="F47" s="1">
        <v>114.2</v>
      </c>
      <c r="G47" s="1">
        <v>162.1</v>
      </c>
      <c r="H47" s="1">
        <v>148.5</v>
      </c>
      <c r="I47" s="1">
        <v>133.7</v>
      </c>
      <c r="J47" s="1">
        <v>102.7</v>
      </c>
      <c r="K47" s="1">
        <v>101.1</v>
      </c>
      <c r="L47" s="1">
        <v>147.4</v>
      </c>
      <c r="M47" s="1" t="s">
        <v>2827</v>
      </c>
    </row>
    <row r="48" ht="12.75" customHeight="1">
      <c r="A48" s="2">
        <v>37926.0</v>
      </c>
      <c r="B48" s="1">
        <v>131.4</v>
      </c>
      <c r="C48" s="1">
        <v>130.4</v>
      </c>
      <c r="D48" s="1">
        <v>120.0</v>
      </c>
      <c r="E48" s="1">
        <v>163.6</v>
      </c>
      <c r="F48" s="1">
        <v>114.2</v>
      </c>
      <c r="G48" s="1">
        <v>162.1</v>
      </c>
      <c r="H48" s="1">
        <v>148.9</v>
      </c>
      <c r="I48" s="1">
        <v>133.0</v>
      </c>
      <c r="J48" s="1">
        <v>95.2</v>
      </c>
      <c r="K48" s="1">
        <v>95.9</v>
      </c>
      <c r="L48" s="1">
        <v>142.7</v>
      </c>
      <c r="M48" s="1" t="s">
        <v>2827</v>
      </c>
    </row>
    <row r="49" ht="12.75" customHeight="1">
      <c r="A49" s="2">
        <v>37956.0</v>
      </c>
      <c r="B49" s="1">
        <v>133.1</v>
      </c>
      <c r="C49" s="1">
        <v>130.7</v>
      </c>
      <c r="D49" s="1">
        <v>120.1</v>
      </c>
      <c r="E49" s="1">
        <v>164.2</v>
      </c>
      <c r="F49" s="1">
        <v>114.0</v>
      </c>
      <c r="G49" s="1">
        <v>163.1</v>
      </c>
      <c r="H49" s="1">
        <v>148.8</v>
      </c>
      <c r="I49" s="1">
        <v>132.0</v>
      </c>
      <c r="J49" s="1">
        <v>94.3</v>
      </c>
      <c r="K49" s="1">
        <v>98.1</v>
      </c>
      <c r="L49" s="1">
        <v>142.9</v>
      </c>
      <c r="M49" s="1" t="s">
        <v>2827</v>
      </c>
    </row>
    <row r="50" ht="12.75" customHeight="1">
      <c r="A50" s="2">
        <v>37987.0</v>
      </c>
      <c r="B50" s="1">
        <v>135.9</v>
      </c>
      <c r="C50" s="1">
        <v>130.8</v>
      </c>
      <c r="D50" s="1">
        <v>120.3</v>
      </c>
      <c r="E50" s="1">
        <v>165.4</v>
      </c>
      <c r="F50" s="1">
        <v>113.5</v>
      </c>
      <c r="G50" s="1">
        <v>166.6</v>
      </c>
      <c r="H50" s="1">
        <v>149.5</v>
      </c>
      <c r="I50" s="1">
        <v>132.0</v>
      </c>
      <c r="J50" s="1">
        <v>108.1</v>
      </c>
      <c r="K50" s="1">
        <v>109.3</v>
      </c>
      <c r="L50" s="1">
        <v>143.1</v>
      </c>
      <c r="M50" s="1" t="s">
        <v>2827</v>
      </c>
    </row>
    <row r="51" ht="12.75" customHeight="1">
      <c r="A51" s="2">
        <v>38018.0</v>
      </c>
      <c r="B51" s="1">
        <v>140.2</v>
      </c>
      <c r="C51" s="1">
        <v>131.4</v>
      </c>
      <c r="D51" s="1">
        <v>120.1</v>
      </c>
      <c r="E51" s="1">
        <v>165.1</v>
      </c>
      <c r="F51" s="1">
        <v>113.3</v>
      </c>
      <c r="G51" s="1">
        <v>167.5</v>
      </c>
      <c r="H51" s="1">
        <v>150.5</v>
      </c>
      <c r="I51" s="1">
        <v>131.1</v>
      </c>
      <c r="J51" s="1">
        <v>111.1</v>
      </c>
      <c r="K51" s="1">
        <v>103.7</v>
      </c>
      <c r="L51" s="1">
        <v>143.1</v>
      </c>
      <c r="M51" s="1" t="s">
        <v>2827</v>
      </c>
    </row>
    <row r="52" ht="12.75" customHeight="1">
      <c r="A52" s="2">
        <v>38047.0</v>
      </c>
      <c r="B52" s="1">
        <v>143.9</v>
      </c>
      <c r="C52" s="1">
        <v>131.6</v>
      </c>
      <c r="D52" s="1">
        <v>120.2</v>
      </c>
      <c r="E52" s="1">
        <v>164.8</v>
      </c>
      <c r="F52" s="1">
        <v>113.4</v>
      </c>
      <c r="G52" s="1">
        <v>168.0</v>
      </c>
      <c r="H52" s="1">
        <v>150.5</v>
      </c>
      <c r="I52" s="1">
        <v>126.9</v>
      </c>
      <c r="J52" s="1">
        <v>117.0</v>
      </c>
      <c r="K52" s="1">
        <v>109.7</v>
      </c>
      <c r="L52" s="1">
        <v>143.1</v>
      </c>
      <c r="M52" s="1" t="s">
        <v>2827</v>
      </c>
    </row>
    <row r="53" ht="12.75" customHeight="1">
      <c r="A53" s="2">
        <v>38078.0</v>
      </c>
      <c r="B53" s="1">
        <v>146.5</v>
      </c>
      <c r="C53" s="1">
        <v>132.0</v>
      </c>
      <c r="D53" s="1">
        <v>120.5</v>
      </c>
      <c r="E53" s="1">
        <v>163.1</v>
      </c>
      <c r="F53" s="1">
        <v>113.7</v>
      </c>
      <c r="G53" s="1">
        <v>170.1</v>
      </c>
      <c r="H53" s="1">
        <v>151.1</v>
      </c>
      <c r="I53" s="1">
        <v>137.1</v>
      </c>
      <c r="J53" s="1">
        <v>126.1</v>
      </c>
      <c r="K53" s="1">
        <v>119.9</v>
      </c>
      <c r="L53" s="1">
        <v>143.1</v>
      </c>
      <c r="M53" s="1" t="s">
        <v>2827</v>
      </c>
    </row>
    <row r="54" ht="12.75" customHeight="1">
      <c r="A54" s="2">
        <v>38108.0</v>
      </c>
      <c r="B54" s="1">
        <v>147.0</v>
      </c>
      <c r="C54" s="1">
        <v>132.4</v>
      </c>
      <c r="D54" s="1">
        <v>121.0</v>
      </c>
      <c r="E54" s="1">
        <v>162.8</v>
      </c>
      <c r="F54" s="1">
        <v>113.7</v>
      </c>
      <c r="G54" s="1">
        <v>170.9</v>
      </c>
      <c r="H54" s="1">
        <v>151.9</v>
      </c>
      <c r="I54" s="1">
        <v>137.9</v>
      </c>
      <c r="J54" s="1">
        <v>140.5</v>
      </c>
      <c r="K54" s="1">
        <v>121.0</v>
      </c>
      <c r="L54" s="1">
        <v>144.2</v>
      </c>
      <c r="M54" s="1" t="s">
        <v>2827</v>
      </c>
    </row>
    <row r="55" ht="12.75" customHeight="1">
      <c r="A55" s="2">
        <v>38139.0</v>
      </c>
      <c r="B55" s="1">
        <v>147.3</v>
      </c>
      <c r="C55" s="1">
        <v>132.9</v>
      </c>
      <c r="D55" s="1">
        <v>121.0</v>
      </c>
      <c r="E55" s="1">
        <v>163.2</v>
      </c>
      <c r="F55" s="1">
        <v>113.7</v>
      </c>
      <c r="G55" s="1">
        <v>172.2</v>
      </c>
      <c r="H55" s="1">
        <v>152.6</v>
      </c>
      <c r="I55" s="1">
        <v>137.7</v>
      </c>
      <c r="J55" s="1">
        <v>129.1</v>
      </c>
      <c r="K55" s="1">
        <v>114.2</v>
      </c>
      <c r="L55" s="1">
        <v>152.4</v>
      </c>
      <c r="M55" s="1" t="s">
        <v>2827</v>
      </c>
    </row>
    <row r="56" ht="12.75" customHeight="1">
      <c r="A56" s="2">
        <v>38169.0</v>
      </c>
      <c r="B56" s="1">
        <v>151.3</v>
      </c>
      <c r="C56" s="1">
        <v>133.4</v>
      </c>
      <c r="D56" s="1">
        <v>121.1</v>
      </c>
      <c r="E56" s="1">
        <v>165.0</v>
      </c>
      <c r="F56" s="1">
        <v>113.2</v>
      </c>
      <c r="G56" s="1">
        <v>173.7</v>
      </c>
      <c r="H56" s="1">
        <v>153.4</v>
      </c>
      <c r="I56" s="1">
        <v>136.0</v>
      </c>
      <c r="J56" s="1">
        <v>136.1</v>
      </c>
      <c r="K56" s="1">
        <v>123.0</v>
      </c>
      <c r="L56" s="1">
        <v>152.2</v>
      </c>
      <c r="M56" s="1" t="s">
        <v>2827</v>
      </c>
    </row>
    <row r="57" ht="12.75" customHeight="1">
      <c r="A57" s="2">
        <v>38200.0</v>
      </c>
      <c r="B57" s="1">
        <v>154.0</v>
      </c>
      <c r="C57" s="1">
        <v>133.9</v>
      </c>
      <c r="D57" s="1">
        <v>121.0</v>
      </c>
      <c r="E57" s="1">
        <v>165.0</v>
      </c>
      <c r="F57" s="1">
        <v>113.3</v>
      </c>
      <c r="G57" s="1">
        <v>176.5</v>
      </c>
      <c r="H57" s="1">
        <v>154.4</v>
      </c>
      <c r="I57" s="1">
        <v>135.8</v>
      </c>
      <c r="J57" s="1">
        <v>128.3</v>
      </c>
      <c r="K57" s="1">
        <v>135.1</v>
      </c>
      <c r="L57" s="1">
        <v>154.0</v>
      </c>
      <c r="M57" s="1" t="s">
        <v>2827</v>
      </c>
    </row>
    <row r="58" ht="12.75" customHeight="1">
      <c r="A58" s="2">
        <v>38231.0</v>
      </c>
      <c r="B58" s="1">
        <v>154.7</v>
      </c>
      <c r="C58" s="1">
        <v>135.1</v>
      </c>
      <c r="D58" s="1">
        <v>121.4</v>
      </c>
      <c r="E58" s="1">
        <v>165.0</v>
      </c>
      <c r="F58" s="1">
        <v>113.3</v>
      </c>
      <c r="G58" s="1">
        <v>179.4</v>
      </c>
      <c r="H58" s="1">
        <v>155.5</v>
      </c>
      <c r="I58" s="1">
        <v>135.8</v>
      </c>
      <c r="J58" s="1">
        <v>130.9</v>
      </c>
      <c r="K58" s="1">
        <v>140.9</v>
      </c>
      <c r="L58" s="1">
        <v>154.0</v>
      </c>
      <c r="M58" s="1" t="s">
        <v>2827</v>
      </c>
    </row>
    <row r="59" ht="12.75" customHeight="1">
      <c r="A59" s="2">
        <v>38261.0</v>
      </c>
      <c r="B59" s="1">
        <v>157.1</v>
      </c>
      <c r="C59" s="1">
        <v>136.5</v>
      </c>
      <c r="D59" s="1">
        <v>121.6</v>
      </c>
      <c r="E59" s="1">
        <v>164.9</v>
      </c>
      <c r="F59" s="1">
        <v>113.3</v>
      </c>
      <c r="G59" s="1">
        <v>181.0</v>
      </c>
      <c r="H59" s="1">
        <v>155.8</v>
      </c>
      <c r="I59" s="1">
        <v>134.9</v>
      </c>
      <c r="J59" s="1">
        <v>149.1</v>
      </c>
      <c r="K59" s="1">
        <v>166.6</v>
      </c>
      <c r="L59" s="1">
        <v>145.8</v>
      </c>
      <c r="M59" s="1" t="s">
        <v>2827</v>
      </c>
    </row>
    <row r="60" ht="12.75" customHeight="1">
      <c r="A60" s="2">
        <v>38292.0</v>
      </c>
      <c r="B60" s="1">
        <v>158.6</v>
      </c>
      <c r="C60" s="1">
        <v>137.3</v>
      </c>
      <c r="D60" s="1">
        <v>121.8</v>
      </c>
      <c r="E60" s="1">
        <v>165.0</v>
      </c>
      <c r="F60" s="1">
        <v>113.3</v>
      </c>
      <c r="G60" s="1">
        <v>183.0</v>
      </c>
      <c r="H60" s="1">
        <v>156.3</v>
      </c>
      <c r="I60" s="1">
        <v>135.2</v>
      </c>
      <c r="J60" s="1">
        <v>140.3</v>
      </c>
      <c r="K60" s="1">
        <v>159.7</v>
      </c>
      <c r="L60" s="1">
        <v>144.9</v>
      </c>
      <c r="M60" s="1" t="s">
        <v>2827</v>
      </c>
    </row>
    <row r="61" ht="12.75" customHeight="1">
      <c r="A61" s="2">
        <v>38322.0</v>
      </c>
      <c r="B61" s="1">
        <v>159.0</v>
      </c>
      <c r="C61" s="1">
        <v>138.3</v>
      </c>
      <c r="D61" s="1">
        <v>121.6</v>
      </c>
      <c r="E61" s="1">
        <v>165.1</v>
      </c>
      <c r="F61" s="1">
        <v>113.3</v>
      </c>
      <c r="G61" s="1">
        <v>183.9</v>
      </c>
      <c r="H61" s="1">
        <v>156.6</v>
      </c>
      <c r="I61" s="1">
        <v>135.6</v>
      </c>
      <c r="J61" s="1">
        <v>120.1</v>
      </c>
      <c r="K61" s="1">
        <v>135.3</v>
      </c>
      <c r="L61" s="1">
        <v>146.2</v>
      </c>
      <c r="M61" s="1" t="s">
        <v>2827</v>
      </c>
    </row>
    <row r="62" ht="12.75" customHeight="1">
      <c r="A62" s="2">
        <v>38353.0</v>
      </c>
      <c r="B62" s="1">
        <v>160.1</v>
      </c>
      <c r="C62" s="1">
        <v>139.7</v>
      </c>
      <c r="D62" s="1">
        <v>122.1</v>
      </c>
      <c r="E62" s="1">
        <v>165.3</v>
      </c>
      <c r="F62" s="1">
        <v>113.4</v>
      </c>
      <c r="G62" s="1">
        <v>185.5</v>
      </c>
      <c r="H62" s="1">
        <v>159.2</v>
      </c>
      <c r="I62" s="1">
        <v>133.9</v>
      </c>
      <c r="J62" s="1">
        <v>127.9</v>
      </c>
      <c r="K62" s="1">
        <v>141.1</v>
      </c>
      <c r="L62" s="1">
        <v>148.9</v>
      </c>
      <c r="M62" s="1" t="s">
        <v>2827</v>
      </c>
    </row>
    <row r="63" ht="12.75" customHeight="1">
      <c r="A63" s="2">
        <v>38384.0</v>
      </c>
      <c r="B63" s="1">
        <v>160.5</v>
      </c>
      <c r="C63" s="1">
        <v>140.6</v>
      </c>
      <c r="D63" s="1">
        <v>122.1</v>
      </c>
      <c r="E63" s="1">
        <v>165.5</v>
      </c>
      <c r="F63" s="1">
        <v>113.4</v>
      </c>
      <c r="G63" s="1">
        <v>186.4</v>
      </c>
      <c r="H63" s="1">
        <v>160.3</v>
      </c>
      <c r="I63" s="1">
        <v>133.6</v>
      </c>
      <c r="J63" s="1">
        <v>137.4</v>
      </c>
      <c r="K63" s="1">
        <v>149.5</v>
      </c>
      <c r="L63" s="1">
        <v>148.0</v>
      </c>
      <c r="M63" s="1" t="s">
        <v>2827</v>
      </c>
    </row>
    <row r="64" ht="12.75" customHeight="1">
      <c r="A64" s="2">
        <v>38412.0</v>
      </c>
      <c r="B64" s="1">
        <v>160.4</v>
      </c>
      <c r="C64" s="1">
        <v>141.2</v>
      </c>
      <c r="D64" s="1">
        <v>122.3</v>
      </c>
      <c r="E64" s="1">
        <v>165.6</v>
      </c>
      <c r="F64" s="1">
        <v>113.3</v>
      </c>
      <c r="G64" s="1">
        <v>188.9</v>
      </c>
      <c r="H64" s="1">
        <v>160.8</v>
      </c>
      <c r="I64" s="1">
        <v>130.2</v>
      </c>
      <c r="J64" s="1">
        <v>154.3</v>
      </c>
      <c r="K64" s="1">
        <v>173.3</v>
      </c>
      <c r="L64" s="1">
        <v>148.1</v>
      </c>
      <c r="M64" s="1" t="s">
        <v>2827</v>
      </c>
    </row>
    <row r="65" ht="12.75" customHeight="1">
      <c r="A65" s="2">
        <v>38443.0</v>
      </c>
      <c r="B65" s="1">
        <v>161.1</v>
      </c>
      <c r="C65" s="1">
        <v>141.7</v>
      </c>
      <c r="D65" s="1">
        <v>122.5</v>
      </c>
      <c r="E65" s="1">
        <v>164.8</v>
      </c>
      <c r="F65" s="1">
        <v>113.3</v>
      </c>
      <c r="G65" s="1">
        <v>189.0</v>
      </c>
      <c r="H65" s="1">
        <v>162.1</v>
      </c>
      <c r="I65" s="1">
        <v>137.0</v>
      </c>
      <c r="J65" s="1">
        <v>162.5</v>
      </c>
      <c r="K65" s="1">
        <v>175.4</v>
      </c>
      <c r="L65" s="1">
        <v>148.7</v>
      </c>
      <c r="M65" s="1" t="s">
        <v>2827</v>
      </c>
    </row>
    <row r="66" ht="12.75" customHeight="1">
      <c r="A66" s="2">
        <v>38473.0</v>
      </c>
      <c r="B66" s="1">
        <v>159.4</v>
      </c>
      <c r="C66" s="1">
        <v>141.9</v>
      </c>
      <c r="D66" s="1">
        <v>122.6</v>
      </c>
      <c r="E66" s="1">
        <v>164.8</v>
      </c>
      <c r="F66" s="1">
        <v>113.1</v>
      </c>
      <c r="G66" s="1">
        <v>188.4</v>
      </c>
      <c r="H66" s="1">
        <v>162.7</v>
      </c>
      <c r="I66" s="1">
        <v>137.0</v>
      </c>
      <c r="J66" s="1">
        <v>158.2</v>
      </c>
      <c r="K66" s="1">
        <v>170.8</v>
      </c>
      <c r="L66" s="1">
        <v>151.1</v>
      </c>
      <c r="M66" s="1" t="s">
        <v>2827</v>
      </c>
    </row>
    <row r="67" ht="12.75" customHeight="1">
      <c r="A67" s="2">
        <v>38504.0</v>
      </c>
      <c r="B67" s="1">
        <v>157.6</v>
      </c>
      <c r="C67" s="1">
        <v>142.4</v>
      </c>
      <c r="D67" s="1">
        <v>122.8</v>
      </c>
      <c r="E67" s="1">
        <v>165.7</v>
      </c>
      <c r="F67" s="1">
        <v>113.0</v>
      </c>
      <c r="G67" s="1">
        <v>187.2</v>
      </c>
      <c r="H67" s="1">
        <v>163.1</v>
      </c>
      <c r="I67" s="1">
        <v>136.7</v>
      </c>
      <c r="J67" s="1">
        <v>159.5</v>
      </c>
      <c r="K67" s="1">
        <v>187.2</v>
      </c>
      <c r="L67" s="1">
        <v>159.7</v>
      </c>
      <c r="M67" s="1" t="s">
        <v>2827</v>
      </c>
    </row>
    <row r="68" ht="12.75" customHeight="1">
      <c r="A68" s="2">
        <v>38534.0</v>
      </c>
      <c r="B68" s="1">
        <v>157.4</v>
      </c>
      <c r="C68" s="1">
        <v>142.4</v>
      </c>
      <c r="D68" s="1">
        <v>122.7</v>
      </c>
      <c r="E68" s="1">
        <v>165.8</v>
      </c>
      <c r="F68" s="1">
        <v>113.1</v>
      </c>
      <c r="G68" s="1">
        <v>189.3</v>
      </c>
      <c r="H68" s="1">
        <v>164.8</v>
      </c>
      <c r="I68" s="1">
        <v>136.3</v>
      </c>
      <c r="J68" s="1">
        <v>176.5</v>
      </c>
      <c r="K68" s="1">
        <v>189.8</v>
      </c>
      <c r="L68" s="1">
        <v>162.1</v>
      </c>
      <c r="M68" s="1" t="s">
        <v>2827</v>
      </c>
    </row>
    <row r="69" ht="12.75" customHeight="1">
      <c r="A69" s="2">
        <v>38565.0</v>
      </c>
      <c r="B69" s="1">
        <v>158.4</v>
      </c>
      <c r="C69" s="1">
        <v>142.4</v>
      </c>
      <c r="D69" s="1">
        <v>122.8</v>
      </c>
      <c r="E69" s="1">
        <v>165.6</v>
      </c>
      <c r="F69" s="1">
        <v>113.2</v>
      </c>
      <c r="G69" s="1">
        <v>189.9</v>
      </c>
      <c r="H69" s="1">
        <v>165.4</v>
      </c>
      <c r="I69" s="1">
        <v>136.4</v>
      </c>
      <c r="J69" s="1">
        <v>189.9</v>
      </c>
      <c r="K69" s="1">
        <v>200.6</v>
      </c>
      <c r="L69" s="1">
        <v>162.5</v>
      </c>
      <c r="M69" s="1" t="s">
        <v>2827</v>
      </c>
    </row>
    <row r="70" ht="12.75" customHeight="1">
      <c r="A70" s="2">
        <v>38596.0</v>
      </c>
      <c r="B70" s="1">
        <v>161.1</v>
      </c>
      <c r="C70" s="1">
        <v>143.7</v>
      </c>
      <c r="D70" s="1">
        <v>123.3</v>
      </c>
      <c r="E70" s="1">
        <v>165.3</v>
      </c>
      <c r="F70" s="1">
        <v>112.9</v>
      </c>
      <c r="G70" s="1">
        <v>194.9</v>
      </c>
      <c r="H70" s="1">
        <v>166.5</v>
      </c>
      <c r="I70" s="1">
        <v>136.0</v>
      </c>
      <c r="J70" s="1">
        <v>214.2</v>
      </c>
      <c r="K70" s="1">
        <v>212.6</v>
      </c>
      <c r="L70" s="1">
        <v>162.8</v>
      </c>
      <c r="M70" s="1" t="s">
        <v>2827</v>
      </c>
    </row>
    <row r="71" ht="12.75" customHeight="1">
      <c r="A71" s="2">
        <v>38626.0</v>
      </c>
      <c r="B71" s="1">
        <v>161.9</v>
      </c>
      <c r="C71" s="1">
        <v>146.8</v>
      </c>
      <c r="D71" s="1">
        <v>123.3</v>
      </c>
      <c r="E71" s="1">
        <v>165.3</v>
      </c>
      <c r="F71" s="1">
        <v>113.0</v>
      </c>
      <c r="G71" s="1">
        <v>202.3</v>
      </c>
      <c r="H71" s="1">
        <v>167.4</v>
      </c>
      <c r="I71" s="1">
        <v>134.9</v>
      </c>
      <c r="J71" s="1">
        <v>207.6</v>
      </c>
      <c r="K71" s="1">
        <v>264.1</v>
      </c>
      <c r="L71" s="1">
        <v>159.5</v>
      </c>
      <c r="M71" s="1" t="s">
        <v>2827</v>
      </c>
    </row>
    <row r="72" ht="12.75" customHeight="1">
      <c r="A72" s="2">
        <v>38657.0</v>
      </c>
      <c r="B72" s="1">
        <v>165.0</v>
      </c>
      <c r="C72" s="1">
        <v>151.0</v>
      </c>
      <c r="D72" s="1">
        <v>123.4</v>
      </c>
      <c r="E72" s="1">
        <v>165.4</v>
      </c>
      <c r="F72" s="1">
        <v>112.6</v>
      </c>
      <c r="G72" s="1">
        <v>201.4</v>
      </c>
      <c r="H72" s="1">
        <v>169.1</v>
      </c>
      <c r="I72" s="1">
        <v>132.7</v>
      </c>
      <c r="J72" s="1">
        <v>164.7</v>
      </c>
      <c r="K72" s="1">
        <v>206.2</v>
      </c>
      <c r="L72" s="1">
        <v>161.1</v>
      </c>
      <c r="M72" s="1" t="s">
        <v>2827</v>
      </c>
    </row>
    <row r="73" ht="12.75" customHeight="1">
      <c r="A73" s="2">
        <v>38687.0</v>
      </c>
      <c r="B73" s="1">
        <v>166.7</v>
      </c>
      <c r="C73" s="1">
        <v>151.9</v>
      </c>
      <c r="D73" s="1">
        <v>123.4</v>
      </c>
      <c r="E73" s="1">
        <v>165.0</v>
      </c>
      <c r="F73" s="1">
        <v>112.3</v>
      </c>
      <c r="G73" s="1">
        <v>201.3</v>
      </c>
      <c r="H73" s="1">
        <v>169.5</v>
      </c>
      <c r="I73" s="1">
        <v>132.4</v>
      </c>
      <c r="J73" s="1">
        <v>169.9</v>
      </c>
      <c r="K73" s="1">
        <v>198.5</v>
      </c>
      <c r="L73" s="1">
        <v>161.4</v>
      </c>
      <c r="M73" s="1" t="s">
        <v>2827</v>
      </c>
    </row>
    <row r="74" ht="12.75" customHeight="1">
      <c r="A74" s="2">
        <v>38718.0</v>
      </c>
      <c r="B74" s="1">
        <v>168.6</v>
      </c>
      <c r="C74" s="1">
        <v>153.0</v>
      </c>
      <c r="D74" s="1">
        <v>123.8</v>
      </c>
      <c r="E74" s="1">
        <v>164.9</v>
      </c>
      <c r="F74" s="1">
        <v>112.2</v>
      </c>
      <c r="G74" s="1">
        <v>203.7</v>
      </c>
      <c r="H74" s="1">
        <v>174.1</v>
      </c>
      <c r="I74" s="1">
        <v>129.9</v>
      </c>
      <c r="J74" s="1">
        <v>179.4</v>
      </c>
      <c r="K74" s="1">
        <v>197.1</v>
      </c>
      <c r="L74" s="1">
        <v>167.0</v>
      </c>
      <c r="M74" s="1" t="s">
        <v>2827</v>
      </c>
    </row>
    <row r="75" ht="12.75" customHeight="1">
      <c r="A75" s="2">
        <v>38749.0</v>
      </c>
      <c r="B75" s="1">
        <v>170.9</v>
      </c>
      <c r="C75" s="1">
        <v>153.2</v>
      </c>
      <c r="D75" s="1">
        <v>124.1</v>
      </c>
      <c r="E75" s="1">
        <v>165.6</v>
      </c>
      <c r="F75" s="1">
        <v>112.3</v>
      </c>
      <c r="G75" s="1">
        <v>203.4</v>
      </c>
      <c r="H75" s="1">
        <v>175.3</v>
      </c>
      <c r="I75" s="1">
        <v>129.7</v>
      </c>
      <c r="J75" s="1">
        <v>162.2</v>
      </c>
      <c r="K75" s="1">
        <v>196.2</v>
      </c>
      <c r="L75" s="1">
        <v>168.6</v>
      </c>
      <c r="M75" s="1" t="s">
        <v>2827</v>
      </c>
    </row>
    <row r="76" ht="12.75" customHeight="1">
      <c r="A76" s="2">
        <v>38777.0</v>
      </c>
      <c r="B76" s="1">
        <v>172.0</v>
      </c>
      <c r="C76" s="1">
        <v>153.0</v>
      </c>
      <c r="D76" s="1">
        <v>124.2</v>
      </c>
      <c r="E76" s="1">
        <v>166.6</v>
      </c>
      <c r="F76" s="1">
        <v>114.0</v>
      </c>
      <c r="G76" s="1">
        <v>203.4</v>
      </c>
      <c r="H76" s="1">
        <v>176.6</v>
      </c>
      <c r="I76" s="1">
        <v>127.4</v>
      </c>
      <c r="J76" s="1">
        <v>188.5</v>
      </c>
      <c r="K76" s="1">
        <v>206.5</v>
      </c>
      <c r="L76" s="1">
        <v>167.4</v>
      </c>
      <c r="M76" s="1" t="s">
        <v>2827</v>
      </c>
    </row>
    <row r="77" ht="12.75" customHeight="1">
      <c r="A77" s="2">
        <v>38808.0</v>
      </c>
      <c r="B77" s="1">
        <v>176.9</v>
      </c>
      <c r="C77" s="1">
        <v>153.1</v>
      </c>
      <c r="D77" s="1">
        <v>124.2</v>
      </c>
      <c r="E77" s="1">
        <v>167.8</v>
      </c>
      <c r="F77" s="1">
        <v>114.7</v>
      </c>
      <c r="G77" s="1">
        <v>203.1</v>
      </c>
      <c r="H77" s="1">
        <v>178.1</v>
      </c>
      <c r="I77" s="1">
        <v>136.1</v>
      </c>
      <c r="J77" s="1">
        <v>217.7</v>
      </c>
      <c r="K77" s="1">
        <v>230.4</v>
      </c>
      <c r="L77" s="1">
        <v>169.6</v>
      </c>
      <c r="M77" s="1" t="s">
        <v>2827</v>
      </c>
    </row>
    <row r="78" ht="12.75" customHeight="1">
      <c r="A78" s="2">
        <v>38838.0</v>
      </c>
      <c r="B78" s="1">
        <v>184.2</v>
      </c>
      <c r="C78" s="1">
        <v>153.2</v>
      </c>
      <c r="D78" s="1">
        <v>124.5</v>
      </c>
      <c r="E78" s="1">
        <v>168.3</v>
      </c>
      <c r="F78" s="1">
        <v>114.8</v>
      </c>
      <c r="G78" s="1">
        <v>205.7</v>
      </c>
      <c r="H78" s="1">
        <v>179.2</v>
      </c>
      <c r="I78" s="1">
        <v>134.5</v>
      </c>
      <c r="J78" s="1">
        <v>225.2</v>
      </c>
      <c r="K78" s="1">
        <v>239.6</v>
      </c>
      <c r="L78" s="1">
        <v>170.8</v>
      </c>
      <c r="M78" s="1" t="s">
        <v>2827</v>
      </c>
    </row>
    <row r="79" ht="12.75" customHeight="1">
      <c r="A79" s="2">
        <v>38869.0</v>
      </c>
      <c r="B79" s="1">
        <v>184.9</v>
      </c>
      <c r="C79" s="1">
        <v>153.1</v>
      </c>
      <c r="D79" s="1">
        <v>124.5</v>
      </c>
      <c r="E79" s="1">
        <v>168.8</v>
      </c>
      <c r="F79" s="1">
        <v>115.0</v>
      </c>
      <c r="G79" s="1">
        <v>207.9</v>
      </c>
      <c r="H79" s="1">
        <v>179.9</v>
      </c>
      <c r="I79" s="1">
        <v>133.2</v>
      </c>
      <c r="J79" s="1">
        <v>230.6</v>
      </c>
      <c r="K79" s="1">
        <v>246.9</v>
      </c>
      <c r="L79" s="1">
        <v>181.2</v>
      </c>
      <c r="M79" s="1" t="s">
        <v>2827</v>
      </c>
    </row>
    <row r="80" ht="12.75" customHeight="1">
      <c r="A80" s="2">
        <v>38899.0</v>
      </c>
      <c r="B80" s="1">
        <v>187.5</v>
      </c>
      <c r="C80" s="1">
        <v>153.8</v>
      </c>
      <c r="D80" s="1">
        <v>124.6</v>
      </c>
      <c r="E80" s="1">
        <v>169.0</v>
      </c>
      <c r="F80" s="1">
        <v>115.3</v>
      </c>
      <c r="G80" s="1">
        <v>208.3</v>
      </c>
      <c r="H80" s="1">
        <v>181.8</v>
      </c>
      <c r="I80" s="1">
        <v>133.0</v>
      </c>
      <c r="J80" s="1">
        <v>236.2</v>
      </c>
      <c r="K80" s="1">
        <v>237.5</v>
      </c>
      <c r="L80" s="1">
        <v>181.9</v>
      </c>
      <c r="M80" s="1" t="s">
        <v>2827</v>
      </c>
    </row>
    <row r="81" ht="12.75" customHeight="1">
      <c r="A81" s="2">
        <v>38930.0</v>
      </c>
      <c r="B81" s="1">
        <v>187.0</v>
      </c>
      <c r="C81" s="1">
        <v>154.1</v>
      </c>
      <c r="D81" s="1">
        <v>124.7</v>
      </c>
      <c r="E81" s="1">
        <v>169.1</v>
      </c>
      <c r="F81" s="1">
        <v>116.0</v>
      </c>
      <c r="G81" s="1">
        <v>209.8</v>
      </c>
      <c r="H81" s="1">
        <v>182.4</v>
      </c>
      <c r="I81" s="1">
        <v>133.4</v>
      </c>
      <c r="J81" s="1">
        <v>228.4</v>
      </c>
      <c r="K81" s="1">
        <v>250.2</v>
      </c>
      <c r="L81" s="1">
        <v>180.2</v>
      </c>
      <c r="M81" s="1" t="s">
        <v>2827</v>
      </c>
    </row>
    <row r="82" ht="12.75" customHeight="1">
      <c r="A82" s="2">
        <v>38961.0</v>
      </c>
      <c r="B82" s="1">
        <v>187.7</v>
      </c>
      <c r="C82" s="1">
        <v>154.3</v>
      </c>
      <c r="D82" s="1">
        <v>124.8</v>
      </c>
      <c r="E82" s="1">
        <v>169.0</v>
      </c>
      <c r="F82" s="1">
        <v>116.4</v>
      </c>
      <c r="G82" s="1">
        <v>207.6</v>
      </c>
      <c r="H82" s="1">
        <v>183.0</v>
      </c>
      <c r="I82" s="1">
        <v>133.0</v>
      </c>
      <c r="J82" s="1">
        <v>185.7</v>
      </c>
      <c r="K82" s="1">
        <v>201.3</v>
      </c>
      <c r="L82" s="1">
        <v>181.0</v>
      </c>
      <c r="M82" s="1" t="s">
        <v>2827</v>
      </c>
    </row>
    <row r="83" ht="12.75" customHeight="1">
      <c r="A83" s="2">
        <v>38991.0</v>
      </c>
      <c r="B83" s="1">
        <v>187.3</v>
      </c>
      <c r="C83" s="1">
        <v>155.0</v>
      </c>
      <c r="D83" s="1">
        <v>125.0</v>
      </c>
      <c r="E83" s="1">
        <v>169.8</v>
      </c>
      <c r="F83" s="1">
        <v>116.1</v>
      </c>
      <c r="G83" s="1">
        <v>206.9</v>
      </c>
      <c r="H83" s="1">
        <v>182.8</v>
      </c>
      <c r="I83" s="1">
        <v>131.9</v>
      </c>
      <c r="J83" s="1">
        <v>169.1</v>
      </c>
      <c r="K83" s="1">
        <v>197.5</v>
      </c>
      <c r="L83" s="1">
        <v>171.2</v>
      </c>
      <c r="M83" s="1" t="s">
        <v>2827</v>
      </c>
    </row>
    <row r="84" ht="12.75" customHeight="1">
      <c r="A84" s="2">
        <v>39022.0</v>
      </c>
      <c r="B84" s="1">
        <v>186.0</v>
      </c>
      <c r="C84" s="1">
        <v>154.9</v>
      </c>
      <c r="D84" s="1">
        <v>125.2</v>
      </c>
      <c r="E84" s="1">
        <v>170.2</v>
      </c>
      <c r="F84" s="1">
        <v>116.0</v>
      </c>
      <c r="G84" s="1">
        <v>204.5</v>
      </c>
      <c r="H84" s="1">
        <v>182.7</v>
      </c>
      <c r="I84" s="1">
        <v>130.1</v>
      </c>
      <c r="J84" s="1">
        <v>170.5</v>
      </c>
      <c r="K84" s="1">
        <v>197.2</v>
      </c>
      <c r="L84" s="1">
        <v>167.2</v>
      </c>
      <c r="M84" s="1" t="s">
        <v>2827</v>
      </c>
    </row>
    <row r="85" ht="12.75" customHeight="1">
      <c r="A85" s="2">
        <v>39052.0</v>
      </c>
      <c r="B85" s="1">
        <v>186.5</v>
      </c>
      <c r="C85" s="1">
        <v>154.7</v>
      </c>
      <c r="D85" s="1">
        <v>125.0</v>
      </c>
      <c r="E85" s="1">
        <v>171.2</v>
      </c>
      <c r="F85" s="1">
        <v>115.9</v>
      </c>
      <c r="G85" s="1">
        <v>205.3</v>
      </c>
      <c r="H85" s="1">
        <v>182.7</v>
      </c>
      <c r="I85" s="1">
        <v>129.1</v>
      </c>
      <c r="J85" s="1">
        <v>172.9</v>
      </c>
      <c r="K85" s="1">
        <v>203.0</v>
      </c>
      <c r="L85" s="1">
        <v>167.8</v>
      </c>
      <c r="M85" s="1" t="s">
        <v>2827</v>
      </c>
    </row>
    <row r="86" ht="12.75" customHeight="1">
      <c r="A86" s="2">
        <v>39083.0</v>
      </c>
      <c r="B86" s="1">
        <v>185.7</v>
      </c>
      <c r="C86" s="1">
        <v>154.2</v>
      </c>
      <c r="D86" s="1">
        <v>125.1</v>
      </c>
      <c r="E86" s="1">
        <v>173.6</v>
      </c>
      <c r="F86" s="1">
        <v>116.0</v>
      </c>
      <c r="G86" s="1">
        <v>206.0</v>
      </c>
      <c r="H86" s="1">
        <v>185.3</v>
      </c>
      <c r="I86" s="1">
        <v>129.8</v>
      </c>
      <c r="J86" s="1">
        <v>162.0</v>
      </c>
      <c r="K86" s="1">
        <v>180.9</v>
      </c>
      <c r="L86" s="1">
        <v>171.9</v>
      </c>
      <c r="M86" s="1" t="s">
        <v>2827</v>
      </c>
    </row>
    <row r="87" ht="12.75" customHeight="1">
      <c r="A87" s="2">
        <v>39114.0</v>
      </c>
      <c r="B87" s="1">
        <v>187.2</v>
      </c>
      <c r="C87" s="1">
        <v>154.0</v>
      </c>
      <c r="D87" s="1">
        <v>125.4</v>
      </c>
      <c r="E87" s="1">
        <v>174.1</v>
      </c>
      <c r="F87" s="1">
        <v>114.5</v>
      </c>
      <c r="G87" s="1">
        <v>206.7</v>
      </c>
      <c r="H87" s="1">
        <v>185.4</v>
      </c>
      <c r="I87" s="1">
        <v>128.1</v>
      </c>
      <c r="J87" s="1">
        <v>170.2</v>
      </c>
      <c r="K87" s="1">
        <v>193.5</v>
      </c>
      <c r="L87" s="1">
        <v>175.7</v>
      </c>
      <c r="M87" s="1" t="s">
        <v>2827</v>
      </c>
    </row>
    <row r="88" ht="12.75" customHeight="1">
      <c r="A88" s="2">
        <v>39142.0</v>
      </c>
      <c r="B88" s="1">
        <v>191.1</v>
      </c>
      <c r="C88" s="1">
        <v>153.8</v>
      </c>
      <c r="D88" s="1">
        <v>125.4</v>
      </c>
      <c r="E88" s="1">
        <v>174.9</v>
      </c>
      <c r="F88" s="1">
        <v>114.0</v>
      </c>
      <c r="G88" s="1">
        <v>208.8</v>
      </c>
      <c r="H88" s="1">
        <v>185.9</v>
      </c>
      <c r="I88" s="1">
        <v>126.7</v>
      </c>
      <c r="J88" s="1">
        <v>199.8</v>
      </c>
      <c r="K88" s="1">
        <v>220.2</v>
      </c>
      <c r="L88" s="1">
        <v>172.1</v>
      </c>
      <c r="M88" s="1" t="s">
        <v>2827</v>
      </c>
    </row>
    <row r="89" ht="12.75" customHeight="1">
      <c r="A89" s="2">
        <v>39173.0</v>
      </c>
      <c r="B89" s="1">
        <v>195.4</v>
      </c>
      <c r="C89" s="1">
        <v>153.9</v>
      </c>
      <c r="D89" s="1">
        <v>125.3</v>
      </c>
      <c r="E89" s="1">
        <v>176.0</v>
      </c>
      <c r="F89" s="1">
        <v>114.1</v>
      </c>
      <c r="G89" s="1">
        <v>210.7</v>
      </c>
      <c r="H89" s="1">
        <v>186.5</v>
      </c>
      <c r="I89" s="1">
        <v>135.2</v>
      </c>
      <c r="J89" s="1">
        <v>228.7</v>
      </c>
      <c r="K89" s="1">
        <v>238.0</v>
      </c>
      <c r="L89" s="1">
        <v>173.1</v>
      </c>
      <c r="M89" s="1" t="s">
        <v>2827</v>
      </c>
    </row>
    <row r="90" ht="12.75" customHeight="1">
      <c r="A90" s="2">
        <v>39203.0</v>
      </c>
      <c r="B90" s="1">
        <v>196.3</v>
      </c>
      <c r="C90" s="1">
        <v>154.2</v>
      </c>
      <c r="D90" s="1">
        <v>125.4</v>
      </c>
      <c r="E90" s="1">
        <v>175.6</v>
      </c>
      <c r="F90" s="1">
        <v>113.7</v>
      </c>
      <c r="G90" s="1">
        <v>213.7</v>
      </c>
      <c r="H90" s="1">
        <v>186.3</v>
      </c>
      <c r="I90" s="1">
        <v>135.3</v>
      </c>
      <c r="J90" s="1">
        <v>250.9</v>
      </c>
      <c r="K90" s="1">
        <v>226.5</v>
      </c>
      <c r="L90" s="1">
        <v>179.2</v>
      </c>
      <c r="M90" s="1" t="s">
        <v>2827</v>
      </c>
    </row>
    <row r="91" ht="12.75" customHeight="1">
      <c r="A91" s="2">
        <v>39234.0</v>
      </c>
      <c r="B91" s="1">
        <v>195.9</v>
      </c>
      <c r="C91" s="1">
        <v>154.4</v>
      </c>
      <c r="D91" s="1">
        <v>125.7</v>
      </c>
      <c r="E91" s="1">
        <v>174.7</v>
      </c>
      <c r="F91" s="1">
        <v>114.0</v>
      </c>
      <c r="G91" s="1">
        <v>215.0</v>
      </c>
      <c r="H91" s="1">
        <v>186.3</v>
      </c>
      <c r="I91" s="1">
        <v>133.8</v>
      </c>
      <c r="J91" s="1">
        <v>239.3</v>
      </c>
      <c r="K91" s="1">
        <v>227.6</v>
      </c>
      <c r="L91" s="1">
        <v>186.7</v>
      </c>
      <c r="M91" s="1" t="s">
        <v>2827</v>
      </c>
    </row>
    <row r="92" ht="12.75" customHeight="1">
      <c r="A92" s="2">
        <v>39264.0</v>
      </c>
      <c r="B92" s="1">
        <v>196.6</v>
      </c>
      <c r="C92" s="1">
        <v>154.8</v>
      </c>
      <c r="D92" s="1">
        <v>126.0</v>
      </c>
      <c r="E92" s="1">
        <v>171.6</v>
      </c>
      <c r="F92" s="1">
        <v>113.4</v>
      </c>
      <c r="G92" s="1">
        <v>217.1</v>
      </c>
      <c r="H92" s="1">
        <v>186.0</v>
      </c>
      <c r="I92" s="1">
        <v>131.8</v>
      </c>
      <c r="J92" s="1">
        <v>252.7</v>
      </c>
      <c r="K92" s="1">
        <v>243.5</v>
      </c>
      <c r="L92" s="1">
        <v>187.0</v>
      </c>
      <c r="M92" s="1" t="s">
        <v>2827</v>
      </c>
    </row>
    <row r="93" ht="12.75" customHeight="1">
      <c r="A93" s="2">
        <v>39295.0</v>
      </c>
      <c r="B93" s="1">
        <v>195.5</v>
      </c>
      <c r="C93" s="1">
        <v>155.7</v>
      </c>
      <c r="D93" s="1">
        <v>126.2</v>
      </c>
      <c r="E93" s="1">
        <v>172.6</v>
      </c>
      <c r="F93" s="1">
        <v>113.1</v>
      </c>
      <c r="G93" s="1">
        <v>215.0</v>
      </c>
      <c r="H93" s="1">
        <v>186.3</v>
      </c>
      <c r="I93" s="1">
        <v>132.4</v>
      </c>
      <c r="J93" s="1">
        <v>216.8</v>
      </c>
      <c r="K93" s="1">
        <v>231.2</v>
      </c>
      <c r="L93" s="1">
        <v>187.6</v>
      </c>
      <c r="M93" s="1" t="s">
        <v>2827</v>
      </c>
    </row>
    <row r="94" ht="12.75" customHeight="1">
      <c r="A94" s="2">
        <v>39326.0</v>
      </c>
      <c r="B94" s="1">
        <v>194.5</v>
      </c>
      <c r="C94" s="1">
        <v>155.6</v>
      </c>
      <c r="D94" s="1">
        <v>126.2</v>
      </c>
      <c r="E94" s="1">
        <v>172.4</v>
      </c>
      <c r="F94" s="1">
        <v>113.0</v>
      </c>
      <c r="G94" s="1">
        <v>216.7</v>
      </c>
      <c r="H94" s="1">
        <v>186.4</v>
      </c>
      <c r="I94" s="1">
        <v>131.0</v>
      </c>
      <c r="J94" s="1">
        <v>225.6</v>
      </c>
      <c r="K94" s="1">
        <v>246.2</v>
      </c>
      <c r="L94" s="1">
        <v>188.4</v>
      </c>
      <c r="M94" s="1" t="s">
        <v>2827</v>
      </c>
    </row>
    <row r="95" ht="12.75" customHeight="1">
      <c r="A95" s="2">
        <v>39356.0</v>
      </c>
      <c r="B95" s="1">
        <v>195.0</v>
      </c>
      <c r="C95" s="1">
        <v>156.0</v>
      </c>
      <c r="D95" s="1">
        <v>126.3</v>
      </c>
      <c r="E95" s="1">
        <v>172.3</v>
      </c>
      <c r="F95" s="1">
        <v>112.9</v>
      </c>
      <c r="G95" s="1">
        <v>218.9</v>
      </c>
      <c r="H95" s="1">
        <v>186.4</v>
      </c>
      <c r="I95" s="1">
        <v>131.1</v>
      </c>
      <c r="J95" s="1">
        <v>223.4</v>
      </c>
      <c r="K95" s="1">
        <v>249.6</v>
      </c>
      <c r="L95" s="1">
        <v>182.7</v>
      </c>
      <c r="M95" s="1" t="s">
        <v>2827</v>
      </c>
    </row>
    <row r="96" ht="12.75" customHeight="1">
      <c r="A96" s="2">
        <v>39387.0</v>
      </c>
      <c r="B96" s="1">
        <v>194.3</v>
      </c>
      <c r="C96" s="1">
        <v>156.5</v>
      </c>
      <c r="D96" s="1">
        <v>126.5</v>
      </c>
      <c r="E96" s="1">
        <v>172.4</v>
      </c>
      <c r="F96" s="1">
        <v>112.8</v>
      </c>
      <c r="G96" s="1">
        <v>224.5</v>
      </c>
      <c r="H96" s="1">
        <v>186.7</v>
      </c>
      <c r="I96" s="1">
        <v>129.9</v>
      </c>
      <c r="J96" s="1">
        <v>258.4</v>
      </c>
      <c r="K96" s="1">
        <v>296.7</v>
      </c>
      <c r="L96" s="1">
        <v>180.3</v>
      </c>
      <c r="M96" s="1" t="s">
        <v>2827</v>
      </c>
    </row>
    <row r="97" ht="12.75" customHeight="1">
      <c r="A97" s="2">
        <v>39417.0</v>
      </c>
      <c r="B97" s="1">
        <v>194.1</v>
      </c>
      <c r="C97" s="1">
        <v>157.5</v>
      </c>
      <c r="D97" s="1">
        <v>126.6</v>
      </c>
      <c r="E97" s="1">
        <v>172.6</v>
      </c>
      <c r="F97" s="1">
        <v>112.6</v>
      </c>
      <c r="G97" s="1">
        <v>224.7</v>
      </c>
      <c r="H97" s="1">
        <v>186.9</v>
      </c>
      <c r="I97" s="1">
        <v>128.5</v>
      </c>
      <c r="J97" s="1">
        <v>235.4</v>
      </c>
      <c r="K97" s="1">
        <v>271.9</v>
      </c>
      <c r="L97" s="1">
        <v>180.0</v>
      </c>
      <c r="M97" s="1" t="s">
        <v>2827</v>
      </c>
    </row>
    <row r="98" ht="12.75" customHeight="1">
      <c r="A98" s="2">
        <v>39448.0</v>
      </c>
      <c r="B98" s="1">
        <v>197.5</v>
      </c>
      <c r="C98" s="1">
        <v>159.2</v>
      </c>
      <c r="D98" s="1">
        <v>126.9</v>
      </c>
      <c r="E98" s="1">
        <v>172.2</v>
      </c>
      <c r="F98" s="1">
        <v>112.7</v>
      </c>
      <c r="G98" s="1">
        <v>229.2</v>
      </c>
      <c r="H98" s="1">
        <v>188.5</v>
      </c>
      <c r="I98" s="1">
        <v>127.2</v>
      </c>
      <c r="J98" s="1">
        <v>240.0</v>
      </c>
      <c r="K98" s="1">
        <v>278.2</v>
      </c>
      <c r="L98" s="1">
        <v>181.9</v>
      </c>
      <c r="M98" s="1" t="s">
        <v>2827</v>
      </c>
    </row>
    <row r="99" ht="12.75" customHeight="1">
      <c r="A99" s="2">
        <v>39479.0</v>
      </c>
      <c r="B99" s="1">
        <v>201.8</v>
      </c>
      <c r="C99" s="1">
        <v>159.9</v>
      </c>
      <c r="D99" s="1">
        <v>127.1</v>
      </c>
      <c r="E99" s="1">
        <v>172.5</v>
      </c>
      <c r="F99" s="1">
        <v>113.2</v>
      </c>
      <c r="G99" s="1">
        <v>231.3</v>
      </c>
      <c r="H99" s="1">
        <v>188.8</v>
      </c>
      <c r="I99" s="1">
        <v>127.1</v>
      </c>
      <c r="J99" s="1">
        <v>243.7</v>
      </c>
      <c r="K99" s="1">
        <v>287.5</v>
      </c>
      <c r="L99" s="1">
        <v>180.0</v>
      </c>
      <c r="M99" s="1" t="s">
        <v>2827</v>
      </c>
    </row>
    <row r="100" ht="12.75" customHeight="1">
      <c r="A100" s="2">
        <v>39508.0</v>
      </c>
      <c r="B100" s="1">
        <v>208.0</v>
      </c>
      <c r="C100" s="1">
        <v>160.6</v>
      </c>
      <c r="D100" s="1">
        <v>127.2</v>
      </c>
      <c r="E100" s="1">
        <v>172.5</v>
      </c>
      <c r="F100" s="1">
        <v>113.2</v>
      </c>
      <c r="G100" s="1">
        <v>235.6</v>
      </c>
      <c r="H100" s="1">
        <v>189.5</v>
      </c>
      <c r="I100" s="1">
        <v>126.7</v>
      </c>
      <c r="J100" s="1">
        <v>272.4</v>
      </c>
      <c r="K100" s="1">
        <v>353.7</v>
      </c>
      <c r="L100" s="1">
        <v>183.1</v>
      </c>
      <c r="M100" s="1" t="s">
        <v>2827</v>
      </c>
    </row>
    <row r="101" ht="12.75" customHeight="1">
      <c r="A101" s="2">
        <v>39539.0</v>
      </c>
      <c r="B101" s="1">
        <v>217.6</v>
      </c>
      <c r="C101" s="1">
        <v>161.3</v>
      </c>
      <c r="D101" s="1">
        <v>127.6</v>
      </c>
      <c r="E101" s="1">
        <v>172.9</v>
      </c>
      <c r="F101" s="1">
        <v>113.2</v>
      </c>
      <c r="G101" s="1">
        <v>240.4</v>
      </c>
      <c r="H101" s="1">
        <v>191.0</v>
      </c>
      <c r="I101" s="1">
        <v>136.2</v>
      </c>
      <c r="J101" s="1">
        <v>281.3</v>
      </c>
      <c r="K101" s="1">
        <v>365.1</v>
      </c>
      <c r="L101" s="1">
        <v>185.2</v>
      </c>
      <c r="M101" s="1" t="s">
        <v>2827</v>
      </c>
    </row>
    <row r="102" ht="12.75" customHeight="1">
      <c r="A102" s="2">
        <v>39569.0</v>
      </c>
      <c r="B102" s="1">
        <v>223.4</v>
      </c>
      <c r="C102" s="1">
        <v>162.8</v>
      </c>
      <c r="D102" s="1">
        <v>128.2</v>
      </c>
      <c r="E102" s="1">
        <v>172.9</v>
      </c>
      <c r="F102" s="1">
        <v>113.5</v>
      </c>
      <c r="G102" s="1">
        <v>246.5</v>
      </c>
      <c r="H102" s="1">
        <v>192.1</v>
      </c>
      <c r="I102" s="1">
        <v>135.5</v>
      </c>
      <c r="J102" s="1">
        <v>317.0</v>
      </c>
      <c r="K102" s="1">
        <v>398.2</v>
      </c>
      <c r="L102" s="1">
        <v>189.5</v>
      </c>
      <c r="M102" s="1" t="s">
        <v>2827</v>
      </c>
    </row>
    <row r="103" ht="12.75" customHeight="1">
      <c r="A103" s="2">
        <v>39600.0</v>
      </c>
      <c r="B103" s="1">
        <v>226.9</v>
      </c>
      <c r="C103" s="1">
        <v>164.0</v>
      </c>
      <c r="D103" s="1">
        <v>128.2</v>
      </c>
      <c r="E103" s="1">
        <v>174.8</v>
      </c>
      <c r="F103" s="1">
        <v>113.7</v>
      </c>
      <c r="G103" s="1">
        <v>252.7</v>
      </c>
      <c r="H103" s="1">
        <v>194.4</v>
      </c>
      <c r="I103" s="1">
        <v>135.4</v>
      </c>
      <c r="J103" s="1">
        <v>332.6</v>
      </c>
      <c r="K103" s="1">
        <v>421.0</v>
      </c>
      <c r="L103" s="1">
        <v>191.9</v>
      </c>
      <c r="M103" s="1" t="s">
        <v>2827</v>
      </c>
    </row>
    <row r="104" ht="12.75" customHeight="1">
      <c r="A104" s="2">
        <v>39630.0</v>
      </c>
      <c r="B104" s="1">
        <v>231.8</v>
      </c>
      <c r="C104" s="1">
        <v>167.4</v>
      </c>
      <c r="D104" s="1">
        <v>129.1</v>
      </c>
      <c r="E104" s="1">
        <v>175.0</v>
      </c>
      <c r="F104" s="1">
        <v>113.7</v>
      </c>
      <c r="G104" s="1">
        <v>262.8</v>
      </c>
      <c r="H104" s="1">
        <v>198.8</v>
      </c>
      <c r="I104" s="1">
        <v>134.6</v>
      </c>
      <c r="J104" s="1">
        <v>343.8</v>
      </c>
      <c r="K104" s="1">
        <v>431.9</v>
      </c>
      <c r="L104" s="1">
        <v>196.1</v>
      </c>
      <c r="M104" s="1" t="s">
        <v>2827</v>
      </c>
    </row>
    <row r="105" ht="12.75" customHeight="1">
      <c r="A105" s="2">
        <v>39661.0</v>
      </c>
      <c r="B105" s="1">
        <v>230.9</v>
      </c>
      <c r="C105" s="1">
        <v>169.7</v>
      </c>
      <c r="D105" s="1">
        <v>130.1</v>
      </c>
      <c r="E105" s="1">
        <v>174.9</v>
      </c>
      <c r="F105" s="1">
        <v>113.7</v>
      </c>
      <c r="G105" s="1">
        <v>263.3</v>
      </c>
      <c r="H105" s="1">
        <v>202.7</v>
      </c>
      <c r="I105" s="1">
        <v>133.5</v>
      </c>
      <c r="J105" s="1">
        <v>310.1</v>
      </c>
      <c r="K105" s="1">
        <v>346.7</v>
      </c>
      <c r="L105" s="1">
        <v>197.1</v>
      </c>
      <c r="M105" s="1" t="s">
        <v>2827</v>
      </c>
    </row>
    <row r="106" ht="12.75" customHeight="1">
      <c r="A106" s="2">
        <v>39692.0</v>
      </c>
      <c r="B106" s="1">
        <v>223.7</v>
      </c>
      <c r="C106" s="1">
        <v>171.6</v>
      </c>
      <c r="D106" s="1">
        <v>131.0</v>
      </c>
      <c r="E106" s="1">
        <v>175.2</v>
      </c>
      <c r="F106" s="1">
        <v>113.8</v>
      </c>
      <c r="G106" s="1">
        <v>264.2</v>
      </c>
      <c r="H106" s="1">
        <v>204.4</v>
      </c>
      <c r="I106" s="1">
        <v>133.0</v>
      </c>
      <c r="J106" s="1">
        <v>316.1</v>
      </c>
      <c r="K106" s="1">
        <v>342.3</v>
      </c>
      <c r="L106" s="1">
        <v>195.9</v>
      </c>
      <c r="M106" s="1" t="s">
        <v>2827</v>
      </c>
    </row>
    <row r="107" ht="12.75" customHeight="1">
      <c r="A107" s="2">
        <v>39722.0</v>
      </c>
      <c r="B107" s="1">
        <v>209.1</v>
      </c>
      <c r="C107" s="1">
        <v>172.5</v>
      </c>
      <c r="D107" s="1">
        <v>130.7</v>
      </c>
      <c r="E107" s="1">
        <v>175.1</v>
      </c>
      <c r="F107" s="1">
        <v>114.0</v>
      </c>
      <c r="G107" s="1">
        <v>252.5</v>
      </c>
      <c r="H107" s="1">
        <v>205.0</v>
      </c>
      <c r="I107" s="1">
        <v>133.1</v>
      </c>
      <c r="J107" s="1">
        <v>230.3</v>
      </c>
      <c r="K107" s="1">
        <v>281.8</v>
      </c>
      <c r="L107" s="1">
        <v>193.0</v>
      </c>
      <c r="M107" s="1" t="s">
        <v>2827</v>
      </c>
    </row>
    <row r="108" ht="12.75" customHeight="1">
      <c r="A108" s="2">
        <v>39753.0</v>
      </c>
      <c r="B108" s="1">
        <v>195.9</v>
      </c>
      <c r="C108" s="1">
        <v>172.1</v>
      </c>
      <c r="D108" s="1">
        <v>130.7</v>
      </c>
      <c r="E108" s="1">
        <v>169.6</v>
      </c>
      <c r="F108" s="1">
        <v>113.6</v>
      </c>
      <c r="G108" s="1">
        <v>239.3</v>
      </c>
      <c r="H108" s="1">
        <v>205.3</v>
      </c>
      <c r="I108" s="1">
        <v>132.7</v>
      </c>
      <c r="J108" s="1">
        <v>154.0</v>
      </c>
      <c r="K108" s="1">
        <v>224.1</v>
      </c>
      <c r="L108" s="1">
        <v>187.7</v>
      </c>
      <c r="M108" s="1" t="s">
        <v>2827</v>
      </c>
    </row>
    <row r="109" ht="12.75" customHeight="1">
      <c r="A109" s="2">
        <v>39783.0</v>
      </c>
      <c r="B109" s="1">
        <v>189.7</v>
      </c>
      <c r="C109" s="1">
        <v>169.8</v>
      </c>
      <c r="D109" s="1">
        <v>130.2</v>
      </c>
      <c r="E109" s="1">
        <v>168.9</v>
      </c>
      <c r="F109" s="1">
        <v>113.3</v>
      </c>
      <c r="G109" s="1">
        <v>227.6</v>
      </c>
      <c r="H109" s="1">
        <v>204.6</v>
      </c>
      <c r="I109" s="1">
        <v>130.8</v>
      </c>
      <c r="J109" s="1">
        <v>114.5</v>
      </c>
      <c r="K109" s="1">
        <v>168.0</v>
      </c>
      <c r="L109" s="1">
        <v>188.3</v>
      </c>
      <c r="M109" s="1" t="s">
        <v>2827</v>
      </c>
    </row>
    <row r="110" ht="12.75" customHeight="1">
      <c r="A110" s="2">
        <v>39814.0</v>
      </c>
      <c r="B110" s="1">
        <v>187.0</v>
      </c>
      <c r="C110" s="1">
        <v>167.5</v>
      </c>
      <c r="D110" s="1">
        <v>130.2</v>
      </c>
      <c r="E110" s="1">
        <v>157.0</v>
      </c>
      <c r="F110" s="1">
        <v>113.3</v>
      </c>
      <c r="G110" s="1">
        <v>226.8</v>
      </c>
      <c r="H110" s="1">
        <v>205.8</v>
      </c>
      <c r="I110" s="1">
        <v>130.3</v>
      </c>
      <c r="J110" s="1">
        <v>132.1</v>
      </c>
      <c r="K110" s="1">
        <v>161.6</v>
      </c>
      <c r="L110" s="1">
        <v>190.3</v>
      </c>
      <c r="M110" s="1" t="s">
        <v>2827</v>
      </c>
    </row>
    <row r="111" ht="12.75" customHeight="1">
      <c r="A111" s="2">
        <v>39845.0</v>
      </c>
      <c r="B111" s="1">
        <v>183.9</v>
      </c>
      <c r="C111" s="1">
        <v>165.3</v>
      </c>
      <c r="D111" s="1">
        <v>129.9</v>
      </c>
      <c r="E111" s="1">
        <v>157.0</v>
      </c>
      <c r="F111" s="1">
        <v>113.3</v>
      </c>
      <c r="G111" s="1">
        <v>226.5</v>
      </c>
      <c r="H111" s="1">
        <v>203.8</v>
      </c>
      <c r="I111" s="1">
        <v>128.9</v>
      </c>
      <c r="J111" s="1">
        <v>138.0</v>
      </c>
      <c r="K111" s="1">
        <v>147.2</v>
      </c>
      <c r="L111" s="1">
        <v>190.3</v>
      </c>
      <c r="M111" s="1" t="s">
        <v>2827</v>
      </c>
    </row>
    <row r="112" ht="12.75" customHeight="1">
      <c r="A112" s="2">
        <v>39873.0</v>
      </c>
      <c r="B112" s="1">
        <v>181.7</v>
      </c>
      <c r="C112" s="1">
        <v>164.9</v>
      </c>
      <c r="D112" s="1">
        <v>129.4</v>
      </c>
      <c r="E112" s="1">
        <v>157.9</v>
      </c>
      <c r="F112" s="1">
        <v>113.5</v>
      </c>
      <c r="G112" s="1">
        <v>225.8</v>
      </c>
      <c r="H112" s="1">
        <v>203.9</v>
      </c>
      <c r="I112" s="1">
        <v>128.6</v>
      </c>
      <c r="J112" s="1">
        <v>135.0</v>
      </c>
      <c r="K112" s="1">
        <v>139.2</v>
      </c>
      <c r="L112" s="1">
        <v>187.6</v>
      </c>
      <c r="M112" s="1" t="s">
        <v>2827</v>
      </c>
    </row>
    <row r="113" ht="12.75" customHeight="1">
      <c r="A113" s="2">
        <v>39904.0</v>
      </c>
      <c r="B113" s="1">
        <v>179.9</v>
      </c>
      <c r="C113" s="1">
        <v>164.5</v>
      </c>
      <c r="D113" s="1">
        <v>129.7</v>
      </c>
      <c r="E113" s="1">
        <v>153.6</v>
      </c>
      <c r="F113" s="1">
        <v>113.4</v>
      </c>
      <c r="G113" s="1">
        <v>225.2</v>
      </c>
      <c r="H113" s="1">
        <v>203.7</v>
      </c>
      <c r="I113" s="1">
        <v>134.7</v>
      </c>
      <c r="J113" s="1">
        <v>151.9</v>
      </c>
      <c r="K113" s="1">
        <v>167.4</v>
      </c>
      <c r="L113" s="1">
        <v>186.9</v>
      </c>
      <c r="M113" s="1" t="s">
        <v>2827</v>
      </c>
    </row>
    <row r="114" ht="12.75" customHeight="1">
      <c r="A114" s="2">
        <v>39934.0</v>
      </c>
      <c r="B114" s="1">
        <v>180.5</v>
      </c>
      <c r="C114" s="1">
        <v>163.9</v>
      </c>
      <c r="D114" s="1">
        <v>129.1</v>
      </c>
      <c r="E114" s="1">
        <v>153.8</v>
      </c>
      <c r="F114" s="1">
        <v>113.4</v>
      </c>
      <c r="G114" s="1">
        <v>225.8</v>
      </c>
      <c r="H114" s="1">
        <v>203.4</v>
      </c>
      <c r="I114" s="1">
        <v>135.3</v>
      </c>
      <c r="J114" s="1">
        <v>175.5</v>
      </c>
      <c r="K114" s="1">
        <v>166.4</v>
      </c>
      <c r="L114" s="1">
        <v>190.5</v>
      </c>
      <c r="M114" s="1" t="s">
        <v>2827</v>
      </c>
    </row>
    <row r="115" ht="12.75" customHeight="1">
      <c r="A115" s="2">
        <v>39965.0</v>
      </c>
      <c r="B115" s="1">
        <v>181.7</v>
      </c>
      <c r="C115" s="1">
        <v>163.7</v>
      </c>
      <c r="D115" s="1">
        <v>129.6</v>
      </c>
      <c r="E115" s="1">
        <v>151.9</v>
      </c>
      <c r="F115" s="1">
        <v>113.3</v>
      </c>
      <c r="G115" s="1">
        <v>227.8</v>
      </c>
      <c r="H115" s="1">
        <v>202.5</v>
      </c>
      <c r="I115" s="1">
        <v>134.5</v>
      </c>
      <c r="J115" s="1">
        <v>206.8</v>
      </c>
      <c r="K115" s="1">
        <v>191.1</v>
      </c>
      <c r="L115" s="1">
        <v>193.3</v>
      </c>
      <c r="M115" s="1" t="s">
        <v>2827</v>
      </c>
    </row>
    <row r="116" ht="12.75" customHeight="1">
      <c r="A116" s="2">
        <v>39995.0</v>
      </c>
      <c r="B116" s="1">
        <v>183.5</v>
      </c>
      <c r="C116" s="1">
        <v>163.9</v>
      </c>
      <c r="D116" s="1">
        <v>129.1</v>
      </c>
      <c r="E116" s="1">
        <v>153.1</v>
      </c>
      <c r="F116" s="1">
        <v>113.4</v>
      </c>
      <c r="G116" s="1">
        <v>230.0</v>
      </c>
      <c r="H116" s="1">
        <v>202.1</v>
      </c>
      <c r="I116" s="1">
        <v>134.0</v>
      </c>
      <c r="J116" s="1">
        <v>188.1</v>
      </c>
      <c r="K116" s="1">
        <v>172.8</v>
      </c>
      <c r="L116" s="1">
        <v>196.2</v>
      </c>
      <c r="M116" s="1" t="s">
        <v>2827</v>
      </c>
    </row>
    <row r="117" ht="12.75" customHeight="1">
      <c r="A117" s="2">
        <v>40026.0</v>
      </c>
      <c r="B117" s="1">
        <v>189.1</v>
      </c>
      <c r="C117" s="1">
        <v>164.5</v>
      </c>
      <c r="D117" s="1">
        <v>129.4</v>
      </c>
      <c r="E117" s="1">
        <v>155.2</v>
      </c>
      <c r="F117" s="1">
        <v>113.5</v>
      </c>
      <c r="G117" s="1">
        <v>231.1</v>
      </c>
      <c r="H117" s="1">
        <v>201.2</v>
      </c>
      <c r="I117" s="1">
        <v>132.5</v>
      </c>
      <c r="J117" s="1">
        <v>209.6</v>
      </c>
      <c r="K117" s="1">
        <v>204.1</v>
      </c>
      <c r="L117" s="1">
        <v>194.7</v>
      </c>
      <c r="M117" s="1" t="s">
        <v>2827</v>
      </c>
    </row>
    <row r="118" ht="12.75" customHeight="1">
      <c r="A118" s="2">
        <v>40057.0</v>
      </c>
      <c r="B118" s="1">
        <v>192.1</v>
      </c>
      <c r="C118" s="1">
        <v>165.5</v>
      </c>
      <c r="D118" s="1">
        <v>129.5</v>
      </c>
      <c r="E118" s="1">
        <v>158.9</v>
      </c>
      <c r="F118" s="1">
        <v>113.5</v>
      </c>
      <c r="G118" s="1">
        <v>232.0</v>
      </c>
      <c r="H118" s="1">
        <v>201.4</v>
      </c>
      <c r="I118" s="1">
        <v>133.2</v>
      </c>
      <c r="J118" s="1">
        <v>198.0</v>
      </c>
      <c r="K118" s="1">
        <v>193.2</v>
      </c>
      <c r="L118" s="1">
        <v>194.9</v>
      </c>
      <c r="M118" s="1" t="s">
        <v>2827</v>
      </c>
    </row>
    <row r="119" ht="12.75" customHeight="1">
      <c r="A119" s="2">
        <v>40087.0</v>
      </c>
      <c r="B119" s="1">
        <v>193.3</v>
      </c>
      <c r="C119" s="1">
        <v>165.8</v>
      </c>
      <c r="D119" s="1">
        <v>129.4</v>
      </c>
      <c r="E119" s="1">
        <v>162.0</v>
      </c>
      <c r="F119" s="1">
        <v>113.6</v>
      </c>
      <c r="G119" s="1">
        <v>231.7</v>
      </c>
      <c r="H119" s="1">
        <v>200.6</v>
      </c>
      <c r="I119" s="1">
        <v>133.5</v>
      </c>
      <c r="J119" s="1">
        <v>194.4</v>
      </c>
      <c r="K119" s="1">
        <v>202.8</v>
      </c>
      <c r="L119" s="1">
        <v>189.9</v>
      </c>
      <c r="M119" s="1" t="s">
        <v>2827</v>
      </c>
    </row>
    <row r="120" ht="12.75" customHeight="1">
      <c r="A120" s="2">
        <v>40118.0</v>
      </c>
      <c r="B120" s="1">
        <v>193.0</v>
      </c>
      <c r="C120" s="1">
        <v>166.2</v>
      </c>
      <c r="D120" s="1">
        <v>129.5</v>
      </c>
      <c r="E120" s="1">
        <v>160.4</v>
      </c>
      <c r="F120" s="1">
        <v>113.6</v>
      </c>
      <c r="G120" s="1">
        <v>233.3</v>
      </c>
      <c r="H120" s="1">
        <v>200.5</v>
      </c>
      <c r="I120" s="1">
        <v>131.9</v>
      </c>
      <c r="J120" s="1">
        <v>208.5</v>
      </c>
      <c r="K120" s="1">
        <v>215.7</v>
      </c>
      <c r="L120" s="1">
        <v>186.0</v>
      </c>
      <c r="M120" s="1" t="s">
        <v>2827</v>
      </c>
    </row>
    <row r="121" ht="12.75" customHeight="1">
      <c r="A121" s="2">
        <v>40148.0</v>
      </c>
      <c r="B121" s="1">
        <v>196.0</v>
      </c>
      <c r="C121" s="1">
        <v>166.3</v>
      </c>
      <c r="D121" s="1">
        <v>129.6</v>
      </c>
      <c r="E121" s="1">
        <v>163.4</v>
      </c>
      <c r="F121" s="1">
        <v>113.4</v>
      </c>
      <c r="G121" s="1">
        <v>236.7</v>
      </c>
      <c r="H121" s="1">
        <v>200.4</v>
      </c>
      <c r="I121" s="1">
        <v>130.9</v>
      </c>
      <c r="J121" s="1">
        <v>203.3</v>
      </c>
      <c r="K121" s="1">
        <v>205.1</v>
      </c>
      <c r="L121" s="1">
        <v>186.0</v>
      </c>
      <c r="M121" s="1" t="s">
        <v>2827</v>
      </c>
    </row>
    <row r="122" ht="12.75" customHeight="1">
      <c r="A122" s="2">
        <v>40179.0</v>
      </c>
      <c r="B122" s="1">
        <v>200.5</v>
      </c>
      <c r="C122" s="1">
        <v>166.8</v>
      </c>
      <c r="D122" s="1">
        <v>130.1</v>
      </c>
      <c r="E122" s="1">
        <v>165.9</v>
      </c>
      <c r="F122" s="1">
        <v>113.4</v>
      </c>
      <c r="G122" s="1">
        <v>239.9</v>
      </c>
      <c r="H122" s="1">
        <v>200.7</v>
      </c>
      <c r="I122" s="1">
        <v>130.4</v>
      </c>
      <c r="J122" s="1">
        <v>223.4</v>
      </c>
      <c r="K122" s="1">
        <v>229.4</v>
      </c>
      <c r="L122" s="1">
        <v>186.3</v>
      </c>
      <c r="M122" s="1" t="s">
        <v>2827</v>
      </c>
    </row>
    <row r="123" ht="12.75" customHeight="1">
      <c r="A123" s="2">
        <v>40210.0</v>
      </c>
      <c r="B123" s="1">
        <v>200.8</v>
      </c>
      <c r="C123" s="1">
        <v>167.4</v>
      </c>
      <c r="D123" s="1">
        <v>130.3</v>
      </c>
      <c r="E123" s="1">
        <v>173.3</v>
      </c>
      <c r="F123" s="1">
        <v>113.5</v>
      </c>
      <c r="G123" s="1">
        <v>244.2</v>
      </c>
      <c r="H123" s="1">
        <v>201.4</v>
      </c>
      <c r="I123" s="1">
        <v>129.7</v>
      </c>
      <c r="J123" s="1">
        <v>205.0</v>
      </c>
      <c r="K123" s="1">
        <v>206.9</v>
      </c>
      <c r="L123" s="1">
        <v>186.1</v>
      </c>
      <c r="M123" s="1" t="s">
        <v>2827</v>
      </c>
    </row>
    <row r="124" ht="12.75" customHeight="1">
      <c r="A124" s="2">
        <v>40238.0</v>
      </c>
      <c r="B124" s="1">
        <v>205.0</v>
      </c>
      <c r="C124" s="1">
        <v>168.5</v>
      </c>
      <c r="D124" s="1">
        <v>131.0</v>
      </c>
      <c r="E124" s="1">
        <v>176.1</v>
      </c>
      <c r="F124" s="1">
        <v>113.6</v>
      </c>
      <c r="G124" s="1">
        <v>246.1</v>
      </c>
      <c r="H124" s="1">
        <v>201.6</v>
      </c>
      <c r="I124" s="1">
        <v>129.8</v>
      </c>
      <c r="J124" s="1">
        <v>225.4</v>
      </c>
      <c r="K124" s="1">
        <v>225.5</v>
      </c>
      <c r="L124" s="1">
        <v>189.0</v>
      </c>
      <c r="M124" s="1" t="s">
        <v>2827</v>
      </c>
    </row>
    <row r="125" ht="12.75" customHeight="1">
      <c r="A125" s="2">
        <v>40269.0</v>
      </c>
      <c r="B125" s="1">
        <v>210.3</v>
      </c>
      <c r="C125" s="1">
        <v>169.9</v>
      </c>
      <c r="D125" s="1">
        <v>131.1</v>
      </c>
      <c r="E125" s="1">
        <v>176.3</v>
      </c>
      <c r="F125" s="1">
        <v>113.4</v>
      </c>
      <c r="G125" s="1">
        <v>248.9</v>
      </c>
      <c r="H125" s="1">
        <v>201.9</v>
      </c>
      <c r="I125" s="1">
        <v>131.2</v>
      </c>
      <c r="J125" s="1">
        <v>232.0</v>
      </c>
      <c r="K125" s="1">
        <v>240.0</v>
      </c>
      <c r="L125" s="1">
        <v>188.8</v>
      </c>
      <c r="M125" s="1" t="s">
        <v>2827</v>
      </c>
    </row>
    <row r="126" ht="12.75" customHeight="1">
      <c r="A126" s="2">
        <v>40299.0</v>
      </c>
      <c r="B126" s="1">
        <v>210.1</v>
      </c>
      <c r="C126" s="1">
        <v>170.6</v>
      </c>
      <c r="D126" s="1">
        <v>131.5</v>
      </c>
      <c r="E126" s="1">
        <v>182.7</v>
      </c>
      <c r="F126" s="1">
        <v>113.5</v>
      </c>
      <c r="G126" s="1">
        <v>246.9</v>
      </c>
      <c r="H126" s="1">
        <v>202.3</v>
      </c>
      <c r="I126" s="1">
        <v>131.8</v>
      </c>
      <c r="J126" s="1">
        <v>230.2</v>
      </c>
      <c r="K126" s="1">
        <v>235.8</v>
      </c>
      <c r="L126" s="1">
        <v>192.0</v>
      </c>
      <c r="M126" s="1" t="s">
        <v>2827</v>
      </c>
    </row>
    <row r="127" ht="12.75" customHeight="1">
      <c r="A127" s="2">
        <v>40330.0</v>
      </c>
      <c r="B127" s="1">
        <v>207.4</v>
      </c>
      <c r="C127" s="1">
        <v>171.7</v>
      </c>
      <c r="D127" s="1">
        <v>131.5</v>
      </c>
      <c r="E127" s="1">
        <v>182.9</v>
      </c>
      <c r="F127" s="1">
        <v>113.4</v>
      </c>
      <c r="G127" s="1">
        <v>244.1</v>
      </c>
      <c r="H127" s="1">
        <v>202.5</v>
      </c>
      <c r="I127" s="1">
        <v>132.3</v>
      </c>
      <c r="J127" s="1">
        <v>219.7</v>
      </c>
      <c r="K127" s="1">
        <v>221.8</v>
      </c>
      <c r="L127" s="1">
        <v>197.8</v>
      </c>
      <c r="M127" s="1" t="s">
        <v>2827</v>
      </c>
    </row>
    <row r="128" ht="12.75" customHeight="1">
      <c r="A128" s="2">
        <v>40360.0</v>
      </c>
      <c r="B128" s="1">
        <v>205.0</v>
      </c>
      <c r="C128" s="1">
        <v>171.9</v>
      </c>
      <c r="D128" s="1">
        <v>131.5</v>
      </c>
      <c r="E128" s="1">
        <v>184.2</v>
      </c>
      <c r="F128" s="1">
        <v>113.4</v>
      </c>
      <c r="G128" s="1">
        <v>243.3</v>
      </c>
      <c r="H128" s="1">
        <v>202.3</v>
      </c>
      <c r="I128" s="1">
        <v>132.0</v>
      </c>
      <c r="J128" s="1">
        <v>220.5</v>
      </c>
      <c r="K128" s="1">
        <v>218.5</v>
      </c>
      <c r="L128" s="1">
        <v>199.8</v>
      </c>
      <c r="M128" s="1" t="s">
        <v>2827</v>
      </c>
    </row>
    <row r="129" ht="12.75" customHeight="1">
      <c r="A129" s="2">
        <v>40391.0</v>
      </c>
      <c r="B129" s="1">
        <v>206.5</v>
      </c>
      <c r="C129" s="1">
        <v>171.8</v>
      </c>
      <c r="D129" s="1">
        <v>131.8</v>
      </c>
      <c r="E129" s="1">
        <v>185.1</v>
      </c>
      <c r="F129" s="1">
        <v>113.2</v>
      </c>
      <c r="G129" s="1">
        <v>244.3</v>
      </c>
      <c r="H129" s="1">
        <v>202.3</v>
      </c>
      <c r="I129" s="1">
        <v>131.8</v>
      </c>
      <c r="J129" s="1">
        <v>224.5</v>
      </c>
      <c r="K129" s="1">
        <v>231.1</v>
      </c>
      <c r="L129" s="1">
        <v>200.8</v>
      </c>
      <c r="M129" s="1" t="s">
        <v>2827</v>
      </c>
    </row>
    <row r="130" ht="12.75" customHeight="1">
      <c r="A130" s="2">
        <v>40422.0</v>
      </c>
      <c r="B130" s="1">
        <v>208.2</v>
      </c>
      <c r="C130" s="1">
        <v>171.8</v>
      </c>
      <c r="D130" s="1">
        <v>131.9</v>
      </c>
      <c r="E130" s="1">
        <v>184.9</v>
      </c>
      <c r="F130" s="1">
        <v>113.0</v>
      </c>
      <c r="G130" s="1">
        <v>245.8</v>
      </c>
      <c r="H130" s="1">
        <v>201.9</v>
      </c>
      <c r="I130" s="1">
        <v>129.9</v>
      </c>
      <c r="J130" s="1">
        <v>219.1</v>
      </c>
      <c r="K130" s="1">
        <v>227.7</v>
      </c>
      <c r="L130" s="1">
        <v>200.0</v>
      </c>
      <c r="M130" s="1" t="s">
        <v>2827</v>
      </c>
    </row>
    <row r="131" ht="12.75" customHeight="1">
      <c r="A131" s="2">
        <v>40452.0</v>
      </c>
      <c r="B131" s="1">
        <v>210.4</v>
      </c>
      <c r="C131" s="1">
        <v>171.9</v>
      </c>
      <c r="D131" s="1">
        <v>132.3</v>
      </c>
      <c r="E131" s="1">
        <v>187.6</v>
      </c>
      <c r="F131" s="1">
        <v>112.9</v>
      </c>
      <c r="G131" s="1">
        <v>248.8</v>
      </c>
      <c r="H131" s="1">
        <v>201.6</v>
      </c>
      <c r="I131" s="1">
        <v>130.1</v>
      </c>
      <c r="J131" s="1">
        <v>229.6</v>
      </c>
      <c r="K131" s="1">
        <v>243.7</v>
      </c>
      <c r="L131" s="1">
        <v>194.6</v>
      </c>
      <c r="M131" s="1" t="s">
        <v>2827</v>
      </c>
    </row>
    <row r="132" ht="12.75" customHeight="1">
      <c r="A132" s="2">
        <v>40483.0</v>
      </c>
      <c r="B132" s="1">
        <v>212.2</v>
      </c>
      <c r="C132" s="1">
        <v>172.5</v>
      </c>
      <c r="D132" s="1">
        <v>133.3</v>
      </c>
      <c r="E132" s="1">
        <v>187.8</v>
      </c>
      <c r="F132" s="1">
        <v>112.6</v>
      </c>
      <c r="G132" s="1">
        <v>252.1</v>
      </c>
      <c r="H132" s="1">
        <v>201.6</v>
      </c>
      <c r="I132" s="1">
        <v>129.7</v>
      </c>
      <c r="J132" s="1">
        <v>232.8</v>
      </c>
      <c r="K132" s="1">
        <v>255.3</v>
      </c>
      <c r="L132" s="1">
        <v>190.9</v>
      </c>
      <c r="M132" s="1" t="s">
        <v>2827</v>
      </c>
    </row>
    <row r="133" ht="12.75" customHeight="1">
      <c r="A133" s="2">
        <v>40513.0</v>
      </c>
      <c r="B133" s="1">
        <v>214.8</v>
      </c>
      <c r="C133" s="1">
        <v>173.2</v>
      </c>
      <c r="D133" s="1">
        <v>134.0</v>
      </c>
      <c r="E133" s="1">
        <v>189.6</v>
      </c>
      <c r="F133" s="1">
        <v>112.7</v>
      </c>
      <c r="G133" s="1">
        <v>254.7</v>
      </c>
      <c r="H133" s="1">
        <v>201.8</v>
      </c>
      <c r="I133" s="1">
        <v>128.7</v>
      </c>
      <c r="J133" s="1">
        <v>241.0</v>
      </c>
      <c r="K133" s="1">
        <v>259.2</v>
      </c>
      <c r="L133" s="1">
        <v>191.4</v>
      </c>
      <c r="M133" s="1">
        <v>100.0</v>
      </c>
    </row>
    <row r="134" ht="12.75" customHeight="1">
      <c r="A134" s="2">
        <v>40544.0</v>
      </c>
      <c r="B134" s="1">
        <v>219.8</v>
      </c>
      <c r="C134" s="1">
        <v>175.2</v>
      </c>
      <c r="D134" s="1">
        <v>136.1</v>
      </c>
      <c r="E134" s="1">
        <v>192.8</v>
      </c>
      <c r="F134" s="1">
        <v>112.9</v>
      </c>
      <c r="G134" s="1">
        <v>262.2</v>
      </c>
      <c r="H134" s="1">
        <v>202.3</v>
      </c>
      <c r="I134" s="1">
        <v>125.7</v>
      </c>
      <c r="J134" s="1">
        <v>253.0</v>
      </c>
      <c r="K134" s="1">
        <v>270.0</v>
      </c>
      <c r="L134" s="1">
        <v>193.1</v>
      </c>
      <c r="M134" s="1">
        <v>101.3</v>
      </c>
    </row>
    <row r="135" ht="12.75" customHeight="1">
      <c r="A135" s="2">
        <v>40575.0</v>
      </c>
      <c r="B135" s="1">
        <v>224.2</v>
      </c>
      <c r="C135" s="1">
        <v>176.5</v>
      </c>
      <c r="D135" s="1">
        <v>137.7</v>
      </c>
      <c r="E135" s="1">
        <v>196.3</v>
      </c>
      <c r="F135" s="1">
        <v>113.2</v>
      </c>
      <c r="G135" s="1">
        <v>267.3</v>
      </c>
      <c r="H135" s="1">
        <v>202.6</v>
      </c>
      <c r="I135" s="1">
        <v>125.0</v>
      </c>
      <c r="J135" s="1">
        <v>259.0</v>
      </c>
      <c r="K135" s="1">
        <v>289.3</v>
      </c>
      <c r="L135" s="1">
        <v>194.4</v>
      </c>
      <c r="M135" s="1">
        <v>101.4</v>
      </c>
    </row>
    <row r="136" ht="12.75" customHeight="1">
      <c r="A136" s="2">
        <v>40603.0</v>
      </c>
      <c r="B136" s="1">
        <v>225.7</v>
      </c>
      <c r="C136" s="1">
        <v>178.2</v>
      </c>
      <c r="D136" s="1">
        <v>139.7</v>
      </c>
      <c r="E136" s="1">
        <v>198.3</v>
      </c>
      <c r="F136" s="1">
        <v>113.3</v>
      </c>
      <c r="G136" s="1">
        <v>270.3</v>
      </c>
      <c r="H136" s="1">
        <v>202.9</v>
      </c>
      <c r="I136" s="1">
        <v>125.0</v>
      </c>
      <c r="J136" s="1">
        <v>296.2</v>
      </c>
      <c r="K136" s="1">
        <v>321.8</v>
      </c>
      <c r="L136" s="1">
        <v>195.0</v>
      </c>
      <c r="M136" s="1">
        <v>99.8</v>
      </c>
    </row>
    <row r="137" ht="12.75" customHeight="1">
      <c r="A137" s="2">
        <v>40634.0</v>
      </c>
      <c r="B137" s="1">
        <v>229.2</v>
      </c>
      <c r="C137" s="1">
        <v>180.3</v>
      </c>
      <c r="D137" s="1">
        <v>141.1</v>
      </c>
      <c r="E137" s="1">
        <v>202.9</v>
      </c>
      <c r="F137" s="1">
        <v>113.3</v>
      </c>
      <c r="G137" s="1">
        <v>276.4</v>
      </c>
      <c r="H137" s="1">
        <v>203.5</v>
      </c>
      <c r="I137" s="1">
        <v>134.0</v>
      </c>
      <c r="J137" s="1">
        <v>321.9</v>
      </c>
      <c r="K137" s="1">
        <v>339.8</v>
      </c>
      <c r="L137" s="1">
        <v>194.1</v>
      </c>
      <c r="M137" s="1">
        <v>99.9</v>
      </c>
    </row>
    <row r="138" ht="12.75" customHeight="1">
      <c r="A138" s="2">
        <v>40664.0</v>
      </c>
      <c r="B138" s="1">
        <v>228.3</v>
      </c>
      <c r="C138" s="1">
        <v>182.5</v>
      </c>
      <c r="D138" s="1">
        <v>143.0</v>
      </c>
      <c r="E138" s="1">
        <v>203.6</v>
      </c>
      <c r="F138" s="1">
        <v>113.3</v>
      </c>
      <c r="G138" s="1">
        <v>280.6</v>
      </c>
      <c r="H138" s="1">
        <v>204.9</v>
      </c>
      <c r="I138" s="1">
        <v>130.5</v>
      </c>
      <c r="J138" s="1">
        <v>343.8</v>
      </c>
      <c r="K138" s="1">
        <v>328.4</v>
      </c>
      <c r="L138" s="1">
        <v>196.9</v>
      </c>
      <c r="M138" s="1">
        <v>100.3</v>
      </c>
    </row>
    <row r="139" ht="12.75" customHeight="1">
      <c r="A139" s="2">
        <v>40695.0</v>
      </c>
      <c r="B139" s="1">
        <v>228.4</v>
      </c>
      <c r="C139" s="1">
        <v>185.2</v>
      </c>
      <c r="D139" s="1">
        <v>143.3</v>
      </c>
      <c r="E139" s="1">
        <v>203.0</v>
      </c>
      <c r="F139" s="1">
        <v>113.3</v>
      </c>
      <c r="G139" s="1">
        <v>279.7</v>
      </c>
      <c r="H139" s="1">
        <v>205.7</v>
      </c>
      <c r="I139" s="1">
        <v>128.9</v>
      </c>
      <c r="J139" s="1">
        <v>313.3</v>
      </c>
      <c r="K139" s="1">
        <v>333.7</v>
      </c>
      <c r="L139" s="1">
        <v>205.7</v>
      </c>
      <c r="M139" s="1">
        <v>104.7</v>
      </c>
    </row>
    <row r="140" ht="12.75" customHeight="1">
      <c r="A140" s="2">
        <v>40725.0</v>
      </c>
      <c r="B140" s="1">
        <v>230.0</v>
      </c>
      <c r="C140" s="1">
        <v>186.2</v>
      </c>
      <c r="D140" s="1">
        <v>143.3</v>
      </c>
      <c r="E140" s="1">
        <v>203.4</v>
      </c>
      <c r="F140" s="1">
        <v>113.3</v>
      </c>
      <c r="G140" s="1">
        <v>280.5</v>
      </c>
      <c r="H140" s="1">
        <v>206.6</v>
      </c>
      <c r="I140" s="1">
        <v>129.7</v>
      </c>
      <c r="J140" s="1">
        <v>313.1</v>
      </c>
      <c r="K140" s="1">
        <v>327.8</v>
      </c>
      <c r="L140" s="1">
        <v>215.3</v>
      </c>
      <c r="M140" s="1">
        <v>104.4</v>
      </c>
    </row>
    <row r="141" ht="12.75" customHeight="1">
      <c r="A141" s="2">
        <v>40756.0</v>
      </c>
      <c r="B141" s="1">
        <v>229.0</v>
      </c>
      <c r="C141" s="1">
        <v>186.2</v>
      </c>
      <c r="D141" s="1">
        <v>143.6</v>
      </c>
      <c r="E141" s="1">
        <v>202.9</v>
      </c>
      <c r="F141" s="1">
        <v>113.3</v>
      </c>
      <c r="G141" s="1">
        <v>280.1</v>
      </c>
      <c r="H141" s="1">
        <v>206.6</v>
      </c>
      <c r="I141" s="1">
        <v>129.4</v>
      </c>
      <c r="J141" s="1">
        <v>297.6</v>
      </c>
      <c r="K141" s="1">
        <v>307.3</v>
      </c>
      <c r="L141" s="1">
        <v>216.6</v>
      </c>
      <c r="M141" s="1">
        <v>105.4</v>
      </c>
    </row>
    <row r="142" ht="12.75" customHeight="1">
      <c r="A142" s="2">
        <v>40787.0</v>
      </c>
      <c r="B142" s="1">
        <v>228.1</v>
      </c>
      <c r="C142" s="1">
        <v>186.3</v>
      </c>
      <c r="D142" s="1">
        <v>143.8</v>
      </c>
      <c r="E142" s="1">
        <v>203.5</v>
      </c>
      <c r="F142" s="1">
        <v>113.1</v>
      </c>
      <c r="G142" s="1">
        <v>280.9</v>
      </c>
      <c r="H142" s="1">
        <v>206.5</v>
      </c>
      <c r="I142" s="1">
        <v>132.6</v>
      </c>
      <c r="J142" s="1">
        <v>305.7</v>
      </c>
      <c r="K142" s="1">
        <v>317.8</v>
      </c>
      <c r="L142" s="1">
        <v>215.8</v>
      </c>
      <c r="M142" s="1">
        <v>106.2</v>
      </c>
    </row>
    <row r="143" ht="12.75" customHeight="1">
      <c r="A143" s="2">
        <v>40817.0</v>
      </c>
      <c r="B143" s="1">
        <v>223.8</v>
      </c>
      <c r="C143" s="1">
        <v>186.4</v>
      </c>
      <c r="D143" s="1">
        <v>143.3</v>
      </c>
      <c r="E143" s="1">
        <v>200.8</v>
      </c>
      <c r="F143" s="1">
        <v>113.2</v>
      </c>
      <c r="G143" s="1">
        <v>277.2</v>
      </c>
      <c r="H143" s="1">
        <v>206.1</v>
      </c>
      <c r="I143" s="1">
        <v>129.1</v>
      </c>
      <c r="J143" s="1">
        <v>290.0</v>
      </c>
      <c r="K143" s="1">
        <v>310.6</v>
      </c>
      <c r="L143" s="1">
        <v>206.6</v>
      </c>
      <c r="M143" s="1">
        <v>100.1</v>
      </c>
    </row>
    <row r="144" ht="12.75" customHeight="1">
      <c r="A144" s="2">
        <v>40848.0</v>
      </c>
      <c r="B144" s="1">
        <v>222.5</v>
      </c>
      <c r="C144" s="1">
        <v>185.2</v>
      </c>
      <c r="D144" s="1">
        <v>143.0</v>
      </c>
      <c r="E144" s="1">
        <v>196.6</v>
      </c>
      <c r="F144" s="1">
        <v>113.1</v>
      </c>
      <c r="G144" s="1">
        <v>274.9</v>
      </c>
      <c r="H144" s="1">
        <v>206.0</v>
      </c>
      <c r="I144" s="1">
        <v>128.9</v>
      </c>
      <c r="J144" s="1">
        <v>281.7</v>
      </c>
      <c r="K144" s="1">
        <v>337.1</v>
      </c>
      <c r="L144" s="1">
        <v>204.0</v>
      </c>
      <c r="M144" s="1">
        <v>100.3</v>
      </c>
    </row>
    <row r="145" ht="12.75" customHeight="1">
      <c r="A145" s="2">
        <v>40878.0</v>
      </c>
      <c r="B145" s="1">
        <v>222.3</v>
      </c>
      <c r="C145" s="1">
        <v>184.5</v>
      </c>
      <c r="D145" s="1">
        <v>142.1</v>
      </c>
      <c r="E145" s="1">
        <v>195.0</v>
      </c>
      <c r="F145" s="1">
        <v>113.1</v>
      </c>
      <c r="G145" s="1">
        <v>271.1</v>
      </c>
      <c r="H145" s="1">
        <v>206.6</v>
      </c>
      <c r="I145" s="1">
        <v>127.1</v>
      </c>
      <c r="J145" s="1">
        <v>272.5</v>
      </c>
      <c r="K145" s="1">
        <v>311.0</v>
      </c>
      <c r="L145" s="1">
        <v>204.4</v>
      </c>
      <c r="M145" s="1">
        <v>100.3</v>
      </c>
    </row>
    <row r="146" ht="12.75" customHeight="1">
      <c r="A146" s="2">
        <v>40909.0</v>
      </c>
      <c r="B146" s="1">
        <v>223.6</v>
      </c>
      <c r="C146" s="1">
        <v>184.8</v>
      </c>
      <c r="D146" s="1">
        <v>141.9</v>
      </c>
      <c r="E146" s="1">
        <v>194.7</v>
      </c>
      <c r="F146" s="1">
        <v>113.4</v>
      </c>
      <c r="G146" s="1">
        <v>275.3</v>
      </c>
      <c r="H146" s="1">
        <v>208.3</v>
      </c>
      <c r="I146" s="1">
        <v>126.5</v>
      </c>
      <c r="J146" s="1">
        <v>281.8</v>
      </c>
      <c r="K146" s="1">
        <v>322.0</v>
      </c>
      <c r="L146" s="1">
        <v>201.1</v>
      </c>
      <c r="M146" s="1">
        <v>101.2</v>
      </c>
    </row>
    <row r="147" ht="12.75" customHeight="1">
      <c r="A147" s="2">
        <v>40940.0</v>
      </c>
      <c r="B147" s="1">
        <v>225.2</v>
      </c>
      <c r="C147" s="1">
        <v>185.9</v>
      </c>
      <c r="D147" s="1">
        <v>142.2</v>
      </c>
      <c r="E147" s="1">
        <v>192.7</v>
      </c>
      <c r="F147" s="1">
        <v>113.5</v>
      </c>
      <c r="G147" s="1">
        <v>278.1</v>
      </c>
      <c r="H147" s="1">
        <v>209.0</v>
      </c>
      <c r="I147" s="1">
        <v>126.3</v>
      </c>
      <c r="J147" s="1">
        <v>296.6</v>
      </c>
      <c r="K147" s="1">
        <v>329.2</v>
      </c>
      <c r="L147" s="1">
        <v>200.3</v>
      </c>
      <c r="M147" s="1">
        <v>102.1</v>
      </c>
    </row>
    <row r="148" ht="12.75" customHeight="1">
      <c r="A148" s="2">
        <v>40969.0</v>
      </c>
      <c r="B148" s="1">
        <v>225.3</v>
      </c>
      <c r="C148" s="1">
        <v>187.5</v>
      </c>
      <c r="D148" s="1">
        <v>142.6</v>
      </c>
      <c r="E148" s="1">
        <v>201.9</v>
      </c>
      <c r="F148" s="1">
        <v>113.5</v>
      </c>
      <c r="G148" s="1">
        <v>283.0</v>
      </c>
      <c r="H148" s="1">
        <v>209.4</v>
      </c>
      <c r="I148" s="1">
        <v>125.0</v>
      </c>
      <c r="J148" s="1">
        <v>318.2</v>
      </c>
      <c r="K148" s="1">
        <v>344.3</v>
      </c>
      <c r="L148" s="1">
        <v>199.8</v>
      </c>
      <c r="M148" s="1">
        <v>101.4</v>
      </c>
    </row>
    <row r="149" ht="12.75" customHeight="1">
      <c r="A149" s="2">
        <v>41000.0</v>
      </c>
      <c r="B149" s="1">
        <v>224.3</v>
      </c>
      <c r="C149" s="1">
        <v>189.0</v>
      </c>
      <c r="D149" s="1">
        <v>142.5</v>
      </c>
      <c r="E149" s="1">
        <v>203.4</v>
      </c>
      <c r="F149" s="1">
        <v>113.5</v>
      </c>
      <c r="G149" s="1">
        <v>283.9</v>
      </c>
      <c r="H149" s="1">
        <v>210.4</v>
      </c>
      <c r="I149" s="1">
        <v>133.4</v>
      </c>
      <c r="J149" s="1">
        <v>327.2</v>
      </c>
      <c r="K149" s="1">
        <v>339.4</v>
      </c>
      <c r="L149" s="1">
        <v>198.1</v>
      </c>
      <c r="M149" s="1">
        <v>101.8</v>
      </c>
    </row>
    <row r="150" ht="12.75" customHeight="1">
      <c r="A150" s="2">
        <v>41030.0</v>
      </c>
      <c r="B150" s="1">
        <v>222.7</v>
      </c>
      <c r="C150" s="1">
        <v>189.2</v>
      </c>
      <c r="D150" s="1">
        <v>142.8</v>
      </c>
      <c r="E150" s="1">
        <v>204.8</v>
      </c>
      <c r="F150" s="1">
        <v>113.7</v>
      </c>
      <c r="G150" s="1">
        <v>281.5</v>
      </c>
      <c r="H150" s="1">
        <v>210.8</v>
      </c>
      <c r="I150" s="1">
        <v>131.7</v>
      </c>
      <c r="J150" s="1">
        <v>312.6</v>
      </c>
      <c r="K150" s="1">
        <v>325.8</v>
      </c>
      <c r="L150" s="1">
        <v>201.5</v>
      </c>
      <c r="M150" s="1">
        <v>101.6</v>
      </c>
    </row>
    <row r="151" ht="12.75" customHeight="1">
      <c r="A151" s="2">
        <v>41061.0</v>
      </c>
      <c r="B151" s="1">
        <v>218.5</v>
      </c>
      <c r="C151" s="1">
        <v>188.3</v>
      </c>
      <c r="D151" s="1">
        <v>142.1</v>
      </c>
      <c r="E151" s="1">
        <v>203.6</v>
      </c>
      <c r="F151" s="1">
        <v>113.5</v>
      </c>
      <c r="G151" s="1">
        <v>273.9</v>
      </c>
      <c r="H151" s="1">
        <v>211.4</v>
      </c>
      <c r="I151" s="1">
        <v>131.4</v>
      </c>
      <c r="J151" s="1">
        <v>296.8</v>
      </c>
      <c r="K151" s="1">
        <v>295.4</v>
      </c>
      <c r="L151" s="1">
        <v>207.7</v>
      </c>
      <c r="M151" s="1">
        <v>106.6</v>
      </c>
    </row>
    <row r="152" ht="12.75" customHeight="1">
      <c r="A152" s="2">
        <v>41091.0</v>
      </c>
      <c r="B152" s="1">
        <v>215.6</v>
      </c>
      <c r="C152" s="1">
        <v>187.3</v>
      </c>
      <c r="D152" s="1">
        <v>141.9</v>
      </c>
      <c r="E152" s="1">
        <v>202.9</v>
      </c>
      <c r="F152" s="1">
        <v>113.4</v>
      </c>
      <c r="G152" s="1">
        <v>273.0</v>
      </c>
      <c r="H152" s="1">
        <v>212.0</v>
      </c>
      <c r="I152" s="1">
        <v>131.4</v>
      </c>
      <c r="J152" s="1">
        <v>288.6</v>
      </c>
      <c r="K152" s="1">
        <v>298.7</v>
      </c>
      <c r="L152" s="1">
        <v>221.5</v>
      </c>
      <c r="M152" s="1">
        <v>106.1</v>
      </c>
    </row>
    <row r="153" ht="12.75" customHeight="1">
      <c r="A153" s="2">
        <v>41122.0</v>
      </c>
      <c r="B153" s="1">
        <v>215.7</v>
      </c>
      <c r="C153" s="1">
        <v>186.1</v>
      </c>
      <c r="D153" s="1">
        <v>141.8</v>
      </c>
      <c r="E153" s="1">
        <v>202.3</v>
      </c>
      <c r="F153" s="1">
        <v>113.3</v>
      </c>
      <c r="G153" s="1">
        <v>273.6</v>
      </c>
      <c r="H153" s="1">
        <v>212.1</v>
      </c>
      <c r="I153" s="1">
        <v>131.5</v>
      </c>
      <c r="J153" s="1">
        <v>312.0</v>
      </c>
      <c r="K153" s="1">
        <v>324.1</v>
      </c>
      <c r="L153" s="1">
        <v>222.1</v>
      </c>
      <c r="M153" s="1">
        <v>106.0</v>
      </c>
    </row>
    <row r="154" ht="12.75" customHeight="1">
      <c r="A154" s="2">
        <v>41153.0</v>
      </c>
      <c r="B154" s="1">
        <v>217.7</v>
      </c>
      <c r="C154" s="1">
        <v>186.2</v>
      </c>
      <c r="D154" s="1">
        <v>141.7</v>
      </c>
      <c r="E154" s="1">
        <v>203.2</v>
      </c>
      <c r="F154" s="1">
        <v>113.1</v>
      </c>
      <c r="G154" s="1">
        <v>274.6</v>
      </c>
      <c r="H154" s="1">
        <v>211.9</v>
      </c>
      <c r="I154" s="1">
        <v>131.5</v>
      </c>
      <c r="J154" s="1">
        <v>332.1</v>
      </c>
      <c r="K154" s="1">
        <v>342.4</v>
      </c>
      <c r="L154" s="1">
        <v>222.8</v>
      </c>
      <c r="M154" s="1">
        <v>105.5</v>
      </c>
    </row>
    <row r="155" ht="12.75" customHeight="1">
      <c r="A155" s="2">
        <v>41183.0</v>
      </c>
      <c r="B155" s="1">
        <v>216.1</v>
      </c>
      <c r="C155" s="1">
        <v>186.2</v>
      </c>
      <c r="D155" s="1">
        <v>142.1</v>
      </c>
      <c r="E155" s="1">
        <v>203.9</v>
      </c>
      <c r="F155" s="1">
        <v>113.1</v>
      </c>
      <c r="G155" s="1">
        <v>275.1</v>
      </c>
      <c r="H155" s="1">
        <v>212.1</v>
      </c>
      <c r="I155" s="1">
        <v>131.2</v>
      </c>
      <c r="J155" s="1">
        <v>318.7</v>
      </c>
      <c r="K155" s="1">
        <v>351.0</v>
      </c>
      <c r="L155" s="1">
        <v>214.1</v>
      </c>
      <c r="M155" s="1">
        <v>99.5</v>
      </c>
    </row>
    <row r="156" ht="12.75" customHeight="1">
      <c r="A156" s="2">
        <v>41214.0</v>
      </c>
      <c r="B156" s="1">
        <v>216.1</v>
      </c>
      <c r="C156" s="1">
        <v>186.3</v>
      </c>
      <c r="D156" s="1">
        <v>142.2</v>
      </c>
      <c r="E156" s="1">
        <v>205.4</v>
      </c>
      <c r="F156" s="1">
        <v>113.0</v>
      </c>
      <c r="G156" s="1">
        <v>273.5</v>
      </c>
      <c r="H156" s="1">
        <v>212.1</v>
      </c>
      <c r="I156" s="1">
        <v>132.1</v>
      </c>
      <c r="J156" s="1">
        <v>281.5</v>
      </c>
      <c r="K156" s="1">
        <v>323.8</v>
      </c>
      <c r="L156" s="1">
        <v>212.3</v>
      </c>
      <c r="M156" s="1">
        <v>100.7</v>
      </c>
    </row>
    <row r="157" ht="12.75" customHeight="1">
      <c r="A157" s="2">
        <v>41244.0</v>
      </c>
      <c r="B157" s="1">
        <v>217.4</v>
      </c>
      <c r="C157" s="1">
        <v>186.1</v>
      </c>
      <c r="D157" s="1">
        <v>142.1</v>
      </c>
      <c r="E157" s="1">
        <v>208.4</v>
      </c>
      <c r="F157" s="1">
        <v>112.8</v>
      </c>
      <c r="G157" s="1">
        <v>273.7</v>
      </c>
      <c r="H157" s="1">
        <v>212.3</v>
      </c>
      <c r="I157" s="1">
        <v>132.1</v>
      </c>
      <c r="J157" s="1">
        <v>271.1</v>
      </c>
      <c r="K157" s="1">
        <v>317.4</v>
      </c>
      <c r="L157" s="1">
        <v>213.8</v>
      </c>
      <c r="M157" s="1">
        <v>100.7</v>
      </c>
    </row>
    <row r="158" ht="12.75" customHeight="1">
      <c r="A158" s="2">
        <v>41275.0</v>
      </c>
      <c r="B158" s="1">
        <v>216.7</v>
      </c>
      <c r="C158" s="1">
        <v>187.2</v>
      </c>
      <c r="D158" s="1">
        <v>142.9</v>
      </c>
      <c r="E158" s="1">
        <v>211.6</v>
      </c>
      <c r="F158" s="1">
        <v>113.4</v>
      </c>
      <c r="G158" s="1">
        <v>279.2</v>
      </c>
      <c r="H158" s="1">
        <v>214.3</v>
      </c>
      <c r="I158" s="1">
        <v>128.3</v>
      </c>
      <c r="J158" s="1">
        <v>275.1</v>
      </c>
      <c r="K158" s="1">
        <v>318.9</v>
      </c>
      <c r="L158" s="1">
        <v>199.2</v>
      </c>
      <c r="M158" s="1">
        <v>102.9</v>
      </c>
    </row>
    <row r="159" ht="12.75" customHeight="1">
      <c r="A159" s="2">
        <v>41306.0</v>
      </c>
      <c r="B159" s="1">
        <v>216.5</v>
      </c>
      <c r="C159" s="1">
        <v>188.1</v>
      </c>
      <c r="D159" s="1">
        <v>143.0</v>
      </c>
      <c r="E159" s="1">
        <v>213.9</v>
      </c>
      <c r="F159" s="1">
        <v>113.4</v>
      </c>
      <c r="G159" s="1">
        <v>283.8</v>
      </c>
      <c r="H159" s="1">
        <v>214.9</v>
      </c>
      <c r="I159" s="1">
        <v>128.3</v>
      </c>
      <c r="J159" s="1">
        <v>301.9</v>
      </c>
      <c r="K159" s="1">
        <v>342.4</v>
      </c>
      <c r="L159" s="1">
        <v>199.4</v>
      </c>
      <c r="M159" s="1">
        <v>102.7</v>
      </c>
    </row>
    <row r="160" ht="12.75" customHeight="1">
      <c r="A160" s="2">
        <v>41334.0</v>
      </c>
      <c r="B160" s="1">
        <v>216.2</v>
      </c>
      <c r="C160" s="1">
        <v>189.7</v>
      </c>
      <c r="D160" s="1">
        <v>143.1</v>
      </c>
      <c r="E160" s="1">
        <v>216.0</v>
      </c>
      <c r="F160" s="1">
        <v>113.4</v>
      </c>
      <c r="G160" s="1">
        <v>282.4</v>
      </c>
      <c r="H160" s="1">
        <v>215.3</v>
      </c>
      <c r="I160" s="1">
        <v>128.4</v>
      </c>
      <c r="J160" s="1">
        <v>303.8</v>
      </c>
      <c r="K160" s="1">
        <v>321.0</v>
      </c>
      <c r="L160" s="1">
        <v>199.0</v>
      </c>
      <c r="M160" s="1">
        <v>102.7</v>
      </c>
    </row>
    <row r="161" ht="12.75" customHeight="1">
      <c r="A161" s="2">
        <v>41365.0</v>
      </c>
      <c r="B161" s="1">
        <v>214.9</v>
      </c>
      <c r="C161" s="1">
        <v>189.8</v>
      </c>
      <c r="D161" s="1">
        <v>143.7</v>
      </c>
      <c r="E161" s="1">
        <v>217.4</v>
      </c>
      <c r="F161" s="1">
        <v>113.6</v>
      </c>
      <c r="G161" s="1">
        <v>280.5</v>
      </c>
      <c r="H161" s="1">
        <v>216.2</v>
      </c>
      <c r="I161" s="1">
        <v>135.0</v>
      </c>
      <c r="J161" s="1">
        <v>297.2</v>
      </c>
      <c r="K161" s="1">
        <v>318.3</v>
      </c>
      <c r="L161" s="1">
        <v>198.8</v>
      </c>
      <c r="M161" s="1">
        <v>103.0</v>
      </c>
    </row>
    <row r="162" ht="12.75" customHeight="1">
      <c r="A162" s="2">
        <v>41395.0</v>
      </c>
      <c r="B162" s="1">
        <v>212.4</v>
      </c>
      <c r="C162" s="1">
        <v>189.7</v>
      </c>
      <c r="D162" s="1">
        <v>143.4</v>
      </c>
      <c r="E162" s="1">
        <v>219.9</v>
      </c>
      <c r="F162" s="1">
        <v>113.8</v>
      </c>
      <c r="G162" s="1">
        <v>280.6</v>
      </c>
      <c r="H162" s="1">
        <v>217.1</v>
      </c>
      <c r="I162" s="1">
        <v>134.1</v>
      </c>
      <c r="J162" s="1">
        <v>305.0</v>
      </c>
      <c r="K162" s="1">
        <v>307.7</v>
      </c>
      <c r="L162" s="1">
        <v>203.5</v>
      </c>
      <c r="M162" s="1">
        <v>102.4</v>
      </c>
    </row>
    <row r="163" ht="12.75" customHeight="1">
      <c r="A163" s="2">
        <v>41426.0</v>
      </c>
      <c r="B163" s="1">
        <v>211.7</v>
      </c>
      <c r="C163" s="1">
        <v>189.3</v>
      </c>
      <c r="D163" s="1">
        <v>143.5</v>
      </c>
      <c r="E163" s="1">
        <v>221.2</v>
      </c>
      <c r="F163" s="1">
        <v>113.8</v>
      </c>
      <c r="G163" s="1">
        <v>280.8</v>
      </c>
      <c r="H163" s="1">
        <v>217.1</v>
      </c>
      <c r="I163" s="1">
        <v>133.7</v>
      </c>
      <c r="J163" s="1">
        <v>302.5</v>
      </c>
      <c r="K163" s="1">
        <v>304.8</v>
      </c>
      <c r="L163" s="1">
        <v>211.9</v>
      </c>
      <c r="M163" s="1">
        <v>109.0</v>
      </c>
    </row>
    <row r="164" ht="12.75" customHeight="1">
      <c r="A164" s="2">
        <v>41456.0</v>
      </c>
      <c r="B164" s="1">
        <v>211.3</v>
      </c>
      <c r="C164" s="1">
        <v>189.3</v>
      </c>
      <c r="D164" s="1">
        <v>143.2</v>
      </c>
      <c r="E164" s="1">
        <v>220.1</v>
      </c>
      <c r="F164" s="1">
        <v>113.9</v>
      </c>
      <c r="G164" s="1">
        <v>279.8</v>
      </c>
      <c r="H164" s="1">
        <v>217.3</v>
      </c>
      <c r="I164" s="1">
        <v>135.0</v>
      </c>
      <c r="J164" s="1">
        <v>298.4</v>
      </c>
      <c r="K164" s="1">
        <v>311.6</v>
      </c>
      <c r="L164" s="1">
        <v>211.4</v>
      </c>
      <c r="M164" s="1">
        <v>109.4</v>
      </c>
    </row>
    <row r="165" ht="12.75" customHeight="1">
      <c r="A165" s="2">
        <v>41487.0</v>
      </c>
      <c r="B165" s="1">
        <v>212.5</v>
      </c>
      <c r="C165" s="1">
        <v>188.8</v>
      </c>
      <c r="D165" s="1">
        <v>143.3</v>
      </c>
      <c r="E165" s="1">
        <v>221.0</v>
      </c>
      <c r="F165" s="1">
        <v>113.9</v>
      </c>
      <c r="G165" s="1">
        <v>279.0</v>
      </c>
      <c r="H165" s="1">
        <v>217.9</v>
      </c>
      <c r="I165" s="1">
        <v>133.6</v>
      </c>
      <c r="J165" s="1">
        <v>304.9</v>
      </c>
      <c r="K165" s="1">
        <v>319.3</v>
      </c>
      <c r="L165" s="1">
        <v>210.4</v>
      </c>
      <c r="M165" s="1">
        <v>109.3</v>
      </c>
    </row>
    <row r="166" ht="12.75" customHeight="1">
      <c r="A166" s="2">
        <v>41518.0</v>
      </c>
      <c r="B166" s="1">
        <v>211.8</v>
      </c>
      <c r="C166" s="1">
        <v>188.8</v>
      </c>
      <c r="D166" s="1">
        <v>143.3</v>
      </c>
      <c r="E166" s="1">
        <v>218.3</v>
      </c>
      <c r="F166" s="1">
        <v>113.8</v>
      </c>
      <c r="G166" s="1">
        <v>277.6</v>
      </c>
      <c r="H166" s="1">
        <v>218.7</v>
      </c>
      <c r="I166" s="1">
        <v>132.8</v>
      </c>
      <c r="J166" s="1">
        <v>299.4</v>
      </c>
      <c r="K166" s="1">
        <v>328.0</v>
      </c>
      <c r="L166" s="1">
        <v>210.3</v>
      </c>
      <c r="M166" s="1">
        <v>108.9</v>
      </c>
    </row>
    <row r="167" ht="12.75" customHeight="1">
      <c r="A167" s="2">
        <v>41548.0</v>
      </c>
      <c r="B167" s="1">
        <v>211.8</v>
      </c>
      <c r="C167" s="1">
        <v>188.8</v>
      </c>
      <c r="D167" s="1">
        <v>143.3</v>
      </c>
      <c r="E167" s="1">
        <v>216.7</v>
      </c>
      <c r="F167" s="1">
        <v>113.9</v>
      </c>
      <c r="G167" s="1">
        <v>276.2</v>
      </c>
      <c r="H167" s="1">
        <v>218.4</v>
      </c>
      <c r="I167" s="1">
        <v>133.3</v>
      </c>
      <c r="J167" s="1">
        <v>285.0</v>
      </c>
      <c r="K167" s="1">
        <v>318.4</v>
      </c>
      <c r="L167" s="1">
        <v>201.2</v>
      </c>
      <c r="M167" s="1">
        <v>104.0</v>
      </c>
    </row>
    <row r="168" ht="12.75" customHeight="1">
      <c r="A168" s="2">
        <v>41579.0</v>
      </c>
      <c r="B168" s="1">
        <v>212.7</v>
      </c>
      <c r="C168" s="1">
        <v>189.2</v>
      </c>
      <c r="D168" s="1">
        <v>143.7</v>
      </c>
      <c r="E168" s="1">
        <v>217.7</v>
      </c>
      <c r="F168" s="1">
        <v>113.8</v>
      </c>
      <c r="G168" s="1">
        <v>274.6</v>
      </c>
      <c r="H168" s="1">
        <v>217.9</v>
      </c>
      <c r="I168" s="1">
        <v>133.0</v>
      </c>
      <c r="J168" s="1">
        <v>269.6</v>
      </c>
      <c r="K168" s="1">
        <v>307.0</v>
      </c>
      <c r="L168" s="1">
        <v>199.0</v>
      </c>
      <c r="M168" s="1">
        <v>104.3</v>
      </c>
    </row>
    <row r="169" ht="12.75" customHeight="1">
      <c r="A169" s="2">
        <v>41609.0</v>
      </c>
      <c r="B169" s="1">
        <v>213.5</v>
      </c>
      <c r="C169" s="1">
        <v>189.2</v>
      </c>
      <c r="D169" s="1">
        <v>143.9</v>
      </c>
      <c r="E169" s="1">
        <v>220.3</v>
      </c>
      <c r="F169" s="1">
        <v>113.9</v>
      </c>
      <c r="G169" s="1">
        <v>276.0</v>
      </c>
      <c r="H169" s="1">
        <v>218.0</v>
      </c>
      <c r="I169" s="1">
        <v>130.3</v>
      </c>
      <c r="J169" s="1">
        <v>268.8</v>
      </c>
      <c r="K169" s="1">
        <v>314.7</v>
      </c>
      <c r="L169" s="1">
        <v>200.5</v>
      </c>
      <c r="M169" s="1">
        <v>104.0</v>
      </c>
    </row>
    <row r="170" ht="12.75" customHeight="1">
      <c r="A170" s="2">
        <v>41640.0</v>
      </c>
      <c r="B170" s="1">
        <v>215.4</v>
      </c>
      <c r="C170" s="1">
        <v>189.3</v>
      </c>
      <c r="D170" s="1">
        <v>145.2</v>
      </c>
      <c r="E170" s="1">
        <v>221.2</v>
      </c>
      <c r="F170" s="1">
        <v>113.8</v>
      </c>
      <c r="G170" s="1">
        <v>280.5</v>
      </c>
      <c r="H170" s="1">
        <v>220.3</v>
      </c>
      <c r="I170" s="1">
        <v>130.5</v>
      </c>
      <c r="J170" s="1">
        <v>271.1</v>
      </c>
      <c r="K170" s="1">
        <v>308.5</v>
      </c>
      <c r="L170" s="1">
        <v>215.1</v>
      </c>
      <c r="M170" s="1">
        <v>105.6</v>
      </c>
    </row>
    <row r="171" ht="12.75" customHeight="1">
      <c r="A171" s="2">
        <v>41671.0</v>
      </c>
      <c r="B171" s="1">
        <v>215.0</v>
      </c>
      <c r="C171" s="1">
        <v>190.0</v>
      </c>
      <c r="D171" s="1">
        <v>145.5</v>
      </c>
      <c r="E171" s="1">
        <v>220.9</v>
      </c>
      <c r="F171" s="1">
        <v>113.8</v>
      </c>
      <c r="G171" s="1">
        <v>282.2</v>
      </c>
      <c r="H171" s="1">
        <v>221.4</v>
      </c>
      <c r="I171" s="1">
        <v>128.7</v>
      </c>
      <c r="J171" s="1">
        <v>276.9</v>
      </c>
      <c r="K171" s="1">
        <v>322.0</v>
      </c>
      <c r="L171" s="1">
        <v>214.4</v>
      </c>
      <c r="M171" s="1">
        <v>105.4</v>
      </c>
    </row>
    <row r="172" ht="12.75" customHeight="1">
      <c r="A172" s="2">
        <v>41699.0</v>
      </c>
      <c r="B172" s="1">
        <v>214.2</v>
      </c>
      <c r="C172" s="1">
        <v>190.4</v>
      </c>
      <c r="D172" s="1">
        <v>145.5</v>
      </c>
      <c r="E172" s="1">
        <v>227.0</v>
      </c>
      <c r="F172" s="1">
        <v>113.7</v>
      </c>
      <c r="G172" s="1">
        <v>280.8</v>
      </c>
      <c r="H172" s="1">
        <v>222.0</v>
      </c>
      <c r="I172" s="1">
        <v>129.2</v>
      </c>
      <c r="J172" s="1">
        <v>290.1</v>
      </c>
      <c r="K172" s="1">
        <v>318.1</v>
      </c>
      <c r="L172" s="1">
        <v>214.8</v>
      </c>
      <c r="M172" s="1">
        <v>105.6</v>
      </c>
    </row>
    <row r="173" ht="12.75" customHeight="1">
      <c r="A173" s="2">
        <v>41730.0</v>
      </c>
      <c r="B173" s="1">
        <v>215.0</v>
      </c>
      <c r="C173" s="1">
        <v>190.6</v>
      </c>
      <c r="D173" s="1">
        <v>145.7</v>
      </c>
      <c r="E173" s="1">
        <v>231.0</v>
      </c>
      <c r="F173" s="1">
        <v>113.6</v>
      </c>
      <c r="G173" s="1">
        <v>282.5</v>
      </c>
      <c r="H173" s="1">
        <v>222.8</v>
      </c>
      <c r="I173" s="1">
        <v>132.2</v>
      </c>
      <c r="J173" s="1">
        <v>305.6</v>
      </c>
      <c r="K173" s="1">
        <v>318.7</v>
      </c>
      <c r="L173" s="1">
        <v>210.8</v>
      </c>
      <c r="M173" s="1">
        <v>105.0</v>
      </c>
    </row>
    <row r="174" ht="12.75" customHeight="1">
      <c r="A174" s="2">
        <v>41760.0</v>
      </c>
      <c r="B174" s="1">
        <v>215.3</v>
      </c>
      <c r="C174" s="1">
        <v>190.5</v>
      </c>
      <c r="D174" s="1">
        <v>145.7</v>
      </c>
      <c r="E174" s="1">
        <v>232.2</v>
      </c>
      <c r="F174" s="1">
        <v>113.6</v>
      </c>
      <c r="G174" s="1">
        <v>280.9</v>
      </c>
      <c r="H174" s="1">
        <v>223.1</v>
      </c>
      <c r="I174" s="1">
        <v>130.3</v>
      </c>
      <c r="J174" s="1">
        <v>301.3</v>
      </c>
      <c r="K174" s="1">
        <v>316.5</v>
      </c>
      <c r="L174" s="1">
        <v>215.2</v>
      </c>
      <c r="M174" s="1">
        <v>105.3</v>
      </c>
    </row>
    <row r="175" ht="12.75" customHeight="1">
      <c r="A175" s="2">
        <v>41791.0</v>
      </c>
      <c r="B175" s="1">
        <v>215.0</v>
      </c>
      <c r="C175" s="1">
        <v>190.6</v>
      </c>
      <c r="D175" s="1">
        <v>145.7</v>
      </c>
      <c r="E175" s="1">
        <v>229.6</v>
      </c>
      <c r="F175" s="1">
        <v>113.6</v>
      </c>
      <c r="G175" s="1">
        <v>281.4</v>
      </c>
      <c r="H175" s="1">
        <v>223.7</v>
      </c>
      <c r="I175" s="1">
        <v>129.2</v>
      </c>
      <c r="J175" s="1">
        <v>306.1</v>
      </c>
      <c r="K175" s="1">
        <v>308.8</v>
      </c>
      <c r="L175" s="1">
        <v>224.0</v>
      </c>
      <c r="M175" s="1">
        <v>113.8</v>
      </c>
    </row>
    <row r="176" ht="12.75" customHeight="1">
      <c r="A176" s="2">
        <v>41821.0</v>
      </c>
      <c r="B176" s="1">
        <v>216.3</v>
      </c>
      <c r="C176" s="1">
        <v>190.0</v>
      </c>
      <c r="D176" s="1">
        <v>145.8</v>
      </c>
      <c r="E176" s="1">
        <v>229.7</v>
      </c>
      <c r="F176" s="1">
        <v>113.7</v>
      </c>
      <c r="G176" s="1">
        <v>283.5</v>
      </c>
      <c r="H176" s="1">
        <v>224.0</v>
      </c>
      <c r="I176" s="1">
        <v>130.4</v>
      </c>
      <c r="J176" s="1">
        <v>299.7</v>
      </c>
      <c r="K176" s="1">
        <v>307.8</v>
      </c>
      <c r="L176" s="1">
        <v>227.5</v>
      </c>
      <c r="M176" s="1">
        <v>113.5</v>
      </c>
    </row>
    <row r="177" ht="12.75" customHeight="1">
      <c r="A177" s="2">
        <v>41852.0</v>
      </c>
      <c r="B177" s="1">
        <v>216.7</v>
      </c>
      <c r="C177" s="1">
        <v>190.1</v>
      </c>
      <c r="D177" s="1">
        <v>145.8</v>
      </c>
      <c r="E177" s="1">
        <v>229.7</v>
      </c>
      <c r="F177" s="1">
        <v>113.7</v>
      </c>
      <c r="G177" s="1">
        <v>284.1</v>
      </c>
      <c r="H177" s="1">
        <v>224.6</v>
      </c>
      <c r="I177" s="1">
        <v>129.9</v>
      </c>
      <c r="J177" s="1">
        <v>295.4</v>
      </c>
      <c r="K177" s="1">
        <v>306.9</v>
      </c>
      <c r="L177" s="1">
        <v>227.7</v>
      </c>
      <c r="M177" s="1">
        <v>113.4</v>
      </c>
    </row>
    <row r="178" ht="12.75" customHeight="1">
      <c r="A178" s="2">
        <v>41883.0</v>
      </c>
      <c r="B178" s="1">
        <v>216.7</v>
      </c>
      <c r="C178" s="1">
        <v>190.2</v>
      </c>
      <c r="D178" s="1">
        <v>145.7</v>
      </c>
      <c r="E178" s="1">
        <v>233.2</v>
      </c>
      <c r="F178" s="1">
        <v>113.8</v>
      </c>
      <c r="G178" s="1">
        <v>283.2</v>
      </c>
      <c r="H178" s="1">
        <v>224.9</v>
      </c>
      <c r="I178" s="1">
        <v>129.7</v>
      </c>
      <c r="J178" s="1">
        <v>285.3</v>
      </c>
      <c r="K178" s="1">
        <v>302.3</v>
      </c>
      <c r="L178" s="1">
        <v>225.1</v>
      </c>
      <c r="M178" s="1">
        <v>113.6</v>
      </c>
    </row>
    <row r="179" ht="12.75" customHeight="1">
      <c r="A179" s="2">
        <v>41913.0</v>
      </c>
      <c r="B179" s="1">
        <v>214.8</v>
      </c>
      <c r="C179" s="1">
        <v>190.5</v>
      </c>
      <c r="D179" s="1">
        <v>145.4</v>
      </c>
      <c r="E179" s="1">
        <v>232.5</v>
      </c>
      <c r="F179" s="1">
        <v>113.8</v>
      </c>
      <c r="G179" s="1">
        <v>281.2</v>
      </c>
      <c r="H179" s="1">
        <v>225.6</v>
      </c>
      <c r="I179" s="1">
        <v>128.9</v>
      </c>
      <c r="J179" s="1">
        <v>257.0</v>
      </c>
      <c r="K179" s="1">
        <v>283.4</v>
      </c>
      <c r="L179" s="1">
        <v>217.0</v>
      </c>
      <c r="M179" s="1">
        <v>107.1</v>
      </c>
    </row>
    <row r="180" ht="12.75" customHeight="1">
      <c r="A180" s="2">
        <v>41944.0</v>
      </c>
      <c r="B180" s="1">
        <v>213.3</v>
      </c>
      <c r="C180" s="1">
        <v>190.2</v>
      </c>
      <c r="D180" s="1">
        <v>145.1</v>
      </c>
      <c r="E180" s="1">
        <v>232.7</v>
      </c>
      <c r="F180" s="1">
        <v>113.8</v>
      </c>
      <c r="G180" s="1">
        <v>277.3</v>
      </c>
      <c r="H180" s="1">
        <v>225.8</v>
      </c>
      <c r="I180" s="1">
        <v>128.4</v>
      </c>
      <c r="J180" s="1">
        <v>231.2</v>
      </c>
      <c r="K180" s="1">
        <v>272.3</v>
      </c>
      <c r="L180" s="1">
        <v>210.7</v>
      </c>
      <c r="M180" s="1">
        <v>107.2</v>
      </c>
    </row>
    <row r="181" ht="12.75" customHeight="1">
      <c r="A181" s="2">
        <v>41974.0</v>
      </c>
      <c r="B181" s="1">
        <v>212.7</v>
      </c>
      <c r="C181" s="1">
        <v>189.8</v>
      </c>
      <c r="D181" s="1">
        <v>145.0</v>
      </c>
      <c r="E181" s="1">
        <v>230.1</v>
      </c>
      <c r="F181" s="1">
        <v>113.8</v>
      </c>
      <c r="G181" s="1">
        <v>273.3</v>
      </c>
      <c r="H181" s="1">
        <v>226.0</v>
      </c>
      <c r="I181" s="1">
        <v>127.6</v>
      </c>
      <c r="J181" s="1">
        <v>194.3</v>
      </c>
      <c r="K181" s="1">
        <v>229.9</v>
      </c>
      <c r="L181" s="1">
        <v>213.9</v>
      </c>
      <c r="M181" s="1">
        <v>105.5</v>
      </c>
    </row>
    <row r="182" ht="12.75" customHeight="1">
      <c r="A182" s="2">
        <v>42005.0</v>
      </c>
      <c r="B182" s="1">
        <v>211.3</v>
      </c>
      <c r="C182" s="1">
        <v>189.4</v>
      </c>
      <c r="D182" s="1">
        <v>144.7</v>
      </c>
      <c r="E182" s="1">
        <v>227.9</v>
      </c>
      <c r="F182" s="1">
        <v>114.1</v>
      </c>
      <c r="G182" s="1">
        <v>266.7</v>
      </c>
      <c r="H182" s="1">
        <v>228.0</v>
      </c>
      <c r="I182" s="1">
        <v>122.8</v>
      </c>
      <c r="J182" s="1">
        <v>150.7</v>
      </c>
      <c r="K182" s="1">
        <v>182.6</v>
      </c>
      <c r="L182" s="1">
        <v>222.4</v>
      </c>
      <c r="M182" s="1">
        <v>106.9</v>
      </c>
    </row>
    <row r="183" ht="12.75" customHeight="1">
      <c r="A183" s="2">
        <v>42036.0</v>
      </c>
      <c r="B183" s="1">
        <v>206.9</v>
      </c>
      <c r="C183" s="1">
        <v>188.7</v>
      </c>
      <c r="D183" s="1">
        <v>144.4</v>
      </c>
      <c r="E183" s="1">
        <v>225.1</v>
      </c>
      <c r="F183" s="1">
        <v>114.1</v>
      </c>
      <c r="G183" s="1">
        <v>266.3</v>
      </c>
      <c r="H183" s="1">
        <v>228.1</v>
      </c>
      <c r="I183" s="1">
        <v>123.3</v>
      </c>
      <c r="J183" s="1">
        <v>159.8</v>
      </c>
      <c r="K183" s="1">
        <v>191.5</v>
      </c>
      <c r="L183" s="1">
        <v>221.1</v>
      </c>
      <c r="M183" s="1">
        <v>107.1</v>
      </c>
    </row>
    <row r="184" ht="12.75" customHeight="1">
      <c r="A184" s="2">
        <v>42064.0</v>
      </c>
      <c r="B184" s="1">
        <v>205.4</v>
      </c>
      <c r="C184" s="1">
        <v>188.1</v>
      </c>
      <c r="D184" s="1">
        <v>144.4</v>
      </c>
      <c r="E184" s="1">
        <v>225.3</v>
      </c>
      <c r="F184" s="1">
        <v>114.1</v>
      </c>
      <c r="G184" s="1">
        <v>265.7</v>
      </c>
      <c r="H184" s="1">
        <v>228.1</v>
      </c>
      <c r="I184" s="1">
        <v>125.3</v>
      </c>
      <c r="J184" s="1">
        <v>179.9</v>
      </c>
      <c r="K184" s="1">
        <v>193.1</v>
      </c>
      <c r="L184" s="1">
        <v>218.2</v>
      </c>
      <c r="M184" s="1">
        <v>107.3</v>
      </c>
    </row>
    <row r="185" ht="12.75" customHeight="1">
      <c r="A185" s="2">
        <v>42095.0</v>
      </c>
      <c r="B185" s="1">
        <v>204.2</v>
      </c>
      <c r="C185" s="1">
        <v>187.6</v>
      </c>
      <c r="D185" s="1">
        <v>144.3</v>
      </c>
      <c r="E185" s="1">
        <v>223.3</v>
      </c>
      <c r="F185" s="1">
        <v>114.0</v>
      </c>
      <c r="G185" s="1">
        <v>266.3</v>
      </c>
      <c r="H185" s="1">
        <v>228.7</v>
      </c>
      <c r="I185" s="1">
        <v>128.3</v>
      </c>
      <c r="J185" s="1">
        <v>179.1</v>
      </c>
      <c r="K185" s="1">
        <v>183.8</v>
      </c>
      <c r="L185" s="1">
        <v>213.3</v>
      </c>
      <c r="M185" s="1">
        <v>104.6</v>
      </c>
    </row>
    <row r="186" ht="12.75" customHeight="1">
      <c r="A186" s="2">
        <v>42125.0</v>
      </c>
      <c r="B186" s="1">
        <v>204.0</v>
      </c>
      <c r="C186" s="1">
        <v>187.0</v>
      </c>
      <c r="D186" s="1">
        <v>144.6</v>
      </c>
      <c r="E186" s="1">
        <v>215.4</v>
      </c>
      <c r="F186" s="1">
        <v>114.1</v>
      </c>
      <c r="G186" s="1">
        <v>267.8</v>
      </c>
      <c r="H186" s="1">
        <v>228.4</v>
      </c>
      <c r="I186" s="1">
        <v>129.6</v>
      </c>
      <c r="J186" s="1">
        <v>210.2</v>
      </c>
      <c r="K186" s="1">
        <v>202.6</v>
      </c>
      <c r="L186" s="1">
        <v>217.0</v>
      </c>
      <c r="M186" s="1">
        <v>107.5</v>
      </c>
    </row>
    <row r="187" ht="12.75" customHeight="1">
      <c r="A187" s="2">
        <v>42156.0</v>
      </c>
      <c r="B187" s="1">
        <v>203.3</v>
      </c>
      <c r="C187" s="1">
        <v>187.2</v>
      </c>
      <c r="D187" s="1">
        <v>143.8</v>
      </c>
      <c r="E187" s="1">
        <v>213.9</v>
      </c>
      <c r="F187" s="1">
        <v>113.9</v>
      </c>
      <c r="G187" s="1">
        <v>270.8</v>
      </c>
      <c r="H187" s="1">
        <v>228.8</v>
      </c>
      <c r="I187" s="1">
        <v>128.8</v>
      </c>
      <c r="J187" s="1">
        <v>214.3</v>
      </c>
      <c r="K187" s="1">
        <v>198.7</v>
      </c>
      <c r="L187" s="1">
        <v>237.2</v>
      </c>
      <c r="M187" s="1">
        <v>114.8</v>
      </c>
    </row>
    <row r="188" ht="12.75" customHeight="1">
      <c r="A188" s="2">
        <v>42186.0</v>
      </c>
      <c r="B188" s="1">
        <v>200.6</v>
      </c>
      <c r="C188" s="1">
        <v>187.1</v>
      </c>
      <c r="D188" s="1">
        <v>144.1</v>
      </c>
      <c r="E188" s="1">
        <v>205.6</v>
      </c>
      <c r="F188" s="1">
        <v>113.9</v>
      </c>
      <c r="G188" s="1">
        <v>270.5</v>
      </c>
      <c r="H188" s="1">
        <v>229.1</v>
      </c>
      <c r="I188" s="1">
        <v>128.8</v>
      </c>
      <c r="J188" s="1">
        <v>215.0</v>
      </c>
      <c r="K188" s="1">
        <v>194.0</v>
      </c>
      <c r="L188" s="1">
        <v>237.3</v>
      </c>
      <c r="M188" s="1">
        <v>115.4</v>
      </c>
    </row>
    <row r="189" ht="12.75" customHeight="1">
      <c r="A189" s="2">
        <v>42217.0</v>
      </c>
      <c r="B189" s="1">
        <v>197.6</v>
      </c>
      <c r="C189" s="1">
        <v>186.7</v>
      </c>
      <c r="D189" s="1">
        <v>143.9</v>
      </c>
      <c r="E189" s="1">
        <v>199.2</v>
      </c>
      <c r="F189" s="1">
        <v>113.7</v>
      </c>
      <c r="G189" s="1">
        <v>268.0</v>
      </c>
      <c r="H189" s="1">
        <v>229.5</v>
      </c>
      <c r="I189" s="1">
        <v>126.6</v>
      </c>
      <c r="J189" s="1">
        <v>199.3</v>
      </c>
      <c r="K189" s="1">
        <v>189.2</v>
      </c>
      <c r="L189" s="1">
        <v>236.8</v>
      </c>
      <c r="M189" s="1">
        <v>115.4</v>
      </c>
    </row>
    <row r="190" ht="12.75" customHeight="1">
      <c r="A190" s="2">
        <v>42248.0</v>
      </c>
      <c r="B190" s="1">
        <v>196.4</v>
      </c>
      <c r="C190" s="1">
        <v>186.5</v>
      </c>
      <c r="D190" s="1">
        <v>143.8</v>
      </c>
      <c r="E190" s="1">
        <v>200.7</v>
      </c>
      <c r="F190" s="1">
        <v>113.6</v>
      </c>
      <c r="G190" s="1">
        <v>264.1</v>
      </c>
      <c r="H190" s="1">
        <v>229.4</v>
      </c>
      <c r="I190" s="1">
        <v>126.6</v>
      </c>
      <c r="J190" s="1">
        <v>166.7</v>
      </c>
      <c r="K190" s="1">
        <v>169.4</v>
      </c>
      <c r="L190" s="1">
        <v>234.2</v>
      </c>
      <c r="M190" s="1">
        <v>115.1</v>
      </c>
    </row>
    <row r="191" ht="12.75" customHeight="1">
      <c r="A191" s="2">
        <v>42278.0</v>
      </c>
      <c r="B191" s="1">
        <v>193.9</v>
      </c>
      <c r="C191" s="1">
        <v>185.6</v>
      </c>
      <c r="D191" s="1">
        <v>143.7</v>
      </c>
      <c r="E191" s="1">
        <v>198.8</v>
      </c>
      <c r="F191" s="1">
        <v>113.5</v>
      </c>
      <c r="G191" s="1">
        <v>262.8</v>
      </c>
      <c r="H191" s="1">
        <v>229.6</v>
      </c>
      <c r="I191" s="1">
        <v>124.9</v>
      </c>
      <c r="J191" s="1">
        <v>159.4</v>
      </c>
      <c r="K191" s="1">
        <v>173.5</v>
      </c>
      <c r="L191" s="1">
        <v>218.2</v>
      </c>
      <c r="M191" s="1">
        <v>110.0</v>
      </c>
    </row>
    <row r="192" ht="12.75" customHeight="1">
      <c r="A192" s="2">
        <v>42309.0</v>
      </c>
      <c r="B192" s="1">
        <v>190.7</v>
      </c>
      <c r="C192" s="1">
        <v>185.1</v>
      </c>
      <c r="D192" s="1">
        <v>143.5</v>
      </c>
      <c r="E192" s="1">
        <v>196.3</v>
      </c>
      <c r="F192" s="1">
        <v>113.5</v>
      </c>
      <c r="G192" s="1">
        <v>262.0</v>
      </c>
      <c r="H192" s="1">
        <v>229.3</v>
      </c>
      <c r="I192" s="1">
        <v>124.9</v>
      </c>
      <c r="J192" s="1">
        <v>153.2</v>
      </c>
      <c r="K192" s="1">
        <v>167.4</v>
      </c>
      <c r="L192" s="1">
        <v>213.4</v>
      </c>
      <c r="M192" s="1">
        <v>108.0</v>
      </c>
    </row>
    <row r="193" ht="12.75" customHeight="1">
      <c r="A193" s="2">
        <v>42339.0</v>
      </c>
      <c r="B193" s="1">
        <v>188.8</v>
      </c>
      <c r="C193" s="1">
        <v>184.9</v>
      </c>
      <c r="D193" s="1">
        <v>143.6</v>
      </c>
      <c r="E193" s="1">
        <v>193.2</v>
      </c>
      <c r="F193" s="1">
        <v>113.5</v>
      </c>
      <c r="G193" s="1">
        <v>261.2</v>
      </c>
      <c r="H193" s="1">
        <v>229.7</v>
      </c>
      <c r="I193" s="1">
        <v>125.1</v>
      </c>
      <c r="J193" s="1">
        <v>138.6</v>
      </c>
      <c r="K193" s="1">
        <v>130.8</v>
      </c>
      <c r="L193" s="1">
        <v>214.8</v>
      </c>
      <c r="M193" s="1">
        <v>107.7</v>
      </c>
    </row>
    <row r="194" ht="12.75" customHeight="1">
      <c r="A194" s="2">
        <v>42370.0</v>
      </c>
      <c r="B194" s="1">
        <v>188.1</v>
      </c>
      <c r="C194" s="1">
        <v>184.6</v>
      </c>
      <c r="D194" s="1">
        <v>143.8</v>
      </c>
      <c r="E194" s="1">
        <v>199.6</v>
      </c>
      <c r="F194" s="1">
        <v>113.3</v>
      </c>
      <c r="G194" s="1">
        <v>261.9</v>
      </c>
      <c r="H194" s="1">
        <v>232.2</v>
      </c>
      <c r="I194" s="1">
        <v>124.1</v>
      </c>
      <c r="J194" s="1">
        <v>127.8</v>
      </c>
      <c r="K194" s="1">
        <v>119.2</v>
      </c>
      <c r="L194" s="1">
        <v>205.3</v>
      </c>
      <c r="M194" s="1">
        <v>109.5</v>
      </c>
    </row>
    <row r="195" ht="12.75" customHeight="1">
      <c r="A195" s="2">
        <v>42401.0</v>
      </c>
      <c r="B195" s="1">
        <v>188.5</v>
      </c>
      <c r="C195" s="1">
        <v>184.2</v>
      </c>
      <c r="D195" s="1">
        <v>143.6</v>
      </c>
      <c r="E195" s="1">
        <v>196.4</v>
      </c>
      <c r="F195" s="1">
        <v>113.2</v>
      </c>
      <c r="G195" s="1">
        <v>260.8</v>
      </c>
      <c r="H195" s="1">
        <v>232.4</v>
      </c>
      <c r="I195" s="1">
        <v>124.2</v>
      </c>
      <c r="J195" s="1">
        <v>112.7</v>
      </c>
      <c r="K195" s="1">
        <v>113.4</v>
      </c>
      <c r="L195" s="1">
        <v>204.3</v>
      </c>
      <c r="M195" s="1">
        <v>108.1</v>
      </c>
    </row>
    <row r="196" ht="12.75" customHeight="1">
      <c r="A196" s="2">
        <v>42430.0</v>
      </c>
      <c r="B196" s="1">
        <v>190.3</v>
      </c>
      <c r="C196" s="1">
        <v>184.0</v>
      </c>
      <c r="D196" s="1">
        <v>143.4</v>
      </c>
      <c r="E196" s="1">
        <v>193.6</v>
      </c>
      <c r="F196" s="1">
        <v>113.3</v>
      </c>
      <c r="G196" s="1">
        <v>261.1</v>
      </c>
      <c r="H196" s="1">
        <v>232.7</v>
      </c>
      <c r="I196" s="1">
        <v>121.7</v>
      </c>
      <c r="J196" s="1">
        <v>123.4</v>
      </c>
      <c r="K196" s="1">
        <v>119.4</v>
      </c>
      <c r="L196" s="1">
        <v>204.5</v>
      </c>
      <c r="M196" s="1">
        <v>107.9</v>
      </c>
    </row>
    <row r="197" ht="12.75" customHeight="1">
      <c r="A197" s="2">
        <v>42461.0</v>
      </c>
      <c r="B197" s="1">
        <v>192.8</v>
      </c>
      <c r="C197" s="1">
        <v>184.3</v>
      </c>
      <c r="D197" s="1">
        <v>143.3</v>
      </c>
      <c r="E197" s="1">
        <v>194.3</v>
      </c>
      <c r="F197" s="1">
        <v>113.2</v>
      </c>
      <c r="G197" s="1">
        <v>263.0</v>
      </c>
      <c r="H197" s="1">
        <v>233.3</v>
      </c>
      <c r="I197" s="1">
        <v>128.9</v>
      </c>
      <c r="J197" s="1">
        <v>140.6</v>
      </c>
      <c r="K197" s="1">
        <v>123.6</v>
      </c>
      <c r="L197" s="1">
        <v>202.4</v>
      </c>
      <c r="M197" s="1">
        <v>107.9</v>
      </c>
    </row>
    <row r="198" ht="12.75" customHeight="1">
      <c r="A198" s="2">
        <v>42491.0</v>
      </c>
      <c r="B198" s="1">
        <v>195.4</v>
      </c>
      <c r="C198" s="1">
        <v>184.4</v>
      </c>
      <c r="D198" s="1">
        <v>143.3</v>
      </c>
      <c r="E198" s="1">
        <v>194.4</v>
      </c>
      <c r="F198" s="1">
        <v>113.2</v>
      </c>
      <c r="G198" s="1">
        <v>264.2</v>
      </c>
      <c r="H198" s="1">
        <v>233.3</v>
      </c>
      <c r="I198" s="1">
        <v>128.7</v>
      </c>
      <c r="J198" s="1">
        <v>152.2</v>
      </c>
      <c r="K198" s="1">
        <v>144.4</v>
      </c>
      <c r="L198" s="1">
        <v>206.3</v>
      </c>
      <c r="M198" s="1">
        <v>107.3</v>
      </c>
    </row>
    <row r="199" ht="12.75" customHeight="1">
      <c r="A199" s="2">
        <v>42522.0</v>
      </c>
      <c r="B199" s="1">
        <v>195.4</v>
      </c>
      <c r="C199" s="1">
        <v>184.8</v>
      </c>
      <c r="D199" s="1">
        <v>143.1</v>
      </c>
      <c r="E199" s="1">
        <v>195.3</v>
      </c>
      <c r="F199" s="1">
        <v>113.1</v>
      </c>
      <c r="G199" s="1">
        <v>265.5</v>
      </c>
      <c r="H199" s="1">
        <v>233.3</v>
      </c>
      <c r="I199" s="1">
        <v>127.0</v>
      </c>
      <c r="J199" s="1">
        <v>164.4</v>
      </c>
      <c r="K199" s="1">
        <v>155.4</v>
      </c>
      <c r="L199" s="1">
        <v>220.4</v>
      </c>
      <c r="M199" s="1">
        <v>116.0</v>
      </c>
    </row>
    <row r="200" ht="12.75" customHeight="1">
      <c r="A200" s="2">
        <v>42552.0</v>
      </c>
      <c r="B200" s="1">
        <v>196.7</v>
      </c>
      <c r="C200" s="1">
        <v>184.9</v>
      </c>
      <c r="D200" s="1">
        <v>143.1</v>
      </c>
      <c r="E200" s="1">
        <v>197.2</v>
      </c>
      <c r="F200" s="1">
        <v>113.2</v>
      </c>
      <c r="G200" s="1">
        <v>264.5</v>
      </c>
      <c r="H200" s="1">
        <v>233.9</v>
      </c>
      <c r="I200" s="1">
        <v>128.4</v>
      </c>
      <c r="J200" s="1">
        <v>157.1</v>
      </c>
      <c r="K200" s="1">
        <v>157.6</v>
      </c>
      <c r="L200" s="1">
        <v>226.2</v>
      </c>
      <c r="M200" s="1">
        <v>115.7</v>
      </c>
    </row>
    <row r="201" ht="12.75" customHeight="1">
      <c r="A201" s="2">
        <v>42583.0</v>
      </c>
      <c r="B201" s="1">
        <v>197.8</v>
      </c>
      <c r="C201" s="1">
        <v>184.6</v>
      </c>
      <c r="D201" s="1">
        <v>143.3</v>
      </c>
      <c r="E201" s="1">
        <v>194.8</v>
      </c>
      <c r="F201" s="1">
        <v>113.1</v>
      </c>
      <c r="G201" s="1">
        <v>265.2</v>
      </c>
      <c r="H201" s="1">
        <v>234.1</v>
      </c>
      <c r="I201" s="1">
        <v>128.0</v>
      </c>
      <c r="J201" s="1">
        <v>149.0</v>
      </c>
      <c r="K201" s="1">
        <v>149.8</v>
      </c>
      <c r="L201" s="1">
        <v>227.3</v>
      </c>
      <c r="M201" s="1">
        <v>115.9</v>
      </c>
    </row>
    <row r="202" ht="12.75" customHeight="1">
      <c r="A202" s="2">
        <v>42614.0</v>
      </c>
      <c r="B202" s="1">
        <v>196.3</v>
      </c>
      <c r="C202" s="1">
        <v>184.7</v>
      </c>
      <c r="D202" s="1">
        <v>143.4</v>
      </c>
      <c r="E202" s="1">
        <v>194.1</v>
      </c>
      <c r="F202" s="1">
        <v>113.0</v>
      </c>
      <c r="G202" s="1">
        <v>266.3</v>
      </c>
      <c r="H202" s="1">
        <v>233.5</v>
      </c>
      <c r="I202" s="1">
        <v>127.2</v>
      </c>
      <c r="J202" s="1">
        <v>152.0</v>
      </c>
      <c r="K202" s="1">
        <v>163.1</v>
      </c>
      <c r="L202" s="1">
        <v>228.1</v>
      </c>
      <c r="M202" s="1">
        <v>115.6</v>
      </c>
    </row>
    <row r="203" ht="12.75" customHeight="1">
      <c r="A203" s="2">
        <v>42644.0</v>
      </c>
      <c r="B203" s="1">
        <v>194.9</v>
      </c>
      <c r="C203" s="1">
        <v>184.8</v>
      </c>
      <c r="D203" s="1">
        <v>143.2</v>
      </c>
      <c r="E203" s="1">
        <v>193.0</v>
      </c>
      <c r="F203" s="1">
        <v>112.8</v>
      </c>
      <c r="G203" s="1">
        <v>268.3</v>
      </c>
      <c r="H203" s="1">
        <v>233.7</v>
      </c>
      <c r="I203" s="1">
        <v>127.9</v>
      </c>
      <c r="J203" s="1">
        <v>160.5</v>
      </c>
      <c r="K203" s="1">
        <v>159.7</v>
      </c>
      <c r="L203" s="1">
        <v>214.9</v>
      </c>
      <c r="M203" s="1">
        <v>106.0</v>
      </c>
    </row>
    <row r="204" ht="12.75" customHeight="1">
      <c r="A204" s="2">
        <v>42675.0</v>
      </c>
      <c r="B204" s="1">
        <v>196.5</v>
      </c>
      <c r="C204" s="1">
        <v>185.1</v>
      </c>
      <c r="D204" s="1">
        <v>143.4</v>
      </c>
      <c r="E204" s="1">
        <v>194.3</v>
      </c>
      <c r="F204" s="1">
        <v>112.7</v>
      </c>
      <c r="G204" s="1">
        <v>270.1</v>
      </c>
      <c r="H204" s="1">
        <v>233.7</v>
      </c>
      <c r="I204" s="1">
        <v>126.6</v>
      </c>
      <c r="J204" s="1">
        <v>147.6</v>
      </c>
      <c r="K204" s="1">
        <v>157.0</v>
      </c>
      <c r="L204" s="1">
        <v>211.3</v>
      </c>
      <c r="M204" s="1">
        <v>106.0</v>
      </c>
    </row>
    <row r="205" ht="12.75" customHeight="1">
      <c r="A205" s="2">
        <v>42705.0</v>
      </c>
      <c r="B205" s="1">
        <v>199.5</v>
      </c>
      <c r="C205" s="1">
        <v>185.2</v>
      </c>
      <c r="D205" s="1">
        <v>143.4</v>
      </c>
      <c r="E205" s="1">
        <v>194.8</v>
      </c>
      <c r="F205" s="1">
        <v>112.7</v>
      </c>
      <c r="G205" s="1">
        <v>270.4</v>
      </c>
      <c r="H205" s="1">
        <v>234.0</v>
      </c>
      <c r="I205" s="1">
        <v>127.0</v>
      </c>
      <c r="J205" s="1">
        <v>155.2</v>
      </c>
      <c r="K205" s="1">
        <v>158.8</v>
      </c>
      <c r="L205" s="1">
        <v>211.7</v>
      </c>
      <c r="M205" s="1">
        <v>105.9</v>
      </c>
    </row>
    <row r="206" ht="12.75" customHeight="1">
      <c r="A206" s="2">
        <v>42736.0</v>
      </c>
      <c r="B206" s="1">
        <v>202.2</v>
      </c>
      <c r="C206" s="1">
        <v>185.8</v>
      </c>
      <c r="D206" s="1">
        <v>144.3</v>
      </c>
      <c r="E206" s="1">
        <v>195.5</v>
      </c>
      <c r="F206" s="1">
        <v>113.7</v>
      </c>
      <c r="G206" s="1">
        <v>273.6</v>
      </c>
      <c r="H206" s="1">
        <v>237.0</v>
      </c>
      <c r="I206" s="1">
        <v>127.0</v>
      </c>
      <c r="J206" s="1">
        <v>166.4</v>
      </c>
      <c r="K206" s="1">
        <v>161.1</v>
      </c>
      <c r="L206" s="1">
        <v>231.8</v>
      </c>
      <c r="M206" s="1">
        <v>106.8</v>
      </c>
    </row>
    <row r="207" ht="12.75" customHeight="1">
      <c r="A207" s="2">
        <v>42767.0</v>
      </c>
      <c r="B207" s="1">
        <v>204.4</v>
      </c>
      <c r="C207" s="1">
        <v>186.9</v>
      </c>
      <c r="D207" s="1">
        <v>144.5</v>
      </c>
      <c r="E207" s="1">
        <v>195.7</v>
      </c>
      <c r="F207" s="1">
        <v>113.7</v>
      </c>
      <c r="G207" s="1">
        <v>276.9</v>
      </c>
      <c r="H207" s="1">
        <v>237.2</v>
      </c>
      <c r="I207" s="1">
        <v>128.5</v>
      </c>
      <c r="J207" s="1">
        <v>166.7</v>
      </c>
      <c r="K207" s="1">
        <v>163.5</v>
      </c>
      <c r="L207" s="1">
        <v>232.9</v>
      </c>
      <c r="M207" s="1">
        <v>106.7</v>
      </c>
    </row>
    <row r="208" ht="12.75" customHeight="1">
      <c r="A208" s="2">
        <v>42795.0</v>
      </c>
      <c r="B208" s="1">
        <v>206.2</v>
      </c>
      <c r="C208" s="1">
        <v>188.1</v>
      </c>
      <c r="D208" s="1">
        <v>144.6</v>
      </c>
      <c r="E208" s="1">
        <v>197.8</v>
      </c>
      <c r="F208" s="1">
        <v>113.7</v>
      </c>
      <c r="G208" s="1">
        <v>279.6</v>
      </c>
      <c r="H208" s="1">
        <v>237.4</v>
      </c>
      <c r="I208" s="1">
        <v>127.4</v>
      </c>
      <c r="J208" s="1">
        <v>165.6</v>
      </c>
      <c r="K208" s="1">
        <v>161.3</v>
      </c>
      <c r="L208" s="1">
        <v>234.2</v>
      </c>
      <c r="M208" s="1">
        <v>106.9</v>
      </c>
    </row>
    <row r="209" ht="12.75" customHeight="1">
      <c r="A209" s="2">
        <v>42826.0</v>
      </c>
      <c r="B209" s="1">
        <v>206.6</v>
      </c>
      <c r="C209" s="1">
        <v>189.4</v>
      </c>
      <c r="D209" s="1">
        <v>145.1</v>
      </c>
      <c r="E209" s="1">
        <v>197.7</v>
      </c>
      <c r="F209" s="1">
        <v>114.0</v>
      </c>
      <c r="G209" s="1">
        <v>280.9</v>
      </c>
      <c r="H209" s="1">
        <v>238.5</v>
      </c>
      <c r="I209" s="1">
        <v>132.8</v>
      </c>
      <c r="J209" s="1">
        <v>176.2</v>
      </c>
      <c r="K209" s="1">
        <v>162.9</v>
      </c>
      <c r="L209" s="1">
        <v>234.3</v>
      </c>
      <c r="M209" s="1">
        <v>107.4</v>
      </c>
    </row>
    <row r="210" ht="12.75" customHeight="1">
      <c r="A210" s="2">
        <v>42856.0</v>
      </c>
      <c r="B210" s="1">
        <v>207.0</v>
      </c>
      <c r="C210" s="1">
        <v>189.5</v>
      </c>
      <c r="D210" s="1">
        <v>145.0</v>
      </c>
      <c r="E210" s="1">
        <v>196.3</v>
      </c>
      <c r="F210" s="1">
        <v>113.9</v>
      </c>
      <c r="G210" s="1">
        <v>280.3</v>
      </c>
      <c r="H210" s="1">
        <v>238.1</v>
      </c>
      <c r="I210" s="1">
        <v>131.1</v>
      </c>
      <c r="J210" s="1">
        <v>163.5</v>
      </c>
      <c r="K210" s="1">
        <v>173.6</v>
      </c>
      <c r="L210" s="1">
        <v>237.1</v>
      </c>
      <c r="M210" s="1">
        <v>109.1</v>
      </c>
    </row>
    <row r="211" ht="12.75" customHeight="1">
      <c r="A211" s="2">
        <v>42887.0</v>
      </c>
      <c r="B211" s="1">
        <v>207.3</v>
      </c>
      <c r="C211" s="1">
        <v>189.4</v>
      </c>
      <c r="D211" s="1">
        <v>145.3</v>
      </c>
      <c r="E211" s="1">
        <v>194.7</v>
      </c>
      <c r="F211" s="1">
        <v>114.0</v>
      </c>
      <c r="G211" s="1">
        <v>280.3</v>
      </c>
      <c r="H211" s="1">
        <v>239.0</v>
      </c>
      <c r="I211" s="1">
        <v>131.7</v>
      </c>
      <c r="J211" s="1">
        <v>162.5</v>
      </c>
      <c r="K211" s="1">
        <v>171.5</v>
      </c>
      <c r="L211" s="1">
        <v>251.0</v>
      </c>
      <c r="M211" s="1">
        <v>117.5</v>
      </c>
    </row>
    <row r="212" ht="12.75" customHeight="1">
      <c r="A212" s="2">
        <v>42917.0</v>
      </c>
      <c r="B212" s="1">
        <v>207.8</v>
      </c>
      <c r="C212" s="1">
        <v>188.8</v>
      </c>
      <c r="D212" s="1">
        <v>145.4</v>
      </c>
      <c r="E212" s="1">
        <v>192.0</v>
      </c>
      <c r="F212" s="1">
        <v>113.6</v>
      </c>
      <c r="G212" s="1">
        <v>278.4</v>
      </c>
      <c r="H212" s="1">
        <v>239.2</v>
      </c>
      <c r="I212" s="1">
        <v>132.0</v>
      </c>
      <c r="J212" s="1">
        <v>160.0</v>
      </c>
      <c r="K212" s="1">
        <v>179.6</v>
      </c>
      <c r="L212" s="1">
        <v>253.4</v>
      </c>
      <c r="M212" s="1">
        <v>118.1</v>
      </c>
    </row>
    <row r="213" ht="12.75" customHeight="1">
      <c r="A213" s="2">
        <v>42948.0</v>
      </c>
      <c r="B213" s="1">
        <v>208.9</v>
      </c>
      <c r="C213" s="1">
        <v>189.1</v>
      </c>
      <c r="D213" s="1">
        <v>145.2</v>
      </c>
      <c r="E213" s="1">
        <v>188.2</v>
      </c>
      <c r="F213" s="1">
        <v>113.6</v>
      </c>
      <c r="G213" s="1">
        <v>280.3</v>
      </c>
      <c r="H213" s="1">
        <v>239.1</v>
      </c>
      <c r="I213" s="1">
        <v>130.8</v>
      </c>
      <c r="J213" s="1">
        <v>169.3</v>
      </c>
      <c r="K213" s="1">
        <v>188.9</v>
      </c>
      <c r="L213" s="1">
        <v>251.2</v>
      </c>
      <c r="M213" s="1">
        <v>118.0</v>
      </c>
    </row>
    <row r="214" ht="12.75" customHeight="1">
      <c r="A214" s="2">
        <v>42979.0</v>
      </c>
      <c r="B214" s="1">
        <v>211.2</v>
      </c>
      <c r="C214" s="1">
        <v>189.5</v>
      </c>
      <c r="D214" s="1">
        <v>145.2</v>
      </c>
      <c r="E214" s="1">
        <v>187.0</v>
      </c>
      <c r="F214" s="1">
        <v>113.4</v>
      </c>
      <c r="G214" s="1">
        <v>280.6</v>
      </c>
      <c r="H214" s="1">
        <v>239.1</v>
      </c>
      <c r="I214" s="1">
        <v>130.2</v>
      </c>
      <c r="J214" s="1">
        <v>187.2</v>
      </c>
      <c r="K214" s="1">
        <v>204.2</v>
      </c>
      <c r="L214" s="1">
        <v>249.0</v>
      </c>
      <c r="M214" s="1">
        <v>118.6</v>
      </c>
    </row>
    <row r="215" ht="12.75" customHeight="1">
      <c r="A215" s="2">
        <v>43009.0</v>
      </c>
      <c r="B215" s="1">
        <v>210.4</v>
      </c>
      <c r="C215" s="1">
        <v>190.2</v>
      </c>
      <c r="D215" s="1">
        <v>145.2</v>
      </c>
      <c r="E215" s="1">
        <v>186.0</v>
      </c>
      <c r="F215" s="1">
        <v>113.4</v>
      </c>
      <c r="G215" s="1">
        <v>284.1</v>
      </c>
      <c r="H215" s="1">
        <v>239.2</v>
      </c>
      <c r="I215" s="1">
        <v>130.2</v>
      </c>
      <c r="J215" s="1">
        <v>175.4</v>
      </c>
      <c r="K215" s="1">
        <v>213.5</v>
      </c>
      <c r="L215" s="1">
        <v>238.7</v>
      </c>
      <c r="M215" s="1">
        <v>110.9</v>
      </c>
    </row>
    <row r="216" ht="12.75" customHeight="1">
      <c r="A216" s="2">
        <v>43040.0</v>
      </c>
      <c r="B216" s="1">
        <v>210.3</v>
      </c>
      <c r="C216" s="1">
        <v>191.0</v>
      </c>
      <c r="D216" s="1">
        <v>145.5</v>
      </c>
      <c r="E216" s="1">
        <v>186.7</v>
      </c>
      <c r="F216" s="1">
        <v>113.5</v>
      </c>
      <c r="G216" s="1">
        <v>287.2</v>
      </c>
      <c r="H216" s="1">
        <v>239.5</v>
      </c>
      <c r="I216" s="1">
        <v>129.5</v>
      </c>
      <c r="J216" s="1">
        <v>185.8</v>
      </c>
      <c r="K216" s="1">
        <v>223.7</v>
      </c>
      <c r="L216" s="1">
        <v>236.8</v>
      </c>
      <c r="M216" s="1">
        <v>111.2</v>
      </c>
    </row>
    <row r="217" ht="12.75" customHeight="1">
      <c r="A217" s="2">
        <v>43070.0</v>
      </c>
      <c r="B217" s="1">
        <v>211.3</v>
      </c>
      <c r="C217" s="1">
        <v>191.0</v>
      </c>
      <c r="D217" s="1">
        <v>145.5</v>
      </c>
      <c r="E217" s="1">
        <v>187.8</v>
      </c>
      <c r="F217" s="1">
        <v>113.5</v>
      </c>
      <c r="G217" s="1">
        <v>287.7</v>
      </c>
      <c r="H217" s="1">
        <v>239.8</v>
      </c>
      <c r="I217" s="1">
        <v>131.4</v>
      </c>
      <c r="J217" s="1">
        <v>179.4</v>
      </c>
      <c r="K217" s="1">
        <v>223.8</v>
      </c>
      <c r="L217" s="1">
        <v>237.4</v>
      </c>
      <c r="M217" s="1">
        <v>112.1</v>
      </c>
    </row>
    <row r="218" ht="12.75" customHeight="1">
      <c r="A218" s="2">
        <v>43101.0</v>
      </c>
      <c r="B218" s="1">
        <v>214.6</v>
      </c>
      <c r="C218" s="1">
        <v>191.9</v>
      </c>
      <c r="D218" s="1">
        <v>146.9</v>
      </c>
      <c r="E218" s="1">
        <v>191.6</v>
      </c>
      <c r="F218" s="1">
        <v>114.0</v>
      </c>
      <c r="G218" s="1">
        <v>290.2</v>
      </c>
      <c r="H218" s="1">
        <v>243.3</v>
      </c>
      <c r="I218" s="1">
        <v>128.6</v>
      </c>
      <c r="J218" s="1">
        <v>184.6</v>
      </c>
      <c r="K218" s="1">
        <v>229.4</v>
      </c>
      <c r="L218" s="1">
        <v>243.4</v>
      </c>
      <c r="M218" s="1">
        <v>112.8</v>
      </c>
    </row>
    <row r="219" ht="12.75" customHeight="1">
      <c r="A219" s="2">
        <v>43132.0</v>
      </c>
      <c r="B219" s="1">
        <v>216.4</v>
      </c>
      <c r="C219" s="1">
        <v>192.2</v>
      </c>
      <c r="D219" s="1">
        <v>147.6</v>
      </c>
      <c r="E219" s="1">
        <v>190.1</v>
      </c>
      <c r="F219" s="1">
        <v>114.5</v>
      </c>
      <c r="G219" s="1">
        <v>291.8</v>
      </c>
      <c r="H219" s="1">
        <v>244.1</v>
      </c>
      <c r="I219" s="1">
        <v>129.1</v>
      </c>
      <c r="J219" s="1">
        <v>190.1</v>
      </c>
      <c r="K219" s="1">
        <v>226.5</v>
      </c>
      <c r="L219" s="1">
        <v>245.3</v>
      </c>
      <c r="M219" s="1">
        <v>112.5</v>
      </c>
    </row>
    <row r="220" ht="12.75" customHeight="1">
      <c r="A220" s="2">
        <v>43160.0</v>
      </c>
      <c r="B220" s="1">
        <v>219.3</v>
      </c>
      <c r="C220" s="1">
        <v>193.3</v>
      </c>
      <c r="D220" s="1">
        <v>148.1</v>
      </c>
      <c r="E220" s="1">
        <v>191.0</v>
      </c>
      <c r="F220" s="1">
        <v>114.9</v>
      </c>
      <c r="G220" s="1">
        <v>293.5</v>
      </c>
      <c r="H220" s="1">
        <v>245.8</v>
      </c>
      <c r="I220" s="1">
        <v>128.9</v>
      </c>
      <c r="J220" s="1">
        <v>188.7</v>
      </c>
      <c r="K220" s="1">
        <v>224.8</v>
      </c>
      <c r="L220" s="1">
        <v>241.0</v>
      </c>
      <c r="M220" s="1">
        <v>111.7</v>
      </c>
    </row>
    <row r="221" ht="12.75" customHeight="1">
      <c r="A221" s="2">
        <v>43191.0</v>
      </c>
      <c r="B221" s="1">
        <v>222.6</v>
      </c>
      <c r="C221" s="1">
        <v>194.5</v>
      </c>
      <c r="D221" s="1">
        <v>148.4</v>
      </c>
      <c r="E221" s="1">
        <v>185.7</v>
      </c>
      <c r="F221" s="1">
        <v>115.0</v>
      </c>
      <c r="G221" s="1">
        <v>292.4</v>
      </c>
      <c r="H221" s="1">
        <v>245.9</v>
      </c>
      <c r="I221" s="1">
        <v>133.9</v>
      </c>
      <c r="J221" s="1">
        <v>202.9</v>
      </c>
      <c r="K221" s="1">
        <v>231.8</v>
      </c>
      <c r="L221" s="1">
        <v>237.7</v>
      </c>
      <c r="M221" s="1">
        <v>111.8</v>
      </c>
    </row>
    <row r="222" ht="12.75" customHeight="1">
      <c r="A222" s="2">
        <v>43221.0</v>
      </c>
      <c r="B222" s="1">
        <v>225.5</v>
      </c>
      <c r="C222" s="1">
        <v>194.5</v>
      </c>
      <c r="D222" s="1">
        <v>148.7</v>
      </c>
      <c r="E222" s="1">
        <v>184.0</v>
      </c>
      <c r="F222" s="1">
        <v>114.9</v>
      </c>
      <c r="G222" s="1">
        <v>293.3</v>
      </c>
      <c r="H222" s="1">
        <v>246.7</v>
      </c>
      <c r="I222" s="1">
        <v>131.8</v>
      </c>
      <c r="J222" s="1">
        <v>220.6</v>
      </c>
      <c r="K222" s="1">
        <v>251.1</v>
      </c>
      <c r="L222" s="1">
        <v>241.3</v>
      </c>
      <c r="M222" s="1">
        <v>111.7</v>
      </c>
    </row>
    <row r="223" ht="12.75" customHeight="1">
      <c r="A223" s="2">
        <v>43252.0</v>
      </c>
      <c r="B223" s="1">
        <v>227.4</v>
      </c>
      <c r="C223" s="1">
        <v>194.9</v>
      </c>
      <c r="D223" s="1">
        <v>149.0</v>
      </c>
      <c r="E223" s="1">
        <v>179.3</v>
      </c>
      <c r="F223" s="1">
        <v>115.0</v>
      </c>
      <c r="G223" s="1">
        <v>294.3</v>
      </c>
      <c r="H223" s="1">
        <v>247.2</v>
      </c>
      <c r="I223" s="1">
        <v>131.0</v>
      </c>
      <c r="J223" s="1">
        <v>222.3</v>
      </c>
      <c r="K223" s="1">
        <v>261.4</v>
      </c>
      <c r="L223" s="1">
        <v>255.2</v>
      </c>
      <c r="M223" s="1">
        <v>118.5</v>
      </c>
    </row>
    <row r="224" ht="12.75" customHeight="1">
      <c r="A224" s="2">
        <v>43282.0</v>
      </c>
      <c r="B224" s="1">
        <v>226.9</v>
      </c>
      <c r="C224" s="1">
        <v>195.3</v>
      </c>
      <c r="D224" s="1">
        <v>149.4</v>
      </c>
      <c r="E224" s="1">
        <v>177.9</v>
      </c>
      <c r="F224" s="1">
        <v>115.6</v>
      </c>
      <c r="G224" s="1">
        <v>296.0</v>
      </c>
      <c r="H224" s="1">
        <v>247.7</v>
      </c>
      <c r="I224" s="1">
        <v>131.2</v>
      </c>
      <c r="J224" s="1">
        <v>219.6</v>
      </c>
      <c r="K224" s="1">
        <v>256.9</v>
      </c>
      <c r="L224" s="1">
        <v>258.8</v>
      </c>
      <c r="M224" s="1">
        <v>118.8</v>
      </c>
    </row>
    <row r="225" ht="12.75" customHeight="1">
      <c r="A225" s="2">
        <v>43313.0</v>
      </c>
      <c r="B225" s="1">
        <v>225.5</v>
      </c>
      <c r="C225" s="1">
        <v>196.4</v>
      </c>
      <c r="D225" s="1">
        <v>150.3</v>
      </c>
      <c r="E225" s="1">
        <v>173.7</v>
      </c>
      <c r="F225" s="1">
        <v>115.4</v>
      </c>
      <c r="G225" s="1">
        <v>298.2</v>
      </c>
      <c r="H225" s="1">
        <v>248.4</v>
      </c>
      <c r="I225" s="1">
        <v>130.8</v>
      </c>
      <c r="J225" s="1">
        <v>217.1</v>
      </c>
      <c r="K225" s="1">
        <v>254.3</v>
      </c>
      <c r="L225" s="1">
        <v>258.7</v>
      </c>
      <c r="M225" s="1">
        <v>118.2</v>
      </c>
    </row>
    <row r="226" ht="12.75" customHeight="1">
      <c r="A226" s="2">
        <v>43344.0</v>
      </c>
      <c r="B226" s="1">
        <v>225.3</v>
      </c>
      <c r="C226" s="1">
        <v>196.6</v>
      </c>
      <c r="D226" s="1">
        <v>150.6</v>
      </c>
      <c r="E226" s="1">
        <v>173.0</v>
      </c>
      <c r="F226" s="1">
        <v>115.8</v>
      </c>
      <c r="G226" s="1">
        <v>299.5</v>
      </c>
      <c r="H226" s="1">
        <v>249.4</v>
      </c>
      <c r="I226" s="1">
        <v>129.0</v>
      </c>
      <c r="J226" s="1">
        <v>215.4</v>
      </c>
      <c r="K226" s="1">
        <v>262.5</v>
      </c>
      <c r="L226" s="1">
        <v>255.4</v>
      </c>
      <c r="M226" s="1">
        <v>115.8</v>
      </c>
    </row>
    <row r="227" ht="12.75" customHeight="1">
      <c r="A227" s="2">
        <v>43374.0</v>
      </c>
      <c r="B227" s="1">
        <v>225.9</v>
      </c>
      <c r="C227" s="1">
        <v>197.4</v>
      </c>
      <c r="D227" s="1">
        <v>150.7</v>
      </c>
      <c r="E227" s="1">
        <v>173.7</v>
      </c>
      <c r="F227" s="1">
        <v>115.7</v>
      </c>
      <c r="G227" s="1">
        <v>301.0</v>
      </c>
      <c r="H227" s="1">
        <v>249.9</v>
      </c>
      <c r="I227" s="1">
        <v>128.7</v>
      </c>
      <c r="J227" s="1">
        <v>222.2</v>
      </c>
      <c r="K227" s="1">
        <v>271.7</v>
      </c>
      <c r="L227" s="1">
        <v>246.6</v>
      </c>
      <c r="M227" s="1">
        <v>110.5</v>
      </c>
    </row>
    <row r="228" ht="12.75" customHeight="1">
      <c r="A228" s="2">
        <v>43405.0</v>
      </c>
      <c r="B228" s="1">
        <v>226.6</v>
      </c>
      <c r="C228" s="1">
        <v>197.2</v>
      </c>
      <c r="D228" s="1">
        <v>151.1</v>
      </c>
      <c r="E228" s="1">
        <v>173.1</v>
      </c>
      <c r="F228" s="1">
        <v>115.8</v>
      </c>
      <c r="G228" s="1">
        <v>298.6</v>
      </c>
      <c r="H228" s="1">
        <v>249.3</v>
      </c>
      <c r="I228" s="1">
        <v>128.6</v>
      </c>
      <c r="J228" s="1">
        <v>189.3</v>
      </c>
      <c r="K228" s="1">
        <v>264.8</v>
      </c>
      <c r="L228" s="1">
        <v>240.2</v>
      </c>
      <c r="M228" s="1">
        <v>109.7</v>
      </c>
    </row>
    <row r="229" ht="12.75" customHeight="1">
      <c r="A229" s="2">
        <v>43435.0</v>
      </c>
      <c r="B229" s="1">
        <v>227.2</v>
      </c>
      <c r="C229" s="1">
        <v>196.9</v>
      </c>
      <c r="D229" s="1">
        <v>151.1</v>
      </c>
      <c r="E229" s="1">
        <v>171.3</v>
      </c>
      <c r="F229" s="1">
        <v>115.8</v>
      </c>
      <c r="G229" s="1">
        <v>293.0</v>
      </c>
      <c r="H229" s="1">
        <v>249.8</v>
      </c>
      <c r="I229" s="1">
        <v>127.9</v>
      </c>
      <c r="J229" s="1">
        <v>156.7</v>
      </c>
      <c r="K229" s="1">
        <v>232.7</v>
      </c>
      <c r="L229" s="1">
        <v>241.0</v>
      </c>
      <c r="M229" s="1">
        <v>110.3</v>
      </c>
    </row>
    <row r="230" ht="12.75" customHeight="1">
      <c r="A230" s="2">
        <v>43466.0</v>
      </c>
      <c r="B230" s="1">
        <v>226.1</v>
      </c>
      <c r="C230" s="1">
        <v>197.4</v>
      </c>
      <c r="D230" s="1">
        <v>151.3</v>
      </c>
      <c r="E230" s="1">
        <v>169.7</v>
      </c>
      <c r="F230" s="1">
        <v>116.7</v>
      </c>
      <c r="G230" s="1">
        <v>293.4</v>
      </c>
      <c r="H230" s="1">
        <v>251.9</v>
      </c>
      <c r="I230" s="1">
        <v>127.3</v>
      </c>
      <c r="J230" s="1">
        <v>145.7</v>
      </c>
      <c r="K230" s="1">
        <v>201.1</v>
      </c>
      <c r="L230" s="1">
        <v>244.9</v>
      </c>
      <c r="M230" s="1">
        <v>112.6</v>
      </c>
    </row>
    <row r="231" ht="12.75" customHeight="1">
      <c r="A231" s="2">
        <v>43497.0</v>
      </c>
      <c r="B231" s="1">
        <v>225.9</v>
      </c>
      <c r="C231" s="1">
        <v>197.0</v>
      </c>
      <c r="D231" s="1">
        <v>151.1</v>
      </c>
      <c r="E231" s="1">
        <v>171.7</v>
      </c>
      <c r="F231" s="1">
        <v>116.8</v>
      </c>
      <c r="G231" s="1">
        <v>292.0</v>
      </c>
      <c r="H231" s="1">
        <v>252.0</v>
      </c>
      <c r="I231" s="1">
        <v>127.6</v>
      </c>
      <c r="J231" s="1">
        <v>153.2</v>
      </c>
      <c r="K231" s="1">
        <v>218.3</v>
      </c>
      <c r="L231" s="1">
        <v>244.0</v>
      </c>
      <c r="M231" s="1">
        <v>112.8</v>
      </c>
    </row>
    <row r="232" ht="12.75" customHeight="1">
      <c r="A232" s="2">
        <v>43525.0</v>
      </c>
      <c r="B232" s="1">
        <v>227.5</v>
      </c>
      <c r="C232" s="1">
        <v>196.8</v>
      </c>
      <c r="D232" s="1">
        <v>150.9</v>
      </c>
      <c r="E232" s="1">
        <v>172.5</v>
      </c>
      <c r="F232" s="1">
        <v>116.8</v>
      </c>
      <c r="G232" s="1">
        <v>291.7</v>
      </c>
      <c r="H232" s="1">
        <v>251.4</v>
      </c>
      <c r="I232" s="1">
        <v>127.2</v>
      </c>
      <c r="J232" s="1">
        <v>177.6</v>
      </c>
      <c r="K232" s="1">
        <v>239.3</v>
      </c>
      <c r="L232" s="1">
        <v>241.6</v>
      </c>
      <c r="M232" s="1">
        <v>113.7</v>
      </c>
    </row>
    <row r="233" ht="12.75" customHeight="1">
      <c r="A233" s="2">
        <v>43556.0</v>
      </c>
      <c r="B233" s="1">
        <v>226.0</v>
      </c>
      <c r="C233" s="1">
        <v>196.1</v>
      </c>
      <c r="D233" s="1">
        <v>150.8</v>
      </c>
      <c r="E233" s="1">
        <v>169.0</v>
      </c>
      <c r="F233" s="1">
        <v>116.9</v>
      </c>
      <c r="G233" s="1">
        <v>291.7</v>
      </c>
      <c r="H233" s="1">
        <v>252.6</v>
      </c>
      <c r="I233" s="1">
        <v>129.5</v>
      </c>
      <c r="J233" s="1">
        <v>207.4</v>
      </c>
      <c r="K233" s="1">
        <v>237.7</v>
      </c>
      <c r="L233" s="1">
        <v>238.7</v>
      </c>
      <c r="M233" s="1">
        <v>113.6</v>
      </c>
    </row>
    <row r="234" ht="12.75" customHeight="1">
      <c r="A234" s="2">
        <v>43586.0</v>
      </c>
      <c r="B234" s="1">
        <v>223.5</v>
      </c>
      <c r="C234" s="1">
        <v>196.0</v>
      </c>
      <c r="D234" s="1">
        <v>150.7</v>
      </c>
      <c r="E234" s="1">
        <v>166.6</v>
      </c>
      <c r="F234" s="1">
        <v>116.8</v>
      </c>
      <c r="G234" s="1">
        <v>290.4</v>
      </c>
      <c r="H234" s="1">
        <v>253.1</v>
      </c>
      <c r="I234" s="1">
        <v>128.9</v>
      </c>
      <c r="J234" s="1">
        <v>212.9</v>
      </c>
      <c r="K234" s="1">
        <v>235.0</v>
      </c>
      <c r="L234" s="1">
        <v>241.1</v>
      </c>
      <c r="M234" s="1">
        <v>113.8</v>
      </c>
    </row>
    <row r="235" ht="12.75" customHeight="1">
      <c r="A235" s="2">
        <v>43617.0</v>
      </c>
      <c r="B235" s="1">
        <v>220.5</v>
      </c>
      <c r="C235" s="1">
        <v>196.0</v>
      </c>
      <c r="D235" s="1">
        <v>150.8</v>
      </c>
      <c r="E235" s="1">
        <v>161.2</v>
      </c>
      <c r="F235" s="1">
        <v>116.8</v>
      </c>
      <c r="G235" s="1">
        <v>289.6</v>
      </c>
      <c r="H235" s="1">
        <v>253.8</v>
      </c>
      <c r="I235" s="1">
        <v>127.9</v>
      </c>
      <c r="J235" s="1">
        <v>195.6</v>
      </c>
      <c r="K235" s="1">
        <v>204.4</v>
      </c>
      <c r="L235" s="1">
        <v>250.7</v>
      </c>
      <c r="M235" s="1">
        <v>120.0</v>
      </c>
    </row>
    <row r="236" ht="12.75" customHeight="1">
      <c r="A236" s="2">
        <v>43647.0</v>
      </c>
      <c r="B236" s="1">
        <v>220.1</v>
      </c>
      <c r="C236" s="1">
        <v>196.2</v>
      </c>
      <c r="D236" s="1">
        <v>150.6</v>
      </c>
      <c r="E236" s="1">
        <v>161.4</v>
      </c>
      <c r="F236" s="1">
        <v>117.0</v>
      </c>
      <c r="G236" s="1">
        <v>288.1</v>
      </c>
      <c r="H236" s="1">
        <v>254.0</v>
      </c>
      <c r="I236" s="1">
        <v>128.8</v>
      </c>
      <c r="J236" s="1">
        <v>198.9</v>
      </c>
      <c r="K236" s="1">
        <v>220.0</v>
      </c>
      <c r="L236" s="1">
        <v>253.3</v>
      </c>
      <c r="M236" s="1">
        <v>119.3</v>
      </c>
    </row>
    <row r="237" ht="12.75" customHeight="1">
      <c r="A237" s="2">
        <v>43678.0</v>
      </c>
      <c r="B237" s="1">
        <v>219.1</v>
      </c>
      <c r="C237" s="1">
        <v>195.7</v>
      </c>
      <c r="D237" s="1">
        <v>150.6</v>
      </c>
      <c r="E237" s="1">
        <v>163.8</v>
      </c>
      <c r="F237" s="1">
        <v>116.7</v>
      </c>
      <c r="G237" s="1">
        <v>286.5</v>
      </c>
      <c r="H237" s="1">
        <v>254.3</v>
      </c>
      <c r="I237" s="1">
        <v>129.0</v>
      </c>
      <c r="J237" s="1">
        <v>189.0</v>
      </c>
      <c r="K237" s="1">
        <v>207.2</v>
      </c>
      <c r="L237" s="1">
        <v>257.1</v>
      </c>
      <c r="M237" s="1">
        <v>118.3</v>
      </c>
    </row>
    <row r="238" ht="12.75" customHeight="1">
      <c r="A238" s="2">
        <v>43709.0</v>
      </c>
      <c r="B238" s="1">
        <v>217.9</v>
      </c>
      <c r="C238" s="1">
        <v>195.5</v>
      </c>
      <c r="D238" s="1">
        <v>150.8</v>
      </c>
      <c r="E238" s="1">
        <v>165.5</v>
      </c>
      <c r="F238" s="1">
        <v>116.9</v>
      </c>
      <c r="G238" s="1">
        <v>285.1</v>
      </c>
      <c r="H238" s="1">
        <v>254.1</v>
      </c>
      <c r="I238" s="1">
        <v>128.6</v>
      </c>
      <c r="J238" s="1">
        <v>180.0</v>
      </c>
      <c r="K238" s="1">
        <v>218.4</v>
      </c>
      <c r="L238" s="1">
        <v>254.4</v>
      </c>
      <c r="M238" s="1">
        <v>117.8</v>
      </c>
    </row>
    <row r="239" ht="12.75" customHeight="1">
      <c r="A239" s="2">
        <v>43739.0</v>
      </c>
      <c r="B239" s="1">
        <v>216.2</v>
      </c>
      <c r="C239" s="1">
        <v>195.3</v>
      </c>
      <c r="D239" s="1">
        <v>150.5</v>
      </c>
      <c r="E239" s="1">
        <v>162.8</v>
      </c>
      <c r="F239" s="1">
        <v>116.8</v>
      </c>
      <c r="G239" s="1">
        <v>288.5</v>
      </c>
      <c r="H239" s="1">
        <v>253.9</v>
      </c>
      <c r="I239" s="1">
        <v>129.4</v>
      </c>
      <c r="J239" s="1">
        <v>185.9</v>
      </c>
      <c r="K239" s="1">
        <v>220.5</v>
      </c>
      <c r="L239" s="1">
        <v>231.4</v>
      </c>
      <c r="M239" s="1">
        <v>111.2</v>
      </c>
    </row>
    <row r="240" ht="12.75" customHeight="1">
      <c r="A240" s="2">
        <v>43770.0</v>
      </c>
      <c r="B240" s="1">
        <v>215.5</v>
      </c>
      <c r="C240" s="1">
        <v>195.3</v>
      </c>
      <c r="D240" s="1">
        <v>150.2</v>
      </c>
      <c r="E240" s="1">
        <v>162.5</v>
      </c>
      <c r="F240" s="1">
        <v>116.8</v>
      </c>
      <c r="G240" s="1">
        <v>287.4</v>
      </c>
      <c r="H240" s="1">
        <v>253.7</v>
      </c>
      <c r="I240" s="1">
        <v>129.3</v>
      </c>
      <c r="J240" s="1">
        <v>179.1</v>
      </c>
      <c r="K240" s="1">
        <v>223.1</v>
      </c>
      <c r="L240" s="1">
        <v>230.2</v>
      </c>
      <c r="M240" s="1">
        <v>110.7</v>
      </c>
    </row>
    <row r="241" ht="12.75" customHeight="1">
      <c r="A241" s="2">
        <v>43800.0</v>
      </c>
      <c r="B241" s="1">
        <v>216.9</v>
      </c>
      <c r="C241" s="1">
        <v>194.9</v>
      </c>
      <c r="D241" s="1">
        <v>150.1</v>
      </c>
      <c r="E241" s="1">
        <v>163.8</v>
      </c>
      <c r="F241" s="1">
        <v>117.0</v>
      </c>
      <c r="G241" s="1">
        <v>285.1</v>
      </c>
      <c r="H241" s="1">
        <v>253.4</v>
      </c>
      <c r="I241" s="1">
        <v>129.6</v>
      </c>
      <c r="J241" s="1">
        <v>174.5</v>
      </c>
      <c r="K241" s="1">
        <v>231.1</v>
      </c>
      <c r="L241" s="1">
        <v>232.5</v>
      </c>
      <c r="M241" s="1">
        <v>110.7</v>
      </c>
    </row>
    <row r="242" ht="12.75" customHeight="1">
      <c r="A242" s="2">
        <v>43831.0</v>
      </c>
      <c r="B242" s="1">
        <v>219.8</v>
      </c>
      <c r="C242" s="1">
        <v>194.9</v>
      </c>
      <c r="D242" s="1">
        <v>150.0</v>
      </c>
      <c r="E242" s="1">
        <v>166.5</v>
      </c>
      <c r="F242" s="1">
        <v>118.0</v>
      </c>
      <c r="G242" s="1">
        <v>286.7</v>
      </c>
      <c r="H242" s="1">
        <v>257.2</v>
      </c>
      <c r="I242" s="1">
        <v>129.2</v>
      </c>
      <c r="J242" s="1">
        <v>178.5</v>
      </c>
      <c r="K242" s="1">
        <v>214.5</v>
      </c>
      <c r="L242" s="1">
        <v>232.9</v>
      </c>
      <c r="M242" s="1">
        <v>107.7</v>
      </c>
    </row>
    <row r="243" ht="12.75" customHeight="1">
      <c r="A243" s="2">
        <v>43862.0</v>
      </c>
      <c r="B243" s="1">
        <v>218.5</v>
      </c>
      <c r="C243" s="1">
        <v>194.9</v>
      </c>
      <c r="D243" s="1">
        <v>149.7</v>
      </c>
      <c r="E243" s="1">
        <v>163.4</v>
      </c>
      <c r="F243" s="1">
        <v>118.0</v>
      </c>
      <c r="G243" s="1">
        <v>286.3</v>
      </c>
      <c r="H243" s="1">
        <v>258.1</v>
      </c>
      <c r="I243" s="1">
        <v>129.0</v>
      </c>
      <c r="J243" s="1">
        <v>167.0</v>
      </c>
      <c r="K243" s="1">
        <v>193.3</v>
      </c>
      <c r="L243" s="1">
        <v>234.3</v>
      </c>
      <c r="M243" s="1">
        <v>108.4</v>
      </c>
    </row>
    <row r="244" ht="12.75" customHeight="1">
      <c r="A244" s="2">
        <v>43891.0</v>
      </c>
      <c r="B244" s="1">
        <v>219.2</v>
      </c>
      <c r="C244" s="1">
        <v>194.6</v>
      </c>
      <c r="D244" s="1">
        <v>149.1</v>
      </c>
      <c r="E244" s="1">
        <v>157.2</v>
      </c>
      <c r="F244" s="1">
        <v>118.0</v>
      </c>
      <c r="G244" s="1">
        <v>284.4</v>
      </c>
      <c r="H244" s="1">
        <v>258.5</v>
      </c>
      <c r="I244" s="1">
        <v>128.0</v>
      </c>
      <c r="J244" s="1">
        <v>133.3</v>
      </c>
      <c r="K244" s="1">
        <v>169.7</v>
      </c>
      <c r="L244" s="1">
        <v>233.2</v>
      </c>
      <c r="M244" s="1">
        <v>108.7</v>
      </c>
    </row>
    <row r="245" ht="12.75" customHeight="1">
      <c r="A245" s="2">
        <v>43922.0</v>
      </c>
      <c r="B245" s="1">
        <v>215.9</v>
      </c>
      <c r="C245" s="1">
        <v>194.4</v>
      </c>
      <c r="D245" s="1">
        <v>149.2</v>
      </c>
      <c r="E245" s="1">
        <v>152.0</v>
      </c>
      <c r="F245" s="1">
        <v>117.7</v>
      </c>
      <c r="G245" s="1">
        <v>273.4</v>
      </c>
      <c r="H245" s="1">
        <v>257.5</v>
      </c>
      <c r="I245" s="1">
        <v>131.7</v>
      </c>
      <c r="J245" s="1">
        <v>62.6</v>
      </c>
      <c r="K245" s="1">
        <v>123.6</v>
      </c>
      <c r="L245" s="1">
        <v>233.0</v>
      </c>
      <c r="M245" s="1">
        <v>108.4</v>
      </c>
    </row>
    <row r="246" ht="12.75" customHeight="1">
      <c r="A246" s="2">
        <v>43952.0</v>
      </c>
      <c r="B246" s="1">
        <v>214.3</v>
      </c>
      <c r="C246" s="1">
        <v>193.9</v>
      </c>
      <c r="D246" s="1">
        <v>149.1</v>
      </c>
      <c r="E246" s="1">
        <v>146.0</v>
      </c>
      <c r="F246" s="1">
        <v>117.7</v>
      </c>
      <c r="G246" s="1">
        <v>268.7</v>
      </c>
      <c r="H246" s="1">
        <v>256.9</v>
      </c>
      <c r="I246" s="1">
        <v>131.9</v>
      </c>
      <c r="J246" s="1">
        <v>90.8</v>
      </c>
      <c r="K246" s="1">
        <v>108.3</v>
      </c>
      <c r="L246" s="1">
        <v>232.8</v>
      </c>
      <c r="M246" s="1">
        <v>102.1</v>
      </c>
    </row>
    <row r="247" ht="12.75" customHeight="1">
      <c r="A247" s="2">
        <v>43983.0</v>
      </c>
      <c r="B247" s="1">
        <v>215.3</v>
      </c>
      <c r="C247" s="1">
        <v>193.5</v>
      </c>
      <c r="D247" s="1">
        <v>149.0</v>
      </c>
      <c r="E247" s="1">
        <v>145.1</v>
      </c>
      <c r="F247" s="1">
        <v>117.6</v>
      </c>
      <c r="G247" s="1">
        <v>271.8</v>
      </c>
      <c r="H247" s="1">
        <v>256.8</v>
      </c>
      <c r="I247" s="1">
        <v>131.1</v>
      </c>
      <c r="J247" s="1">
        <v>122.5</v>
      </c>
      <c r="K247" s="1">
        <v>137.8</v>
      </c>
      <c r="L247" s="1">
        <v>250.4</v>
      </c>
      <c r="M247" s="1">
        <v>115.0</v>
      </c>
    </row>
    <row r="248" ht="12.75" customHeight="1">
      <c r="A248" s="2">
        <v>44013.0</v>
      </c>
      <c r="B248" s="1">
        <v>216.3</v>
      </c>
      <c r="C248" s="1">
        <v>193.1</v>
      </c>
      <c r="D248" s="1">
        <v>149.5</v>
      </c>
      <c r="E248" s="1">
        <v>154.4</v>
      </c>
      <c r="F248" s="1">
        <v>117.7</v>
      </c>
      <c r="G248" s="1">
        <v>275.6</v>
      </c>
      <c r="H248" s="1">
        <v>257.2</v>
      </c>
      <c r="I248" s="1">
        <v>130.9</v>
      </c>
      <c r="J248" s="1">
        <v>134.6</v>
      </c>
      <c r="K248" s="1">
        <v>179.2</v>
      </c>
      <c r="L248" s="1">
        <v>253.5</v>
      </c>
      <c r="M248" s="1">
        <v>115.6</v>
      </c>
    </row>
    <row r="249" ht="12.75" customHeight="1">
      <c r="A249" s="2">
        <v>44044.0</v>
      </c>
      <c r="B249" s="1">
        <v>218.7</v>
      </c>
      <c r="C249" s="1">
        <v>192.8</v>
      </c>
      <c r="D249" s="1">
        <v>149.5</v>
      </c>
      <c r="E249" s="1">
        <v>154.5</v>
      </c>
      <c r="F249" s="1">
        <v>117.7</v>
      </c>
      <c r="G249" s="1">
        <v>278.6</v>
      </c>
      <c r="H249" s="1">
        <v>257.0</v>
      </c>
      <c r="I249" s="1">
        <v>130.7</v>
      </c>
      <c r="J249" s="1">
        <v>133.5</v>
      </c>
      <c r="K249" s="1">
        <v>191.0</v>
      </c>
      <c r="L249" s="1">
        <v>253.6</v>
      </c>
      <c r="M249" s="1">
        <v>115.5</v>
      </c>
    </row>
    <row r="250" ht="12.75" customHeight="1">
      <c r="A250" s="2">
        <v>44075.0</v>
      </c>
      <c r="B250" s="1">
        <v>221.4</v>
      </c>
      <c r="C250" s="1">
        <v>193.6</v>
      </c>
      <c r="D250" s="1">
        <v>149.3</v>
      </c>
      <c r="E250" s="1">
        <v>155.5</v>
      </c>
      <c r="F250" s="1">
        <v>117.8</v>
      </c>
      <c r="G250" s="1">
        <v>279.4</v>
      </c>
      <c r="H250" s="1">
        <v>257.7</v>
      </c>
      <c r="I250" s="1">
        <v>130.5</v>
      </c>
      <c r="J250" s="1">
        <v>131.5</v>
      </c>
      <c r="K250" s="1">
        <v>177.5</v>
      </c>
      <c r="L250" s="1">
        <v>256.2</v>
      </c>
      <c r="M250" s="1">
        <v>116.0</v>
      </c>
    </row>
    <row r="251" ht="12.75" customHeight="1">
      <c r="A251" s="2">
        <v>44105.0</v>
      </c>
      <c r="B251" s="1">
        <v>222.2</v>
      </c>
      <c r="C251" s="1">
        <v>194.5</v>
      </c>
      <c r="D251" s="1">
        <v>149.3</v>
      </c>
      <c r="E251" s="1">
        <v>160.1</v>
      </c>
      <c r="F251" s="1">
        <v>117.3</v>
      </c>
      <c r="G251" s="1">
        <v>281.6</v>
      </c>
      <c r="H251" s="1">
        <v>256.9</v>
      </c>
      <c r="I251" s="1">
        <v>130.7</v>
      </c>
      <c r="J251" s="1">
        <v>131.3</v>
      </c>
      <c r="K251" s="1">
        <v>187.3</v>
      </c>
      <c r="L251" s="1">
        <v>236.5</v>
      </c>
      <c r="M251" s="1">
        <v>106.5</v>
      </c>
    </row>
    <row r="252" ht="12.75" customHeight="1">
      <c r="A252" s="2">
        <v>44136.0</v>
      </c>
      <c r="B252" s="1">
        <v>224.4</v>
      </c>
      <c r="C252" s="1">
        <v>194.9</v>
      </c>
      <c r="D252" s="1">
        <v>149.2</v>
      </c>
      <c r="E252" s="1">
        <v>163.0</v>
      </c>
      <c r="F252" s="1">
        <v>117.5</v>
      </c>
      <c r="G252" s="1">
        <v>283.8</v>
      </c>
      <c r="H252" s="1">
        <v>257.6</v>
      </c>
      <c r="I252" s="1">
        <v>130.5</v>
      </c>
      <c r="J252" s="1">
        <v>126.2</v>
      </c>
      <c r="K252" s="1">
        <v>201.1</v>
      </c>
      <c r="L252" s="1">
        <v>233.3</v>
      </c>
      <c r="M252" s="1">
        <v>106.0</v>
      </c>
    </row>
    <row r="253" ht="12.75" customHeight="1">
      <c r="A253" s="2">
        <v>44166.0</v>
      </c>
      <c r="B253" s="1">
        <v>232.8</v>
      </c>
      <c r="C253" s="1">
        <v>195.8</v>
      </c>
      <c r="D253" s="1">
        <v>149.9</v>
      </c>
      <c r="E253" s="1">
        <v>167.5</v>
      </c>
      <c r="F253" s="1">
        <v>117.7</v>
      </c>
      <c r="G253" s="1">
        <v>287.9</v>
      </c>
      <c r="H253" s="1">
        <v>258.3</v>
      </c>
      <c r="I253" s="1">
        <v>130.5</v>
      </c>
      <c r="J253" s="1">
        <v>139.2</v>
      </c>
      <c r="K253" s="1">
        <v>224.6</v>
      </c>
      <c r="L253" s="1">
        <v>232.8</v>
      </c>
      <c r="M253" s="1">
        <v>106.2</v>
      </c>
    </row>
    <row r="254" ht="12.75" customHeight="1">
      <c r="A254" s="2">
        <v>44197.0</v>
      </c>
      <c r="B254" s="1">
        <v>241.5</v>
      </c>
      <c r="C254" s="1">
        <v>197.3</v>
      </c>
      <c r="D254" s="1">
        <v>151.3</v>
      </c>
      <c r="E254" s="1">
        <v>169.9</v>
      </c>
      <c r="F254" s="1">
        <v>117.4</v>
      </c>
      <c r="G254" s="1">
        <v>295.9</v>
      </c>
      <c r="H254" s="1">
        <v>262.3</v>
      </c>
      <c r="I254" s="1">
        <v>131.2</v>
      </c>
      <c r="J254" s="1">
        <v>157.5</v>
      </c>
      <c r="K254" s="1">
        <v>232.9</v>
      </c>
      <c r="L254" s="1">
        <v>234.7</v>
      </c>
      <c r="M254" s="1">
        <v>106.0</v>
      </c>
    </row>
    <row r="255" ht="12.75" customHeight="1">
      <c r="A255" s="2">
        <v>44228.0</v>
      </c>
      <c r="B255" s="1">
        <v>246.6</v>
      </c>
      <c r="C255" s="1">
        <v>198.6</v>
      </c>
      <c r="D255" s="1">
        <v>153.4</v>
      </c>
      <c r="E255" s="1">
        <v>168.5</v>
      </c>
      <c r="F255" s="1">
        <v>117.5</v>
      </c>
      <c r="G255" s="1">
        <v>304.1</v>
      </c>
      <c r="H255" s="1">
        <v>263.5</v>
      </c>
      <c r="I255" s="1">
        <v>131.2</v>
      </c>
      <c r="J255" s="1">
        <v>171.8</v>
      </c>
      <c r="K255" s="1">
        <v>264.4</v>
      </c>
      <c r="L255" s="1">
        <v>235.3</v>
      </c>
      <c r="M255" s="1">
        <v>112.3</v>
      </c>
    </row>
    <row r="256" ht="12.75" customHeight="1">
      <c r="A256" s="2">
        <v>44256.0</v>
      </c>
      <c r="B256" s="1">
        <v>260.0</v>
      </c>
      <c r="C256" s="1">
        <v>201.9</v>
      </c>
      <c r="D256" s="1">
        <v>156.1</v>
      </c>
      <c r="E256" s="1">
        <v>175.2</v>
      </c>
      <c r="F256" s="1">
        <v>118.1</v>
      </c>
      <c r="G256" s="1">
        <v>313.1</v>
      </c>
      <c r="H256" s="1">
        <v>264.9</v>
      </c>
      <c r="I256" s="1">
        <v>130.1</v>
      </c>
      <c r="J256" s="1">
        <v>202.4</v>
      </c>
      <c r="K256" s="1">
        <v>304.1</v>
      </c>
      <c r="L256" s="1">
        <v>253.2</v>
      </c>
      <c r="M256" s="1">
        <v>112.6</v>
      </c>
    </row>
    <row r="257" ht="12.75" customHeight="1">
      <c r="A257" s="2">
        <v>44287.0</v>
      </c>
      <c r="B257" s="1">
        <v>273.4</v>
      </c>
      <c r="C257" s="1">
        <v>207.6</v>
      </c>
      <c r="D257" s="1">
        <v>157.6</v>
      </c>
      <c r="E257" s="1">
        <v>188.7</v>
      </c>
      <c r="F257" s="1">
        <v>118.8</v>
      </c>
      <c r="G257" s="1">
        <v>320.5</v>
      </c>
      <c r="H257" s="1">
        <v>265.5</v>
      </c>
      <c r="I257" s="1">
        <v>131.8</v>
      </c>
      <c r="J257" s="1">
        <v>206.4</v>
      </c>
      <c r="K257" s="1">
        <v>282.0</v>
      </c>
      <c r="L257" s="1">
        <v>237.1</v>
      </c>
      <c r="M257" s="1">
        <v>112.7</v>
      </c>
    </row>
    <row r="258" ht="12.75" customHeight="1">
      <c r="A258" s="2">
        <v>44317.0</v>
      </c>
      <c r="B258" s="1">
        <v>283.8</v>
      </c>
      <c r="C258" s="1">
        <v>212.0</v>
      </c>
      <c r="D258" s="1">
        <v>159.0</v>
      </c>
      <c r="E258" s="1">
        <v>175.8</v>
      </c>
      <c r="F258" s="1">
        <v>119.3</v>
      </c>
      <c r="G258" s="1">
        <v>330.3</v>
      </c>
      <c r="H258" s="1">
        <v>267.7</v>
      </c>
      <c r="I258" s="1">
        <v>131.5</v>
      </c>
      <c r="J258" s="1">
        <v>218.5</v>
      </c>
      <c r="K258" s="1">
        <v>318.8</v>
      </c>
      <c r="L258" s="1">
        <v>239.2</v>
      </c>
      <c r="M258" s="1">
        <v>112.7</v>
      </c>
    </row>
    <row r="259" ht="12.75" customHeight="1">
      <c r="A259" s="2">
        <v>44348.0</v>
      </c>
      <c r="B259" s="1">
        <v>294.5</v>
      </c>
      <c r="C259" s="1">
        <v>216.1</v>
      </c>
      <c r="D259" s="1">
        <v>160.9</v>
      </c>
      <c r="E259" s="1">
        <v>178.7</v>
      </c>
      <c r="F259" s="1">
        <v>119.8</v>
      </c>
      <c r="G259" s="1">
        <v>336.1</v>
      </c>
      <c r="H259" s="1">
        <v>269.6</v>
      </c>
      <c r="I259" s="1">
        <v>131.6</v>
      </c>
      <c r="J259" s="1">
        <v>224.1</v>
      </c>
      <c r="K259" s="1">
        <v>317.8</v>
      </c>
      <c r="L259" s="1">
        <v>259.8</v>
      </c>
      <c r="M259" s="1">
        <v>120.5</v>
      </c>
    </row>
    <row r="260" ht="12.75" customHeight="1">
      <c r="A260" s="2">
        <v>44378.0</v>
      </c>
      <c r="B260" s="1">
        <v>305.713</v>
      </c>
      <c r="C260" s="1">
        <v>220.394</v>
      </c>
      <c r="D260" s="1">
        <v>163.334</v>
      </c>
      <c r="E260" s="1">
        <v>187.384</v>
      </c>
      <c r="F260" s="1">
        <v>120.156</v>
      </c>
      <c r="G260" s="1">
        <v>339.321</v>
      </c>
      <c r="H260" s="1">
        <v>271.461</v>
      </c>
      <c r="I260" s="1">
        <v>130.9</v>
      </c>
      <c r="J260" s="1">
        <v>239.382</v>
      </c>
      <c r="K260" s="1">
        <v>326.966</v>
      </c>
      <c r="L260" s="1">
        <v>264.727</v>
      </c>
      <c r="M260" s="1">
        <v>121.159</v>
      </c>
    </row>
    <row r="261" ht="12.75" customHeight="1">
      <c r="A261" s="2">
        <v>44409.0</v>
      </c>
      <c r="B261" s="1">
        <v>312.994</v>
      </c>
      <c r="C261" s="1">
        <v>223.657</v>
      </c>
      <c r="D261" s="1">
        <v>165.203</v>
      </c>
      <c r="E261" s="1">
        <v>192.54</v>
      </c>
      <c r="F261" s="1">
        <v>120.579</v>
      </c>
      <c r="G261" s="1">
        <v>344.907</v>
      </c>
      <c r="H261" s="1">
        <v>274.862</v>
      </c>
      <c r="I261" s="1">
        <v>131.0</v>
      </c>
      <c r="J261" s="1">
        <v>234.195</v>
      </c>
      <c r="K261" s="1">
        <v>322.279</v>
      </c>
      <c r="L261" s="1">
        <v>266.382</v>
      </c>
      <c r="M261" s="1">
        <v>122.235</v>
      </c>
    </row>
    <row r="262" ht="12.75" customHeight="1">
      <c r="A262" s="2">
        <v>44440.0</v>
      </c>
      <c r="B262" s="1">
        <v>318.335</v>
      </c>
      <c r="C262" s="1">
        <v>227.078</v>
      </c>
      <c r="D262" s="1">
        <v>166.97</v>
      </c>
      <c r="E262" s="1">
        <v>190.574</v>
      </c>
      <c r="F262" s="1">
        <v>121.955</v>
      </c>
      <c r="G262" s="1">
        <v>343.866</v>
      </c>
      <c r="H262" s="1">
        <v>276.131</v>
      </c>
      <c r="I262" s="1">
        <v>130.6</v>
      </c>
      <c r="J262" s="1">
        <v>236.262</v>
      </c>
      <c r="K262" s="1">
        <v>334.175</v>
      </c>
      <c r="L262" s="1">
        <v>263.224</v>
      </c>
      <c r="M262" s="1">
        <v>120.135</v>
      </c>
    </row>
    <row r="263" ht="12.75" customHeight="1">
      <c r="A263" s="2">
        <v>44470.0</v>
      </c>
      <c r="B263" s="1">
        <v>324.537</v>
      </c>
      <c r="C263" s="1">
        <v>231.221</v>
      </c>
      <c r="D263" s="1">
        <v>169.707</v>
      </c>
      <c r="E263" s="1">
        <v>182.622</v>
      </c>
      <c r="F263" s="1">
        <v>122.536</v>
      </c>
      <c r="G263" s="1">
        <v>347.377</v>
      </c>
      <c r="H263" s="1">
        <v>277.025</v>
      </c>
      <c r="I263" s="1">
        <v>130.5</v>
      </c>
      <c r="J263" s="1">
        <v>250.577</v>
      </c>
      <c r="K263" s="1">
        <v>374.107</v>
      </c>
      <c r="L263" s="1">
        <v>255.289</v>
      </c>
      <c r="M263" s="1">
        <v>117.873</v>
      </c>
    </row>
    <row r="264" ht="12.75" customHeight="1">
      <c r="A264" s="2">
        <v>44501.0</v>
      </c>
      <c r="B264" s="1">
        <v>332.097</v>
      </c>
      <c r="C264" s="1">
        <v>234.785</v>
      </c>
      <c r="D264" s="1">
        <v>171.265</v>
      </c>
      <c r="E264" s="1">
        <v>176.834</v>
      </c>
      <c r="F264" s="1">
        <v>123.319</v>
      </c>
      <c r="G264" s="1">
        <v>351.574</v>
      </c>
      <c r="H264" s="1">
        <v>278.794</v>
      </c>
      <c r="I264" s="1">
        <v>129.4</v>
      </c>
      <c r="J264" s="1">
        <v>253.043</v>
      </c>
      <c r="K264" s="1">
        <v>366.731</v>
      </c>
      <c r="L264" s="1">
        <v>253.517</v>
      </c>
      <c r="M264" s="1">
        <v>117.556</v>
      </c>
    </row>
    <row r="265" ht="12.75" customHeight="1">
      <c r="A265" s="2">
        <v>44531.0</v>
      </c>
      <c r="B265" s="1">
        <v>331.867</v>
      </c>
      <c r="C265" s="1">
        <v>237.608</v>
      </c>
      <c r="D265" s="1">
        <v>171.726</v>
      </c>
      <c r="E265" s="1">
        <v>174.96</v>
      </c>
      <c r="F265" s="1">
        <v>123.825</v>
      </c>
      <c r="G265" s="1">
        <v>349.906</v>
      </c>
      <c r="H265" s="1">
        <v>280.274</v>
      </c>
      <c r="I265" s="1">
        <v>128.9</v>
      </c>
      <c r="J265" s="1">
        <v>231.624</v>
      </c>
      <c r="K265" s="1">
        <v>346.234</v>
      </c>
      <c r="L265" s="1">
        <v>251.385</v>
      </c>
      <c r="M265" s="1">
        <v>118.331</v>
      </c>
    </row>
    <row r="266" ht="12.75" customHeight="1">
      <c r="A266" s="2">
        <v>44562.0</v>
      </c>
      <c r="B266" s="1">
        <v>334.372</v>
      </c>
      <c r="C266" s="1">
        <v>240.988</v>
      </c>
      <c r="D266" s="1">
        <v>174.218</v>
      </c>
      <c r="E266" s="1">
        <v>173.93</v>
      </c>
      <c r="F266" s="1">
        <v>125.904</v>
      </c>
      <c r="G266" s="1">
        <v>352.687</v>
      </c>
      <c r="H266" s="1">
        <v>289.101</v>
      </c>
      <c r="I266" s="1">
        <v>128.7</v>
      </c>
      <c r="J266" s="1">
        <v>245.638</v>
      </c>
      <c r="K266" s="1">
        <v>365.449</v>
      </c>
      <c r="L266" s="1">
        <v>263.262</v>
      </c>
      <c r="M266" s="1">
        <v>122.635</v>
      </c>
    </row>
    <row r="267" ht="12.75" customHeight="1">
      <c r="A267" s="2">
        <v>44593.0</v>
      </c>
      <c r="B267" s="1">
        <v>330.014</v>
      </c>
      <c r="C267" s="1">
        <v>243.284</v>
      </c>
      <c r="D267" s="1">
        <v>175.541</v>
      </c>
      <c r="E267" s="1">
        <v>177.516</v>
      </c>
      <c r="F267" s="1">
        <v>126.76</v>
      </c>
      <c r="G267" s="1">
        <v>356.838</v>
      </c>
      <c r="H267" s="1">
        <v>292.171</v>
      </c>
      <c r="I267" s="1">
        <v>128.5</v>
      </c>
      <c r="J267" s="1">
        <v>275.038</v>
      </c>
      <c r="K267" s="1">
        <v>415.354</v>
      </c>
      <c r="L267" s="1">
        <v>269.233</v>
      </c>
      <c r="M267" s="1">
        <v>129.096</v>
      </c>
    </row>
    <row r="268" ht="12.75" customHeight="1">
      <c r="A268" s="2">
        <v>44621.0</v>
      </c>
      <c r="B268" s="1">
        <v>336.023</v>
      </c>
      <c r="C268" s="1">
        <v>245.51</v>
      </c>
      <c r="D268" s="1">
        <v>177.402</v>
      </c>
      <c r="E268" s="1">
        <v>176.339</v>
      </c>
      <c r="F268" s="1">
        <v>127.511</v>
      </c>
      <c r="G268" s="1">
        <v>363.555</v>
      </c>
      <c r="H268" s="1">
        <v>293.491</v>
      </c>
      <c r="I268" s="1">
        <v>128.2</v>
      </c>
      <c r="J268" s="1">
        <v>325.601</v>
      </c>
      <c r="K268" s="1">
        <v>503.052</v>
      </c>
      <c r="L268" s="1">
        <v>264.93</v>
      </c>
      <c r="M268" s="1">
        <v>130.569</v>
      </c>
    </row>
    <row r="269" ht="12.75" customHeight="1">
      <c r="A269" s="2">
        <v>44652.0</v>
      </c>
      <c r="B269" s="1">
        <v>341.67</v>
      </c>
      <c r="C269" s="1">
        <v>249.087</v>
      </c>
      <c r="D269" s="1">
        <v>181.008</v>
      </c>
      <c r="E269" s="1">
        <v>175.989</v>
      </c>
      <c r="F269" s="1">
        <v>127.926</v>
      </c>
      <c r="G269" s="1">
        <v>370.287</v>
      </c>
      <c r="H269" s="1">
        <v>296.19</v>
      </c>
      <c r="I269" s="1">
        <v>131.8</v>
      </c>
      <c r="J269" s="1">
        <v>320.296</v>
      </c>
      <c r="K269" s="1">
        <v>528.256</v>
      </c>
      <c r="L269" s="1">
        <v>262.97</v>
      </c>
      <c r="M269" s="1">
        <v>130.395</v>
      </c>
    </row>
    <row r="270" ht="12.75" customHeight="1">
      <c r="A270" s="2">
        <v>44682.0</v>
      </c>
      <c r="B270" s="1">
        <v>345.243</v>
      </c>
      <c r="C270" s="1">
        <v>251.902</v>
      </c>
      <c r="D270" s="1">
        <v>182.848</v>
      </c>
      <c r="E270" s="1">
        <v>172.459</v>
      </c>
      <c r="F270" s="1">
        <v>128.709</v>
      </c>
      <c r="G270" s="1">
        <v>377.409</v>
      </c>
      <c r="H270" s="1">
        <v>299.25</v>
      </c>
      <c r="I270" s="1">
        <v>131.2</v>
      </c>
      <c r="J270" s="1">
        <v>364.129</v>
      </c>
      <c r="K270" s="1">
        <v>587.939</v>
      </c>
      <c r="L270" s="1">
        <v>267.786</v>
      </c>
      <c r="M270" s="1">
        <v>130.607</v>
      </c>
    </row>
    <row r="271" ht="12.75" customHeight="1">
      <c r="A271" s="2">
        <v>44713.0</v>
      </c>
      <c r="B271" s="1">
        <v>339.968</v>
      </c>
      <c r="C271" s="1">
        <v>255.359</v>
      </c>
      <c r="D271" s="1">
        <v>184.409</v>
      </c>
      <c r="E271" s="1">
        <v>172.516</v>
      </c>
      <c r="F271" s="1">
        <v>129.789</v>
      </c>
      <c r="G271" s="1">
        <v>380.361</v>
      </c>
      <c r="H271" s="1">
        <v>303.156</v>
      </c>
      <c r="I271" s="1">
        <v>131.2</v>
      </c>
      <c r="J271" s="1">
        <v>414.562</v>
      </c>
      <c r="K271" s="1">
        <v>665.72</v>
      </c>
      <c r="L271" s="1">
        <v>284.453</v>
      </c>
      <c r="M271" s="1">
        <v>123.161</v>
      </c>
    </row>
    <row r="272" ht="12.75" customHeight="1">
      <c r="A272" s="2">
        <v>44743.0</v>
      </c>
      <c r="B272" s="1">
        <v>328.864</v>
      </c>
      <c r="C272" s="1">
        <v>257.969</v>
      </c>
      <c r="D272" s="1">
        <v>185.841</v>
      </c>
      <c r="E272" s="1">
        <v>175.977</v>
      </c>
      <c r="F272" s="1">
        <v>130.485</v>
      </c>
      <c r="G272" s="1">
        <v>379.072</v>
      </c>
      <c r="H272" s="1">
        <v>308.412</v>
      </c>
      <c r="I272" s="1">
        <v>131.4</v>
      </c>
      <c r="J272" s="1">
        <v>350.652</v>
      </c>
      <c r="K272" s="1">
        <v>568.603</v>
      </c>
      <c r="L272" s="1">
        <v>297.134</v>
      </c>
      <c r="M272" s="1">
        <v>125.366</v>
      </c>
    </row>
    <row r="273" ht="12.75" customHeight="1">
      <c r="A273" s="2">
        <v>44774.0</v>
      </c>
      <c r="B273" s="1">
        <v>324.291</v>
      </c>
      <c r="C273" s="1">
        <v>260.011</v>
      </c>
      <c r="D273" s="1">
        <v>187.665</v>
      </c>
      <c r="E273" s="1">
        <v>175.836</v>
      </c>
      <c r="F273" s="1">
        <v>130.969</v>
      </c>
      <c r="G273" s="1">
        <v>371.489</v>
      </c>
      <c r="H273" s="1">
        <v>311.432</v>
      </c>
      <c r="I273" s="1">
        <v>131.3</v>
      </c>
      <c r="J273" s="1">
        <v>295.59</v>
      </c>
      <c r="K273" s="1">
        <v>497.425</v>
      </c>
      <c r="L273" s="1">
        <v>300.917</v>
      </c>
      <c r="M273" s="1">
        <v>125.266</v>
      </c>
    </row>
    <row r="274" ht="12.75" customHeight="1">
      <c r="A274" s="2">
        <v>44805.0</v>
      </c>
      <c r="B274" s="1">
        <v>316.229</v>
      </c>
      <c r="C274" s="1">
        <v>259.616</v>
      </c>
      <c r="D274" s="1">
        <v>187.633</v>
      </c>
      <c r="E274" s="1">
        <v>178.109</v>
      </c>
      <c r="F274" s="1">
        <v>131.312</v>
      </c>
      <c r="G274" s="1">
        <v>367.32</v>
      </c>
      <c r="H274" s="1">
        <v>313.131</v>
      </c>
      <c r="I274" s="1">
        <v>131.0</v>
      </c>
      <c r="J274" s="1">
        <v>281.174</v>
      </c>
      <c r="K274" s="1">
        <v>548.658</v>
      </c>
      <c r="L274" s="1">
        <v>304.327</v>
      </c>
      <c r="M274" s="1">
        <v>126.175</v>
      </c>
    </row>
    <row r="275" ht="12.75" customHeight="1">
      <c r="A275" s="2">
        <v>44835.0</v>
      </c>
      <c r="B275" s="1">
        <v>308.808</v>
      </c>
      <c r="C275" s="1">
        <v>258.165</v>
      </c>
      <c r="D275" s="1">
        <v>187.156</v>
      </c>
      <c r="E275" s="1">
        <v>179.67</v>
      </c>
      <c r="F275" s="1">
        <v>131.658</v>
      </c>
      <c r="G275" s="1">
        <v>364.005</v>
      </c>
      <c r="H275" s="1">
        <v>313.899</v>
      </c>
      <c r="I275" s="1">
        <v>130.6</v>
      </c>
      <c r="J275" s="1">
        <v>293.825</v>
      </c>
      <c r="K275" s="1">
        <v>605.641</v>
      </c>
      <c r="L275" s="1">
        <v>285.166</v>
      </c>
      <c r="M275" s="1">
        <v>119.631</v>
      </c>
    </row>
    <row r="276" ht="12.75" customHeight="1">
      <c r="A276" s="2">
        <v>44866.0</v>
      </c>
      <c r="B276" s="1">
        <v>308.255</v>
      </c>
      <c r="C276" s="1">
        <v>257.506</v>
      </c>
      <c r="D276" s="1">
        <v>187.039</v>
      </c>
      <c r="E276" s="1">
        <v>176.665</v>
      </c>
      <c r="F276" s="1">
        <v>132.147</v>
      </c>
      <c r="G276" s="1">
        <v>361.03</v>
      </c>
      <c r="H276" s="1">
        <v>315.194</v>
      </c>
      <c r="I276" s="1">
        <v>130.6</v>
      </c>
      <c r="J276" s="1">
        <v>268.692</v>
      </c>
      <c r="K276" s="1">
        <v>585.306</v>
      </c>
      <c r="L276" s="1">
        <v>273.936</v>
      </c>
      <c r="M276" s="1">
        <v>119.011</v>
      </c>
    </row>
    <row r="277" ht="12.75" customHeight="1">
      <c r="A277" s="2">
        <v>44896.0</v>
      </c>
      <c r="B277" s="1">
        <v>307.063</v>
      </c>
      <c r="C277" s="1">
        <v>256.927</v>
      </c>
      <c r="D277" s="1">
        <v>185.709</v>
      </c>
      <c r="E277" s="1">
        <v>176.307</v>
      </c>
      <c r="F277" s="1">
        <v>132.565</v>
      </c>
      <c r="G277" s="1">
        <v>357.404</v>
      </c>
      <c r="H277" s="1">
        <v>315.927</v>
      </c>
      <c r="I277" s="1">
        <v>130.5</v>
      </c>
      <c r="J277" s="1">
        <v>219.131</v>
      </c>
      <c r="K277" s="1">
        <v>419.191</v>
      </c>
      <c r="L277" s="1">
        <v>280.086</v>
      </c>
      <c r="M277" s="1">
        <v>119.386</v>
      </c>
    </row>
    <row r="278" ht="12.75" customHeight="1">
      <c r="A278" s="2">
        <v>44927.0</v>
      </c>
      <c r="B278" s="1">
        <v>309.964</v>
      </c>
      <c r="C278" s="1">
        <v>256.263</v>
      </c>
      <c r="D278" s="1">
        <v>185.667</v>
      </c>
      <c r="E278" s="1">
        <v>177.489</v>
      </c>
      <c r="F278" s="1">
        <v>133.728</v>
      </c>
      <c r="G278" s="1">
        <v>359.631</v>
      </c>
      <c r="H278" s="1">
        <v>323.542</v>
      </c>
      <c r="I278" s="1">
        <v>130.0</v>
      </c>
      <c r="J278" s="1">
        <v>245.497</v>
      </c>
      <c r="K278" s="1">
        <v>449.169</v>
      </c>
      <c r="L278" s="1">
        <v>304.966</v>
      </c>
      <c r="M278" s="1">
        <v>126.192</v>
      </c>
    </row>
    <row r="279" ht="12.75" customHeight="1">
      <c r="A279" s="2">
        <v>44958.0</v>
      </c>
      <c r="B279" s="1">
        <v>311.822</v>
      </c>
      <c r="C279" s="1">
        <v>255.512</v>
      </c>
      <c r="D279" s="1">
        <v>185.049</v>
      </c>
      <c r="E279" s="1">
        <v>177.599</v>
      </c>
      <c r="F279" s="1">
        <v>133.778</v>
      </c>
      <c r="G279" s="1">
        <v>361.01</v>
      </c>
      <c r="H279" s="1">
        <v>326.576</v>
      </c>
      <c r="I279" s="1">
        <v>129.7</v>
      </c>
      <c r="J279" s="1">
        <v>258.37</v>
      </c>
      <c r="K279" s="1">
        <v>435.578</v>
      </c>
      <c r="L279" s="1">
        <v>296.017</v>
      </c>
      <c r="M279" s="1">
        <v>126.247</v>
      </c>
    </row>
    <row r="280" ht="12.75" customHeight="1">
      <c r="A280" s="2">
        <v>44986.0</v>
      </c>
      <c r="B280" s="1">
        <v>314.568</v>
      </c>
      <c r="C280" s="1">
        <v>254.882</v>
      </c>
      <c r="D280" s="1">
        <v>184.918</v>
      </c>
      <c r="E280" s="1">
        <v>177.891</v>
      </c>
      <c r="F280" s="1">
        <v>133.933</v>
      </c>
      <c r="G280" s="1">
        <v>358.314</v>
      </c>
      <c r="H280" s="1">
        <v>327.6</v>
      </c>
      <c r="I280" s="1">
        <v>129.0</v>
      </c>
      <c r="J280" s="1">
        <v>260.843</v>
      </c>
      <c r="K280" s="1">
        <v>406.306</v>
      </c>
      <c r="L280" s="1">
        <v>290.643</v>
      </c>
      <c r="M280" s="1">
        <v>126.166</v>
      </c>
    </row>
    <row r="281" ht="12.75" customHeight="1">
      <c r="A281" s="2">
        <v>45017.0</v>
      </c>
      <c r="B281" s="1">
        <v>316.947</v>
      </c>
      <c r="C281" s="1">
        <v>255.239</v>
      </c>
      <c r="D281" s="1">
        <v>184.512</v>
      </c>
      <c r="E281" s="1">
        <v>178.066</v>
      </c>
      <c r="F281" s="1">
        <v>134.06</v>
      </c>
      <c r="G281" s="1">
        <v>358.664</v>
      </c>
      <c r="H281" s="1">
        <v>327.041</v>
      </c>
      <c r="I281" s="1">
        <v>133.2</v>
      </c>
      <c r="J281" s="1">
        <v>280.259</v>
      </c>
      <c r="K281" s="1">
        <v>387.167</v>
      </c>
      <c r="L281" s="1">
        <v>282.063</v>
      </c>
      <c r="M281" s="1">
        <v>126.038</v>
      </c>
    </row>
    <row r="282" ht="12.75" customHeight="1">
      <c r="A282" s="2">
        <v>45047.0</v>
      </c>
      <c r="B282" s="1">
        <v>318.434</v>
      </c>
      <c r="C282" s="1">
        <v>254.625</v>
      </c>
      <c r="D282" s="1">
        <v>183.81</v>
      </c>
      <c r="E282" s="1">
        <v>178.261</v>
      </c>
      <c r="F282" s="1">
        <v>133.386</v>
      </c>
      <c r="G282" s="1">
        <v>355.586</v>
      </c>
      <c r="H282" s="1">
        <v>327.903</v>
      </c>
      <c r="I282" s="1">
        <v>132.7</v>
      </c>
      <c r="J282" s="1">
        <v>259.907</v>
      </c>
      <c r="K282" s="1">
        <v>363.26</v>
      </c>
      <c r="L282" s="1">
        <v>289.781</v>
      </c>
      <c r="M282" s="1">
        <v>126.043</v>
      </c>
    </row>
    <row r="283" ht="12.75" customHeight="1">
      <c r="A283" s="2">
        <v>45078.0</v>
      </c>
      <c r="B283" s="1">
        <v>315.603</v>
      </c>
      <c r="C283" s="1">
        <v>253.05</v>
      </c>
      <c r="D283" s="1">
        <v>183.632</v>
      </c>
      <c r="E283" s="1">
        <v>177.041</v>
      </c>
      <c r="F283" s="1">
        <v>133.752</v>
      </c>
      <c r="G283" s="1">
        <v>351.941</v>
      </c>
      <c r="H283" s="1">
        <v>328.592</v>
      </c>
      <c r="I283" s="1">
        <v>131.5</v>
      </c>
      <c r="J283" s="1">
        <v>262.902</v>
      </c>
      <c r="K283" s="1">
        <v>342.988</v>
      </c>
      <c r="L283" s="1">
        <v>312.1</v>
      </c>
      <c r="M283" s="1">
        <v>136.383</v>
      </c>
    </row>
    <row r="284" ht="12.75" customHeight="1">
      <c r="A284" s="2">
        <v>45108.0</v>
      </c>
      <c r="B284" s="1">
        <v>310.956</v>
      </c>
      <c r="C284" s="1">
        <v>251.735</v>
      </c>
      <c r="D284" s="1">
        <v>183.966</v>
      </c>
      <c r="E284" s="1">
        <v>178.592</v>
      </c>
      <c r="F284" s="1">
        <v>134.094</v>
      </c>
      <c r="G284" s="1">
        <v>347.282</v>
      </c>
      <c r="H284" s="1">
        <v>328.964</v>
      </c>
      <c r="I284" s="1">
        <v>132.4</v>
      </c>
      <c r="J284" s="1">
        <v>267.934</v>
      </c>
      <c r="K284" s="1">
        <v>322.199</v>
      </c>
      <c r="L284" s="1">
        <v>315.619</v>
      </c>
      <c r="M284" s="1">
        <v>133.224</v>
      </c>
    </row>
    <row r="285" ht="12.75" customHeight="1">
      <c r="A285" s="2">
        <v>45139.0</v>
      </c>
      <c r="B285" s="1">
        <v>309.086</v>
      </c>
      <c r="C285" s="1">
        <v>251.346</v>
      </c>
      <c r="D285" s="1">
        <v>182.835</v>
      </c>
      <c r="E285" s="1">
        <v>179.575</v>
      </c>
      <c r="F285" s="1">
        <v>134.357</v>
      </c>
      <c r="G285" s="1">
        <v>346.102</v>
      </c>
      <c r="H285" s="1">
        <v>329.947</v>
      </c>
      <c r="I285" s="1">
        <v>133.0</v>
      </c>
      <c r="J285" s="1">
        <v>297.395</v>
      </c>
      <c r="K285" s="1">
        <v>428.045</v>
      </c>
      <c r="L285" s="1">
        <v>317.41</v>
      </c>
      <c r="M285" s="1">
        <v>133.231</v>
      </c>
    </row>
    <row r="286" ht="12.75" customHeight="1">
      <c r="A286" s="2">
        <v>45170.0</v>
      </c>
      <c r="B286" s="1">
        <v>306.748</v>
      </c>
      <c r="C286" s="1">
        <v>250.876</v>
      </c>
      <c r="D286" s="1">
        <v>184.551</v>
      </c>
      <c r="E286" s="1">
        <v>179.832</v>
      </c>
      <c r="F286" s="1">
        <v>134.518</v>
      </c>
      <c r="G286" s="1">
        <v>346.325</v>
      </c>
      <c r="H286" s="1">
        <v>330.954</v>
      </c>
      <c r="I286" s="1">
        <v>133.4</v>
      </c>
      <c r="J286" s="1">
        <v>296.655</v>
      </c>
      <c r="K286" s="1">
        <v>446.947</v>
      </c>
      <c r="L286" s="1">
        <v>318.298</v>
      </c>
      <c r="M286" s="1">
        <v>134.823</v>
      </c>
    </row>
    <row r="287" ht="12.75" customHeight="1">
      <c r="A287" s="2">
        <v>45200.0</v>
      </c>
      <c r="B287" s="1">
        <v>304.403</v>
      </c>
      <c r="C287" s="1">
        <v>250.946</v>
      </c>
      <c r="D287" s="1">
        <v>185.231</v>
      </c>
      <c r="E287" s="1">
        <v>177.695</v>
      </c>
      <c r="F287" s="1">
        <v>134.645</v>
      </c>
      <c r="G287" s="1">
        <v>348.406</v>
      </c>
      <c r="H287" s="1">
        <v>331.385</v>
      </c>
      <c r="I287" s="1">
        <v>132.4</v>
      </c>
      <c r="J287" s="1">
        <v>253.441</v>
      </c>
      <c r="K287" s="1">
        <v>407.772</v>
      </c>
      <c r="L287" s="1">
        <v>299.423</v>
      </c>
      <c r="M287" s="1">
        <v>129.752</v>
      </c>
    </row>
    <row r="288" ht="12.75" customHeight="1">
      <c r="A288" s="2">
        <v>45231.0</v>
      </c>
      <c r="B288" s="1">
        <v>304.046</v>
      </c>
      <c r="C288" s="1">
        <v>251.296</v>
      </c>
      <c r="D288" s="1">
        <v>184.783</v>
      </c>
      <c r="E288" s="1">
        <v>178.272</v>
      </c>
      <c r="F288" s="1">
        <v>134.879</v>
      </c>
      <c r="G288" s="1">
        <v>345.289</v>
      </c>
      <c r="H288" s="1">
        <v>331.967</v>
      </c>
      <c r="I288" s="1">
        <v>132.3</v>
      </c>
      <c r="J288" s="1">
        <v>228.402</v>
      </c>
      <c r="K288" s="1">
        <v>393.711</v>
      </c>
      <c r="L288" s="1">
        <v>294.67</v>
      </c>
      <c r="M288" s="1">
        <v>129.038</v>
      </c>
    </row>
    <row r="289" ht="12.75" customHeight="1">
      <c r="A289" s="2">
        <v>45261.0</v>
      </c>
      <c r="B289" s="1">
        <v>308.284</v>
      </c>
      <c r="C289" s="1">
        <v>250.891</v>
      </c>
      <c r="D289" s="1">
        <v>184.592</v>
      </c>
      <c r="E289" s="1">
        <v>178.054</v>
      </c>
      <c r="F289" s="1">
        <v>134.879</v>
      </c>
      <c r="G289" s="1">
        <v>343.306</v>
      </c>
      <c r="H289" s="1">
        <v>331.537</v>
      </c>
      <c r="I289" s="1">
        <v>131.9</v>
      </c>
      <c r="J289" s="1">
        <v>208.189</v>
      </c>
      <c r="K289" s="1">
        <v>342.052</v>
      </c>
      <c r="L289" s="1">
        <v>295.404</v>
      </c>
      <c r="M289" s="1">
        <v>129.219</v>
      </c>
    </row>
    <row r="290" ht="12.75" customHeight="1">
      <c r="A290" s="2">
        <v>45292.0</v>
      </c>
      <c r="B290" s="1">
        <v>312.26</v>
      </c>
      <c r="C290" s="1">
        <v>251.203</v>
      </c>
      <c r="D290" s="1">
        <v>184.724</v>
      </c>
      <c r="E290" s="1">
        <v>179.292</v>
      </c>
      <c r="F290" s="1">
        <v>136.386</v>
      </c>
      <c r="G290" s="1">
        <v>341.754</v>
      </c>
      <c r="H290" s="1">
        <v>339.35</v>
      </c>
      <c r="I290" s="1">
        <v>132.4</v>
      </c>
      <c r="J290" s="1">
        <v>215.204</v>
      </c>
      <c r="K290" s="1">
        <v>327.029</v>
      </c>
      <c r="L290" s="1">
        <v>297.248</v>
      </c>
      <c r="M290" s="1">
        <v>127.922</v>
      </c>
    </row>
    <row r="291" ht="12.75" customHeight="1">
      <c r="A291" s="2">
        <v>45323.0</v>
      </c>
      <c r="B291" s="1">
        <v>314.377</v>
      </c>
      <c r="C291" s="1">
        <v>251.205</v>
      </c>
      <c r="D291" s="1">
        <v>184.391</v>
      </c>
      <c r="E291" s="1">
        <v>177.745</v>
      </c>
      <c r="F291" s="1">
        <v>136.762</v>
      </c>
      <c r="G291" s="1">
        <v>344.071</v>
      </c>
      <c r="H291" s="1">
        <v>341.304</v>
      </c>
      <c r="I291" s="1">
        <v>131.9</v>
      </c>
      <c r="J291" s="1">
        <v>240.706</v>
      </c>
      <c r="K291" s="1">
        <v>383.57</v>
      </c>
      <c r="L291" s="1">
        <v>305.893</v>
      </c>
      <c r="M291" s="1">
        <v>127.835</v>
      </c>
    </row>
    <row r="292" ht="12.75" customHeight="1">
      <c r="A292" s="2">
        <v>45352.0</v>
      </c>
      <c r="B292" s="1">
        <v>307.579</v>
      </c>
      <c r="C292" s="1">
        <v>252.085</v>
      </c>
      <c r="D292" s="1">
        <v>186.053</v>
      </c>
      <c r="E292" s="1">
        <v>177.73</v>
      </c>
      <c r="F292" s="1">
        <v>137.011</v>
      </c>
      <c r="G292" s="1">
        <v>344.88</v>
      </c>
      <c r="H292" s="1">
        <v>342.967</v>
      </c>
      <c r="I292" s="1">
        <v>131.8</v>
      </c>
      <c r="J292" s="1">
        <v>257.311</v>
      </c>
      <c r="K292" s="1">
        <v>384.276</v>
      </c>
      <c r="L292" s="1">
        <v>300.25</v>
      </c>
      <c r="M292" s="1">
        <v>129.157</v>
      </c>
    </row>
    <row r="293" ht="12.75" customHeight="1">
      <c r="A293" s="2">
        <v>45383.0</v>
      </c>
      <c r="B293" s="1">
        <v>307.893</v>
      </c>
      <c r="C293" s="1">
        <v>253.735</v>
      </c>
      <c r="D293" s="1">
        <v>186.015</v>
      </c>
      <c r="E293" s="1">
        <v>177.819</v>
      </c>
      <c r="F293" s="1">
        <v>137.132</v>
      </c>
      <c r="G293" s="1">
        <v>347.77</v>
      </c>
      <c r="H293" s="1">
        <v>340.499</v>
      </c>
      <c r="I293" s="1">
        <v>135.1</v>
      </c>
      <c r="J293" s="1">
        <v>272.528</v>
      </c>
      <c r="K293" s="1">
        <v>395.872</v>
      </c>
      <c r="L293" s="1">
        <v>297.514</v>
      </c>
      <c r="M293" s="1">
        <v>129.946</v>
      </c>
    </row>
    <row r="294" ht="12.75" customHeight="1">
      <c r="A294" s="2">
        <v>45413.0</v>
      </c>
      <c r="B294" s="1">
        <v>311.85</v>
      </c>
      <c r="C294" s="1">
        <v>253.286</v>
      </c>
      <c r="D294" s="1">
        <v>186.989</v>
      </c>
      <c r="E294" s="1">
        <v>177.943</v>
      </c>
      <c r="F294" s="1">
        <v>137.305</v>
      </c>
      <c r="G294" s="1">
        <v>346.888</v>
      </c>
      <c r="H294" s="1">
        <v>341.552</v>
      </c>
      <c r="I294" s="1">
        <v>135.2</v>
      </c>
      <c r="J294" s="1">
        <v>260.473</v>
      </c>
      <c r="K294" s="1">
        <v>319.052</v>
      </c>
      <c r="L294" s="1">
        <v>293.251</v>
      </c>
      <c r="M294" s="1">
        <v>126.64</v>
      </c>
    </row>
    <row r="295" ht="12.75" customHeight="1">
      <c r="A295" s="2">
        <v>45444.0</v>
      </c>
      <c r="B295" s="1">
        <v>310.675</v>
      </c>
      <c r="C295" s="1">
        <v>253.398</v>
      </c>
      <c r="D295" s="1">
        <v>186.469</v>
      </c>
      <c r="E295" s="1">
        <v>177.143</v>
      </c>
      <c r="F295" s="1">
        <v>137.54</v>
      </c>
      <c r="G295" s="1">
        <v>347.077</v>
      </c>
      <c r="H295" s="1">
        <v>341.306</v>
      </c>
      <c r="I295" s="1">
        <v>135.3</v>
      </c>
      <c r="J295" s="1">
        <v>244.094</v>
      </c>
      <c r="K295" s="1">
        <v>306.904</v>
      </c>
      <c r="L295" s="1">
        <v>317.819</v>
      </c>
      <c r="M295" s="1">
        <v>135.65</v>
      </c>
    </row>
    <row r="296" ht="12.75" customHeight="1">
      <c r="A296" s="2">
        <v>45474.0</v>
      </c>
      <c r="B296" s="1">
        <v>308.627</v>
      </c>
      <c r="C296" s="1">
        <v>253.505</v>
      </c>
      <c r="D296" s="1">
        <v>185.681</v>
      </c>
      <c r="E296" s="1">
        <v>176.62</v>
      </c>
      <c r="F296" s="1">
        <v>137.336</v>
      </c>
      <c r="G296" s="1">
        <v>350.36</v>
      </c>
      <c r="H296" s="1">
        <v>342.785</v>
      </c>
      <c r="I296" s="1">
        <v>133.9</v>
      </c>
      <c r="J296" s="1">
        <v>255.289</v>
      </c>
      <c r="K296" s="1">
        <v>342.037</v>
      </c>
      <c r="L296" s="1">
        <v>320.093</v>
      </c>
      <c r="M296" s="1">
        <v>134.057</v>
      </c>
    </row>
    <row r="297" ht="12.75" customHeight="1">
      <c r="A297" s="2">
        <v>45505.0</v>
      </c>
      <c r="B297" s="1">
        <v>305.304</v>
      </c>
      <c r="C297" s="1">
        <v>254.25</v>
      </c>
      <c r="D297" s="1">
        <v>185.683</v>
      </c>
      <c r="E297" s="1">
        <v>175.903</v>
      </c>
      <c r="F297" s="1">
        <v>137.247</v>
      </c>
      <c r="G297" s="1">
        <v>350.227</v>
      </c>
      <c r="H297" s="1">
        <v>343.4</v>
      </c>
      <c r="I297" s="1">
        <v>133.0</v>
      </c>
      <c r="J297" s="1">
        <v>247.652</v>
      </c>
      <c r="K297" s="1">
        <v>334.785</v>
      </c>
      <c r="L297" s="1">
        <v>320.338</v>
      </c>
      <c r="M297" s="1">
        <v>132.4</v>
      </c>
    </row>
    <row r="298" ht="12.75" customHeight="1">
      <c r="A298" s="2">
        <v>45536.0</v>
      </c>
      <c r="B298" s="1">
        <v>304.903</v>
      </c>
      <c r="C298" s="1">
        <v>254.084</v>
      </c>
      <c r="D298" s="1">
        <v>185.046</v>
      </c>
      <c r="E298" s="1">
        <v>175.556</v>
      </c>
      <c r="F298" s="1">
        <v>137.508</v>
      </c>
      <c r="G298" s="1">
        <v>348.271</v>
      </c>
      <c r="H298" s="1">
        <v>343.397</v>
      </c>
      <c r="I298" s="1">
        <v>133.2</v>
      </c>
      <c r="J298" s="1">
        <v>220.487</v>
      </c>
      <c r="K298" s="1">
        <v>288.724</v>
      </c>
      <c r="L298" s="1">
        <v>320.055</v>
      </c>
      <c r="M298" s="1">
        <v>134.144</v>
      </c>
    </row>
    <row r="299" ht="12.75" customHeight="1">
      <c r="A299" s="2">
        <v>45566.0</v>
      </c>
      <c r="B299" s="1">
        <v>307.803</v>
      </c>
      <c r="C299" s="1">
        <v>254.527</v>
      </c>
      <c r="D299" s="1">
        <v>186.002</v>
      </c>
      <c r="E299" s="1">
        <v>176.281</v>
      </c>
      <c r="F299" s="1">
        <v>137.9</v>
      </c>
      <c r="G299" s="1">
        <v>350.671</v>
      </c>
      <c r="H299" s="1">
        <v>344.401</v>
      </c>
      <c r="I299" s="1">
        <v>132.8</v>
      </c>
      <c r="J299" s="1">
        <v>219.774</v>
      </c>
      <c r="K299" s="1">
        <v>321.05</v>
      </c>
      <c r="L299" s="1">
        <v>304.792</v>
      </c>
      <c r="M299" s="1">
        <v>127.14</v>
      </c>
    </row>
    <row r="300" ht="12.75" customHeight="1">
      <c r="I300" s="1">
        <v>133.7</v>
      </c>
    </row>
    <row r="301" ht="12.75" customHeight="1">
      <c r="I301" s="1">
        <v>133.1</v>
      </c>
    </row>
    <row r="302" ht="12.75" customHeight="1">
      <c r="I302" s="1">
        <v>132.1</v>
      </c>
    </row>
    <row r="303" ht="12.75" customHeight="1">
      <c r="I303" s="1">
        <v>131.3</v>
      </c>
    </row>
    <row r="304" ht="12.75" customHeight="1">
      <c r="I304" s="1">
        <v>131.6</v>
      </c>
    </row>
    <row r="305" ht="12.75" customHeight="1">
      <c r="I305" s="1">
        <v>134.5</v>
      </c>
    </row>
    <row r="306" ht="12.75" customHeight="1">
      <c r="I306" s="1">
        <v>134.2</v>
      </c>
    </row>
    <row r="307" ht="12.75" customHeight="1">
      <c r="I307" s="1">
        <v>135.3</v>
      </c>
    </row>
    <row r="308" ht="12.75" customHeight="1">
      <c r="I308" s="1">
        <v>135.4</v>
      </c>
    </row>
    <row r="309" ht="12.75" customHeight="1">
      <c r="I309" s="1">
        <v>135.2</v>
      </c>
    </row>
    <row r="310" ht="12.75" customHeight="1">
      <c r="I310" s="1">
        <v>135.4</v>
      </c>
    </row>
    <row r="311" ht="12.75" customHeight="1">
      <c r="I311" s="1">
        <v>135.6</v>
      </c>
    </row>
    <row r="312" ht="12.75" customHeight="1">
      <c r="I312" s="1">
        <v>133.6</v>
      </c>
    </row>
    <row r="313" ht="12.75" customHeight="1">
      <c r="I313" s="1">
        <v>133.5</v>
      </c>
    </row>
    <row r="314" ht="12.75" customHeight="1">
      <c r="I314" s="1">
        <v>131.7</v>
      </c>
    </row>
    <row r="315" ht="12.75" customHeight="1">
      <c r="I315" s="1">
        <v>130.8</v>
      </c>
    </row>
    <row r="316" ht="12.75" customHeight="1">
      <c r="I316" s="1">
        <v>130.8</v>
      </c>
    </row>
    <row r="317" ht="12.75" customHeight="1">
      <c r="I317" s="1">
        <v>134.2</v>
      </c>
    </row>
    <row r="318" ht="12.75" customHeight="1">
      <c r="I318" s="1">
        <v>134.7</v>
      </c>
    </row>
    <row r="319" ht="12.75" customHeight="1">
      <c r="I319" s="1">
        <v>134.7</v>
      </c>
    </row>
    <row r="320" ht="12.75" customHeight="1">
      <c r="I320" s="1">
        <v>133.8</v>
      </c>
    </row>
    <row r="321" ht="12.75" customHeight="1">
      <c r="I321" s="1">
        <v>133.4</v>
      </c>
    </row>
    <row r="322" ht="12.75" customHeight="1">
      <c r="I322" s="1">
        <v>133.5</v>
      </c>
    </row>
    <row r="323" ht="12.75" customHeight="1">
      <c r="I323" s="1">
        <v>133.3</v>
      </c>
    </row>
    <row r="324" ht="12.75" customHeight="1">
      <c r="I324" s="1">
        <v>133.3</v>
      </c>
    </row>
    <row r="325" ht="12.75" customHeight="1">
      <c r="I325" s="1">
        <v>133.5</v>
      </c>
    </row>
    <row r="326" ht="12.75" customHeight="1">
      <c r="I326" s="1">
        <v>133.5</v>
      </c>
    </row>
    <row r="327" ht="12.75" customHeight="1">
      <c r="I327" s="1">
        <v>133.5</v>
      </c>
    </row>
    <row r="328" ht="12.75" customHeight="1">
      <c r="I328" s="1">
        <v>133.3</v>
      </c>
    </row>
    <row r="329" ht="12.75" customHeight="1">
      <c r="I329" s="1">
        <v>134.9</v>
      </c>
    </row>
    <row r="330" ht="12.75" customHeight="1">
      <c r="I330" s="1">
        <v>134.6</v>
      </c>
    </row>
    <row r="331" ht="12.75" customHeight="1">
      <c r="I331" s="1">
        <v>134.6</v>
      </c>
    </row>
    <row r="332" ht="12.75" customHeight="1">
      <c r="I332" s="1">
        <v>134.9</v>
      </c>
    </row>
    <row r="333" ht="12.75" customHeight="1">
      <c r="I333" s="1">
        <v>134.8</v>
      </c>
    </row>
    <row r="334" ht="12.75" customHeight="1">
      <c r="I334" s="1">
        <v>134.7</v>
      </c>
    </row>
    <row r="335" ht="12.75" customHeight="1">
      <c r="I335" s="1">
        <v>134.8</v>
      </c>
    </row>
    <row r="336" ht="12.75" customHeight="1">
      <c r="I336" s="1">
        <v>134.5</v>
      </c>
    </row>
    <row r="337" ht="12.75" customHeight="1">
      <c r="I337" s="1">
        <v>134.5</v>
      </c>
    </row>
    <row r="338" ht="12.75" customHeight="1">
      <c r="I338" s="1">
        <v>134.1</v>
      </c>
    </row>
    <row r="339" ht="12.75" customHeight="1">
      <c r="I339" s="1">
        <v>133.7</v>
      </c>
    </row>
    <row r="340" ht="12.75" customHeight="1">
      <c r="I340" s="1">
        <v>134.0</v>
      </c>
    </row>
    <row r="341" ht="12.75" customHeight="1">
      <c r="I341" s="1">
        <v>135.2</v>
      </c>
    </row>
    <row r="342" ht="12.75" customHeight="1">
      <c r="I342" s="1">
        <v>135.2</v>
      </c>
    </row>
    <row r="343" ht="12.75" customHeight="1">
      <c r="I343" s="1">
        <v>135.1</v>
      </c>
    </row>
    <row r="344" ht="12.75" customHeight="1">
      <c r="I344" s="1">
        <v>133.6</v>
      </c>
    </row>
    <row r="345" ht="12.75" customHeight="1">
      <c r="I345" s="1">
        <v>134.4</v>
      </c>
    </row>
    <row r="346" ht="12.75" customHeight="1">
      <c r="I346" s="1">
        <v>133.6</v>
      </c>
    </row>
    <row r="347" ht="12.75" customHeight="1">
      <c r="I347" s="1">
        <v>134.1</v>
      </c>
    </row>
    <row r="348" ht="12.75" customHeight="1">
      <c r="I348" s="1">
        <v>134.0</v>
      </c>
    </row>
    <row r="349" ht="12.75" customHeight="1">
      <c r="I349" s="1">
        <v>133.3</v>
      </c>
    </row>
    <row r="350" ht="12.75" customHeight="1">
      <c r="I350" s="1">
        <v>133.5</v>
      </c>
    </row>
    <row r="351" ht="12.75" customHeight="1">
      <c r="I351" s="1">
        <v>133.5</v>
      </c>
    </row>
    <row r="352" ht="12.75" customHeight="1">
      <c r="I352" s="1">
        <v>133.6</v>
      </c>
    </row>
    <row r="353" ht="12.75" customHeight="1">
      <c r="I353" s="1">
        <v>135.1</v>
      </c>
    </row>
    <row r="354" ht="12.75" customHeight="1">
      <c r="I354" s="1">
        <v>136.2</v>
      </c>
    </row>
    <row r="355" ht="12.75" customHeight="1">
      <c r="I355" s="1">
        <v>136.6</v>
      </c>
    </row>
    <row r="356" ht="12.75" customHeight="1">
      <c r="I356" s="1">
        <v>136.6</v>
      </c>
    </row>
    <row r="357" ht="12.75" customHeight="1">
      <c r="I357" s="1">
        <v>136.3</v>
      </c>
    </row>
    <row r="358" ht="12.75" customHeight="1">
      <c r="I358" s="1">
        <v>135.7</v>
      </c>
    </row>
    <row r="359" ht="12.75" customHeight="1">
      <c r="I359" s="1">
        <v>135.8</v>
      </c>
    </row>
    <row r="360" ht="12.75" customHeight="1">
      <c r="I360" s="1">
        <v>137.1</v>
      </c>
    </row>
    <row r="361" ht="12.75" customHeight="1">
      <c r="I361" s="1">
        <v>137.1</v>
      </c>
    </row>
    <row r="362" ht="12.75" customHeight="1">
      <c r="I362" s="1">
        <v>137.815</v>
      </c>
    </row>
    <row r="363" ht="12.75" customHeight="1">
      <c r="I363" s="1">
        <v>138.247</v>
      </c>
    </row>
    <row r="364" ht="12.75" customHeight="1">
      <c r="I364" s="1">
        <v>137.864</v>
      </c>
    </row>
    <row r="365" ht="12.75" customHeight="1">
      <c r="I365" s="1">
        <v>139.171</v>
      </c>
    </row>
    <row r="366" ht="12.75" customHeight="1">
      <c r="I366" s="1">
        <v>139.613</v>
      </c>
    </row>
    <row r="367" ht="12.75" customHeight="1">
      <c r="I367" s="1">
        <v>139.298</v>
      </c>
    </row>
    <row r="368" ht="12.75" customHeight="1">
      <c r="I368" s="1">
        <v>139.33</v>
      </c>
    </row>
    <row r="369" ht="12.75" customHeight="1">
      <c r="I369" s="1">
        <v>139.788</v>
      </c>
    </row>
    <row r="370" ht="12.75" customHeight="1">
      <c r="I370" s="1">
        <v>139.759</v>
      </c>
    </row>
    <row r="371" ht="12.75" customHeight="1">
      <c r="I371" s="1">
        <v>140.588</v>
      </c>
    </row>
    <row r="372" ht="12.75" customHeight="1">
      <c r="I372" s="1">
        <v>141.643</v>
      </c>
    </row>
    <row r="373" ht="12.75" customHeight="1">
      <c r="I373" s="1">
        <v>141.815</v>
      </c>
    </row>
    <row r="374" ht="12.75" customHeight="1">
      <c r="I374" s="1">
        <v>141.91</v>
      </c>
    </row>
    <row r="375" ht="12.75" customHeight="1">
      <c r="I375" s="1">
        <v>141.993</v>
      </c>
    </row>
    <row r="376" ht="12.75" customHeight="1">
      <c r="I376" s="1">
        <v>142.016</v>
      </c>
    </row>
    <row r="377" ht="12.75" customHeight="1">
      <c r="I377" s="1">
        <v>142.2</v>
      </c>
    </row>
    <row r="378" ht="12.75" customHeight="1">
      <c r="I378" s="1">
        <v>142.251</v>
      </c>
    </row>
    <row r="379" ht="12.75" customHeight="1">
      <c r="I379" s="1">
        <v>142.285</v>
      </c>
    </row>
    <row r="380" ht="12.75" customHeight="1">
      <c r="I380" s="1">
        <v>142.879</v>
      </c>
    </row>
    <row r="381" ht="12.75" customHeight="1">
      <c r="I381" s="1">
        <v>142.911</v>
      </c>
    </row>
    <row r="382" ht="12.75" customHeight="1">
      <c r="I382" s="1">
        <v>141.957</v>
      </c>
    </row>
    <row r="383" ht="12.75" customHeight="1">
      <c r="I383" s="1">
        <v>140.932</v>
      </c>
    </row>
    <row r="384" ht="12.75" customHeight="1">
      <c r="I384" s="1">
        <v>140.851</v>
      </c>
    </row>
    <row r="385" ht="12.75" customHeight="1">
      <c r="I385" s="1">
        <v>139.393</v>
      </c>
    </row>
    <row r="386" ht="12.75" customHeight="1">
      <c r="I386" s="1">
        <v>139.483</v>
      </c>
    </row>
    <row r="387" ht="12.75" customHeight="1">
      <c r="I387" s="1">
        <v>139.575</v>
      </c>
    </row>
    <row r="388" ht="12.75" customHeight="1">
      <c r="I388" s="1">
        <v>139.575</v>
      </c>
    </row>
    <row r="389" ht="12.75" customHeight="1">
      <c r="I389" s="1">
        <v>142.234</v>
      </c>
    </row>
    <row r="390" ht="12.75" customHeight="1">
      <c r="I390" s="1">
        <v>142.191</v>
      </c>
    </row>
    <row r="391" ht="12.75" customHeight="1">
      <c r="I391" s="1">
        <v>138.012</v>
      </c>
    </row>
    <row r="392" ht="12.75" customHeight="1">
      <c r="I392" s="1">
        <v>138.169</v>
      </c>
    </row>
    <row r="393" ht="12.75" customHeight="1">
      <c r="I393" s="1">
        <v>138.23</v>
      </c>
    </row>
    <row r="394" ht="12.75" customHeight="1">
      <c r="I394" s="1">
        <v>137.972</v>
      </c>
    </row>
    <row r="395" ht="12.75" customHeight="1">
      <c r="I395" s="1">
        <v>138.032</v>
      </c>
    </row>
    <row r="396" ht="12.75" customHeight="1">
      <c r="I396" s="1">
        <v>137.995</v>
      </c>
    </row>
    <row r="397" ht="12.75" customHeight="1">
      <c r="I397" s="1">
        <v>138.052</v>
      </c>
    </row>
    <row r="398" ht="12.75" customHeight="1">
      <c r="I398" s="1">
        <v>137.983</v>
      </c>
    </row>
    <row r="399" ht="12.75" customHeight="1">
      <c r="I399" s="1">
        <v>138.034</v>
      </c>
    </row>
    <row r="400" ht="12.75" customHeight="1">
      <c r="I400" s="1">
        <v>138.033</v>
      </c>
    </row>
    <row r="401" ht="12.75" customHeight="1">
      <c r="I401" s="1">
        <v>139.927</v>
      </c>
    </row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1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2024-11-19T15:18:53Z</dcterms:created>
  <dc:creator>Bassart i Lore, Miquel</dc:creator>
</cp:coreProperties>
</file>