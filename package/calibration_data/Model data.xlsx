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" sheetId="1" r:id="rId5"/>
    <sheet state="visible" name="Measure conversion" sheetId="2" r:id="rId6"/>
    <sheet state="visible" name="Fixed parameters" sheetId="3" r:id="rId7"/>
    <sheet state="visible" name="EV Sales" sheetId="4" r:id="rId8"/>
    <sheet state="visible" name="CPI" sheetId="5" r:id="rId9"/>
    <sheet state="visible" name="Income distribution" sheetId="6" r:id="rId10"/>
    <sheet state="visible" name="Plots_TimeSeries" sheetId="7" r:id="rId11"/>
    <sheet state="visible" name="Distance" sheetId="8" r:id="rId12"/>
    <sheet state="visible" name="WTP Emissions and gamma" sheetId="9" r:id="rId13"/>
    <sheet state="visible" name="WTP Quality" sheetId="10" r:id="rId14"/>
    <sheet state="visible" name="Range WTP &amp; Elasticity" sheetId="11" r:id="rId15"/>
    <sheet state="visible" name="Gasoline cost" sheetId="12" r:id="rId16"/>
    <sheet state="visible" name="Electricity cost" sheetId="13" r:id="rId17"/>
    <sheet state="visible" name="Production emissions" sheetId="14" r:id="rId18"/>
    <sheet state="visible" name="Gasoline Emissions" sheetId="15" r:id="rId19"/>
    <sheet state="visible" name="Electricity emissions" sheetId="16" r:id="rId20"/>
    <sheet state="visible" name="ICE Efficiency" sheetId="17" r:id="rId21"/>
    <sheet state="visible" name="EV Efficiency" sheetId="18" r:id="rId22"/>
    <sheet state="visible" name="Production costs" sheetId="19" r:id="rId23"/>
    <sheet state="visible" name="Tank size" sheetId="20" r:id="rId24"/>
    <sheet state="visible" name="EV Uptake" sheetId="21" r:id="rId25"/>
    <sheet state="visible" name="Price range" sheetId="22" r:id="rId26"/>
    <sheet state="visible" name="Market concentration" sheetId="23" r:id="rId27"/>
    <sheet state="visible" name="Mark-ups" sheetId="24" r:id="rId28"/>
    <sheet state="visible" name="CO2 total" sheetId="25" r:id="rId29"/>
    <sheet state="visible" name="CO2Km" sheetId="26" r:id="rId30"/>
  </sheets>
  <definedNames>
    <definedName hidden="1" localSheetId="11" name="_xlnm._FilterDatabase">'Gasoline cost'!$C$1:$F$302</definedName>
    <definedName hidden="1" localSheetId="12" name="_xlnm._FilterDatabase">'Electricity cost'!$E$1:$O$287</definedName>
  </definedNames>
  <calcPr/>
</workbook>
</file>

<file path=xl/sharedStrings.xml><?xml version="1.0" encoding="utf-8"?>
<sst xmlns="http://schemas.openxmlformats.org/spreadsheetml/2006/main" count="5464" uniqueCount="1976">
  <si>
    <t>Parameter</t>
  </si>
  <si>
    <t>Pages</t>
  </si>
  <si>
    <t>Description</t>
  </si>
  <si>
    <t>Fixed value</t>
  </si>
  <si>
    <t>Type</t>
  </si>
  <si>
    <t>Source</t>
  </si>
  <si>
    <t>Gasoline Cost</t>
  </si>
  <si>
    <t>alpha</t>
  </si>
  <si>
    <t>Input</t>
  </si>
  <si>
    <t>Quality elasticity</t>
  </si>
  <si>
    <t>Convert nominal dollars per gallon to 2020 dollars per kWhr</t>
  </si>
  <si>
    <t>Vibes</t>
  </si>
  <si>
    <t>Electricity Cost</t>
  </si>
  <si>
    <t>delta_EV</t>
  </si>
  <si>
    <t>Depreciation rate EVs</t>
  </si>
  <si>
    <t>Convert nominal dollars per kWhr to 2020 dollars per kWhr</t>
  </si>
  <si>
    <t>Base measure</t>
  </si>
  <si>
    <t>Year</t>
  </si>
  <si>
    <t>Gasoline Emissions</t>
  </si>
  <si>
    <t>Convert gCO2 per MJ to kgC02 per kWhr</t>
  </si>
  <si>
    <t>Target scale</t>
  </si>
  <si>
    <t>Electricity Emissions</t>
  </si>
  <si>
    <t>Adjustment</t>
  </si>
  <si>
    <t>Convert gCO2 per kWhr to kgC02 per kWhr</t>
  </si>
  <si>
    <t>Dollars (2020)</t>
  </si>
  <si>
    <t>Tenths of thousands dollars (2020)</t>
  </si>
  <si>
    <t xml:space="preserve">ICE Efficiency </t>
  </si>
  <si>
    <t>Convert MPG to km per kWhr</t>
  </si>
  <si>
    <t>kgCO2</t>
  </si>
  <si>
    <t>Tenths of tones CO2</t>
  </si>
  <si>
    <t xml:space="preserve">EV Efficiency </t>
  </si>
  <si>
    <t>Kilometres</t>
  </si>
  <si>
    <t>Covert MJ per km to km per kWhr</t>
  </si>
  <si>
    <t>Production Costs</t>
  </si>
  <si>
    <t xml:space="preserve">EV Uptake </t>
  </si>
  <si>
    <t>Percentatge</t>
  </si>
  <si>
    <t>BEV</t>
  </si>
  <si>
    <t>PHEV</t>
  </si>
  <si>
    <t>delta_ICE</t>
  </si>
  <si>
    <t>Depreciation rate ICE cars</t>
  </si>
  <si>
    <t>FCEV</t>
  </si>
  <si>
    <t>Sum</t>
  </si>
  <si>
    <t>Perc BEV</t>
  </si>
  <si>
    <t>r</t>
  </si>
  <si>
    <t>Kilowatt hour</t>
  </si>
  <si>
    <t>Discount rate</t>
  </si>
  <si>
    <t>IPCC</t>
  </si>
  <si>
    <t>\bar{D}</t>
  </si>
  <si>
    <t>Mean distance</t>
  </si>
  <si>
    <t>California Energy Commission</t>
  </si>
  <si>
    <t>\bar{\gamma}</t>
  </si>
  <si>
    <t>Mean WTP Emissions</t>
  </si>
  <si>
    <r>
      <rPr/>
      <t xml:space="preserve">Hulshof, D., &amp; Mulder, M. (2020). Willingness to Pay for CO2 Emission Reductions in Passenger Car Transport. Environmental / Resource Economics, 75(4), 899–929. </t>
    </r>
    <r>
      <rPr>
        <color rgb="FF1155CC"/>
        <u/>
      </rPr>
      <t>https://doi.org/10.1007/s10640-020-00411-6</t>
    </r>
  </si>
  <si>
    <t>Q^+</t>
  </si>
  <si>
    <t>Quaity: Upper bound</t>
  </si>
  <si>
    <t>Fixed</t>
  </si>
  <si>
    <t>Q^-</t>
  </si>
  <si>
    <t>Quality: Lower bound</t>
  </si>
  <si>
    <t>\bar{Q}</t>
  </si>
  <si>
    <t>Quality: Mean</t>
  </si>
  <si>
    <t>Endogenous</t>
  </si>
  <si>
    <t>C^+_EV</t>
  </si>
  <si>
    <t>Manufacturing Cost (EV): Upper bound</t>
  </si>
  <si>
    <t>Type:</t>
  </si>
  <si>
    <t>Date</t>
  </si>
  <si>
    <t xml:space="preserve"> California Weighted Average</t>
  </si>
  <si>
    <t>tem</t>
  </si>
  <si>
    <t>2020 real CPI Adjusted</t>
  </si>
  <si>
    <t>Source:</t>
  </si>
  <si>
    <t>https://dof.ca.gov/forecasting/economics/economic-indicators/inflation/</t>
  </si>
  <si>
    <t>All Consumer Units</t>
  </si>
  <si>
    <t>C^-_EV</t>
  </si>
  <si>
    <t>Manufacturing Cost (EV): Lower bound</t>
  </si>
  <si>
    <t>Lowest 20 Percent</t>
  </si>
  <si>
    <t>Second 20 Percent</t>
  </si>
  <si>
    <t>\bar{C_EV}</t>
  </si>
  <si>
    <t>Manufacturing Cost (EV): Mean</t>
  </si>
  <si>
    <t>Third 20 Percent</t>
  </si>
  <si>
    <t>Fourth 20 Percent</t>
  </si>
  <si>
    <t>Highest 20 Percent</t>
  </si>
  <si>
    <t>GINI</t>
  </si>
  <si>
    <t>C^+_ICE</t>
  </si>
  <si>
    <t>Manufacturing Cost (ICE): Upper bound</t>
  </si>
  <si>
    <t>NA</t>
  </si>
  <si>
    <t>Paul L E Grieco, Charles Murry, Ali Yurukoglu, The Evolution of Market Power in the U.S. Automobile Industry, The Quarterly Journal of Economics, Volume 139, Issue 2, May 2024, Pages 1201–1253, https://doi.org/10.1093/qje/qjad047</t>
  </si>
  <si>
    <t>Measure:</t>
  </si>
  <si>
    <t>X-value</t>
  </si>
  <si>
    <t>C^-_ICE</t>
  </si>
  <si>
    <t>Consumer Price Index</t>
  </si>
  <si>
    <t>Manufacturing Cost (ICE): Lower bound</t>
  </si>
  <si>
    <t>Income</t>
  </si>
  <si>
    <t>https://www.bls.gov/cex/tables/geographic/mean/cu-state-ca-income-quintiles-before-taxes-2-year-average-2020.htm</t>
  </si>
  <si>
    <t xml:space="preserve">Description: </t>
  </si>
  <si>
    <t>\bar{C_ICE}</t>
  </si>
  <si>
    <t>California CPI is a population weighted average across multiple local CPIs (Los Angeles area monthly, the Riverside area bimonthly, San Diego county bimonthly, the San Francisco area bimonthly)</t>
  </si>
  <si>
    <t>Manufacturing Cost (ICE): Mean</t>
  </si>
  <si>
    <t>Conversions:</t>
  </si>
  <si>
    <t>\omega^+_EV</t>
  </si>
  <si>
    <t>Fuel Efficiency (EV): Upper bound</t>
  </si>
  <si>
    <t>Divide through by CPI index on 2020-01-01</t>
  </si>
  <si>
    <t>Number of Consumer Units (in thousands)</t>
  </si>
  <si>
    <t>Steps:</t>
  </si>
  <si>
    <t>\omega^-_EV</t>
  </si>
  <si>
    <t>1. Interpolate data where missing months</t>
  </si>
  <si>
    <t>Fuel Efficiency (EV): Lower bound</t>
  </si>
  <si>
    <t>n2 * \bar{x}</t>
  </si>
  <si>
    <t>2. For 01/01/2000 use value for 01/02/2000</t>
  </si>
  <si>
    <t>\bar{\omega_EV}</t>
  </si>
  <si>
    <t>Fuel Efficiency (EV): Mean</t>
  </si>
  <si>
    <t>\omega^+_ICE</t>
  </si>
  <si>
    <t>Fuel Efficiency (ICE): Upper bound</t>
  </si>
  <si>
    <t>\omega^-_ICE</t>
  </si>
  <si>
    <t>Fuel Efficiency (ICE): Lower bound</t>
  </si>
  <si>
    <t>Quintiles of income California 2020</t>
  </si>
  <si>
    <t>Income before taxes</t>
  </si>
  <si>
    <t>\bar{\omega_ICE}</t>
  </si>
  <si>
    <t>Fuel Efficiency (ICE): Mean</t>
  </si>
  <si>
    <t>n*\sum_i x</t>
  </si>
  <si>
    <t>E_EV</t>
  </si>
  <si>
    <t>Manufacturing Emissions (EV)</t>
  </si>
  <si>
    <t>E_ICE</t>
  </si>
  <si>
    <t>Manufacturing Emissions (ICE)</t>
  </si>
  <si>
    <t>nu</t>
  </si>
  <si>
    <t>WTP Range</t>
  </si>
  <si>
    <t>Ferguson, Mark, Moataz Mohamed, Christopher D. Higgins, Elnaz Abotalebi, and Pavlos Kanaroglou (2018). “How
open are Canadian households to electric vehicles? A national latent class choice analysis with willingness-to-pay and
metropolitan characterization”. In: Transportation Research Part D: Transport and Environment 58, pp. 208–224. issn:
1361-9209. doi: https://doi.org/10.1016/j.trd.2017.12.006.</t>
  </si>
  <si>
    <t>zeta</t>
  </si>
  <si>
    <t>Range elasticity</t>
  </si>
  <si>
    <t>B_ICE</t>
  </si>
  <si>
    <t>Average Tank Size</t>
  </si>
  <si>
    <t>Sum_Diff</t>
  </si>
  <si>
    <t>B^+_EV</t>
  </si>
  <si>
    <t>Battery size: Upper Bound</t>
  </si>
  <si>
    <t>B^-_EV</t>
  </si>
  <si>
    <t>Battery size: Lower Bound</t>
  </si>
  <si>
    <t>\bar{B}_EV</t>
  </si>
  <si>
    <t>Battery Size: Mean</t>
  </si>
  <si>
    <t>mu</t>
  </si>
  <si>
    <t>Used car dealer mark-up</t>
  </si>
  <si>
    <t>xi_EV</t>
  </si>
  <si>
    <t>Price depreciation rate (EV)</t>
  </si>
  <si>
    <t>Schloter, Lukas (2022). “Empirical analysis of the depreciation of electric vehicles compared to gasoline vehicles”. In:
Transport Policy 126, pp. 268–279. issn: 0967-070X. doi: https://doi.org/10.1016/j.tranpol.2022.07.021</t>
  </si>
  <si>
    <t>xi_ICE</t>
  </si>
  <si>
    <t>Price depreciation rate (ICE)</t>
  </si>
  <si>
    <t>kappa</t>
  </si>
  <si>
    <t>Consumer intensity of choice</t>
  </si>
  <si>
    <t>lambda</t>
  </si>
  <si>
    <t>Research intensity of choice</t>
  </si>
  <si>
    <t>P^T</t>
  </si>
  <si>
    <t>Target callibration price</t>
  </si>
  <si>
    <t>\bar{c}_ICE</t>
  </si>
  <si>
    <t>Average gasoline cost/KWhr</t>
  </si>
  <si>
    <t>\bar{e}_ICE</t>
  </si>
  <si>
    <t>Average gasoline emissions/KWhr</t>
  </si>
  <si>
    <t>\bar{c}_EV</t>
  </si>
  <si>
    <t>Average electricity cost/KWhr</t>
  </si>
  <si>
    <t>\bar{e}_EV</t>
  </si>
  <si>
    <t>Average electricity emissions/KWhr</t>
  </si>
  <si>
    <t>mu_Inc</t>
  </si>
  <si>
    <t>Mean income distribution</t>
  </si>
  <si>
    <t>sigma_Inc</t>
  </si>
  <si>
    <t>Standard deviation income distribution</t>
  </si>
  <si>
    <t>"B19082: Shares of aggregate household income by quintiles". data.census.gov. Retrieved 2022-02-09.</t>
  </si>
  <si>
    <t>California</t>
  </si>
  <si>
    <t>1st Quintile</t>
  </si>
  <si>
    <t>2nd quintile</t>
  </si>
  <si>
    <t>3rd quintile</t>
  </si>
  <si>
    <t>4th quintile</t>
  </si>
  <si>
    <t>5th quintile</t>
  </si>
  <si>
    <t>Of which top 5%</t>
  </si>
  <si>
    <t>URL:</t>
  </si>
  <si>
    <t>https://data.census.gov/table/ACSDT1Y2019.B19082?g=040XX00US51,50,11,12,53,10,54,15,16,13,19,17,18,40,41,44,01,45,42,48,04,49,05,46,02,47,08,09,06,30,33,34,31,32,37,38,35,36,39,22,23,20,21,26,27,24,25,28,29,72,55,56_010XX00US&amp;moe=false&amp;tp=true&amp;tid=ACSDT1Y2019.B19082</t>
  </si>
  <si>
    <t>Mean income (2019)</t>
  </si>
  <si>
    <t>Gini coefficient (2019)</t>
  </si>
  <si>
    <t>Share</t>
  </si>
  <si>
    <t>2020 conversion factor</t>
  </si>
  <si>
    <t>Mean income (2020)</t>
  </si>
  <si>
    <t>Log-normal distribution parameters</t>
  </si>
  <si>
    <t>n</t>
  </si>
  <si>
    <t>I</t>
  </si>
  <si>
    <t>sigma</t>
  </si>
  <si>
    <t>WTP (Euros Dec 2017 / kgCO2) /km</t>
  </si>
  <si>
    <t>WTP (Dollars Dec 2017 / kgCO2) /km</t>
  </si>
  <si>
    <t>WTP (Dollars 2020 / kgCO2) /km</t>
  </si>
  <si>
    <t>Self-reported annual vehicle miles traveled (VMT)</t>
  </si>
  <si>
    <t>Ownership</t>
  </si>
  <si>
    <t>Fuel Type</t>
  </si>
  <si>
    <t>Age</t>
  </si>
  <si>
    <t>Mean gamma</t>
  </si>
  <si>
    <t>Mileage</t>
  </si>
  <si>
    <t>Random Values</t>
  </si>
  <si>
    <t>Count</t>
  </si>
  <si>
    <t>Km per year (upper bound)</t>
  </si>
  <si>
    <t>km per month (upper)</t>
  </si>
  <si>
    <t>km per month (midpoint)</t>
  </si>
  <si>
    <t>Proportion</t>
  </si>
  <si>
    <t>Model scale /month</t>
  </si>
  <si>
    <t>Mean</t>
  </si>
  <si>
    <t>Hulshof, D., &amp; Mulder, M. (2020). Willingness to Pay for CO2 Emission Reductions in Passenger Car Transport. Environmental / Resource Economics, 75(4), 899–929. https://doi.org/10.1007/s10640-020-00411-6</t>
  </si>
  <si>
    <t>https://www.energy.ca.gov/data-reports/surveys/california-vehicle-survey/vehicle-miles-traveled-fuel-type</t>
  </si>
  <si>
    <t>Household</t>
  </si>
  <si>
    <t>ICE</t>
  </si>
  <si>
    <t>0-1 years old</t>
  </si>
  <si>
    <t>&lt;5,000</t>
  </si>
  <si>
    <t>SD</t>
  </si>
  <si>
    <t>WTP to reduce driving emissions with 1 g per kilometer in 2020 dollars</t>
  </si>
  <si>
    <t>5,000-9,999</t>
  </si>
  <si>
    <t>SD WTP Euros Dec 2017 / kgCO2</t>
  </si>
  <si>
    <t>SD WTP Dollars Dec 2017 / kgCO2</t>
  </si>
  <si>
    <t>SD WTP Dollars 2020 / kgCO2</t>
  </si>
  <si>
    <t>km per month</t>
  </si>
  <si>
    <t>10,000-14,999</t>
  </si>
  <si>
    <t>SD gamma</t>
  </si>
  <si>
    <t>15,000-19,999</t>
  </si>
  <si>
    <t>20,000-24,999</t>
  </si>
  <si>
    <t>Secndary Source:</t>
  </si>
  <si>
    <t>https://www.eia.gov/totalenergy/data/browser/?tbl=T01.09#/?f=A&amp;start=2016&amp;end=2022&amp;charted=1-2-3-5-6</t>
  </si>
  <si>
    <t>Exhcange rate 1/12/2017, dollars per euro</t>
  </si>
  <si>
    <t>25,000+</t>
  </si>
  <si>
    <t xml:space="preserve">40231.9907 + </t>
  </si>
  <si>
    <t>https://www.xe.com/currencycharts/?from=EUR/to=USD/view=10Y</t>
  </si>
  <si>
    <t>total respondents</t>
  </si>
  <si>
    <t>Assume 50% more than the max</t>
  </si>
  <si>
    <t>Conversions</t>
  </si>
  <si>
    <t>km to miles:</t>
  </si>
  <si>
    <t>counts</t>
  </si>
  <si>
    <t>Assume 10+years is 15 years</t>
  </si>
  <si>
    <t>10+years</t>
  </si>
  <si>
    <t>Month</t>
  </si>
  <si>
    <t>Issue: Took a single day exchange rate but the issue here is that we dont know when the survey was taken within the month</t>
  </si>
  <si>
    <t>Monthly California Regular Reformulated Retail Gasoline Prices (Dollars per KWh)</t>
  </si>
  <si>
    <t>Monthly California Residential Electricity Price (Dollars per KWh)</t>
  </si>
  <si>
    <t>CentERpanel in December 2017.</t>
  </si>
  <si>
    <t>date</t>
  </si>
  <si>
    <t>Gasoline kgCO2 per KWh</t>
  </si>
  <si>
    <t>Electricity kgCO2 per KWh</t>
  </si>
  <si>
    <t>Jan</t>
  </si>
  <si>
    <t>2000</t>
  </si>
  <si>
    <t>CPI 2020 dollars to Dec 2017</t>
  </si>
  <si>
    <t>source</t>
  </si>
  <si>
    <t>total  respondents</t>
  </si>
  <si>
    <t>Feb</t>
  </si>
  <si>
    <t>Note that you multiply by 10^6 to go from grammes to tonnes by divide by 1o^3 to go from dollars to thousands of dollars</t>
  </si>
  <si>
    <t>Mar</t>
  </si>
  <si>
    <t>Apr</t>
  </si>
  <si>
    <t>Necessary for gamma calibration:</t>
  </si>
  <si>
    <t>May</t>
  </si>
  <si>
    <t>Jun</t>
  </si>
  <si>
    <t>Jul</t>
  </si>
  <si>
    <t>Aug</t>
  </si>
  <si>
    <t>Sep</t>
  </si>
  <si>
    <t>Oct</t>
  </si>
  <si>
    <t>Nov</t>
  </si>
  <si>
    <t>Dec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</si>
  <si>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</si>
  <si>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</si>
  <si>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</si>
  <si>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</si>
  <si>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</si>
  <si>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</si>
  <si>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</si>
  <si>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</si>
  <si>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</si>
  <si>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</si>
  <si>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</si>
  <si>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Inputs</t>
  </si>
  <si>
    <t>Values</t>
  </si>
  <si>
    <t>Assumed W_s</t>
  </si>
  <si>
    <t>Term 1</t>
  </si>
  <si>
    <t>Term 2</t>
  </si>
  <si>
    <t>Term 3</t>
  </si>
  <si>
    <t>Term 4</t>
  </si>
  <si>
    <t>Mean beta</t>
  </si>
  <si>
    <t>Mean Income</t>
  </si>
  <si>
    <t>Beta</t>
  </si>
  <si>
    <t>Bins</t>
  </si>
  <si>
    <t>WTP_Q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</si>
  <si>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</si>
  <si>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</si>
  <si>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</si>
  <si>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</si>
  <si>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</si>
  <si>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</si>
  <si>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</si>
  <si>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</si>
  <si>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</si>
  <si>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</si>
  <si>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</si>
  <si>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</si>
  <si>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</si>
  <si>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</si>
  <si>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WTP Gasoline tank</t>
  </si>
  <si>
    <t>WTP Electricity tank</t>
  </si>
  <si>
    <t>BEV-Oriented</t>
  </si>
  <si>
    <t>nu_2015</t>
  </si>
  <si>
    <t>PHEV-Oriented</t>
  </si>
  <si>
    <t>nu_2020</t>
  </si>
  <si>
    <t>HEV-Oriented</t>
  </si>
  <si>
    <t>nu_model_scale</t>
  </si>
  <si>
    <t>ICE-Oriented</t>
  </si>
  <si>
    <t>CPI (2020 to sept 2009)</t>
  </si>
  <si>
    <t>Gasoline</t>
  </si>
  <si>
    <t>Electricity</t>
  </si>
  <si>
    <t>Ratio</t>
  </si>
  <si>
    <t>km_to_miles =</t>
  </si>
  <si>
    <t>WTP_WHTAVE</t>
  </si>
  <si>
    <t>2015 dollars to 2020</t>
  </si>
  <si>
    <t>Range</t>
  </si>
  <si>
    <t>Total WTP</t>
  </si>
  <si>
    <t>Monthly California Regular Reformulated Retail Gasoline Prices (Dollars per kWh)</t>
  </si>
  <si>
    <t>Monthly California Regular Reformulated Retail Gasoline Prices (Dollars per Gallon)</t>
  </si>
  <si>
    <t>Gas 2020 Dollars per Kilowatt-Hour</t>
  </si>
  <si>
    <t>Model scale Dollars per KWh</t>
  </si>
  <si>
    <t>Week</t>
  </si>
  <si>
    <t>Weekly California Regular Reformulated Retail Gasoline Prices (Dollars per Gallon)</t>
  </si>
  <si>
    <t>https://www.eia.gov/petroleum/gasdiesel/</t>
  </si>
  <si>
    <t>Jan 02, 1995</t>
  </si>
  <si>
    <t>Dollars per kilowatt hour</t>
  </si>
  <si>
    <t>Jan 09, 1995</t>
  </si>
  <si>
    <t>Jan 16, 1995</t>
  </si>
  <si>
    <t>Jan 23, 1995</t>
  </si>
  <si>
    <t>kWh/Gallon</t>
  </si>
  <si>
    <t>Jan 30, 1995</t>
  </si>
  <si>
    <t>https://afdc.energy.gov/fuels/properties</t>
  </si>
  <si>
    <t>Feb 06, 1995</t>
  </si>
  <si>
    <t>Feb 13, 1995</t>
  </si>
  <si>
    <t>Feb 20, 1995</t>
  </si>
  <si>
    <t>Residential electricity price California, model measure dolars per kilowatt-hour</t>
  </si>
  <si>
    <t>Residential electricity price California, dolars per kilowatt-hour</t>
  </si>
  <si>
    <t>chart</t>
  </si>
  <si>
    <t>Feb 27, 1995</t>
  </si>
  <si>
    <t>period</t>
  </si>
  <si>
    <t>stateid</t>
  </si>
  <si>
    <t>stateDescription</t>
  </si>
  <si>
    <t>sectorid</t>
  </si>
  <si>
    <t>sectorName</t>
  </si>
  <si>
    <t>price</t>
  </si>
  <si>
    <t>Mar 06, 1995</t>
  </si>
  <si>
    <t>price-units</t>
  </si>
  <si>
    <t>https://www.eia.gov/opendata/browser/electricity/retail-sales</t>
  </si>
  <si>
    <t>Mar 13, 1995</t>
  </si>
  <si>
    <t>Mar 20, 1995</t>
  </si>
  <si>
    <t>Mar 27, 1995</t>
  </si>
  <si>
    <t>Apr 03, 1995</t>
  </si>
  <si>
    <t>show_chart</t>
  </si>
  <si>
    <t>CA</t>
  </si>
  <si>
    <t>Apr 10, 1995</t>
  </si>
  <si>
    <t>RES</t>
  </si>
  <si>
    <t>residential</t>
  </si>
  <si>
    <t>cents per kilowatt-hour</t>
  </si>
  <si>
    <t>Apr 17, 1995</t>
  </si>
  <si>
    <t>Apr 24, 1995</t>
  </si>
  <si>
    <t>Average</t>
  </si>
  <si>
    <t>May 01, 1995</t>
  </si>
  <si>
    <t>May 08, 1995</t>
  </si>
  <si>
    <t>May 15, 1995</t>
  </si>
  <si>
    <t>May 22, 1995</t>
  </si>
  <si>
    <t>May 29, 1995</t>
  </si>
  <si>
    <t>Jun 05, 1995</t>
  </si>
  <si>
    <t>Jun 12, 1995</t>
  </si>
  <si>
    <t>Jun 19, 1995</t>
  </si>
  <si>
    <t>Jun 26, 1995</t>
  </si>
  <si>
    <t>Jul 03, 1995</t>
  </si>
  <si>
    <t>Jul 10, 1995</t>
  </si>
  <si>
    <t>Jul 17, 1995</t>
  </si>
  <si>
    <t>Jul 24, 1995</t>
  </si>
  <si>
    <t>Jul 31, 1995</t>
  </si>
  <si>
    <t>Aug 07, 1995</t>
  </si>
  <si>
    <t>Aug 14, 1995</t>
  </si>
  <si>
    <t>Aug 21, 1995</t>
  </si>
  <si>
    <t>Aug 28, 1995</t>
  </si>
  <si>
    <t>Sep 04, 1995</t>
  </si>
  <si>
    <t>Sep 11, 1995</t>
  </si>
  <si>
    <t>Sep 18, 1995</t>
  </si>
  <si>
    <t>Sep 25, 1995</t>
  </si>
  <si>
    <t>Oct 02, 1995</t>
  </si>
  <si>
    <t>Oct 09, 1995</t>
  </si>
  <si>
    <t>Oct 16, 1995</t>
  </si>
  <si>
    <t>Oct 23, 1995</t>
  </si>
  <si>
    <t>Oct 30, 1995</t>
  </si>
  <si>
    <t>Nov 06, 1995</t>
  </si>
  <si>
    <t>Nov 13, 1995</t>
  </si>
  <si>
    <t>Nov 20, 1995</t>
  </si>
  <si>
    <t>Nov 27, 1995</t>
  </si>
  <si>
    <t>Dec 04, 1995</t>
  </si>
  <si>
    <t>Dec 11, 1995</t>
  </si>
  <si>
    <t>Dec 18, 1995</t>
  </si>
  <si>
    <t>Dec 25, 1995</t>
  </si>
  <si>
    <t>Jan 01, 1996</t>
  </si>
  <si>
    <t>Jan 08, 1996</t>
  </si>
  <si>
    <t>Jan 15, 1996</t>
  </si>
  <si>
    <t>Jan 22, 1996</t>
  </si>
  <si>
    <t>Jan 29, 1996</t>
  </si>
  <si>
    <t>Feb 05, 1996</t>
  </si>
  <si>
    <t>Feb 12, 1996</t>
  </si>
  <si>
    <t>Feb 19, 1996</t>
  </si>
  <si>
    <t>Feb 26, 1996</t>
  </si>
  <si>
    <t>Mar 04, 1996</t>
  </si>
  <si>
    <t>Mar 11, 1996</t>
  </si>
  <si>
    <t>Mar 18, 1996</t>
  </si>
  <si>
    <t>Mar 25, 1996</t>
  </si>
  <si>
    <t>Apr 01, 1996</t>
  </si>
  <si>
    <t>Apr 08, 1996</t>
  </si>
  <si>
    <t>Apr 15, 1996</t>
  </si>
  <si>
    <t>Apr 22, 1996</t>
  </si>
  <si>
    <t>Apr 29, 1996</t>
  </si>
  <si>
    <t>May 06, 1996</t>
  </si>
  <si>
    <t>May 13, 1996</t>
  </si>
  <si>
    <t>May 20, 1996</t>
  </si>
  <si>
    <t>May 27, 1996</t>
  </si>
  <si>
    <t>Jun 03, 1996</t>
  </si>
  <si>
    <t>Jun 10, 1996</t>
  </si>
  <si>
    <t>Jun 17, 1996</t>
  </si>
  <si>
    <t>https://www.iea.org/data-and-statistics/charts/comparative-life-cycle-greenhouse-gas-emissions-of-a-mid-size-bev-and-ice-vehicle</t>
  </si>
  <si>
    <t>Jun 24, 1996</t>
  </si>
  <si>
    <t>Jul 01, 1996</t>
  </si>
  <si>
    <t>Jul 08, 1996</t>
  </si>
  <si>
    <t>EV_base case</t>
  </si>
  <si>
    <t>Jul 15, 1996</t>
  </si>
  <si>
    <t>tCO2</t>
  </si>
  <si>
    <t>EV_HighGHGminerals</t>
  </si>
  <si>
    <t>Jul 22, 1996</t>
  </si>
  <si>
    <t>Source (p.1076)</t>
  </si>
  <si>
    <t>https://www.ipcc.ch/report/ar6/wg3/downloads/report/IPCC_AR6_WGIII_Chapter10.pdf</t>
  </si>
  <si>
    <t>Jul 29, 1996</t>
  </si>
  <si>
    <t>Aug 05, 1996</t>
  </si>
  <si>
    <t>Model scale</t>
  </si>
  <si>
    <t>Median EV</t>
  </si>
  <si>
    <t>Median ICE</t>
  </si>
  <si>
    <t>Aug 12, 1996</t>
  </si>
  <si>
    <t>Aug 19, 1996</t>
  </si>
  <si>
    <t>Aug 26, 1996</t>
  </si>
  <si>
    <t>Sep 02, 1996</t>
  </si>
  <si>
    <t>Sep 09, 1996</t>
  </si>
  <si>
    <t>Sep 16, 1996</t>
  </si>
  <si>
    <t>Sep 23, 1996</t>
  </si>
  <si>
    <t>Sep 30, 1996</t>
  </si>
  <si>
    <t>Oct 07, 1996</t>
  </si>
  <si>
    <t>Oct 14, 1996</t>
  </si>
  <si>
    <t>kgCO2 per MJ</t>
  </si>
  <si>
    <t>kgCO2 per kilowatt hour</t>
  </si>
  <si>
    <t>Model measure per KWH</t>
  </si>
  <si>
    <t>Oct 21, 1996</t>
  </si>
  <si>
    <t>Oct 28, 1996</t>
  </si>
  <si>
    <t>gCO2 per MJ</t>
  </si>
  <si>
    <t>Nov 04, 1996</t>
  </si>
  <si>
    <t>Table 10.8 page 1145</t>
  </si>
  <si>
    <t xml:space="preserve">kWr per MJ </t>
  </si>
  <si>
    <t>Nov 11, 1996</t>
  </si>
  <si>
    <t>Nov 18, 1996</t>
  </si>
  <si>
    <t>Nov 25, 1996</t>
  </si>
  <si>
    <t>Dec 02, 1996</t>
  </si>
  <si>
    <t>Dec 09, 1996</t>
  </si>
  <si>
    <t>Dec 16, 1996</t>
  </si>
  <si>
    <t>Dec 23, 1996</t>
  </si>
  <si>
    <t>Dec 30, 1996</t>
  </si>
  <si>
    <t>Jan 06, 1997</t>
  </si>
  <si>
    <t>Jan 13, 1997</t>
  </si>
  <si>
    <t>Jan 20, 1997</t>
  </si>
  <si>
    <t>Jan 27, 1997</t>
  </si>
  <si>
    <t>Feb 03, 1997</t>
  </si>
  <si>
    <t>Feb 10, 1997</t>
  </si>
  <si>
    <t>Feb 17, 1997</t>
  </si>
  <si>
    <t>Feb 24, 1997</t>
  </si>
  <si>
    <t>Mar 03, 1997</t>
  </si>
  <si>
    <t>Mar 10, 1997</t>
  </si>
  <si>
    <t>Mar 17, 1997</t>
  </si>
  <si>
    <t>Mar 24, 1997</t>
  </si>
  <si>
    <t>Mar 31, 1997</t>
  </si>
  <si>
    <t>Apr 07, 1997</t>
  </si>
  <si>
    <t>Apr 14, 1997</t>
  </si>
  <si>
    <t>Apr 21, 1997</t>
  </si>
  <si>
    <t>Apr 28, 1997</t>
  </si>
  <si>
    <t>May 05, 1997</t>
  </si>
  <si>
    <t>May 12, 1997</t>
  </si>
  <si>
    <t>May 19, 1997</t>
  </si>
  <si>
    <t>May 26, 1997</t>
  </si>
  <si>
    <t>Jun 02, 1997</t>
  </si>
  <si>
    <t>Jun 09, 1997</t>
  </si>
  <si>
    <t>Jun 16, 1997</t>
  </si>
  <si>
    <t>Jun 23, 1997</t>
  </si>
  <si>
    <t>Jun 30, 1997</t>
  </si>
  <si>
    <t>Jul 07, 1997</t>
  </si>
  <si>
    <t>Jul 14, 1997</t>
  </si>
  <si>
    <t>Jul 21, 1997</t>
  </si>
  <si>
    <t>Jul 28, 1997</t>
  </si>
  <si>
    <t>GHG Intensity of Electricity Generation (In-State)</t>
  </si>
  <si>
    <t>GHG Intensity of Electricity Generation (Imports)</t>
  </si>
  <si>
    <t>GHG Intensity of Electricity Generation (Overall)</t>
  </si>
  <si>
    <t>Aug 04, 1997</t>
  </si>
  <si>
    <t>EMBER Data</t>
  </si>
  <si>
    <t>state</t>
  </si>
  <si>
    <t>emissions_intensity_gco2_per_kwh</t>
  </si>
  <si>
    <t>emissions_intensity_kgco2_per_kwh</t>
  </si>
  <si>
    <t>emissions_intensity_modelMeasure_per_kwh</t>
  </si>
  <si>
    <t>Aug 11, 1997</t>
  </si>
  <si>
    <t>Aug 18, 1997</t>
  </si>
  <si>
    <t>Aug 25, 1997</t>
  </si>
  <si>
    <t>Source 2:</t>
  </si>
  <si>
    <t>https://ember-energy.org/data/us-electricity-data-explorer/</t>
  </si>
  <si>
    <t>Sep 01, 1997</t>
  </si>
  <si>
    <t>Sep 08, 1997</t>
  </si>
  <si>
    <t>Sep 15, 1997</t>
  </si>
  <si>
    <t>Sep 22, 1997</t>
  </si>
  <si>
    <t>Sep 29, 1997</t>
  </si>
  <si>
    <t>Oct 06, 1997</t>
  </si>
  <si>
    <t>Oct 13, 1997</t>
  </si>
  <si>
    <t>Oct 20, 1997</t>
  </si>
  <si>
    <t>Oct 27, 1997</t>
  </si>
  <si>
    <t>Nov 03, 1997</t>
  </si>
  <si>
    <t>Nov 10, 1997</t>
  </si>
  <si>
    <t>Nov 17, 1997</t>
  </si>
  <si>
    <t>Nov 24, 1997</t>
  </si>
  <si>
    <t>Dec 01, 1997</t>
  </si>
  <si>
    <t>Dec 08, 1997</t>
  </si>
  <si>
    <t>Dec 15, 1997</t>
  </si>
  <si>
    <t>Dec 22, 1997</t>
  </si>
  <si>
    <t>Dec 29, 1997</t>
  </si>
  <si>
    <t>Jan 05, 1998</t>
  </si>
  <si>
    <t>Jan 12, 1998</t>
  </si>
  <si>
    <t>Jan 19, 1998</t>
  </si>
  <si>
    <t>Jan 26, 1998</t>
  </si>
  <si>
    <t>Feb 02, 1998</t>
  </si>
  <si>
    <t>Feb 09, 1998</t>
  </si>
  <si>
    <t>Feb 16, 1998</t>
  </si>
  <si>
    <t>Feb 23, 1998</t>
  </si>
  <si>
    <t>Mar 02, 1998</t>
  </si>
  <si>
    <t>Mar 09, 1998</t>
  </si>
  <si>
    <t>Mar 16, 1998</t>
  </si>
  <si>
    <t>Mar 23, 1998</t>
  </si>
  <si>
    <t>Mar 30, 1998</t>
  </si>
  <si>
    <t>Apr 06, 1998</t>
  </si>
  <si>
    <t>Apr 13, 1998</t>
  </si>
  <si>
    <t>Apr 20, 1998</t>
  </si>
  <si>
    <t>Apr 27, 1998</t>
  </si>
  <si>
    <t>May 04, 1998</t>
  </si>
  <si>
    <t>May 11, 1998</t>
  </si>
  <si>
    <t>May 18, 1998</t>
  </si>
  <si>
    <t>May 25, 1998</t>
  </si>
  <si>
    <t>Jun 01, 1998</t>
  </si>
  <si>
    <t>Jun 08, 1998</t>
  </si>
  <si>
    <t>Jun 15, 1998</t>
  </si>
  <si>
    <t>Jun 22, 1998</t>
  </si>
  <si>
    <t>Jun 29, 1998</t>
  </si>
  <si>
    <t>Jul 06, 1998</t>
  </si>
  <si>
    <t>Jul 13, 1998</t>
  </si>
  <si>
    <t>Jul 20, 1998</t>
  </si>
  <si>
    <t>Jul 27, 1998</t>
  </si>
  <si>
    <t>Aug 03, 1998</t>
  </si>
  <si>
    <t>Aug 10, 1998</t>
  </si>
  <si>
    <t>Aug 17, 1998</t>
  </si>
  <si>
    <t>Aug 24, 1998</t>
  </si>
  <si>
    <t>Aug 31, 1998</t>
  </si>
  <si>
    <t>Sep 07, 1998</t>
  </si>
  <si>
    <t>Sep 14, 1998</t>
  </si>
  <si>
    <t>Sep 21, 1998</t>
  </si>
  <si>
    <t>Sep 28, 1998</t>
  </si>
  <si>
    <t>Oct 05, 1998</t>
  </si>
  <si>
    <t>Oct 12, 1998</t>
  </si>
  <si>
    <t>Oct 19, 1998</t>
  </si>
  <si>
    <t>Oct 26, 1998</t>
  </si>
  <si>
    <t>Nov 02, 1998</t>
  </si>
  <si>
    <t>Nov 09, 1998</t>
  </si>
  <si>
    <t>Nov 16, 1998</t>
  </si>
  <si>
    <t>Nov 23, 1998</t>
  </si>
  <si>
    <t>Nov 30, 1998</t>
  </si>
  <si>
    <t>Dec 07, 1998</t>
  </si>
  <si>
    <t>Dec 14, 1998</t>
  </si>
  <si>
    <t>Dec 21, 1998</t>
  </si>
  <si>
    <t>Dec 28, 1998</t>
  </si>
  <si>
    <t>Jan 04, 1999</t>
  </si>
  <si>
    <t>Jan 11, 1999</t>
  </si>
  <si>
    <t>Jan 18, 1999</t>
  </si>
  <si>
    <t>Jan 25, 1999</t>
  </si>
  <si>
    <t>Feb 01, 1999</t>
  </si>
  <si>
    <t>Feb 08, 1999</t>
  </si>
  <si>
    <t>Feb 15, 1999</t>
  </si>
  <si>
    <t>Feb 22, 1999</t>
  </si>
  <si>
    <t>Mar 01, 1999</t>
  </si>
  <si>
    <t>Mar 08, 1999</t>
  </si>
  <si>
    <t>Mar 15, 1999</t>
  </si>
  <si>
    <t>Mar 22, 1999</t>
  </si>
  <si>
    <t>Mar 29, 1999</t>
  </si>
  <si>
    <t>Apr 05, 1999</t>
  </si>
  <si>
    <t>Apr 12, 1999</t>
  </si>
  <si>
    <t>Apr 19, 1999</t>
  </si>
  <si>
    <t>Apr 26, 1999</t>
  </si>
  <si>
    <t>May 03, 1999</t>
  </si>
  <si>
    <t>May 10, 1999</t>
  </si>
  <si>
    <t>May 17, 1999</t>
  </si>
  <si>
    <t>May 24, 1999</t>
  </si>
  <si>
    <t>May 31, 1999</t>
  </si>
  <si>
    <t>Jun 07, 1999</t>
  </si>
  <si>
    <t>Jun 14, 1999</t>
  </si>
  <si>
    <t>Jun 21, 1999</t>
  </si>
  <si>
    <t>Jun 28, 1999</t>
  </si>
  <si>
    <t>Jul 05, 1999</t>
  </si>
  <si>
    <t>Jul 12, 1999</t>
  </si>
  <si>
    <t>Jul 19, 1999</t>
  </si>
  <si>
    <t>Jul 26, 1999</t>
  </si>
  <si>
    <t>Aug 02, 1999</t>
  </si>
  <si>
    <t>Aug 09, 1999</t>
  </si>
  <si>
    <t>Aug 16, 1999</t>
  </si>
  <si>
    <t>Aug 23, 1999</t>
  </si>
  <si>
    <t>Aug 30, 1999</t>
  </si>
  <si>
    <t>Sep 06, 1999</t>
  </si>
  <si>
    <t>Sep 13, 1999</t>
  </si>
  <si>
    <t>Sep 20, 1999</t>
  </si>
  <si>
    <t>Sep 27, 1999</t>
  </si>
  <si>
    <t>Oct 04, 1999</t>
  </si>
  <si>
    <t>Oct 11, 1999</t>
  </si>
  <si>
    <t>Oct 18, 1999</t>
  </si>
  <si>
    <t>Oct 25, 1999</t>
  </si>
  <si>
    <t>Nov 01, 1999</t>
  </si>
  <si>
    <t>Nov 08, 1999</t>
  </si>
  <si>
    <t>Nov 15, 1999</t>
  </si>
  <si>
    <t>Nov 22, 1999</t>
  </si>
  <si>
    <t>Nov 29, 1999</t>
  </si>
  <si>
    <t>Dec 06, 1999</t>
  </si>
  <si>
    <t>Dec 13, 1999</t>
  </si>
  <si>
    <t>Dec 20, 1999</t>
  </si>
  <si>
    <t>Dec 27, 1999</t>
  </si>
  <si>
    <t>Jan 03, 2000</t>
  </si>
  <si>
    <t>Jan 10, 2000</t>
  </si>
  <si>
    <t>Jan 17, 2000</t>
  </si>
  <si>
    <t>Jan 24, 2000</t>
  </si>
  <si>
    <t>Jan 31, 2000</t>
  </si>
  <si>
    <t>Feb 07, 2000</t>
  </si>
  <si>
    <t>Feb 14, 2000</t>
  </si>
  <si>
    <t>Feb 21, 2000</t>
  </si>
  <si>
    <t>Feb 28, 2000</t>
  </si>
  <si>
    <t>Mar 06, 2000</t>
  </si>
  <si>
    <t>Mar 13, 2000</t>
  </si>
  <si>
    <t>Mar 20, 2000</t>
  </si>
  <si>
    <t>Mar 27, 2000</t>
  </si>
  <si>
    <t>Apr 03, 2000</t>
  </si>
  <si>
    <t>Apr 10, 2000</t>
  </si>
  <si>
    <t>Apr 17, 2000</t>
  </si>
  <si>
    <t>Apr 24, 2000</t>
  </si>
  <si>
    <t>May 01, 2000</t>
  </si>
  <si>
    <t>May 08, 2000</t>
  </si>
  <si>
    <t>May 15, 2000</t>
  </si>
  <si>
    <t>May 22, 2000</t>
  </si>
  <si>
    <t>May 29, 2000</t>
  </si>
  <si>
    <t>Jun 05, 2000</t>
  </si>
  <si>
    <t>Jun 12, 2000</t>
  </si>
  <si>
    <t>Jun 19, 2000</t>
  </si>
  <si>
    <t>Jun 26, 2000</t>
  </si>
  <si>
    <t>Jul 03, 2000</t>
  </si>
  <si>
    <t>Jul 10, 2000</t>
  </si>
  <si>
    <t>Jul 17, 2000</t>
  </si>
  <si>
    <t>Jul 24, 2000</t>
  </si>
  <si>
    <t>Jul 31, 2000</t>
  </si>
  <si>
    <t>Aug 07, 2000</t>
  </si>
  <si>
    <t>Aug 14, 2000</t>
  </si>
  <si>
    <t>Aug 21, 2000</t>
  </si>
  <si>
    <t>Aug 28, 2000</t>
  </si>
  <si>
    <t>Sep 04, 2000</t>
  </si>
  <si>
    <t>Sep 11, 2000</t>
  </si>
  <si>
    <t>Sep 18, 2000</t>
  </si>
  <si>
    <t>Sep 25, 2000</t>
  </si>
  <si>
    <t>Oct 02, 2000</t>
  </si>
  <si>
    <t>Oct 09, 2000</t>
  </si>
  <si>
    <t>Oct 16, 2000</t>
  </si>
  <si>
    <t>Oct 23, 2000</t>
  </si>
  <si>
    <t>Oct 30, 2000</t>
  </si>
  <si>
    <t>Nov 06, 2000</t>
  </si>
  <si>
    <t>Nov 13, 2000</t>
  </si>
  <si>
    <t>Nov 20, 2000</t>
  </si>
  <si>
    <t>Nov 27, 2000</t>
  </si>
  <si>
    <t>Dec 04, 2000</t>
  </si>
  <si>
    <t>Dec 11, 2000</t>
  </si>
  <si>
    <t>Dec 18, 2000</t>
  </si>
  <si>
    <t>Dec 25, 2000</t>
  </si>
  <si>
    <t>Jan 01, 2001</t>
  </si>
  <si>
    <t>Jan 08, 2001</t>
  </si>
  <si>
    <t>Jan 15, 2001</t>
  </si>
  <si>
    <t>Jan 22, 2001</t>
  </si>
  <si>
    <t>Jan 29, 2001</t>
  </si>
  <si>
    <t>Feb 05, 2001</t>
  </si>
  <si>
    <t>Feb 12, 2001</t>
  </si>
  <si>
    <t>Feb 19, 2001</t>
  </si>
  <si>
    <t>Feb 26, 2001</t>
  </si>
  <si>
    <t>Mar 05, 2001</t>
  </si>
  <si>
    <t>Mar 12, 2001</t>
  </si>
  <si>
    <t>Mar 19, 2001</t>
  </si>
  <si>
    <t>Mar 26, 2001</t>
  </si>
  <si>
    <t>Apr 02, 2001</t>
  </si>
  <si>
    <t>Apr 09, 2001</t>
  </si>
  <si>
    <t>Apr 16, 2001</t>
  </si>
  <si>
    <t>Apr 23, 2001</t>
  </si>
  <si>
    <t>Apr 30, 2001</t>
  </si>
  <si>
    <t>May 07, 2001</t>
  </si>
  <si>
    <t>May 14, 2001</t>
  </si>
  <si>
    <t>May 21, 2001</t>
  </si>
  <si>
    <t>May 28, 2001</t>
  </si>
  <si>
    <t>Jun 04, 2001</t>
  </si>
  <si>
    <t>Jun 11, 2001</t>
  </si>
  <si>
    <t>Jun 18, 2001</t>
  </si>
  <si>
    <t>Jun 25, 2001</t>
  </si>
  <si>
    <t>Jul 02, 2001</t>
  </si>
  <si>
    <t>Jul 09, 2001</t>
  </si>
  <si>
    <t>Jul 16, 2001</t>
  </si>
  <si>
    <t>Jul 23, 2001</t>
  </si>
  <si>
    <t>Jul 30, 2001</t>
  </si>
  <si>
    <t>Aug 06, 2001</t>
  </si>
  <si>
    <t>Aug 13, 2001</t>
  </si>
  <si>
    <t>Aug 20, 2001</t>
  </si>
  <si>
    <t>Aug 27, 2001</t>
  </si>
  <si>
    <t>Sep 03, 2001</t>
  </si>
  <si>
    <t>Sep 10, 2001</t>
  </si>
  <si>
    <t>Sep 17, 2001</t>
  </si>
  <si>
    <t>Sep 24, 2001</t>
  </si>
  <si>
    <t>Oct 01, 2001</t>
  </si>
  <si>
    <t>Oct 08, 2001</t>
  </si>
  <si>
    <t>Oct 15, 2001</t>
  </si>
  <si>
    <t>Oct 22, 2001</t>
  </si>
  <si>
    <t>Oct 29, 2001</t>
  </si>
  <si>
    <t>Nov 05, 2001</t>
  </si>
  <si>
    <t>Nov 12, 2001</t>
  </si>
  <si>
    <t>Nov 19, 2001</t>
  </si>
  <si>
    <t>Nov 26, 2001</t>
  </si>
  <si>
    <t>Dec 03, 2001</t>
  </si>
  <si>
    <t>Dec 10, 2001</t>
  </si>
  <si>
    <t>Dec 17, 2001</t>
  </si>
  <si>
    <t>Dec 24, 2001</t>
  </si>
  <si>
    <t>Dec 31, 2001</t>
  </si>
  <si>
    <t>Jan 07, 2002</t>
  </si>
  <si>
    <t>Jan 14, 2002</t>
  </si>
  <si>
    <t>Jan 21, 2002</t>
  </si>
  <si>
    <t>Jan 28, 2002</t>
  </si>
  <si>
    <t>Feb 04, 2002</t>
  </si>
  <si>
    <t>Feb 11, 2002</t>
  </si>
  <si>
    <t>Feb 18, 2002</t>
  </si>
  <si>
    <t>Feb 25, 2002</t>
  </si>
  <si>
    <t>Mar 04, 2002</t>
  </si>
  <si>
    <t>Mar 11, 2002</t>
  </si>
  <si>
    <t>Mar 18, 2002</t>
  </si>
  <si>
    <t>Mar 25, 2002</t>
  </si>
  <si>
    <t>Apr 01, 2002</t>
  </si>
  <si>
    <t>Apr 08, 2002</t>
  </si>
  <si>
    <t>Apr 15, 2002</t>
  </si>
  <si>
    <t>Apr 22, 2002</t>
  </si>
  <si>
    <t>Apr 29, 2002</t>
  </si>
  <si>
    <t>May 06, 2002</t>
  </si>
  <si>
    <t>May 13, 2002</t>
  </si>
  <si>
    <t>May 20, 2002</t>
  </si>
  <si>
    <t>May 27, 2002</t>
  </si>
  <si>
    <t>Jun 03, 2002</t>
  </si>
  <si>
    <t>Jun 10, 2002</t>
  </si>
  <si>
    <t>Jun 17, 2002</t>
  </si>
  <si>
    <t>Jun 24, 2002</t>
  </si>
  <si>
    <t>Jul 01, 2002</t>
  </si>
  <si>
    <t>Jul 08, 2002</t>
  </si>
  <si>
    <t>Jul 15, 2002</t>
  </si>
  <si>
    <t>Jul 22, 2002</t>
  </si>
  <si>
    <t>Jul 29, 2002</t>
  </si>
  <si>
    <t>Aug 05, 2002</t>
  </si>
  <si>
    <t>Aug 12, 2002</t>
  </si>
  <si>
    <t>Aug 19, 2002</t>
  </si>
  <si>
    <t>Aug 26, 2002</t>
  </si>
  <si>
    <t>Sep 02, 2002</t>
  </si>
  <si>
    <t>Sep 09, 2002</t>
  </si>
  <si>
    <t>Sep 16, 2002</t>
  </si>
  <si>
    <t>Sep 23, 2002</t>
  </si>
  <si>
    <t>Sep 30, 2002</t>
  </si>
  <si>
    <t>Oct 07, 2002</t>
  </si>
  <si>
    <t>Oct 14, 2002</t>
  </si>
  <si>
    <t>Oct 21, 2002</t>
  </si>
  <si>
    <t>Oct 28, 2002</t>
  </si>
  <si>
    <t>Nov 04, 2002</t>
  </si>
  <si>
    <t>Nov 11, 2002</t>
  </si>
  <si>
    <t>Nov 18, 2002</t>
  </si>
  <si>
    <t>Nov 25, 2002</t>
  </si>
  <si>
    <t>Dec 02, 2002</t>
  </si>
  <si>
    <t>Dec 09, 2002</t>
  </si>
  <si>
    <t>Dec 16, 2002</t>
  </si>
  <si>
    <t>Dec 23, 2002</t>
  </si>
  <si>
    <t>Dec 30, 2002</t>
  </si>
  <si>
    <t>Jan 06, 2003</t>
  </si>
  <si>
    <t>Jan 13, 2003</t>
  </si>
  <si>
    <t>Jan 20, 2003</t>
  </si>
  <si>
    <t>Jan 27, 2003</t>
  </si>
  <si>
    <t>Feb 03, 2003</t>
  </si>
  <si>
    <t>Feb 10, 2003</t>
  </si>
  <si>
    <t>Feb 17, 2003</t>
  </si>
  <si>
    <t>Feb 24, 2003</t>
  </si>
  <si>
    <t>Mar 03, 2003</t>
  </si>
  <si>
    <t>Mar 10, 2003</t>
  </si>
  <si>
    <t>Mar 17, 2003</t>
  </si>
  <si>
    <t>Mar 24, 2003</t>
  </si>
  <si>
    <t>Mar 31, 2003</t>
  </si>
  <si>
    <t>Apr 07, 2003</t>
  </si>
  <si>
    <t>Apr 14, 2003</t>
  </si>
  <si>
    <t>Apr 21, 2003</t>
  </si>
  <si>
    <t>Apr 28, 2003</t>
  </si>
  <si>
    <t>May 05, 2003</t>
  </si>
  <si>
    <t>May 12, 2003</t>
  </si>
  <si>
    <t>May 19, 2003</t>
  </si>
  <si>
    <t>May 26, 2003</t>
  </si>
  <si>
    <t>Jun 02, 2003</t>
  </si>
  <si>
    <t>Jun 09, 2003</t>
  </si>
  <si>
    <t>Jun 16, 2003</t>
  </si>
  <si>
    <t>Jun 23, 2003</t>
  </si>
  <si>
    <t>Jun 30, 2003</t>
  </si>
  <si>
    <t>Jul 07, 2003</t>
  </si>
  <si>
    <t>Jul 14, 2003</t>
  </si>
  <si>
    <t>Jul 21, 2003</t>
  </si>
  <si>
    <t>Jul 28, 2003</t>
  </si>
  <si>
    <t>Aug 04, 2003</t>
  </si>
  <si>
    <t>Aug 11, 2003</t>
  </si>
  <si>
    <t>Aug 18, 2003</t>
  </si>
  <si>
    <t>Aug 25, 2003</t>
  </si>
  <si>
    <t>Sep 01, 2003</t>
  </si>
  <si>
    <t>Sep 08, 2003</t>
  </si>
  <si>
    <t>Sep 15, 2003</t>
  </si>
  <si>
    <t>Sep 22, 2003</t>
  </si>
  <si>
    <t>Sep 29, 2003</t>
  </si>
  <si>
    <t>Oct 06, 2003</t>
  </si>
  <si>
    <t>Oct 13, 2003</t>
  </si>
  <si>
    <t>Oct 20, 2003</t>
  </si>
  <si>
    <t>Oct 27, 2003</t>
  </si>
  <si>
    <t>Nov 03, 2003</t>
  </si>
  <si>
    <t>Nov 10, 2003</t>
  </si>
  <si>
    <t>Nov 17, 2003</t>
  </si>
  <si>
    <t>Nov 24, 2003</t>
  </si>
  <si>
    <t>Dec 01, 2003</t>
  </si>
  <si>
    <t>Jaramillo, P., S. Kahn Ribeiro, P. Newman, S. Dhar, O.E. Diemuodeke, T. Kajino, D.S. Lee, S.B. Nugroho, X. Ou, 
A.  Hammer  Strømman, J. Whitehead, 2022: Transport. In IPCC, 2022: Climate Change 2022: Mitigation of Climate 
Change. Contribution of Working Group III to the Sixth Assessment Report of the Intergovernmental Panel on 
Climate Change [P.R. Shukla, J. Skea, R. Slade, A. Al Khourdajie, R. van Diemen, D. McCollum, M. Pathak, S. Some, P. Vyas, 
R. Fradera, M. Belkacemi, A. Hasija, G. Lisboa, S. Luz, J. Malley, (eds.)]. Cambridge University Press, Cambridge, UK and 
New York, NY, USA. doi: 10.1017/9781009157926.01</t>
  </si>
  <si>
    <t>Dec 08, 2003</t>
  </si>
  <si>
    <t>Source_2</t>
  </si>
  <si>
    <t>Table 10.9</t>
  </si>
  <si>
    <t>Dec 15, 2003</t>
  </si>
  <si>
    <t>km per kilowatt hour</t>
  </si>
  <si>
    <t>MJ per vehicle km</t>
  </si>
  <si>
    <t>KWh per vehicle km</t>
  </si>
  <si>
    <t>Dec 22, 2003</t>
  </si>
  <si>
    <t>Vehicle km per KWh</t>
  </si>
  <si>
    <t>NK Perc</t>
  </si>
  <si>
    <t>F</t>
  </si>
  <si>
    <t>Dec 29, 2003</t>
  </si>
  <si>
    <t>Check</t>
  </si>
  <si>
    <t>Model measure</t>
  </si>
  <si>
    <t>Spark ignition ICEV Max</t>
  </si>
  <si>
    <t>Jan 05, 2004</t>
  </si>
  <si>
    <t>Jan 12, 2004</t>
  </si>
  <si>
    <t>Jan 19, 2004</t>
  </si>
  <si>
    <t>Jan 26, 2004</t>
  </si>
  <si>
    <t>Feb 02, 2004</t>
  </si>
  <si>
    <t>Feb 09, 2004</t>
  </si>
  <si>
    <t>Feb 16, 2004</t>
  </si>
  <si>
    <t>Feb 23, 2004</t>
  </si>
  <si>
    <t>Mar 01, 2004</t>
  </si>
  <si>
    <t>Mar 08, 2004</t>
  </si>
  <si>
    <t>Mar 15, 2004</t>
  </si>
  <si>
    <t>Mar 22, 2004</t>
  </si>
  <si>
    <t>Spark ignition ICEV Min</t>
  </si>
  <si>
    <t>Mar 29, 2004</t>
  </si>
  <si>
    <t>Apr 05, 2004</t>
  </si>
  <si>
    <t>Apr 12, 2004</t>
  </si>
  <si>
    <t>Apr 19, 2004</t>
  </si>
  <si>
    <t>Apr 26, 2004</t>
  </si>
  <si>
    <t>May 03, 2004</t>
  </si>
  <si>
    <t>KWh per Megajoule</t>
  </si>
  <si>
    <t>May 10, 2004</t>
  </si>
  <si>
    <t>May 17, 2004</t>
  </si>
  <si>
    <t>May 24, 2004</t>
  </si>
  <si>
    <t>May 31, 2004</t>
  </si>
  <si>
    <t>Jun 07, 2004</t>
  </si>
  <si>
    <t>Jun 14, 2004</t>
  </si>
  <si>
    <t>Jun 21, 2004</t>
  </si>
  <si>
    <t>Jun 28, 2004</t>
  </si>
  <si>
    <t>Jul 05, 2004</t>
  </si>
  <si>
    <t>Jul 12, 2004</t>
  </si>
  <si>
    <t>Jul 19, 2004</t>
  </si>
  <si>
    <t>Jul 26, 2004</t>
  </si>
  <si>
    <t>Aug 02, 2004</t>
  </si>
  <si>
    <t>Aug 09, 2004</t>
  </si>
  <si>
    <t>Aug 16, 2004</t>
  </si>
  <si>
    <t>Aug 23, 2004</t>
  </si>
  <si>
    <t>Aug 30, 2004</t>
  </si>
  <si>
    <t>Sep 06, 2004</t>
  </si>
  <si>
    <t>Sep 13, 2004</t>
  </si>
  <si>
    <t>Sep 20, 2004</t>
  </si>
  <si>
    <t>Sep 27, 2004</t>
  </si>
  <si>
    <t>Oct 04, 2004</t>
  </si>
  <si>
    <t>Oct 11, 2004</t>
  </si>
  <si>
    <t>Oct 18, 2004</t>
  </si>
  <si>
    <t>Oct 25, 2004</t>
  </si>
  <si>
    <t>Nov 01, 2004</t>
  </si>
  <si>
    <t>Nov 08, 2004</t>
  </si>
  <si>
    <t>Nov 15, 2004</t>
  </si>
  <si>
    <t>Nov 22, 2004</t>
  </si>
  <si>
    <t>Nov 29, 2004</t>
  </si>
  <si>
    <t>Dec 06, 2004</t>
  </si>
  <si>
    <t>Dec 13, 2004</t>
  </si>
  <si>
    <t>Dec 20, 2004</t>
  </si>
  <si>
    <t>Dec 27, 2004</t>
  </si>
  <si>
    <t>Jan 03, 2005</t>
  </si>
  <si>
    <t>Jan 10, 2005</t>
  </si>
  <si>
    <t>Jan 17, 2005</t>
  </si>
  <si>
    <t>Jan 24, 2005</t>
  </si>
  <si>
    <t>Model Measure</t>
  </si>
  <si>
    <t>Jan 31, 2005</t>
  </si>
  <si>
    <t>Feb 07, 2005</t>
  </si>
  <si>
    <t>Feb 14, 2005</t>
  </si>
  <si>
    <t>Feb 21, 2005</t>
  </si>
  <si>
    <t>Feb 28, 2005</t>
  </si>
  <si>
    <t>Mar 07, 2005</t>
  </si>
  <si>
    <t>Mar 14, 2005</t>
  </si>
  <si>
    <t>Mar 21, 2005</t>
  </si>
  <si>
    <t>Mar 28, 2005</t>
  </si>
  <si>
    <t>Apr 04, 2005</t>
  </si>
  <si>
    <t>Apr 11, 2005</t>
  </si>
  <si>
    <t>Apr 18, 2005</t>
  </si>
  <si>
    <t>Apr 25, 2005</t>
  </si>
  <si>
    <t>May 02, 2005</t>
  </si>
  <si>
    <t>May 09, 2005</t>
  </si>
  <si>
    <t>May 16, 2005</t>
  </si>
  <si>
    <t>May 23, 2005</t>
  </si>
  <si>
    <t>May 30, 2005</t>
  </si>
  <si>
    <t>Jun 06, 2005</t>
  </si>
  <si>
    <t>Jun 13, 2005</t>
  </si>
  <si>
    <t>Jun 20, 2005</t>
  </si>
  <si>
    <t>Jun 27, 2005</t>
  </si>
  <si>
    <t>Jul 04, 2005</t>
  </si>
  <si>
    <t>Jul 11, 2005</t>
  </si>
  <si>
    <t>Jul 18, 2005</t>
  </si>
  <si>
    <t>Jul 25, 2005</t>
  </si>
  <si>
    <t>Aug 01, 2005</t>
  </si>
  <si>
    <t>Aug 08, 2005</t>
  </si>
  <si>
    <t>Aug 15, 2005</t>
  </si>
  <si>
    <t>Aug 22, 2005</t>
  </si>
  <si>
    <t>Aug 29, 2005</t>
  </si>
  <si>
    <t>Sep 05, 2005</t>
  </si>
  <si>
    <t>Sep 12, 2005</t>
  </si>
  <si>
    <t>Sep 19, 2005</t>
  </si>
  <si>
    <t>Sep 26, 2005</t>
  </si>
  <si>
    <t>Oct 03, 2005</t>
  </si>
  <si>
    <t>Oct 10, 2005</t>
  </si>
  <si>
    <t>Oct 17, 2005</t>
  </si>
  <si>
    <t>Oct 24, 2005</t>
  </si>
  <si>
    <t>Oct 31, 2005</t>
  </si>
  <si>
    <t>Nov 07, 2005</t>
  </si>
  <si>
    <t>Nov 14, 2005</t>
  </si>
  <si>
    <t>Nov 21, 2005</t>
  </si>
  <si>
    <t>Nov 28, 2005</t>
  </si>
  <si>
    <t>Dec 05, 2005</t>
  </si>
  <si>
    <t>Dec 12, 2005</t>
  </si>
  <si>
    <t>Dec 19, 2005</t>
  </si>
  <si>
    <t>Dec 26, 2005</t>
  </si>
  <si>
    <t>Jan 02, 2006</t>
  </si>
  <si>
    <t>Jan 09, 2006</t>
  </si>
  <si>
    <t>Jan 16, 2006</t>
  </si>
  <si>
    <t>Jan 23, 2006</t>
  </si>
  <si>
    <t>Jan 30, 2006</t>
  </si>
  <si>
    <t>Feb 06, 2006</t>
  </si>
  <si>
    <t>Feb 13, 2006</t>
  </si>
  <si>
    <t>Feb 20, 2006</t>
  </si>
  <si>
    <t>Feb 27, 2006</t>
  </si>
  <si>
    <t>Mar 06, 2006</t>
  </si>
  <si>
    <t>Price range 2015</t>
  </si>
  <si>
    <t>Price range 2020</t>
  </si>
  <si>
    <t>Mar 13, 2006</t>
  </si>
  <si>
    <t>Mark-up range 2015</t>
  </si>
  <si>
    <t>Estimated cost</t>
  </si>
  <si>
    <t>NK perc</t>
  </si>
  <si>
    <t>Mar 20, 2006</t>
  </si>
  <si>
    <t>(F+,F-=0)</t>
  </si>
  <si>
    <t>Mar 27, 2006</t>
  </si>
  <si>
    <t>Measure</t>
  </si>
  <si>
    <t>Thousands of dollars</t>
  </si>
  <si>
    <t>IQ+</t>
  </si>
  <si>
    <t>Apr 03, 2006</t>
  </si>
  <si>
    <t>Apr 10, 2006</t>
  </si>
  <si>
    <t>Apr 17, 2006</t>
  </si>
  <si>
    <t>Apr 24, 2006</t>
  </si>
  <si>
    <t>May 01, 2006</t>
  </si>
  <si>
    <t>May 08, 2006</t>
  </si>
  <si>
    <t>May 15, 2006</t>
  </si>
  <si>
    <t>May 22, 2006</t>
  </si>
  <si>
    <t>May 29, 2006</t>
  </si>
  <si>
    <t>Jun 05, 2006</t>
  </si>
  <si>
    <t>Jun 12, 2006</t>
  </si>
  <si>
    <t>Jun 19, 2006</t>
  </si>
  <si>
    <t>Jun 26, 2006</t>
  </si>
  <si>
    <t>Jul 03, 2006</t>
  </si>
  <si>
    <t>Jul 10, 2006</t>
  </si>
  <si>
    <t>Jul 17, 2006</t>
  </si>
  <si>
    <t>IQ-</t>
  </si>
  <si>
    <t>Jul 24, 2006</t>
  </si>
  <si>
    <t>Jul 31, 2006</t>
  </si>
  <si>
    <t>Aug 07, 2006</t>
  </si>
  <si>
    <t>Aug 14, 2006</t>
  </si>
  <si>
    <t>Aug 21, 2006</t>
  </si>
  <si>
    <t>The disparity is because the prices are actually not normally distributed !</t>
  </si>
  <si>
    <t>But! In the NK landscape they can be normally distributed, reality of course has much more cheaper than expensive cars due to competition</t>
  </si>
  <si>
    <t>Aug 28, 2006</t>
  </si>
  <si>
    <t xml:space="preserve">Precisely because of that, and because the paper only reports interquartiles, we take only the mean to derive the upper bound of the NK </t>
  </si>
  <si>
    <t>Sep 04, 2006</t>
  </si>
  <si>
    <t>Sep 11, 2006</t>
  </si>
  <si>
    <t>Sep 18, 2006</t>
  </si>
  <si>
    <t>Sep 25, 2006</t>
  </si>
  <si>
    <t>Oct 02, 2006</t>
  </si>
  <si>
    <t>Oct 09, 2006</t>
  </si>
  <si>
    <t>Oct 16, 2006</t>
  </si>
  <si>
    <t>Oct 23, 2006</t>
  </si>
  <si>
    <t>Oct 30, 2006</t>
  </si>
  <si>
    <t>Nov 06, 2006</t>
  </si>
  <si>
    <t>Nov 13, 2006</t>
  </si>
  <si>
    <t>Nov 20, 2006</t>
  </si>
  <si>
    <t>Nov 27, 2006</t>
  </si>
  <si>
    <t>Dec 04, 2006</t>
  </si>
  <si>
    <t>Dec 11, 2006</t>
  </si>
  <si>
    <t>Dec 18, 2006</t>
  </si>
  <si>
    <t>Dec 25, 2006</t>
  </si>
  <si>
    <t>Jan 01, 2007</t>
  </si>
  <si>
    <t>Jan 08, 2007</t>
  </si>
  <si>
    <t>Jan 15, 2007</t>
  </si>
  <si>
    <t>Jan 22, 2007</t>
  </si>
  <si>
    <t>Jan 29, 2007</t>
  </si>
  <si>
    <t>Feb 05, 2007</t>
  </si>
  <si>
    <t>Feb 12, 2007</t>
  </si>
  <si>
    <t>Feb 19, 2007</t>
  </si>
  <si>
    <t>Feb 26, 2007</t>
  </si>
  <si>
    <t>Mar 05, 2007</t>
  </si>
  <si>
    <t>Mar 12, 2007</t>
  </si>
  <si>
    <t>Mar 19, 2007</t>
  </si>
  <si>
    <t>Mar 26, 2007</t>
  </si>
  <si>
    <t>Apr 02, 2007</t>
  </si>
  <si>
    <t>Apr 09, 2007</t>
  </si>
  <si>
    <t>Apr 16, 2007</t>
  </si>
  <si>
    <t>Apr 23, 2007</t>
  </si>
  <si>
    <t>Apr 30, 2007</t>
  </si>
  <si>
    <t>May 07, 2007</t>
  </si>
  <si>
    <t>May 14, 2007</t>
  </si>
  <si>
    <t>May 21, 2007</t>
  </si>
  <si>
    <t>May 28, 2007</t>
  </si>
  <si>
    <t>Jun 04, 2007</t>
  </si>
  <si>
    <t>Jun 11, 2007</t>
  </si>
  <si>
    <t>Jun 18, 2007</t>
  </si>
  <si>
    <t>Jun 25, 2007</t>
  </si>
  <si>
    <t>Jul 02, 2007</t>
  </si>
  <si>
    <t>Jul 09, 2007</t>
  </si>
  <si>
    <t>Jul 16, 2007</t>
  </si>
  <si>
    <t>Jul 23, 2007</t>
  </si>
  <si>
    <t>Jul 30, 2007</t>
  </si>
  <si>
    <t>Aug 06, 2007</t>
  </si>
  <si>
    <t>Aug 13, 2007</t>
  </si>
  <si>
    <t>Aug 20, 2007</t>
  </si>
  <si>
    <t>Aug 27, 2007</t>
  </si>
  <si>
    <t>Sep 03, 2007</t>
  </si>
  <si>
    <t>Sep 10, 2007</t>
  </si>
  <si>
    <t>Sep 17, 2007</t>
  </si>
  <si>
    <t>Sep 24, 2007</t>
  </si>
  <si>
    <t>Oct 01, 2007</t>
  </si>
  <si>
    <t>Oct 08, 2007</t>
  </si>
  <si>
    <t>Oct 15, 2007</t>
  </si>
  <si>
    <t>Oct 22, 2007</t>
  </si>
  <si>
    <t>Car</t>
  </si>
  <si>
    <t>Tank Size (gal)</t>
  </si>
  <si>
    <t>Oct 29, 2007</t>
  </si>
  <si>
    <t>Tank Size (kWhr)</t>
  </si>
  <si>
    <t>Links</t>
  </si>
  <si>
    <t>Nov 05, 2007</t>
  </si>
  <si>
    <t>https://www.cncda.org/wp-content/uploads/Cal-Covering-4Q-20.pdf</t>
  </si>
  <si>
    <t>Nov 12, 2007</t>
  </si>
  <si>
    <t>Nov 19, 2007</t>
  </si>
  <si>
    <t>Nov 26, 2007</t>
  </si>
  <si>
    <t>Dec 03, 2007</t>
  </si>
  <si>
    <t>Dec 10, 2007</t>
  </si>
  <si>
    <t>Dec 17, 2007</t>
  </si>
  <si>
    <t>Dec 24, 2007</t>
  </si>
  <si>
    <t>Dec 31, 2007</t>
  </si>
  <si>
    <t>Jan 07, 2008</t>
  </si>
  <si>
    <t>Honda Civic</t>
  </si>
  <si>
    <t>Jan 14, 2008</t>
  </si>
  <si>
    <t>Jan 21, 2008</t>
  </si>
  <si>
    <t>Jan 28, 2008</t>
  </si>
  <si>
    <t>https://www.fueleconomy.gov/feg/Find.do?action=sbs&amp;id=42152</t>
  </si>
  <si>
    <t>Feb 04, 2008</t>
  </si>
  <si>
    <t>Feb 11, 2008</t>
  </si>
  <si>
    <t>Feb 18, 2008</t>
  </si>
  <si>
    <t>Feb 25, 2008</t>
  </si>
  <si>
    <t>Mar 03, 2008</t>
  </si>
  <si>
    <t>Mar 10, 2008</t>
  </si>
  <si>
    <t>Mar 17, 2008</t>
  </si>
  <si>
    <t>kWhr</t>
  </si>
  <si>
    <t>Toyota Camry</t>
  </si>
  <si>
    <t>Mar 24, 2008</t>
  </si>
  <si>
    <t>Mar 31, 2008</t>
  </si>
  <si>
    <t>https://www.fueleconomy.gov/feg/Find.do?action=sbs&amp;id=42015</t>
  </si>
  <si>
    <t>Apr 07, 2008</t>
  </si>
  <si>
    <t>Apr 14, 2008</t>
  </si>
  <si>
    <t>Apr 21, 2008</t>
  </si>
  <si>
    <t>Toyota Corolla</t>
  </si>
  <si>
    <t>Apr 28, 2008</t>
  </si>
  <si>
    <t>https://www.fueleconomy.gov/feg/Find.do?action=sbs&amp;id=41213</t>
  </si>
  <si>
    <t>May 05, 2008</t>
  </si>
  <si>
    <t>May 12, 2008</t>
  </si>
  <si>
    <t>May 19, 2008</t>
  </si>
  <si>
    <t>May 26, 2008</t>
  </si>
  <si>
    <t>Take most sold cars in california 4th Quater 2020 (&gt; 50000 registrations)</t>
  </si>
  <si>
    <t>Honda Accord</t>
  </si>
  <si>
    <t>Jun 02, 2008</t>
  </si>
  <si>
    <t>https://www.fueleconomy.gov/feg/Find.do?action=sbs&amp;id=42070</t>
  </si>
  <si>
    <t>Jun 09, 2008</t>
  </si>
  <si>
    <t>Jun 16, 2008</t>
  </si>
  <si>
    <t>Jun 23, 2008</t>
  </si>
  <si>
    <t>take the average tank size</t>
  </si>
  <si>
    <t>Jun 30, 2008</t>
  </si>
  <si>
    <t>Gallons to kWhr</t>
  </si>
  <si>
    <t>Average (kWhr)</t>
  </si>
  <si>
    <t>Jul 07, 2008</t>
  </si>
  <si>
    <t>Jul 14, 2008</t>
  </si>
  <si>
    <t>Jul 21, 2008</t>
  </si>
  <si>
    <t>Jul 28, 2008</t>
  </si>
  <si>
    <t>Average (Model Measure)</t>
  </si>
  <si>
    <t>Aug 04, 2008</t>
  </si>
  <si>
    <t>Aug 11, 2008</t>
  </si>
  <si>
    <t>Aug 18, 2008</t>
  </si>
  <si>
    <t>Aug 25, 2008</t>
  </si>
  <si>
    <t>Sep 01, 2008</t>
  </si>
  <si>
    <t>Sep 08, 2008</t>
  </si>
  <si>
    <t>Sep 15, 2008</t>
  </si>
  <si>
    <t>Sep 22, 2008</t>
  </si>
  <si>
    <t>Sep 29, 2008</t>
  </si>
  <si>
    <t>Oct 06, 2008</t>
  </si>
  <si>
    <t>Oct 13, 2008</t>
  </si>
  <si>
    <t>Oct 20, 2008</t>
  </si>
  <si>
    <t>Oct 27, 2008</t>
  </si>
  <si>
    <t>Nov 03, 2008</t>
  </si>
  <si>
    <t>Nov 10, 2008</t>
  </si>
  <si>
    <t>Nov 17, 2008</t>
  </si>
  <si>
    <t>Nov 24, 2008</t>
  </si>
  <si>
    <t>Dec 01, 2008</t>
  </si>
  <si>
    <t>Dec 08, 2008</t>
  </si>
  <si>
    <t>Dec 15, 2008</t>
  </si>
  <si>
    <t>Dec 22, 2008</t>
  </si>
  <si>
    <t>Dec 29, 2008</t>
  </si>
  <si>
    <t>Jan 05, 2009</t>
  </si>
  <si>
    <t>Jan 12, 2009</t>
  </si>
  <si>
    <t>Jan 19, 2009</t>
  </si>
  <si>
    <t>Jan 26, 2009</t>
  </si>
  <si>
    <t>Feb 02, 2009</t>
  </si>
  <si>
    <t>Feb 09, 2009</t>
  </si>
  <si>
    <t>Feb 16, 2009</t>
  </si>
  <si>
    <t>Feb 23, 2009</t>
  </si>
  <si>
    <t>Mar 02, 2009</t>
  </si>
  <si>
    <t>Mar 09, 2009</t>
  </si>
  <si>
    <t>Mar 16, 2009</t>
  </si>
  <si>
    <t>Mar 23, 2009</t>
  </si>
  <si>
    <t>Mar 30, 2009</t>
  </si>
  <si>
    <t>Apr 06, 2009</t>
  </si>
  <si>
    <t>Apr 13, 2009</t>
  </si>
  <si>
    <t>Apr 20, 2009</t>
  </si>
  <si>
    <t>Apr 27, 2009</t>
  </si>
  <si>
    <t>May 04, 2009</t>
  </si>
  <si>
    <t>May 11, 2009</t>
  </si>
  <si>
    <t>May 18, 2009</t>
  </si>
  <si>
    <t>May 25, 2009</t>
  </si>
  <si>
    <t>Jun 01, 2009</t>
  </si>
  <si>
    <t>Jun 08, 2009</t>
  </si>
  <si>
    <t>Jun 15, 2009</t>
  </si>
  <si>
    <t>Jun 22, 2009</t>
  </si>
  <si>
    <t>Jun 29, 2009</t>
  </si>
  <si>
    <t>Jul 06, 2009</t>
  </si>
  <si>
    <t>Jul 13, 2009</t>
  </si>
  <si>
    <t>Jul 20, 2009</t>
  </si>
  <si>
    <t>Jul 27, 2009</t>
  </si>
  <si>
    <t>Aug 03, 2009</t>
  </si>
  <si>
    <t>Aug 10, 2009</t>
  </si>
  <si>
    <t>Aug 17, 2009</t>
  </si>
  <si>
    <t>Aug 24, 2009</t>
  </si>
  <si>
    <t>Aug 31, 2009</t>
  </si>
  <si>
    <t>Sep 07, 2009</t>
  </si>
  <si>
    <t>Sep 14, 2009</t>
  </si>
  <si>
    <t>Sep 21, 2009</t>
  </si>
  <si>
    <t>Sep 28, 2009</t>
  </si>
  <si>
    <t>Oct 05, 2009</t>
  </si>
  <si>
    <t>Oct 12, 2009</t>
  </si>
  <si>
    <t>Oct 19, 2009</t>
  </si>
  <si>
    <t>Oct 26, 2009</t>
  </si>
  <si>
    <t>Nov 02, 2009</t>
  </si>
  <si>
    <t>Nov 09, 2009</t>
  </si>
  <si>
    <t>Nov 16, 2009</t>
  </si>
  <si>
    <t>Nov 23, 2009</t>
  </si>
  <si>
    <t>Nov 30, 2009</t>
  </si>
  <si>
    <t>Dec 07, 2009</t>
  </si>
  <si>
    <t>Dec 14, 2009</t>
  </si>
  <si>
    <t>Dec 21, 2009</t>
  </si>
  <si>
    <t>Dec 28, 2009</t>
  </si>
  <si>
    <t>Jan 04, 2010</t>
  </si>
  <si>
    <t>Jan 11, 2010</t>
  </si>
  <si>
    <t>Jan 18, 2010</t>
  </si>
  <si>
    <t>Jan 25, 2010</t>
  </si>
  <si>
    <t>Feb 01, 2010</t>
  </si>
  <si>
    <t>Feb 08, 2010</t>
  </si>
  <si>
    <t>Feb 15, 2010</t>
  </si>
  <si>
    <t>Feb 22, 2010</t>
  </si>
  <si>
    <t>Mar 01, 2010</t>
  </si>
  <si>
    <t>Mar 08, 2010</t>
  </si>
  <si>
    <t>Mar 15, 2010</t>
  </si>
  <si>
    <t>Mar 22, 2010</t>
  </si>
  <si>
    <t>Mar 29, 2010</t>
  </si>
  <si>
    <t>Apr 05, 2010</t>
  </si>
  <si>
    <t>Apr 12, 2010</t>
  </si>
  <si>
    <t>Apr 19, 2010</t>
  </si>
  <si>
    <t>Apr 26, 2010</t>
  </si>
  <si>
    <t>May 03, 2010</t>
  </si>
  <si>
    <t>May 10, 2010</t>
  </si>
  <si>
    <t>May 17, 2010</t>
  </si>
  <si>
    <t>May 24, 2010</t>
  </si>
  <si>
    <t>May 31, 2010</t>
  </si>
  <si>
    <t>Jun 07, 2010</t>
  </si>
  <si>
    <t>Jun 14, 2010</t>
  </si>
  <si>
    <t>Jun 21, 2010</t>
  </si>
  <si>
    <t>Jun 28, 2010</t>
  </si>
  <si>
    <t>Jul 05, 2010</t>
  </si>
  <si>
    <t>Jul 12, 2010</t>
  </si>
  <si>
    <t>Jul 19, 2010</t>
  </si>
  <si>
    <t>Jul 26, 2010</t>
  </si>
  <si>
    <t>Aug 02, 2010</t>
  </si>
  <si>
    <t>Aug 09, 2010</t>
  </si>
  <si>
    <t>Aug 16, 2010</t>
  </si>
  <si>
    <t>Aug 23, 2010</t>
  </si>
  <si>
    <t>Aug 30, 2010</t>
  </si>
  <si>
    <t>Sep 06, 2010</t>
  </si>
  <si>
    <t>Sep 13, 2010</t>
  </si>
  <si>
    <t>Sep 20, 2010</t>
  </si>
  <si>
    <t>Sep 27, 2010</t>
  </si>
  <si>
    <t>Oct 04, 2010</t>
  </si>
  <si>
    <t>Oct 11, 2010</t>
  </si>
  <si>
    <t>Oct 18, 2010</t>
  </si>
  <si>
    <t>Oct 25, 2010</t>
  </si>
  <si>
    <t>Nov 01, 2010</t>
  </si>
  <si>
    <t>Nov 08, 2010</t>
  </si>
  <si>
    <t>Nov 15, 2010</t>
  </si>
  <si>
    <t>Nov 22, 2010</t>
  </si>
  <si>
    <t>Nov 29, 2010</t>
  </si>
  <si>
    <t>Dec 06, 2010</t>
  </si>
  <si>
    <t>Dec 13, 2010</t>
  </si>
  <si>
    <t>Dec 20, 2010</t>
  </si>
  <si>
    <t>Dec 27, 2010</t>
  </si>
  <si>
    <t>Jan 03, 2011</t>
  </si>
  <si>
    <t>Jan 10, 2011</t>
  </si>
  <si>
    <t>Jan 17, 2011</t>
  </si>
  <si>
    <t>Jan 24, 2011</t>
  </si>
  <si>
    <t>Jan 31, 2011</t>
  </si>
  <si>
    <t>Feb 07, 2011</t>
  </si>
  <si>
    <t>Feb 14, 2011</t>
  </si>
  <si>
    <t>Feb 21, 2011</t>
  </si>
  <si>
    <t>Feb 28, 2011</t>
  </si>
  <si>
    <t>Mar 07, 2011</t>
  </si>
  <si>
    <t>Mar 14, 2011</t>
  </si>
  <si>
    <t>Mar 21, 2011</t>
  </si>
  <si>
    <t>Mar 28, 2011</t>
  </si>
  <si>
    <t>Apr 04, 2011</t>
  </si>
  <si>
    <t>Apr 11, 2011</t>
  </si>
  <si>
    <t>Apr 18, 2011</t>
  </si>
  <si>
    <t>Apr 25, 2011</t>
  </si>
  <si>
    <t>May 02, 2011</t>
  </si>
  <si>
    <t>May 09, 2011</t>
  </si>
  <si>
    <t>May 16, 2011</t>
  </si>
  <si>
    <t>May 23, 2011</t>
  </si>
  <si>
    <t>May 30, 2011</t>
  </si>
  <si>
    <t>Jun 06, 2011</t>
  </si>
  <si>
    <t>Jun 13, 2011</t>
  </si>
  <si>
    <t>Jun 20, 2011</t>
  </si>
  <si>
    <t>Jun 27, 2011</t>
  </si>
  <si>
    <t>Jul 04, 2011</t>
  </si>
  <si>
    <t>Jul 11, 2011</t>
  </si>
  <si>
    <t>Jul 18, 2011</t>
  </si>
  <si>
    <t>Jul 25, 2011</t>
  </si>
  <si>
    <t>Aug 01, 2011</t>
  </si>
  <si>
    <t>Aug 08, 2011</t>
  </si>
  <si>
    <t>Aug 15, 2011</t>
  </si>
  <si>
    <t>Aug 22, 2011</t>
  </si>
  <si>
    <t>Aug 29, 2011</t>
  </si>
  <si>
    <t>Sep 05, 2011</t>
  </si>
  <si>
    <t>Sep 12, 2011</t>
  </si>
  <si>
    <t>Sep 19, 2011</t>
  </si>
  <si>
    <t>Sep 26, 2011</t>
  </si>
  <si>
    <t>Oct 03, 2011</t>
  </si>
  <si>
    <t>Oct 10, 2011</t>
  </si>
  <si>
    <t>Oct 17, 2011</t>
  </si>
  <si>
    <t>Oct 24, 2011</t>
  </si>
  <si>
    <t>Oct 31, 2011</t>
  </si>
  <si>
    <t>Nov 07, 2011</t>
  </si>
  <si>
    <t>Nov 14, 2011</t>
  </si>
  <si>
    <t>Nov 21, 2011</t>
  </si>
  <si>
    <t>Nov 28, 2011</t>
  </si>
  <si>
    <t>Dec 05, 2011</t>
  </si>
  <si>
    <t>Dec 12, 2011</t>
  </si>
  <si>
    <t>Dec 19, 2011</t>
  </si>
  <si>
    <t>Dec 26, 2011</t>
  </si>
  <si>
    <t>Jan 02, 2012</t>
  </si>
  <si>
    <t>Jan 09, 2012</t>
  </si>
  <si>
    <t>Jan 16, 2012</t>
  </si>
  <si>
    <t>Jan 23, 2012</t>
  </si>
  <si>
    <t>Jan 30, 2012</t>
  </si>
  <si>
    <t>Feb 06, 2012</t>
  </si>
  <si>
    <t>Feb 13, 2012</t>
  </si>
  <si>
    <t>Feb 20, 2012</t>
  </si>
  <si>
    <t>Feb 27, 2012</t>
  </si>
  <si>
    <t>Mar 05, 2012</t>
  </si>
  <si>
    <t>Mar 12, 2012</t>
  </si>
  <si>
    <t>Mar 19, 2012</t>
  </si>
  <si>
    <t>Mar 26, 2012</t>
  </si>
  <si>
    <t>Apr 02, 2012</t>
  </si>
  <si>
    <t>Apr 09, 2012</t>
  </si>
  <si>
    <t>Apr 16, 2012</t>
  </si>
  <si>
    <t>Apr 23, 2012</t>
  </si>
  <si>
    <t>Apr 30, 2012</t>
  </si>
  <si>
    <t>May 07, 2012</t>
  </si>
  <si>
    <t>May 14, 2012</t>
  </si>
  <si>
    <t>May 21, 2012</t>
  </si>
  <si>
    <t>May 28, 2012</t>
  </si>
  <si>
    <t>Jun 04, 2012</t>
  </si>
  <si>
    <t>Jun 11, 2012</t>
  </si>
  <si>
    <t>Jun 18, 2012</t>
  </si>
  <si>
    <t>Jun 25, 2012</t>
  </si>
  <si>
    <t>Jul 02, 2012</t>
  </si>
  <si>
    <t>Jul 09, 2012</t>
  </si>
  <si>
    <t>Jul 16, 2012</t>
  </si>
  <si>
    <t>Jul 23, 2012</t>
  </si>
  <si>
    <t>Jul 30, 2012</t>
  </si>
  <si>
    <t>Aug 06, 2012</t>
  </si>
  <si>
    <t>Aug 13, 2012</t>
  </si>
  <si>
    <t>Aug 20, 2012</t>
  </si>
  <si>
    <t>Aug 27, 2012</t>
  </si>
  <si>
    <t>Sep 03, 2012</t>
  </si>
  <si>
    <t>Sep 10, 2012</t>
  </si>
  <si>
    <t>Sep 17, 2012</t>
  </si>
  <si>
    <t>Sep 24, 2012</t>
  </si>
  <si>
    <t>Oct 01, 2012</t>
  </si>
  <si>
    <t>Oct 08, 2012</t>
  </si>
  <si>
    <t>Oct 15, 2012</t>
  </si>
  <si>
    <t>Oct 22, 2012</t>
  </si>
  <si>
    <t>Oct 29, 2012</t>
  </si>
  <si>
    <t>Nov 05, 2012</t>
  </si>
  <si>
    <t>Nov 12, 2012</t>
  </si>
  <si>
    <t>Nov 19, 2012</t>
  </si>
  <si>
    <t>Nov 26, 2012</t>
  </si>
  <si>
    <t>Dec 03, 2012</t>
  </si>
  <si>
    <t>Dec 10, 2012</t>
  </si>
  <si>
    <t>Dec 17, 2012</t>
  </si>
  <si>
    <t>Dec 24, 2012</t>
  </si>
  <si>
    <t>Dec 31, 2012</t>
  </si>
  <si>
    <t>Jan 07, 2013</t>
  </si>
  <si>
    <t>Jan 14, 2013</t>
  </si>
  <si>
    <t>Jan 21, 2013</t>
  </si>
  <si>
    <t>Jan 28, 2013</t>
  </si>
  <si>
    <t>Feb 04, 2013</t>
  </si>
  <si>
    <t>Feb 11, 2013</t>
  </si>
  <si>
    <t>Feb 18, 2013</t>
  </si>
  <si>
    <t>Feb 25, 2013</t>
  </si>
  <si>
    <t>Mar 04, 2013</t>
  </si>
  <si>
    <t>Mar 11, 2013</t>
  </si>
  <si>
    <t>Mar 18, 2013</t>
  </si>
  <si>
    <t>Mar 25, 2013</t>
  </si>
  <si>
    <t>Apr 01, 2013</t>
  </si>
  <si>
    <t>Apr 08, 2013</t>
  </si>
  <si>
    <t>Apr 15, 2013</t>
  </si>
  <si>
    <t>Apr 22, 2013</t>
  </si>
  <si>
    <t>Apr 29, 2013</t>
  </si>
  <si>
    <t>May 06, 2013</t>
  </si>
  <si>
    <t>May 13, 2013</t>
  </si>
  <si>
    <t>May 20, 2013</t>
  </si>
  <si>
    <t>May 27, 2013</t>
  </si>
  <si>
    <t>Jun 03, 2013</t>
  </si>
  <si>
    <t>Jun 10, 2013</t>
  </si>
  <si>
    <t>Jun 17, 2013</t>
  </si>
  <si>
    <t>Jun 24, 2013</t>
  </si>
  <si>
    <t>Jul 01, 2013</t>
  </si>
  <si>
    <t>Jul 08, 2013</t>
  </si>
  <si>
    <t>Jul 15, 2013</t>
  </si>
  <si>
    <t>Jul 22, 2013</t>
  </si>
  <si>
    <t>Jul 29, 2013</t>
  </si>
  <si>
    <t>Aug 05, 2013</t>
  </si>
  <si>
    <t>Aug 12, 2013</t>
  </si>
  <si>
    <t>Aug 19, 2013</t>
  </si>
  <si>
    <t>Aug 26, 2013</t>
  </si>
  <si>
    <t>Sep 02, 2013</t>
  </si>
  <si>
    <t>Sep 09, 2013</t>
  </si>
  <si>
    <t>Sep 16, 2013</t>
  </si>
  <si>
    <t>Sep 23, 2013</t>
  </si>
  <si>
    <t>Sep 30, 2013</t>
  </si>
  <si>
    <t>Oct 07, 2013</t>
  </si>
  <si>
    <t>Oct 14, 2013</t>
  </si>
  <si>
    <t>Oct 21, 2013</t>
  </si>
  <si>
    <t>Oct 28, 2013</t>
  </si>
  <si>
    <t>Nov 04, 2013</t>
  </si>
  <si>
    <t>Nov 11, 2013</t>
  </si>
  <si>
    <t>Nov 18, 2013</t>
  </si>
  <si>
    <t>Nov 25, 2013</t>
  </si>
  <si>
    <t>Dec 02, 2013</t>
  </si>
  <si>
    <t>Dec 09, 2013</t>
  </si>
  <si>
    <t>Dec 16, 2013</t>
  </si>
  <si>
    <t>Dec 23, 2013</t>
  </si>
  <si>
    <t>Dec 30, 2013</t>
  </si>
  <si>
    <t>Jan 06, 2014</t>
  </si>
  <si>
    <t>Jan 13, 2014</t>
  </si>
  <si>
    <t>Jan 20, 2014</t>
  </si>
  <si>
    <t>Jan 27, 2014</t>
  </si>
  <si>
    <t>Feb 03, 2014</t>
  </si>
  <si>
    <t>Feb 10, 2014</t>
  </si>
  <si>
    <t>Feb 17, 2014</t>
  </si>
  <si>
    <t>Feb 24, 2014</t>
  </si>
  <si>
    <t>Mar 03, 2014</t>
  </si>
  <si>
    <t>Mar 10, 2014</t>
  </si>
  <si>
    <t>Mar 17, 2014</t>
  </si>
  <si>
    <t>Mar 24, 2014</t>
  </si>
  <si>
    <t>Mar 31, 2014</t>
  </si>
  <si>
    <t>Apr 07, 2014</t>
  </si>
  <si>
    <t>Apr 14, 2014</t>
  </si>
  <si>
    <t>Apr 21, 2014</t>
  </si>
  <si>
    <t>Apr 28, 2014</t>
  </si>
  <si>
    <t>May 05, 2014</t>
  </si>
  <si>
    <t>May 12, 2014</t>
  </si>
  <si>
    <t>May 19, 2014</t>
  </si>
  <si>
    <t>May 26, 2014</t>
  </si>
  <si>
    <t>Jun 02, 2014</t>
  </si>
  <si>
    <t>Jun 09, 2014</t>
  </si>
  <si>
    <t>Jun 16, 2014</t>
  </si>
  <si>
    <t>Jun 23, 2014</t>
  </si>
  <si>
    <t>Jun 30, 2014</t>
  </si>
  <si>
    <t>Jul 07, 2014</t>
  </si>
  <si>
    <t>Jul 14, 2014</t>
  </si>
  <si>
    <t>Jul 21, 2014</t>
  </si>
  <si>
    <t>Jul 28, 2014</t>
  </si>
  <si>
    <t>Aug 04, 2014</t>
  </si>
  <si>
    <t>Aug 11, 2014</t>
  </si>
  <si>
    <t>Aug 18, 2014</t>
  </si>
  <si>
    <t>Aug 25, 2014</t>
  </si>
  <si>
    <t>Sep 01, 2014</t>
  </si>
  <si>
    <t>Sep 08, 2014</t>
  </si>
  <si>
    <t>Sep 15, 2014</t>
  </si>
  <si>
    <t>Sep 22, 2014</t>
  </si>
  <si>
    <t>Sep 29, 2014</t>
  </si>
  <si>
    <t>Oct 06, 2014</t>
  </si>
  <si>
    <t>Oct 13, 2014</t>
  </si>
  <si>
    <t>Oct 20, 2014</t>
  </si>
  <si>
    <t>Oct 27, 2014</t>
  </si>
  <si>
    <t>Nov 03, 2014</t>
  </si>
  <si>
    <t>Nov 10, 2014</t>
  </si>
  <si>
    <t>Nov 17, 2014</t>
  </si>
  <si>
    <t>Nov 24, 2014</t>
  </si>
  <si>
    <t>Dec 01, 2014</t>
  </si>
  <si>
    <t>Dec 08, 2014</t>
  </si>
  <si>
    <t>Dec 15, 2014</t>
  </si>
  <si>
    <t>Dec 22, 2014</t>
  </si>
  <si>
    <t>Dec 29, 2014</t>
  </si>
  <si>
    <t>Jan 05, 2015</t>
  </si>
  <si>
    <t>Jan 12, 2015</t>
  </si>
  <si>
    <t>Jan 19, 2015</t>
  </si>
  <si>
    <t>Jan 26, 2015</t>
  </si>
  <si>
    <t>Feb 02, 2015</t>
  </si>
  <si>
    <t>Feb 09, 2015</t>
  </si>
  <si>
    <t>Feb 16, 2015</t>
  </si>
  <si>
    <t>Feb 23, 2015</t>
  </si>
  <si>
    <t>Mar 02, 2015</t>
  </si>
  <si>
    <t>Mar 09, 2015</t>
  </si>
  <si>
    <t>Mar 16, 2015</t>
  </si>
  <si>
    <t>Mar 23, 2015</t>
  </si>
  <si>
    <t>Mar 30, 2015</t>
  </si>
  <si>
    <t>Apr 06, 2015</t>
  </si>
  <si>
    <t>Apr 13, 2015</t>
  </si>
  <si>
    <t>Apr 20, 2015</t>
  </si>
  <si>
    <t>Apr 27, 2015</t>
  </si>
  <si>
    <t>May 04, 2015</t>
  </si>
  <si>
    <t>May 11, 2015</t>
  </si>
  <si>
    <t>May 18, 2015</t>
  </si>
  <si>
    <t>May 25, 2015</t>
  </si>
  <si>
    <t>Jun 01, 2015</t>
  </si>
  <si>
    <t>Jun 08, 2015</t>
  </si>
  <si>
    <t>Jun 15, 2015</t>
  </si>
  <si>
    <t>Jun 22, 2015</t>
  </si>
  <si>
    <t>Jun 29, 2015</t>
  </si>
  <si>
    <t>Jul 06, 2015</t>
  </si>
  <si>
    <t>Jul 13, 2015</t>
  </si>
  <si>
    <t>Jul 20, 2015</t>
  </si>
  <si>
    <t>Jul 27, 2015</t>
  </si>
  <si>
    <t>Aug 03, 2015</t>
  </si>
  <si>
    <t>Aug 10, 2015</t>
  </si>
  <si>
    <t>Aug 17, 2015</t>
  </si>
  <si>
    <t>Aug 24, 2015</t>
  </si>
  <si>
    <t>Aug 31, 2015</t>
  </si>
  <si>
    <t>Sep 07, 2015</t>
  </si>
  <si>
    <t>Sep 14, 2015</t>
  </si>
  <si>
    <t>Sep 21, 2015</t>
  </si>
  <si>
    <t>Sep 28, 2015</t>
  </si>
  <si>
    <t>Oct 05, 2015</t>
  </si>
  <si>
    <t>Oct 12, 2015</t>
  </si>
  <si>
    <t>Oct 19, 2015</t>
  </si>
  <si>
    <t>Oct 26, 2015</t>
  </si>
  <si>
    <t>Nov 02, 2015</t>
  </si>
  <si>
    <t>Nov 09, 2015</t>
  </si>
  <si>
    <t>Nov 16, 2015</t>
  </si>
  <si>
    <t>Nov 23, 2015</t>
  </si>
  <si>
    <t>Nov 30, 2015</t>
  </si>
  <si>
    <t>Dec 07, 2015</t>
  </si>
  <si>
    <t>Dec 14, 2015</t>
  </si>
  <si>
    <t>Dec 21, 2015</t>
  </si>
  <si>
    <t>Dec 28, 2015</t>
  </si>
  <si>
    <t>Jan 04, 2016</t>
  </si>
  <si>
    <t>Jan 11, 2016</t>
  </si>
  <si>
    <t>Jan 18, 2016</t>
  </si>
  <si>
    <t>Jan 25, 2016</t>
  </si>
  <si>
    <t>Feb 01, 2016</t>
  </si>
  <si>
    <t>Feb 08, 2016</t>
  </si>
  <si>
    <t>Feb 15, 2016</t>
  </si>
  <si>
    <t>Feb 22, 2016</t>
  </si>
  <si>
    <t>Feb 29, 2016</t>
  </si>
  <si>
    <t>Mar 07, 2016</t>
  </si>
  <si>
    <t>Mar 14, 2016</t>
  </si>
  <si>
    <t>Mar 21, 2016</t>
  </si>
  <si>
    <t>Mar 28, 2016</t>
  </si>
  <si>
    <t>Apr 04, 2016</t>
  </si>
  <si>
    <t>Apr 11, 2016</t>
  </si>
  <si>
    <t>Apr 18, 2016</t>
  </si>
  <si>
    <t>Apr 25, 2016</t>
  </si>
  <si>
    <t>May 02, 2016</t>
  </si>
  <si>
    <t>May 09, 2016</t>
  </si>
  <si>
    <t>May 16, 2016</t>
  </si>
  <si>
    <t>May 23, 2016</t>
  </si>
  <si>
    <t>May 30, 2016</t>
  </si>
  <si>
    <t>Jun 06, 2016</t>
  </si>
  <si>
    <t>Jun 13, 2016</t>
  </si>
  <si>
    <t>Jun 20, 2016</t>
  </si>
  <si>
    <t>Jun 27, 2016</t>
  </si>
  <si>
    <t>Jul 04, 2016</t>
  </si>
  <si>
    <t>Jul 11, 2016</t>
  </si>
  <si>
    <t>Jul 18, 2016</t>
  </si>
  <si>
    <t>Jul 25, 2016</t>
  </si>
  <si>
    <t>Aug 01, 2016</t>
  </si>
  <si>
    <t>Aug 08, 2016</t>
  </si>
  <si>
    <t>Aug 15, 2016</t>
  </si>
  <si>
    <t>Aug 22, 2016</t>
  </si>
  <si>
    <t>Aug 29, 2016</t>
  </si>
  <si>
    <t>Sep 05, 2016</t>
  </si>
  <si>
    <t>Sep 12, 2016</t>
  </si>
  <si>
    <t>Sep 19, 2016</t>
  </si>
  <si>
    <t>Sep 26, 2016</t>
  </si>
  <si>
    <t>Oct 03, 2016</t>
  </si>
  <si>
    <t>Oct 10, 2016</t>
  </si>
  <si>
    <t>Oct 17, 2016</t>
  </si>
  <si>
    <t>Oct 24, 2016</t>
  </si>
  <si>
    <t>Oct 31, 2016</t>
  </si>
  <si>
    <t>Nov 07, 2016</t>
  </si>
  <si>
    <t>Nov 14, 2016</t>
  </si>
  <si>
    <t>Nov 21, 2016</t>
  </si>
  <si>
    <t>Nov 28, 2016</t>
  </si>
  <si>
    <t>Dec 05, 2016</t>
  </si>
  <si>
    <t>Dec 12, 2016</t>
  </si>
  <si>
    <t>Dec 19, 2016</t>
  </si>
  <si>
    <t>Dec 26, 2016</t>
  </si>
  <si>
    <t>Jan 02, 2017</t>
  </si>
  <si>
    <t>Jan 09, 2017</t>
  </si>
  <si>
    <t>Jan 16, 2017</t>
  </si>
  <si>
    <t>Jan 23, 2017</t>
  </si>
  <si>
    <t>Jan 30, 2017</t>
  </si>
  <si>
    <t>Feb 06, 2017</t>
  </si>
  <si>
    <t>Feb 13, 2017</t>
  </si>
  <si>
    <t>Feb 20, 2017</t>
  </si>
  <si>
    <t>Feb 27, 2017</t>
  </si>
  <si>
    <t>Mar 06, 2017</t>
  </si>
  <si>
    <t>Mar 13, 2017</t>
  </si>
  <si>
    <t>Mar 20, 2017</t>
  </si>
  <si>
    <t>Mar 27, 2017</t>
  </si>
  <si>
    <t>Apr 03, 2017</t>
  </si>
  <si>
    <t>Apr 10, 2017</t>
  </si>
  <si>
    <t>Apr 17, 2017</t>
  </si>
  <si>
    <t>Apr 24, 2017</t>
  </si>
  <si>
    <t>May 01, 2017</t>
  </si>
  <si>
    <t>May 08, 2017</t>
  </si>
  <si>
    <t>May 15, 2017</t>
  </si>
  <si>
    <t>May 22, 2017</t>
  </si>
  <si>
    <t>May 29, 2017</t>
  </si>
  <si>
    <t>Jun 05, 2017</t>
  </si>
  <si>
    <t>Jun 12, 2017</t>
  </si>
  <si>
    <t>Jun 19, 2017</t>
  </si>
  <si>
    <t>Jun 26, 2017</t>
  </si>
  <si>
    <t>Jul 03, 2017</t>
  </si>
  <si>
    <t>Jul 10, 2017</t>
  </si>
  <si>
    <t>Jul 17, 2017</t>
  </si>
  <si>
    <t>Jul 24, 2017</t>
  </si>
  <si>
    <t>Jul 31, 2017</t>
  </si>
  <si>
    <t>Aug 07, 2017</t>
  </si>
  <si>
    <t>Aug 14, 2017</t>
  </si>
  <si>
    <t>Aug 21, 2017</t>
  </si>
  <si>
    <t>Aug 28, 2017</t>
  </si>
  <si>
    <t>Sep 04, 2017</t>
  </si>
  <si>
    <t>Sep 11, 2017</t>
  </si>
  <si>
    <t>Sep 18, 2017</t>
  </si>
  <si>
    <t>Sep 25, 2017</t>
  </si>
  <si>
    <t>Oct 02, 2017</t>
  </si>
  <si>
    <t>Oct 09, 2017</t>
  </si>
  <si>
    <t>Oct 16, 2017</t>
  </si>
  <si>
    <t>Oct 23, 2017</t>
  </si>
  <si>
    <t>Oct 30, 2017</t>
  </si>
  <si>
    <t>Nov 06, 2017</t>
  </si>
  <si>
    <t>Nov 13, 2017</t>
  </si>
  <si>
    <t>Nov 20, 2017</t>
  </si>
  <si>
    <t>Nov 27, 2017</t>
  </si>
  <si>
    <t>Dec 04, 2017</t>
  </si>
  <si>
    <t>Dec 11, 2017</t>
  </si>
  <si>
    <t>Dec 18, 2017</t>
  </si>
  <si>
    <t>Dec 25, 2017</t>
  </si>
  <si>
    <t>Jan 01, 2018</t>
  </si>
  <si>
    <t>Jan 08, 2018</t>
  </si>
  <si>
    <t>Jan 15, 2018</t>
  </si>
  <si>
    <t>Jan 22, 2018</t>
  </si>
  <si>
    <t>Jan 29, 2018</t>
  </si>
  <si>
    <t>Feb 05, 2018</t>
  </si>
  <si>
    <t>Feb 12, 2018</t>
  </si>
  <si>
    <t>Feb 19, 2018</t>
  </si>
  <si>
    <t>Feb 26, 2018</t>
  </si>
  <si>
    <t>Mar 05, 2018</t>
  </si>
  <si>
    <t>Mar 12, 2018</t>
  </si>
  <si>
    <t>Mar 19, 2018</t>
  </si>
  <si>
    <t>Mar 26, 2018</t>
  </si>
  <si>
    <t>Apr 02, 2018</t>
  </si>
  <si>
    <t>Apr 09, 2018</t>
  </si>
  <si>
    <t>Apr 16, 2018</t>
  </si>
  <si>
    <t>Apr 23, 2018</t>
  </si>
  <si>
    <t>Apr 30, 2018</t>
  </si>
  <si>
    <t>May 07, 2018</t>
  </si>
  <si>
    <t>May 14, 2018</t>
  </si>
  <si>
    <t>May 21, 2018</t>
  </si>
  <si>
    <t>May 28, 2018</t>
  </si>
  <si>
    <t>Jun 04, 2018</t>
  </si>
  <si>
    <t>Jun 11, 2018</t>
  </si>
  <si>
    <t>Jun 18, 2018</t>
  </si>
  <si>
    <t>Jun 25, 2018</t>
  </si>
  <si>
    <t>Jul 02, 2018</t>
  </si>
  <si>
    <t>Jul 09, 2018</t>
  </si>
  <si>
    <t>Jul 16, 2018</t>
  </si>
  <si>
    <t>Jul 23, 2018</t>
  </si>
  <si>
    <t>Jul 30, 2018</t>
  </si>
  <si>
    <t>Aug 06, 2018</t>
  </si>
  <si>
    <t>Aug 13, 2018</t>
  </si>
  <si>
    <t>Aug 20, 2018</t>
  </si>
  <si>
    <t>Aug 27, 2018</t>
  </si>
  <si>
    <t>Sep 03, 2018</t>
  </si>
  <si>
    <t>Sep 10, 2018</t>
  </si>
  <si>
    <t>Sep 17, 2018</t>
  </si>
  <si>
    <t>Sep 24, 2018</t>
  </si>
  <si>
    <t>Oct 01, 2018</t>
  </si>
  <si>
    <t>Oct 08, 2018</t>
  </si>
  <si>
    <t>Oct 15, 2018</t>
  </si>
  <si>
    <t>Oct 22, 2018</t>
  </si>
  <si>
    <t>Oct 29, 2018</t>
  </si>
  <si>
    <t>Nov 05, 2018</t>
  </si>
  <si>
    <t>Nov 12, 2018</t>
  </si>
  <si>
    <t>Nov 19, 2018</t>
  </si>
  <si>
    <t>Nov 26, 2018</t>
  </si>
  <si>
    <t>Dec 03, 2018</t>
  </si>
  <si>
    <t>Dec 10, 2018</t>
  </si>
  <si>
    <t>Dec 17, 2018</t>
  </si>
  <si>
    <t>Dec 24, 2018</t>
  </si>
  <si>
    <t>Dec 31, 2018</t>
  </si>
  <si>
    <t>Jan 07, 2019</t>
  </si>
  <si>
    <t>Jan 14, 2019</t>
  </si>
  <si>
    <t>Jan 21, 2019</t>
  </si>
  <si>
    <t>Jan 28, 2019</t>
  </si>
  <si>
    <t>Feb 04, 2019</t>
  </si>
  <si>
    <t>Feb 11, 2019</t>
  </si>
  <si>
    <t>Feb 18, 2019</t>
  </si>
  <si>
    <t>Feb 25, 2019</t>
  </si>
  <si>
    <t>Mar 04, 2019</t>
  </si>
  <si>
    <t>Mar 11, 2019</t>
  </si>
  <si>
    <t>Mar 18, 2019</t>
  </si>
  <si>
    <t>Mar 25, 2019</t>
  </si>
  <si>
    <t>Apr 01, 2019</t>
  </si>
  <si>
    <t>Apr 08, 2019</t>
  </si>
  <si>
    <t>Apr 15, 2019</t>
  </si>
  <si>
    <t>Apr 22, 2019</t>
  </si>
  <si>
    <t>Apr 29, 2019</t>
  </si>
  <si>
    <t>May 06, 2019</t>
  </si>
  <si>
    <t>May 13, 2019</t>
  </si>
  <si>
    <t>May 20, 2019</t>
  </si>
  <si>
    <t>May 27, 2019</t>
  </si>
  <si>
    <t>Jun 03, 2019</t>
  </si>
  <si>
    <t>Jun 10, 2019</t>
  </si>
  <si>
    <t>Jun 17, 2019</t>
  </si>
  <si>
    <t>Jun 24, 2019</t>
  </si>
  <si>
    <t>Jul 01, 2019</t>
  </si>
  <si>
    <t>Jul 08, 2019</t>
  </si>
  <si>
    <t>Jul 15, 2019</t>
  </si>
  <si>
    <t>Jul 22, 2019</t>
  </si>
  <si>
    <t>Jul 29, 2019</t>
  </si>
  <si>
    <t>Aug 05, 2019</t>
  </si>
  <si>
    <t>Aug 12, 2019</t>
  </si>
  <si>
    <t>Aug 19, 2019</t>
  </si>
  <si>
    <t>Aug 26, 2019</t>
  </si>
  <si>
    <t>Sep 02, 2019</t>
  </si>
  <si>
    <t>Sep 09, 2019</t>
  </si>
  <si>
    <t>Sep 16, 2019</t>
  </si>
  <si>
    <t>Sep 23, 2019</t>
  </si>
  <si>
    <t>Sep 30, 2019</t>
  </si>
  <si>
    <t>Oct 07, 2019</t>
  </si>
  <si>
    <t>Oct 14, 2019</t>
  </si>
  <si>
    <t>Oct 21, 2019</t>
  </si>
  <si>
    <t>Oct 28, 2019</t>
  </si>
  <si>
    <t>Nov 04, 2019</t>
  </si>
  <si>
    <t>Nov 11, 2019</t>
  </si>
  <si>
    <t>Nov 18, 2019</t>
  </si>
  <si>
    <t>Nov 25, 2019</t>
  </si>
  <si>
    <t>Dec 02, 2019</t>
  </si>
  <si>
    <t>Dec 09, 2019</t>
  </si>
  <si>
    <t>Dec 16, 2019</t>
  </si>
  <si>
    <t>Dec 23, 2019</t>
  </si>
  <si>
    <t>Dec 30, 2019</t>
  </si>
  <si>
    <t>Jan 06, 2020</t>
  </si>
  <si>
    <t>Jan 13, 2020</t>
  </si>
  <si>
    <t>Jan 20, 2020</t>
  </si>
  <si>
    <t>Jan 27, 2020</t>
  </si>
  <si>
    <t>Feb 03, 2020</t>
  </si>
  <si>
    <t>Feb 10, 2020</t>
  </si>
  <si>
    <t>Feb 17, 2020</t>
  </si>
  <si>
    <t>Feb 24, 2020</t>
  </si>
  <si>
    <t>Mar 02, 2020</t>
  </si>
  <si>
    <t>Mar 09, 2020</t>
  </si>
  <si>
    <t>Mar 16, 2020</t>
  </si>
  <si>
    <t>Mar 23, 2020</t>
  </si>
  <si>
    <t>Mar 30, 2020</t>
  </si>
  <si>
    <t>Apr 06, 2020</t>
  </si>
  <si>
    <t>Apr 13, 2020</t>
  </si>
  <si>
    <t>Apr 20, 2020</t>
  </si>
  <si>
    <t>Apr 27, 2020</t>
  </si>
  <si>
    <t>May 04, 2020</t>
  </si>
  <si>
    <t>May 11, 2020</t>
  </si>
  <si>
    <t>May 18, 2020</t>
  </si>
  <si>
    <t>May 25, 2020</t>
  </si>
  <si>
    <t>Jun 01, 2020</t>
  </si>
  <si>
    <t>Jun 08, 2020</t>
  </si>
  <si>
    <t>Jun 15, 2020</t>
  </si>
  <si>
    <t>Jun 22, 2020</t>
  </si>
  <si>
    <t>Jun 29, 2020</t>
  </si>
  <si>
    <t>Jul 06, 2020</t>
  </si>
  <si>
    <t>Jul 13, 2020</t>
  </si>
  <si>
    <t>Jul 20, 2020</t>
  </si>
  <si>
    <t>Jul 27, 2020</t>
  </si>
  <si>
    <t>Aug 03, 2020</t>
  </si>
  <si>
    <t>Aug 10, 2020</t>
  </si>
  <si>
    <t>Aug 17, 2020</t>
  </si>
  <si>
    <t>Aug 24, 2020</t>
  </si>
  <si>
    <t>Aug 31, 2020</t>
  </si>
  <si>
    <t>Sep 07, 2020</t>
  </si>
  <si>
    <t>Sep 14, 2020</t>
  </si>
  <si>
    <t>Sep 21, 2020</t>
  </si>
  <si>
    <t>Sep 28, 2020</t>
  </si>
  <si>
    <t>Oct 05, 2020</t>
  </si>
  <si>
    <t>Oct 12, 2020</t>
  </si>
  <si>
    <t>Oct 19, 2020</t>
  </si>
  <si>
    <t>Oct 26, 2020</t>
  </si>
  <si>
    <t>Nov 02, 2020</t>
  </si>
  <si>
    <t>Nov 09, 2020</t>
  </si>
  <si>
    <t>Nov 16, 2020</t>
  </si>
  <si>
    <t>Nov 23, 2020</t>
  </si>
  <si>
    <t>Nov 30, 2020</t>
  </si>
  <si>
    <t>Dec 07, 2020</t>
  </si>
  <si>
    <t>Dec 14, 2020</t>
  </si>
  <si>
    <t>Dec 21, 2020</t>
  </si>
  <si>
    <t>Dec 28, 2020</t>
  </si>
  <si>
    <t>Jan 04, 2021</t>
  </si>
  <si>
    <t>Jan 11, 2021</t>
  </si>
  <si>
    <t>Jan 18, 2021</t>
  </si>
  <si>
    <t>Jan 25, 2021</t>
  </si>
  <si>
    <t>Feb 01, 2021</t>
  </si>
  <si>
    <t>Feb 08, 2021</t>
  </si>
  <si>
    <t>Feb 15, 2021</t>
  </si>
  <si>
    <t>Feb 22, 2021</t>
  </si>
  <si>
    <t>Mar 01, 2021</t>
  </si>
  <si>
    <t>Mar 08, 2021</t>
  </si>
  <si>
    <t>Mar 15, 2021</t>
  </si>
  <si>
    <t>Mar 22, 2021</t>
  </si>
  <si>
    <t>Mar 29, 2021</t>
  </si>
  <si>
    <t>Apr 05, 2021</t>
  </si>
  <si>
    <t>Apr 12, 2021</t>
  </si>
  <si>
    <t>Apr 19, 2021</t>
  </si>
  <si>
    <t>Apr 26, 2021</t>
  </si>
  <si>
    <t>May 03, 2021</t>
  </si>
  <si>
    <t>May 10, 2021</t>
  </si>
  <si>
    <t>May 17, 2021</t>
  </si>
  <si>
    <t>May 24, 2021</t>
  </si>
  <si>
    <t>May 31, 2021</t>
  </si>
  <si>
    <t>Jun 07, 2021</t>
  </si>
  <si>
    <t>Jun 14, 2021</t>
  </si>
  <si>
    <t>Jun 21, 2021</t>
  </si>
  <si>
    <t>Jun 28, 2021</t>
  </si>
  <si>
    <t>Jul 05, 2021</t>
  </si>
  <si>
    <t>Jul 12, 2021</t>
  </si>
  <si>
    <t>Jul 19, 2021</t>
  </si>
  <si>
    <t>Jul 26, 2021</t>
  </si>
  <si>
    <t>Aug 02, 2021</t>
  </si>
  <si>
    <t>Aug 09, 2021</t>
  </si>
  <si>
    <t>Aug 16, 2021</t>
  </si>
  <si>
    <t>Aug 23, 2021</t>
  </si>
  <si>
    <t>Aug 30, 2021</t>
  </si>
  <si>
    <t>Sep 06, 2021</t>
  </si>
  <si>
    <t>Sep 13, 2021</t>
  </si>
  <si>
    <t>Sep 20, 2021</t>
  </si>
  <si>
    <t>Sep 27, 2021</t>
  </si>
  <si>
    <t>Oct 04, 2021</t>
  </si>
  <si>
    <t>Oct 11, 2021</t>
  </si>
  <si>
    <t>Oct 18, 2021</t>
  </si>
  <si>
    <t>Oct 25, 2021</t>
  </si>
  <si>
    <t>Nov 01, 2021</t>
  </si>
  <si>
    <t>Nov 08, 2021</t>
  </si>
  <si>
    <t>Nov 15, 2021</t>
  </si>
  <si>
    <t>Nov 22, 2021</t>
  </si>
  <si>
    <t>Nov 29, 2021</t>
  </si>
  <si>
    <t>Dec 06, 2021</t>
  </si>
  <si>
    <t>Dec 13, 2021</t>
  </si>
  <si>
    <t>Dec 20, 2021</t>
  </si>
  <si>
    <t>Dec 27, 2021</t>
  </si>
  <si>
    <t>Jan 03, 2022</t>
  </si>
  <si>
    <t>Jan 10, 2022</t>
  </si>
  <si>
    <t>Jan 17, 2022</t>
  </si>
  <si>
    <t>Jan 24, 2022</t>
  </si>
  <si>
    <t>Jan 31, 2022</t>
  </si>
  <si>
    <t>Feb 07, 2022</t>
  </si>
  <si>
    <t>Feb 14, 2022</t>
  </si>
  <si>
    <t>Feb 21, 2022</t>
  </si>
  <si>
    <t>Feb 28, 2022</t>
  </si>
  <si>
    <t>Mar 07, 2022</t>
  </si>
  <si>
    <t>Mar 14, 2022</t>
  </si>
  <si>
    <t>Mar 21, 2022</t>
  </si>
  <si>
    <t>Mar 28, 2022</t>
  </si>
  <si>
    <t>Apr 04, 2022</t>
  </si>
  <si>
    <t>Apr 11, 2022</t>
  </si>
  <si>
    <t>Apr 18, 2022</t>
  </si>
  <si>
    <t>Apr 25, 2022</t>
  </si>
  <si>
    <t>May 02, 2022</t>
  </si>
  <si>
    <t>May 09, 2022</t>
  </si>
  <si>
    <t>May 16, 2022</t>
  </si>
  <si>
    <t>May 23, 2022</t>
  </si>
  <si>
    <t>May 30, 2022</t>
  </si>
  <si>
    <t>Jun 06, 2022</t>
  </si>
  <si>
    <t>Jun 13, 2022</t>
  </si>
  <si>
    <t>Jun 20, 2022</t>
  </si>
  <si>
    <t>Jun 27, 2022</t>
  </si>
  <si>
    <t>Jul 04, 2022</t>
  </si>
  <si>
    <t>Jul 11, 2022</t>
  </si>
  <si>
    <t>Jul 18, 2022</t>
  </si>
  <si>
    <t>Jul 25, 2022</t>
  </si>
  <si>
    <t>Aug 01, 2022</t>
  </si>
  <si>
    <t>Aug 08, 2022</t>
  </si>
  <si>
    <t>Aug 15, 2022</t>
  </si>
  <si>
    <t>Aug 22, 2022</t>
  </si>
  <si>
    <t>Aug 29, 2022</t>
  </si>
  <si>
    <t>Sep 05, 2022</t>
  </si>
  <si>
    <t>Sep 12, 2022</t>
  </si>
  <si>
    <t>Sep 19, 2022</t>
  </si>
  <si>
    <t>Sep 26, 2022</t>
  </si>
  <si>
    <t>Oct 03, 2022</t>
  </si>
  <si>
    <t>Oct 10, 2022</t>
  </si>
  <si>
    <t>Oct 17, 2022</t>
  </si>
  <si>
    <t>Oct 24, 2022</t>
  </si>
  <si>
    <t>Oct 31, 2022</t>
  </si>
  <si>
    <t>Nov 07, 2022</t>
  </si>
  <si>
    <t>Nov 14, 2022</t>
  </si>
  <si>
    <t>Nov 21, 2022</t>
  </si>
  <si>
    <t>Nov 28, 2022</t>
  </si>
  <si>
    <t>Dec 05, 2022</t>
  </si>
  <si>
    <t>Dec 12, 2022</t>
  </si>
  <si>
    <t>Dec 19, 2022</t>
  </si>
  <si>
    <t>Dec 26, 2022</t>
  </si>
  <si>
    <t>Jan 02, 2023</t>
  </si>
  <si>
    <t>Jan 09, 2023</t>
  </si>
  <si>
    <t>Jan 16, 2023</t>
  </si>
  <si>
    <t>Jan 23, 2023</t>
  </si>
  <si>
    <t>Jan 30, 2023</t>
  </si>
  <si>
    <t>Feb 06, 2023</t>
  </si>
  <si>
    <t>Feb 13, 2023</t>
  </si>
  <si>
    <t>Feb 20, 2023</t>
  </si>
  <si>
    <t>Feb 27, 2023</t>
  </si>
  <si>
    <t>Mar 06, 2023</t>
  </si>
  <si>
    <t>Mar 13, 2023</t>
  </si>
  <si>
    <t>Mar 20, 2023</t>
  </si>
  <si>
    <t>Mar 27, 2023</t>
  </si>
  <si>
    <t>Apr 03, 2023</t>
  </si>
  <si>
    <t>Apr 10, 2023</t>
  </si>
  <si>
    <t>Apr 17, 2023</t>
  </si>
  <si>
    <t>Apr 24, 2023</t>
  </si>
  <si>
    <t>May 01, 2023</t>
  </si>
  <si>
    <t>May 08, 2023</t>
  </si>
  <si>
    <t>May 15, 2023</t>
  </si>
  <si>
    <t>May 22, 2023</t>
  </si>
  <si>
    <t>May 29, 2023</t>
  </si>
  <si>
    <t>Jun 05, 2023</t>
  </si>
  <si>
    <t>Jun 12, 2023</t>
  </si>
  <si>
    <t>Jun 19, 2023</t>
  </si>
  <si>
    <t>Jun 26, 2023</t>
  </si>
  <si>
    <t>Jul 03, 2023</t>
  </si>
  <si>
    <t>Jul 10, 2023</t>
  </si>
  <si>
    <t>Jul 17, 2023</t>
  </si>
  <si>
    <t>Jul 24, 2023</t>
  </si>
  <si>
    <t>Jul 31, 2023</t>
  </si>
  <si>
    <t>Aug 07, 2023</t>
  </si>
  <si>
    <t>Aug 14, 2023</t>
  </si>
  <si>
    <t>Aug 21, 2023</t>
  </si>
  <si>
    <t>Aug 28, 2023</t>
  </si>
  <si>
    <t>Sep 04, 2023</t>
  </si>
  <si>
    <t>Sep 11, 2023</t>
  </si>
  <si>
    <t>Sep 18, 2023</t>
  </si>
  <si>
    <t>Sep 25, 2023</t>
  </si>
  <si>
    <t>Oct 02, 2023</t>
  </si>
  <si>
    <t>Oct 09, 2023</t>
  </si>
  <si>
    <t>Oct 16, 2023</t>
  </si>
  <si>
    <t>Oct 23, 2023</t>
  </si>
  <si>
    <t>Oct 30, 2023</t>
  </si>
  <si>
    <t>Nov 06, 2023</t>
  </si>
  <si>
    <t>Nov 13, 2023</t>
  </si>
  <si>
    <t>Nov 20, 2023</t>
  </si>
  <si>
    <t>Nov 27, 2023</t>
  </si>
  <si>
    <t>Dec 04, 2023</t>
  </si>
  <si>
    <t>Dec 11, 2023</t>
  </si>
  <si>
    <t>Dec 18, 2023</t>
  </si>
  <si>
    <t>Dec 25, 2023</t>
  </si>
  <si>
    <t>Jan 01, 2024</t>
  </si>
  <si>
    <t>Jan 08, 2024</t>
  </si>
  <si>
    <t>Jan 15, 2024</t>
  </si>
  <si>
    <t>Jan 22, 2024</t>
  </si>
  <si>
    <t>Jan 29, 2024</t>
  </si>
  <si>
    <t>Feb 05, 2024</t>
  </si>
  <si>
    <t>Feb 12, 2024</t>
  </si>
  <si>
    <t>Feb 19, 2024</t>
  </si>
  <si>
    <t>Feb 26, 2024</t>
  </si>
  <si>
    <t>Mar 04, 2024</t>
  </si>
  <si>
    <t>Mar 11, 2024</t>
  </si>
  <si>
    <t>Mar 18, 2024</t>
  </si>
  <si>
    <t>Mar 25, 2024</t>
  </si>
  <si>
    <t>Apr 01, 2024</t>
  </si>
  <si>
    <t>Apr 08, 2024</t>
  </si>
  <si>
    <t>Apr 15, 2024</t>
  </si>
  <si>
    <t>Apr 22, 2024</t>
  </si>
  <si>
    <t>Apr 29, 2024</t>
  </si>
  <si>
    <t>May 06, 2024</t>
  </si>
  <si>
    <t>May 13, 2024</t>
  </si>
  <si>
    <t>May 20, 2024</t>
  </si>
  <si>
    <t>May 27, 2024</t>
  </si>
  <si>
    <t>Jun 03, 2024</t>
  </si>
  <si>
    <t>Jun 10, 2024</t>
  </si>
  <si>
    <t>Jun 17, 2024</t>
  </si>
  <si>
    <t>Jun 24, 2024</t>
  </si>
  <si>
    <t>Jul 01, 2024</t>
  </si>
  <si>
    <t>Jul 08, 2024</t>
  </si>
  <si>
    <t>Jul 15, 2024</t>
  </si>
  <si>
    <t>Jul 22, 2024</t>
  </si>
  <si>
    <t>Jul 29, 2024</t>
  </si>
  <si>
    <t>Aug 05, 2024</t>
  </si>
  <si>
    <t>Aug 12, 2024</t>
  </si>
  <si>
    <t>Aug 19, 2024</t>
  </si>
  <si>
    <t>Aug 26, 2024</t>
  </si>
  <si>
    <t>Sep 02, 2024</t>
  </si>
  <si>
    <t>Sep 09, 2024</t>
  </si>
  <si>
    <t>Sep 16, 2024</t>
  </si>
  <si>
    <t>Sep 23, 2024</t>
  </si>
  <si>
    <t>Sep 30, 2024</t>
  </si>
  <si>
    <t>Oct 07, 2024</t>
  </si>
  <si>
    <t>Oct 14, 2024</t>
  </si>
  <si>
    <t>Oct 21, 2024</t>
  </si>
  <si>
    <t>Oct 28, 2024</t>
  </si>
  <si>
    <t>Nov 04, 2024</t>
  </si>
  <si>
    <t>Nov 11, 2024</t>
  </si>
  <si>
    <t>Nov 18, 2024</t>
  </si>
  <si>
    <t>Nov 25, 2024</t>
  </si>
  <si>
    <t>Dec 02, 2024</t>
  </si>
  <si>
    <t>Dec 09, 2024</t>
  </si>
  <si>
    <t>Dec 16, 2024</t>
  </si>
  <si>
    <t>Dec 23, 2024</t>
  </si>
  <si>
    <t>Dec 30, 2024</t>
  </si>
  <si>
    <t>Jan 06, 2025</t>
  </si>
  <si>
    <t>Jan 13, 2025</t>
  </si>
  <si>
    <t>Jan 20,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</si>
</sst>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yyyy-mm-dd"/>
    <numFmt numFmtId="166" formatCode="&quot;$&quot;#,##0.00000000"/>
    <numFmt numFmtId="167" formatCode="#,##0.00000000"/>
    <numFmt numFmtId="168" formatCode="0.000"/>
    <numFmt numFmtId="169" formatCode="mm/dd/yyyy"/>
    <numFmt numFmtId="170" formatCode="yyyy-mm"/>
    <numFmt numFmtId="171" formatCode="yyyy-m"/>
  </numFmts>
  <fonts count="2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u/>
      <color rgb="FF0000FF"/>
    </font>
    <font>
      <sz val="12.0"/>
      <color rgb="FF000000"/>
      <name val="Arial"/>
    </font>
    <font>
      <b/>
      <color rgb="FF000000"/>
      <name val="Tahoma"/>
    </font>
    <font>
      <u/>
      <color rgb="FF0000FF"/>
    </font>
    <font>
      <b/>
      <color rgb="FF333333"/>
      <name val="Tahoma"/>
    </font>
    <font>
      <color rgb="FF000000"/>
      <name val="Tahoma"/>
    </font>
    <font>
      <u/>
      <color rgb="FF0000FF"/>
    </font>
    <font>
      <color theme="1"/>
      <name val="Arial"/>
    </font>
    <font>
      <u/>
      <color rgb="FF0000FF"/>
    </font>
    <font>
      <u/>
      <color rgb="FF0000FF"/>
    </font>
    <font>
      <sz val="12.0"/>
      <color theme="1"/>
      <name val="Arial"/>
    </font>
    <font>
      <sz val="14.0"/>
      <color rgb="FF000000"/>
      <name val="&quot;Source Sans Pro&quot;"/>
    </font>
    <font>
      <sz val="11.0"/>
      <color rgb="FF000000"/>
      <name val="&quot;Aptos Narrow&quot;"/>
    </font>
    <font>
      <sz val="11.0"/>
      <color rgb="FF000000"/>
      <name val="Arial"/>
    </font>
    <font>
      <sz val="9.0"/>
      <color rgb="FF000000"/>
      <name val="Arial"/>
    </font>
    <font>
      <color rgb="FF000000"/>
      <name val="Bahnschrift"/>
    </font>
    <font>
      <b/>
      <color theme="1"/>
      <name val="Arial"/>
    </font>
    <font>
      <b/>
      <sz val="11.0"/>
      <color theme="1"/>
      <name val="Calibri"/>
    </font>
    <font>
      <b/>
      <sz val="9.0"/>
      <color rgb="FF000000"/>
      <name val="Roboto"/>
    </font>
    <font>
      <sz val="18.0"/>
      <color rgb="FF0096D7"/>
      <name val="&quot;Material Icons&quot;"/>
    </font>
    <font>
      <sz val="11.0"/>
      <color rgb="FF000000"/>
      <name val="Roboto"/>
    </font>
    <font>
      <b/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  <fill>
      <patternFill patternType="solid">
        <fgColor rgb="FFDBEAFF"/>
        <bgColor rgb="FFDBEAFF"/>
      </patternFill>
    </fill>
    <fill>
      <patternFill patternType="solid">
        <fgColor rgb="FFEEF4FF"/>
        <bgColor rgb="FFEEF4FF"/>
      </patternFill>
    </fill>
  </fills>
  <borders count="6">
    <border/>
    <border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96D7"/>
      </bottom>
    </border>
    <border>
      <top style="dotted">
        <color rgb="FFD6D6D6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2" numFmtId="9" xfId="0" applyAlignment="1" applyFont="1" applyNumberFormat="1">
      <alignment readingOrder="0"/>
    </xf>
    <xf borderId="0" fillId="0" fontId="4" numFmtId="0" xfId="0" applyAlignment="1" applyFont="1">
      <alignment readingOrder="0" shrinkToFit="0" wrapText="1"/>
    </xf>
    <xf borderId="0" fillId="0" fontId="2" numFmtId="164" xfId="0" applyFont="1" applyNumberFormat="1"/>
    <xf borderId="0" fillId="2" fontId="5" numFmtId="0" xfId="0" applyAlignment="1" applyFill="1" applyFont="1">
      <alignment readingOrder="0" shrinkToFit="0" vertical="bottom" wrapText="0"/>
    </xf>
    <xf borderId="0" fillId="2" fontId="5" numFmtId="0" xfId="0" applyAlignment="1" applyFont="1">
      <alignment horizontal="center" readingOrder="0" shrinkToFit="0" vertical="bottom" wrapText="0"/>
    </xf>
    <xf borderId="2" fillId="3" fontId="6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5" numFmtId="165" xfId="0" applyAlignment="1" applyFont="1" applyNumberFormat="1">
      <alignment horizontal="lef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2" numFmtId="4" xfId="0" applyFont="1" applyNumberFormat="1"/>
    <xf borderId="2" fillId="4" fontId="8" numFmtId="0" xfId="0" applyAlignment="1" applyBorder="1" applyFill="1" applyFont="1">
      <alignment horizontal="left" readingOrder="0"/>
    </xf>
    <xf borderId="2" fillId="2" fontId="9" numFmtId="3" xfId="0" applyAlignment="1" applyBorder="1" applyFont="1" applyNumberFormat="1">
      <alignment horizontal="right" readingOrder="0"/>
    </xf>
    <xf borderId="0" fillId="0" fontId="2" numFmtId="164" xfId="0" applyFont="1" applyNumberFormat="1"/>
    <xf borderId="2" fillId="5" fontId="8" numFmtId="0" xfId="0" applyAlignment="1" applyBorder="1" applyFill="1" applyFont="1">
      <alignment horizontal="left" readingOrder="0"/>
    </xf>
    <xf borderId="2" fillId="6" fontId="9" numFmtId="164" xfId="0" applyAlignment="1" applyBorder="1" applyFill="1" applyFont="1" applyNumberForma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166" xfId="0" applyFont="1" applyNumberFormat="1"/>
    <xf borderId="0" fillId="0" fontId="10" numFmtId="0" xfId="0" applyFont="1"/>
    <xf borderId="0" fillId="0" fontId="2" numFmtId="11" xfId="0" applyAlignment="1" applyFont="1" applyNumberFormat="1">
      <alignment readingOrder="0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shrinkToFit="0" wrapText="0"/>
    </xf>
    <xf borderId="0" fillId="0" fontId="13" numFmtId="0" xfId="0" applyAlignment="1" applyFont="1">
      <alignment readingOrder="0"/>
    </xf>
    <xf borderId="2" fillId="2" fontId="9" numFmtId="167" xfId="0" applyAlignment="1" applyBorder="1" applyFont="1" applyNumberFormat="1">
      <alignment horizontal="right" readingOrder="0"/>
    </xf>
    <xf borderId="0" fillId="0" fontId="14" numFmtId="0" xfId="0" applyAlignment="1" applyFont="1">
      <alignment horizontal="right" readingOrder="0" shrinkToFit="0" vertical="bottom" wrapText="0"/>
    </xf>
    <xf borderId="0" fillId="2" fontId="15" numFmtId="0" xfId="0" applyAlignment="1" applyFont="1">
      <alignment readingOrder="0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6" numFmtId="0" xfId="0" applyAlignment="1" applyFont="1">
      <alignment horizontal="right" readingOrder="0" shrinkToFit="0" vertical="bottom" wrapText="0"/>
    </xf>
    <xf borderId="0" fillId="0" fontId="2" numFmtId="168" xfId="0" applyFont="1" applyNumberFormat="1"/>
    <xf borderId="0" fillId="0" fontId="18" numFmtId="0" xfId="0" applyAlignment="1" applyFont="1">
      <alignment horizontal="right" readingOrder="0" shrinkToFit="0" wrapText="0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19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vertical="bottom"/>
    </xf>
    <xf borderId="0" fillId="0" fontId="19" numFmtId="169" xfId="0" applyAlignment="1" applyFont="1" applyNumberFormat="1">
      <alignment horizontal="right" readingOrder="0" shrinkToFit="0" vertical="bottom" wrapText="0"/>
    </xf>
    <xf borderId="0" fillId="0" fontId="2" numFmtId="11" xfId="0" applyFont="1" applyNumberFormat="1"/>
    <xf borderId="0" fillId="0" fontId="2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vertical="bottom" wrapText="1"/>
    </xf>
    <xf borderId="0" fillId="0" fontId="20" numFmtId="0" xfId="0" applyAlignment="1" applyFont="1">
      <alignment readingOrder="0" vertical="bottom"/>
    </xf>
    <xf borderId="3" fillId="0" fontId="21" numFmtId="0" xfId="0" applyAlignment="1" applyBorder="1" applyFont="1">
      <alignment horizontal="center" readingOrder="0" shrinkToFit="0" vertical="top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 shrinkToFit="0" wrapText="0"/>
    </xf>
    <xf borderId="4" fillId="0" fontId="22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shrinkToFit="0" wrapText="0"/>
    </xf>
    <xf borderId="0" fillId="0" fontId="23" numFmtId="0" xfId="0" applyAlignment="1" applyFont="1">
      <alignment horizontal="center" readingOrder="0" shrinkToFit="0" wrapText="0"/>
    </xf>
    <xf borderId="0" fillId="0" fontId="24" numFmtId="170" xfId="0" applyAlignment="1" applyFont="1" applyNumberFormat="1">
      <alignment horizontal="left" readingOrder="0" shrinkToFit="0" vertical="top" wrapText="0"/>
    </xf>
    <xf borderId="0" fillId="0" fontId="24" numFmtId="0" xfId="0" applyAlignment="1" applyFont="1">
      <alignment horizontal="left" readingOrder="0" shrinkToFit="0" vertical="top" wrapText="0"/>
    </xf>
    <xf borderId="5" fillId="0" fontId="23" numFmtId="0" xfId="0" applyAlignment="1" applyBorder="1" applyFont="1">
      <alignment horizontal="center" readingOrder="0" shrinkToFit="0" wrapText="0"/>
    </xf>
    <xf borderId="5" fillId="0" fontId="24" numFmtId="170" xfId="0" applyAlignment="1" applyBorder="1" applyFont="1" applyNumberFormat="1">
      <alignment horizontal="left" readingOrder="0" shrinkToFit="0" vertical="top" wrapText="0"/>
    </xf>
    <xf borderId="5" fillId="0" fontId="24" numFmtId="0" xfId="0" applyAlignment="1" applyBorder="1" applyFont="1">
      <alignment horizontal="left" readingOrder="0" shrinkToFit="0" vertical="top" wrapText="0"/>
    </xf>
    <xf borderId="5" fillId="0" fontId="24" numFmtId="171" xfId="0" applyAlignment="1" applyBorder="1" applyFont="1" applyNumberFormat="1">
      <alignment horizontal="left" readingOrder="0" shrinkToFit="0" vertical="top" wrapText="0"/>
    </xf>
    <xf borderId="0" fillId="0" fontId="25" numFmtId="0" xfId="0" applyAlignment="1" applyFont="1">
      <alignment readingOrder="0"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2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Plots_TimeSeries!$E$1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Plots_TimeSeries!$C$3:$C$302</c:f>
            </c:numRef>
          </c:xVal>
          <c:yVal>
            <c:numRef>
              <c:f>Plots_TimeSeries!$E$2:$E$302</c:f>
              <c:numCache/>
            </c:numRef>
          </c:yVal>
        </c:ser>
        <c:ser>
          <c:idx val="1"/>
          <c:order val="1"/>
          <c:tx>
            <c:strRef>
              <c:f>Plots_TimeSeries!$D$1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Plots_TimeSeries!$C$3:$C$302</c:f>
            </c:numRef>
          </c:xVal>
          <c:yVal>
            <c:numRef>
              <c:f>Plots_TimeSeries!$D$2:$D$302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679700"/>
        <c:axId val="777314288"/>
      </c:scatterChart>
      <c:valAx>
        <c:axId val="9076797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7314288"/>
      </c:valAx>
      <c:valAx>
        <c:axId val="777314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Dollars per KWh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767970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Plots_TimeSeries!$H$1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Plots_TimeSeries!$G$2:$G$287</c:f>
            </c:strRef>
          </c:cat>
          <c:val>
            <c:numRef>
              <c:f>Plots_TimeSeries!$H$2:$H$287</c:f>
              <c:numCache/>
            </c:numRef>
          </c:val>
          <c:smooth val="0"/>
        </c:ser>
        <c:ser>
          <c:idx val="1"/>
          <c:order val="1"/>
          <c:tx>
            <c:strRef>
              <c:f>Plots_TimeSeries!$I$1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Plots_TimeSeries!$G$2:$G$287</c:f>
            </c:strRef>
          </c:cat>
          <c:val>
            <c:numRef>
              <c:f>Plots_TimeSeries!$I$2:$I$287</c:f>
              <c:numCache/>
            </c:numRef>
          </c:val>
          <c:smooth val="0"/>
        </c:ser>
        <c:axId val="358001105"/>
        <c:axId val="1917899635"/>
      </c:lineChart>
      <c:catAx>
        <c:axId val="3580011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899635"/>
      </c:catAx>
      <c:valAx>
        <c:axId val="1917899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800110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Distance!$M$1</c:f>
            </c:strRef>
          </c:tx>
          <c:spPr>
            <a:solidFill>
              <a:srgbClr val="000000"/>
            </a:solidFill>
            <a:ln cmpd="sng">
              <a:noFill/>
            </a:ln>
          </c:spPr>
          <c:cat>
            <c:strRef>
              <c:f>Distance!$L$2:$L$7</c:f>
            </c:strRef>
          </c:cat>
          <c:val>
            <c:numRef>
              <c:f>Distance!$M$2:$M$7</c:f>
              <c:numCache/>
            </c:numRef>
          </c:val>
        </c:ser>
        <c:axId val="1160896285"/>
        <c:axId val="1091616446"/>
      </c:barChart>
      <c:catAx>
        <c:axId val="1160896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 ridership (kilometres)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1616446"/>
      </c:catAx>
      <c:valAx>
        <c:axId val="1091616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 (percent)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08962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val>
            <c:numRef>
              <c:f>'WTP Emissions and gamma'!$M$2:$M$20</c:f>
              <c:numCache/>
            </c:numRef>
          </c:val>
        </c:ser>
        <c:axId val="1175668041"/>
        <c:axId val="1073398666"/>
      </c:barChart>
      <c:catAx>
        <c:axId val="1175668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Gamma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3398666"/>
      </c:catAx>
      <c:valAx>
        <c:axId val="10733986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6680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beta_i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'WTP Quality'!$P$2:$P$44</c:f>
            </c:strRef>
          </c:cat>
          <c:val>
            <c:numRef>
              <c:f>'WTP Quality'!$Q$2:$Q$44</c:f>
              <c:numCache/>
            </c:numRef>
          </c:val>
        </c:ser>
        <c:axId val="1935519063"/>
        <c:axId val="1207068482"/>
      </c:barChart>
      <c:catAx>
        <c:axId val="1935519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7068482"/>
      </c:catAx>
      <c:valAx>
        <c:axId val="1207068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55190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California Regular Reformulated Retail Gasoline Prices (Dollars per kWh)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'Gasoline cost'!$C$1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'Gasoline cost'!$C$2:$C$302</c:f>
              <c:numCache/>
            </c:numRef>
          </c:val>
          <c:smooth val="0"/>
        </c:ser>
        <c:axId val="1114534430"/>
        <c:axId val="474794733"/>
      </c:lineChart>
      <c:catAx>
        <c:axId val="1114534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794733"/>
      </c:catAx>
      <c:valAx>
        <c:axId val="474794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 California Regular Reformulated Retail Gasoline Prices (Dollars per kWh)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45344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Residential electricity price California, dolars per kilowatt-hour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'Electricity cost'!$E$1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'Electricity cost'!$E$2:$E$287</c:f>
              <c:numCache/>
            </c:numRef>
          </c:val>
          <c:smooth val="0"/>
        </c:ser>
        <c:axId val="665611892"/>
        <c:axId val="1961220780"/>
      </c:lineChart>
      <c:catAx>
        <c:axId val="665611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1220780"/>
      </c:catAx>
      <c:valAx>
        <c:axId val="1961220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Residential electricity price California, dolars per kilowatt-hour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5611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GHG Intensity of Electricity Generation (Imports), GHG Intensity of Electricity Generation (Overall) i EMBER Data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'Electricity emissions'!$F$1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'Electricity emissions'!$F$2:$F$24</c:f>
              <c:numCache/>
            </c:numRef>
          </c:val>
          <c:smooth val="0"/>
        </c:ser>
        <c:ser>
          <c:idx val="1"/>
          <c:order val="1"/>
          <c:tx>
            <c:strRef>
              <c:f>'Electricity emissions'!$G$1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'Electricity emissions'!$G$2:$G$24</c:f>
              <c:numCache/>
            </c:numRef>
          </c:val>
          <c:smooth val="0"/>
        </c:ser>
        <c:ser>
          <c:idx val="2"/>
          <c:order val="2"/>
          <c:tx>
            <c:strRef>
              <c:f>'Electricity emissions'!$H$1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'Electricity emissions'!$H$2:$H$24</c:f>
              <c:numCache/>
            </c:numRef>
          </c:val>
          <c:smooth val="0"/>
        </c:ser>
        <c:ser>
          <c:idx val="3"/>
          <c:order val="3"/>
          <c:tx>
            <c:strRef>
              <c:f>'Electricity emissions'!$E$1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'Electricity emissions'!$E$2:$E$24</c:f>
              <c:numCache/>
            </c:numRef>
          </c:val>
          <c:smooth val="0"/>
        </c:ser>
        <c:axId val="967299889"/>
        <c:axId val="180920334"/>
      </c:lineChart>
      <c:catAx>
        <c:axId val="967299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20334"/>
      </c:catAx>
      <c:valAx>
        <c:axId val="180920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7299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2343150</xdr:colOff>
      <xdr:row>275</xdr:row>
      <xdr:rowOff>114300</xdr:rowOff>
    </xdr:from>
    <xdr:ext cx="7505700" cy="4638675"/>
    <xdr:graphicFrame>
      <xdr:nvGraphicFramePr>
        <xdr:cNvPr id="3" name="Chart 3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4533900</xdr:colOff>
      <xdr:row>254</xdr:row>
      <xdr:rowOff>85725</xdr:rowOff>
    </xdr:from>
    <xdr:ext cx="9105900" cy="5629275"/>
    <xdr:graphicFrame>
      <xdr:nvGraphicFramePr>
        <xdr:cNvPr id="4" name="Chart 4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28575</xdr:rowOff>
    </xdr:from>
    <xdr:ext cx="6343650" cy="3924300"/>
    <xdr:graphicFrame>
      <xdr:nvGraphicFramePr>
        <xdr:cNvPr id="1" name="Chart 1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28575</xdr:colOff>
      <xdr:row>2</xdr:row>
      <xdr:rowOff>57150</xdr:rowOff>
    </xdr:from>
    <xdr:ext cx="5715000" cy="3533775"/>
    <xdr:graphicFrame>
      <xdr:nvGraphicFramePr>
        <xdr:cNvPr id="2" name="Chart 2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57150</xdr:colOff>
      <xdr:row>0</xdr:row>
      <xdr:rowOff>0</xdr:rowOff>
    </xdr:from>
    <xdr:ext cx="5715000" cy="3533775"/>
    <xdr:graphicFrame>
      <xdr:nvGraphicFramePr>
        <xdr:cNvPr id="5" name="Chart 5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581025</xdr:colOff>
      <xdr:row>0</xdr:row>
      <xdr:rowOff>323850</xdr:rowOff>
    </xdr:from>
    <xdr:ext cx="5715000" cy="3533775"/>
    <xdr:graphicFrame>
      <xdr:nvGraphicFramePr>
        <xdr:cNvPr id="6" name="Chart 6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2</xdr:row>
      <xdr:rowOff>28575</xdr:rowOff>
    </xdr:from>
    <xdr:ext cx="7419975" cy="4591050"/>
    <xdr:graphicFrame>
      <xdr:nvGraphicFramePr>
        <xdr:cNvPr id="7" name="Chart 7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809625</xdr:colOff>
      <xdr:row>8</xdr:row>
      <xdr:rowOff>19050</xdr:rowOff>
    </xdr:from>
    <xdr:ext cx="8801100" cy="5438775"/>
    <xdr:graphicFrame>
      <xdr:nvGraphicFramePr>
        <xdr:cNvPr id="8" name="Chart 8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07/s10640-020-00411-6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f.ca.gov/forecasting/economics/economic-indicators/inflation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cex/tables/geographic/mean/cu-state-ca-income-quintiles-before-taxes-2-year-average-2020.htm" TargetMode="External"/><Relationship Id="rId2" Type="http://schemas.openxmlformats.org/officeDocument/2006/relationships/hyperlink" Target="https://data.census.gov/table/ACSDT1Y2019.B19082?g=040XX00US51,50,11,12,53,10,54,15,16,13,19,17,18,40,41,44,01,45,42,48,04,49,05,46,02,47,08,09,06,30,33,34,31,32,37,38,35,36,39,22,23,20,21,26,27,24,25,28,29,72,55,56_010XX00US&amp;moe=false&amp;tp=true&amp;tid=ACSDT1Y2019.B19082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nergy.ca.gov/data-reports/surveys/california-vehicle-survey/vehicle-miles-traveled-fuel-type" TargetMode="External"/><Relationship Id="rId2" Type="http://schemas.openxmlformats.org/officeDocument/2006/relationships/hyperlink" Target="https://www.eia.gov/totalenergy/data/browser/?tbl=T01.09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harts/?from=EUR&amp;to=USD&amp;view=10Y" TargetMode="External"/><Relationship Id="rId2" Type="http://schemas.openxmlformats.org/officeDocument/2006/relationships/hyperlink" Target="https://dof.ca.gov/forecasting/economics/economic-indicators/inflation/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ia.gov/petroleum/gasdiesel/" TargetMode="External"/><Relationship Id="rId2" Type="http://schemas.openxmlformats.org/officeDocument/2006/relationships/hyperlink" Target="https://afdc.energy.gov/fuels/properties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ia.gov/opendata/browser/electricity/retail-sales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ea.org/data-and-statistics/charts/comparative-life-cycle-greenhouse-gas-emissions-of-a-mid-size-bev-and-ice-vehicle" TargetMode="External"/><Relationship Id="rId2" Type="http://schemas.openxmlformats.org/officeDocument/2006/relationships/hyperlink" Target="https://www.ipcc.ch/report/ar6/wg3/downloads/report/IPCC_AR6_WGIII_Chapter10.pdf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pcc.ch/report/ar6/wg3/downloads/report/IPCC_AR6_WGIII_Chapter10.pdf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ember-energy.org/data/us-electricity-data-explorer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ncda.org/wp-content/uploads/Cal-Covering-4Q-20.pdf" TargetMode="External"/><Relationship Id="rId2" Type="http://schemas.openxmlformats.org/officeDocument/2006/relationships/hyperlink" Target="https://www.fueleconomy.gov/feg/Find.do?action=sbs&amp;id=42152" TargetMode="External"/><Relationship Id="rId3" Type="http://schemas.openxmlformats.org/officeDocument/2006/relationships/hyperlink" Target="https://www.fueleconomy.gov/feg/Find.do?action=sbs&amp;id=42015" TargetMode="External"/><Relationship Id="rId4" Type="http://schemas.openxmlformats.org/officeDocument/2006/relationships/hyperlink" Target="https://www.fueleconomy.gov/feg/Find.do?action=sbs&amp;id=41213" TargetMode="External"/><Relationship Id="rId5" Type="http://schemas.openxmlformats.org/officeDocument/2006/relationships/hyperlink" Target="https://www.fueleconomy.gov/feg/Find.do?action=sbs&amp;id=42070" TargetMode="External"/><Relationship Id="rId6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13"/>
    <col customWidth="1" min="3" max="3" width="44.88"/>
    <col customWidth="1" min="4" max="5" width="16.13"/>
    <col customWidth="1" min="6" max="7" width="44.88"/>
  </cols>
  <sheetData>
    <row r="1">
      <c r="A1" s="2" t="s">
        <v>1</v>
      </c>
      <c r="B1" s="2" t="s">
        <v>4</v>
      </c>
      <c r="C1" s="2" t="s">
        <v>2</v>
      </c>
      <c r="D1" s="4"/>
    </row>
    <row r="2">
      <c r="A2" s="4" t="s">
        <v>6</v>
      </c>
      <c r="B2" s="4" t="s">
        <v>8</v>
      </c>
      <c r="C2" s="4" t="s">
        <v>10</v>
      </c>
      <c r="D2" s="4"/>
    </row>
    <row r="3">
      <c r="A3" s="4" t="s">
        <v>12</v>
      </c>
      <c r="B3" s="4" t="s">
        <v>8</v>
      </c>
      <c r="C3" s="4" t="s">
        <v>15</v>
      </c>
      <c r="D3" s="4"/>
    </row>
    <row r="4">
      <c r="A4" s="4" t="s">
        <v>18</v>
      </c>
      <c r="B4" s="4" t="s">
        <v>8</v>
      </c>
      <c r="C4" s="4" t="s">
        <v>19</v>
      </c>
      <c r="D4" s="4"/>
    </row>
    <row r="5">
      <c r="A5" s="4" t="s">
        <v>21</v>
      </c>
      <c r="B5" s="4" t="s">
        <v>8</v>
      </c>
      <c r="C5" s="4" t="s">
        <v>23</v>
      </c>
      <c r="D5" s="4"/>
    </row>
    <row r="6">
      <c r="A6" s="4" t="s">
        <v>26</v>
      </c>
      <c r="B6" s="4" t="s">
        <v>8</v>
      </c>
      <c r="C6" s="4" t="s">
        <v>27</v>
      </c>
      <c r="D6" s="4"/>
    </row>
    <row r="7">
      <c r="A7" s="4" t="s">
        <v>30</v>
      </c>
      <c r="B7" s="4" t="s">
        <v>8</v>
      </c>
      <c r="C7" s="4" t="s">
        <v>32</v>
      </c>
      <c r="D7" s="4"/>
    </row>
    <row r="8">
      <c r="A8" s="4" t="s">
        <v>33</v>
      </c>
      <c r="B8" s="4" t="s">
        <v>8</v>
      </c>
      <c r="D8" s="4"/>
    </row>
    <row r="9">
      <c r="A9" s="4" t="s">
        <v>34</v>
      </c>
      <c r="D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</cols>
  <sheetData>
    <row r="1">
      <c r="A1" s="1" t="s">
        <v>16</v>
      </c>
      <c r="B1" s="1" t="s">
        <v>20</v>
      </c>
      <c r="C1" s="1" t="s">
        <v>22</v>
      </c>
    </row>
    <row r="2">
      <c r="A2" s="4" t="s">
        <v>24</v>
      </c>
      <c r="B2" s="4" t="s">
        <v>25</v>
      </c>
      <c r="C2" s="4">
        <v>1.0</v>
      </c>
    </row>
    <row r="3">
      <c r="A3" s="4" t="s">
        <v>28</v>
      </c>
      <c r="B3" s="4" t="s">
        <v>29</v>
      </c>
      <c r="C3" s="4">
        <v>1.0</v>
      </c>
    </row>
    <row r="4">
      <c r="A4" s="4" t="s">
        <v>31</v>
      </c>
      <c r="B4" s="4" t="s">
        <v>31</v>
      </c>
      <c r="C4" s="4">
        <f t="shared" ref="C4:C5" si="1">POW(10,0)</f>
        <v>1</v>
      </c>
    </row>
    <row r="5">
      <c r="A5" s="4" t="s">
        <v>44</v>
      </c>
      <c r="B5" s="4" t="s">
        <v>44</v>
      </c>
      <c r="C5" s="4">
        <f t="shared" si="1"/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40.25"/>
    <col customWidth="1" min="5" max="5" width="51.38"/>
  </cols>
  <sheetData>
    <row r="1">
      <c r="A1" s="1" t="s">
        <v>0</v>
      </c>
      <c r="B1" s="1" t="s">
        <v>2</v>
      </c>
      <c r="C1" s="1" t="s">
        <v>3</v>
      </c>
      <c r="D1" s="3"/>
      <c r="E1" s="1" t="s">
        <v>5</v>
      </c>
    </row>
    <row r="2">
      <c r="A2" s="4" t="s">
        <v>7</v>
      </c>
      <c r="B2" s="4" t="s">
        <v>9</v>
      </c>
      <c r="C2" s="4">
        <v>0.5</v>
      </c>
      <c r="E2" s="4" t="s">
        <v>11</v>
      </c>
    </row>
    <row r="3">
      <c r="A3" s="4" t="s">
        <v>13</v>
      </c>
      <c r="B3" s="4" t="s">
        <v>14</v>
      </c>
      <c r="C3" s="4">
        <v>0.0016</v>
      </c>
      <c r="D3" s="6" t="b">
        <f t="shared" ref="D3:D4" si="1">$C$5&gt;C3/(1-C3)</f>
        <v>1</v>
      </c>
      <c r="E3" s="4" t="s">
        <v>11</v>
      </c>
    </row>
    <row r="4">
      <c r="A4" s="4" t="s">
        <v>38</v>
      </c>
      <c r="B4" s="4" t="s">
        <v>39</v>
      </c>
      <c r="C4" s="4">
        <v>0.0016</v>
      </c>
      <c r="D4" s="6" t="b">
        <f t="shared" si="1"/>
        <v>1</v>
      </c>
      <c r="E4" s="4" t="s">
        <v>11</v>
      </c>
    </row>
    <row r="5">
      <c r="A5" s="4" t="s">
        <v>43</v>
      </c>
      <c r="B5" s="4" t="s">
        <v>45</v>
      </c>
      <c r="C5" s="6">
        <f>POW(D5+1,1/12)-1</f>
        <v>0.001651581302</v>
      </c>
      <c r="D5" s="8">
        <v>0.02</v>
      </c>
      <c r="E5" s="4" t="s">
        <v>46</v>
      </c>
    </row>
    <row r="6">
      <c r="A6" s="4" t="s">
        <v>47</v>
      </c>
      <c r="B6" s="4" t="s">
        <v>48</v>
      </c>
      <c r="C6" s="6">
        <f>Distance!$Q$1</f>
        <v>1119.839462</v>
      </c>
      <c r="E6" s="4" t="s">
        <v>49</v>
      </c>
    </row>
    <row r="7">
      <c r="A7" s="4" t="s">
        <v>50</v>
      </c>
      <c r="B7" s="4" t="s">
        <v>51</v>
      </c>
      <c r="C7" s="6">
        <f>'WTP Emissions and gamma'!$G$2</f>
        <v>0.000002038433488</v>
      </c>
      <c r="E7" s="9" t="s">
        <v>52</v>
      </c>
    </row>
    <row r="8">
      <c r="A8" s="4" t="s">
        <v>53</v>
      </c>
      <c r="B8" s="4" t="s">
        <v>54</v>
      </c>
      <c r="C8" s="4">
        <v>1.0</v>
      </c>
      <c r="E8" s="4" t="s">
        <v>55</v>
      </c>
    </row>
    <row r="9">
      <c r="A9" s="4" t="s">
        <v>56</v>
      </c>
      <c r="B9" s="4" t="s">
        <v>57</v>
      </c>
      <c r="C9" s="4">
        <v>0.0</v>
      </c>
      <c r="E9" s="4" t="s">
        <v>55</v>
      </c>
    </row>
    <row r="10">
      <c r="A10" s="4" t="s">
        <v>58</v>
      </c>
      <c r="B10" s="4" t="s">
        <v>59</v>
      </c>
      <c r="C10" s="6">
        <f>C9+(C8-C9)/2</f>
        <v>0.5</v>
      </c>
      <c r="E10" s="4" t="s">
        <v>60</v>
      </c>
    </row>
    <row r="11">
      <c r="A11" s="4" t="s">
        <v>61</v>
      </c>
      <c r="B11" s="4" t="s">
        <v>62</v>
      </c>
      <c r="C11" s="10">
        <f>'Production costs'!$K$3</f>
        <v>58154.47855</v>
      </c>
      <c r="E11" s="14" t="s">
        <v>11</v>
      </c>
    </row>
    <row r="12">
      <c r="A12" s="4" t="s">
        <v>71</v>
      </c>
      <c r="B12" s="4" t="s">
        <v>72</v>
      </c>
      <c r="C12" s="4">
        <v>0.0</v>
      </c>
      <c r="E12" s="14" t="s">
        <v>11</v>
      </c>
    </row>
    <row r="13">
      <c r="A13" s="4" t="s">
        <v>75</v>
      </c>
      <c r="B13" s="4" t="s">
        <v>76</v>
      </c>
      <c r="C13" s="10">
        <f>C12+(C11-C12)/2</f>
        <v>29077.23927</v>
      </c>
      <c r="E13" s="14" t="s">
        <v>60</v>
      </c>
    </row>
    <row r="14">
      <c r="A14" s="4" t="s">
        <v>81</v>
      </c>
      <c r="B14" s="4" t="s">
        <v>82</v>
      </c>
      <c r="C14" s="10">
        <f>'Production costs'!$K$3</f>
        <v>58154.47855</v>
      </c>
      <c r="E14" s="14" t="s">
        <v>84</v>
      </c>
    </row>
    <row r="15">
      <c r="A15" s="4" t="s">
        <v>87</v>
      </c>
      <c r="B15" s="4" t="s">
        <v>89</v>
      </c>
      <c r="C15" s="4">
        <v>0.0</v>
      </c>
      <c r="E15" s="14" t="s">
        <v>55</v>
      </c>
    </row>
    <row r="16">
      <c r="A16" s="4" t="s">
        <v>93</v>
      </c>
      <c r="B16" s="4" t="s">
        <v>95</v>
      </c>
      <c r="C16" s="10">
        <f>C15+(C14-C15)/2</f>
        <v>29077.23927</v>
      </c>
      <c r="E16" s="14" t="s">
        <v>60</v>
      </c>
    </row>
    <row r="17">
      <c r="A17" s="4" t="s">
        <v>97</v>
      </c>
      <c r="B17" s="4" t="s">
        <v>98</v>
      </c>
      <c r="C17" s="6">
        <f>'EV Efficiency'!G7</f>
        <v>9.733700643</v>
      </c>
      <c r="E17" s="4" t="s">
        <v>46</v>
      </c>
    </row>
    <row r="18">
      <c r="A18" s="4" t="s">
        <v>102</v>
      </c>
      <c r="B18" s="4" t="s">
        <v>104</v>
      </c>
      <c r="C18" s="6">
        <f>'EV Efficiency'!G8</f>
        <v>2.731864096</v>
      </c>
      <c r="E18" s="4" t="s">
        <v>46</v>
      </c>
    </row>
    <row r="19">
      <c r="A19" s="4" t="s">
        <v>107</v>
      </c>
      <c r="B19" s="4" t="s">
        <v>108</v>
      </c>
      <c r="C19" s="6">
        <f>C18+(C17-C18)/2</f>
        <v>6.232782369</v>
      </c>
      <c r="E19" s="4" t="s">
        <v>60</v>
      </c>
    </row>
    <row r="20">
      <c r="A20" s="4" t="s">
        <v>109</v>
      </c>
      <c r="B20" s="4" t="s">
        <v>110</v>
      </c>
      <c r="C20" s="6">
        <f>'ICE Efficiency'!H7</f>
        <v>3.086982968</v>
      </c>
      <c r="E20" s="4" t="s">
        <v>46</v>
      </c>
    </row>
    <row r="21">
      <c r="A21" s="4" t="s">
        <v>111</v>
      </c>
      <c r="B21" s="4" t="s">
        <v>112</v>
      </c>
      <c r="C21" s="6">
        <f>'ICE Efficiency'!H8</f>
        <v>0.7907542578</v>
      </c>
      <c r="E21" s="4" t="s">
        <v>46</v>
      </c>
    </row>
    <row r="22">
      <c r="A22" s="4" t="s">
        <v>115</v>
      </c>
      <c r="B22" s="4" t="s">
        <v>116</v>
      </c>
      <c r="C22" s="6">
        <f>C21+(C20-C21)/2</f>
        <v>1.938868613</v>
      </c>
      <c r="E22" s="4" t="s">
        <v>60</v>
      </c>
    </row>
    <row r="23">
      <c r="A23" s="4" t="s">
        <v>118</v>
      </c>
      <c r="B23" s="4" t="s">
        <v>119</v>
      </c>
      <c r="C23" s="6">
        <f>'Production emissions'!D10</f>
        <v>14000</v>
      </c>
      <c r="E23" s="4" t="s">
        <v>46</v>
      </c>
    </row>
    <row r="24">
      <c r="A24" s="4" t="s">
        <v>120</v>
      </c>
      <c r="B24" s="4" t="s">
        <v>121</v>
      </c>
      <c r="C24" s="6">
        <f>'Production emissions'!D11</f>
        <v>10000</v>
      </c>
      <c r="E24" s="4" t="s">
        <v>46</v>
      </c>
    </row>
    <row r="25">
      <c r="A25" s="4" t="s">
        <v>122</v>
      </c>
      <c r="B25" s="4" t="s">
        <v>123</v>
      </c>
      <c r="C25" s="25">
        <f>'Range WTP &amp; Elasticity'!J4</f>
        <v>1173.648872</v>
      </c>
      <c r="E25" s="14" t="s">
        <v>124</v>
      </c>
    </row>
    <row r="26">
      <c r="A26" s="4" t="s">
        <v>125</v>
      </c>
      <c r="B26" s="4" t="s">
        <v>126</v>
      </c>
      <c r="C26" s="6">
        <f>'Range WTP &amp; Elasticity'!J1</f>
        <v>0.2960778787</v>
      </c>
      <c r="E26" s="14" t="s">
        <v>124</v>
      </c>
    </row>
    <row r="27">
      <c r="A27" s="4" t="s">
        <v>127</v>
      </c>
      <c r="B27" s="4" t="s">
        <v>128</v>
      </c>
      <c r="C27" s="6">
        <f>'Tank size'!$E$9</f>
        <v>469.4105</v>
      </c>
      <c r="E27" s="26" t="str">
        <f>'Tank size'!B2</f>
        <v>https://www.cncda.org/wp-content/uploads/Cal-Covering-4Q-20.pdf</v>
      </c>
    </row>
    <row r="28">
      <c r="A28" s="4" t="s">
        <v>130</v>
      </c>
      <c r="B28" s="4" t="s">
        <v>131</v>
      </c>
      <c r="C28" s="4">
        <v>80.0</v>
      </c>
      <c r="E28" s="4" t="s">
        <v>11</v>
      </c>
    </row>
    <row r="29">
      <c r="A29" s="4" t="s">
        <v>132</v>
      </c>
      <c r="B29" s="4" t="s">
        <v>133</v>
      </c>
      <c r="C29" s="4">
        <v>0.0</v>
      </c>
      <c r="E29" s="4" t="s">
        <v>55</v>
      </c>
    </row>
    <row r="30">
      <c r="A30" s="4" t="s">
        <v>134</v>
      </c>
      <c r="B30" s="4" t="s">
        <v>135</v>
      </c>
      <c r="C30" s="6">
        <f>C29+(C28-C29)/2</f>
        <v>40</v>
      </c>
      <c r="E30" s="4" t="s">
        <v>60</v>
      </c>
    </row>
    <row r="31">
      <c r="A31" s="4" t="s">
        <v>136</v>
      </c>
      <c r="B31" s="4" t="s">
        <v>137</v>
      </c>
      <c r="C31" s="8">
        <v>1.0</v>
      </c>
      <c r="E31" s="4" t="s">
        <v>11</v>
      </c>
    </row>
    <row r="32">
      <c r="A32" s="4" t="s">
        <v>138</v>
      </c>
      <c r="B32" s="4" t="s">
        <v>139</v>
      </c>
      <c r="C32" s="4">
        <v>0.0087</v>
      </c>
      <c r="E32" s="14" t="s">
        <v>140</v>
      </c>
    </row>
    <row r="33">
      <c r="A33" s="4" t="s">
        <v>141</v>
      </c>
      <c r="B33" s="4" t="s">
        <v>142</v>
      </c>
      <c r="C33" s="4">
        <v>0.0116</v>
      </c>
      <c r="E33" s="14" t="s">
        <v>140</v>
      </c>
    </row>
    <row r="34">
      <c r="A34" s="4" t="s">
        <v>143</v>
      </c>
      <c r="B34" s="4" t="s">
        <v>144</v>
      </c>
      <c r="C34" s="4">
        <v>1.0</v>
      </c>
      <c r="E34" s="4" t="s">
        <v>11</v>
      </c>
    </row>
    <row r="35">
      <c r="A35" s="4" t="s">
        <v>145</v>
      </c>
      <c r="B35" s="4" t="s">
        <v>146</v>
      </c>
      <c r="C35" s="27">
        <v>1.0E-5</v>
      </c>
      <c r="E35" s="4" t="s">
        <v>11</v>
      </c>
    </row>
    <row r="36">
      <c r="A36" s="4" t="s">
        <v>147</v>
      </c>
      <c r="B36" s="4" t="s">
        <v>148</v>
      </c>
      <c r="C36" s="10">
        <f>'Production costs'!F3*'Measure conversion'!C2</f>
        <v>39293.56658</v>
      </c>
      <c r="E36" s="14" t="s">
        <v>84</v>
      </c>
    </row>
    <row r="37">
      <c r="A37" s="4" t="s">
        <v>149</v>
      </c>
      <c r="B37" s="4" t="s">
        <v>150</v>
      </c>
      <c r="C37" s="6">
        <f>AVERAGE('Gasoline cost'!$H$14:$H$277)</f>
        <v>0.1119689998</v>
      </c>
      <c r="E37" s="26" t="str">
        <f>'Gasoline cost'!B2</f>
        <v>https://www.eia.gov/petroleum/gasdiesel/</v>
      </c>
    </row>
    <row r="38">
      <c r="A38" s="4" t="s">
        <v>151</v>
      </c>
      <c r="B38" s="4" t="s">
        <v>152</v>
      </c>
      <c r="C38" s="6">
        <f>'Gasoline Emissions'!E2</f>
        <v>0.3311735061</v>
      </c>
      <c r="E38" s="26" t="str">
        <f>'Gasoline Emissions'!B6</f>
        <v>https://www.ipcc.ch/report/ar6/wg3/downloads/report/IPCC_AR6_WGIII_Chapter10.pdf</v>
      </c>
    </row>
    <row r="39">
      <c r="A39" s="28" t="s">
        <v>153</v>
      </c>
      <c r="B39" s="4" t="s">
        <v>154</v>
      </c>
      <c r="C39" s="6">
        <f>'Electricity cost'!B4</f>
        <v>0.1724870629</v>
      </c>
      <c r="E39" s="26" t="str">
        <f>'Electricity cost'!B2</f>
        <v>https://www.eia.gov/opendata/browser/electricity/retail-sales</v>
      </c>
    </row>
    <row r="40">
      <c r="A40" s="28" t="s">
        <v>155</v>
      </c>
      <c r="B40" s="4" t="s">
        <v>156</v>
      </c>
      <c r="C40" s="6">
        <f>'Electricity emissions'!B5</f>
        <v>0.2719659441</v>
      </c>
      <c r="E40" s="26" t="str">
        <f>'Electricity emissions'!B4</f>
        <v>https://ember-energy.org/data/us-electricity-data-explorer/</v>
      </c>
    </row>
    <row r="41">
      <c r="A41" s="4" t="s">
        <v>157</v>
      </c>
      <c r="B41" s="4" t="s">
        <v>158</v>
      </c>
      <c r="C41" s="6">
        <f>'Income distribution'!B19</f>
        <v>11.22524339</v>
      </c>
      <c r="E41" s="29" t="str">
        <f>'Income distribution'!$B$12</f>
        <v>https://data.census.gov/table/ACSDT1Y2019.B19082?g=040XX00US51,50,11,12,53,10,54,15,16,13,19,17,18,40,41,44,01,45,42,48,04,49,05,46,02,47,08,09,06,30,33,34,31,32,37,38,35,36,39,22,23,20,21,26,27,24,25,28,29,72,55,56_010XX00US&amp;moe=false&amp;tp=true&amp;tid=ACSDT1Y2019.B19082</v>
      </c>
    </row>
    <row r="42">
      <c r="A42" s="4" t="s">
        <v>159</v>
      </c>
      <c r="B42" s="4" t="s">
        <v>160</v>
      </c>
      <c r="C42" s="6">
        <f>'Income distribution'!B20</f>
        <v>0.927</v>
      </c>
      <c r="E42" s="29" t="str">
        <f>'Income distribution'!$B$12</f>
        <v>https://data.census.gov/table/ACSDT1Y2019.B19082?g=040XX00US51,50,11,12,53,10,54,15,16,13,19,17,18,40,41,44,01,45,42,48,04,49,05,46,02,47,08,09,06,30,33,34,31,32,37,38,35,36,39,22,23,20,21,26,27,24,25,28,29,72,55,56_010XX00US&amp;moe=false&amp;tp=true&amp;tid=ACSDT1Y2019.B19082</v>
      </c>
    </row>
  </sheetData>
  <hyperlinks>
    <hyperlink r:id="rId1" ref="E7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17</v>
      </c>
      <c r="B1" s="5" t="s">
        <v>35</v>
      </c>
      <c r="C1" s="5" t="s">
        <v>36</v>
      </c>
      <c r="D1" s="5" t="s">
        <v>37</v>
      </c>
      <c r="E1" s="5" t="s">
        <v>40</v>
      </c>
      <c r="F1" s="5" t="s">
        <v>41</v>
      </c>
      <c r="G1" s="5" t="s">
        <v>42</v>
      </c>
    </row>
    <row r="2">
      <c r="A2" s="7">
        <v>2020.0</v>
      </c>
      <c r="B2" s="7">
        <v>7.78</v>
      </c>
      <c r="C2" s="7">
        <v>10600.0</v>
      </c>
      <c r="D2" s="7">
        <v>38000.0</v>
      </c>
      <c r="E2" s="7">
        <v>1000.0</v>
      </c>
      <c r="F2" s="7">
        <v>49600.0</v>
      </c>
      <c r="G2" s="7">
        <v>1.662661</v>
      </c>
    </row>
    <row r="3">
      <c r="A3" s="7">
        <v>2021.0</v>
      </c>
      <c r="B3" s="7">
        <v>12.66</v>
      </c>
      <c r="C3" s="7">
        <v>160000.0</v>
      </c>
      <c r="D3" s="7">
        <v>53000.0</v>
      </c>
      <c r="E3" s="7">
        <v>3000.0</v>
      </c>
      <c r="F3" s="7">
        <v>216000.0</v>
      </c>
      <c r="G3" s="7">
        <v>9.377778</v>
      </c>
    </row>
    <row r="4">
      <c r="A4" s="7">
        <v>2022.0</v>
      </c>
      <c r="B4" s="7">
        <v>19.49</v>
      </c>
      <c r="C4" s="7">
        <v>262076.0</v>
      </c>
      <c r="D4" s="7">
        <v>43689.0</v>
      </c>
      <c r="E4" s="7">
        <v>2503.0</v>
      </c>
      <c r="F4" s="7">
        <v>308268.0</v>
      </c>
      <c r="G4" s="7">
        <v>16.56955</v>
      </c>
    </row>
    <row r="5">
      <c r="A5" s="7">
        <v>2023.0</v>
      </c>
      <c r="B5" s="7">
        <v>25.02</v>
      </c>
      <c r="C5" s="7">
        <v>374688.0</v>
      </c>
      <c r="D5" s="7">
        <v>63496.0</v>
      </c>
      <c r="E5" s="7">
        <v>3119.0</v>
      </c>
      <c r="F5" s="7">
        <v>441303.0</v>
      </c>
      <c r="G5" s="7">
        <v>21.24321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75"/>
    <col customWidth="1" min="3" max="3" width="32.63"/>
    <col customWidth="1" min="4" max="4" width="27.0"/>
    <col customWidth="1" min="5" max="5" width="27.13"/>
  </cols>
  <sheetData>
    <row r="1">
      <c r="A1" s="1" t="s">
        <v>63</v>
      </c>
      <c r="B1" s="4" t="s">
        <v>8</v>
      </c>
      <c r="C1" s="11" t="s">
        <v>64</v>
      </c>
      <c r="D1" s="12" t="s">
        <v>65</v>
      </c>
      <c r="E1" s="4" t="s">
        <v>67</v>
      </c>
    </row>
    <row r="2">
      <c r="A2" s="1" t="s">
        <v>68</v>
      </c>
      <c r="B2" s="15" t="s">
        <v>69</v>
      </c>
      <c r="C2" s="16">
        <v>36526.0</v>
      </c>
      <c r="D2" s="17" t="s">
        <v>83</v>
      </c>
      <c r="E2" s="4">
        <v>0.60618524</v>
      </c>
    </row>
    <row r="3">
      <c r="A3" s="1" t="s">
        <v>85</v>
      </c>
      <c r="B3" s="4" t="s">
        <v>88</v>
      </c>
      <c r="C3" s="16">
        <v>36557.0</v>
      </c>
      <c r="D3" s="17">
        <v>172.0</v>
      </c>
      <c r="E3" s="4">
        <v>0.60618524</v>
      </c>
    </row>
    <row r="4">
      <c r="A4" s="4" t="s">
        <v>92</v>
      </c>
      <c r="B4" s="4" t="s">
        <v>94</v>
      </c>
      <c r="C4" s="16">
        <v>36586.0</v>
      </c>
      <c r="D4" s="17" t="s">
        <v>83</v>
      </c>
      <c r="E4" s="4">
        <v>0.608988863</v>
      </c>
    </row>
    <row r="5">
      <c r="C5" s="16">
        <v>36617.0</v>
      </c>
      <c r="D5" s="17">
        <v>173.6</v>
      </c>
      <c r="E5" s="4">
        <v>0.611792486</v>
      </c>
    </row>
    <row r="6">
      <c r="C6" s="16">
        <v>36647.0</v>
      </c>
      <c r="D6" s="17" t="s">
        <v>83</v>
      </c>
      <c r="E6" s="4">
        <v>0.612499119</v>
      </c>
    </row>
    <row r="7">
      <c r="A7" s="1" t="s">
        <v>96</v>
      </c>
      <c r="B7" s="4" t="s">
        <v>99</v>
      </c>
      <c r="C7" s="16">
        <v>36678.0</v>
      </c>
      <c r="D7" s="17">
        <v>174.0</v>
      </c>
      <c r="E7" s="4">
        <v>0.613205752</v>
      </c>
    </row>
    <row r="8">
      <c r="C8" s="16">
        <v>36708.0</v>
      </c>
      <c r="D8" s="17" t="s">
        <v>83</v>
      </c>
      <c r="E8" s="4">
        <v>0.616116868</v>
      </c>
    </row>
    <row r="9">
      <c r="A9" s="4" t="s">
        <v>101</v>
      </c>
      <c r="B9" s="4" t="s">
        <v>103</v>
      </c>
      <c r="C9" s="16">
        <v>36739.0</v>
      </c>
      <c r="D9" s="17">
        <v>175.6</v>
      </c>
      <c r="E9" s="4">
        <v>0.619027983</v>
      </c>
    </row>
    <row r="10">
      <c r="B10" s="4" t="s">
        <v>106</v>
      </c>
      <c r="C10" s="16">
        <v>36770.0</v>
      </c>
      <c r="D10" s="17" t="s">
        <v>83</v>
      </c>
      <c r="E10" s="4">
        <v>0.621910904</v>
      </c>
    </row>
    <row r="11">
      <c r="C11" s="16">
        <v>36800.0</v>
      </c>
      <c r="D11" s="17">
        <v>177.3</v>
      </c>
      <c r="E11" s="4">
        <v>0.624793825</v>
      </c>
    </row>
    <row r="12">
      <c r="C12" s="16">
        <v>36831.0</v>
      </c>
      <c r="D12" s="17" t="s">
        <v>83</v>
      </c>
      <c r="E12" s="4">
        <v>0.624829069</v>
      </c>
    </row>
    <row r="13">
      <c r="C13" s="16">
        <v>36861.0</v>
      </c>
      <c r="D13" s="17">
        <v>177.3</v>
      </c>
      <c r="E13" s="4">
        <v>0.624864312</v>
      </c>
    </row>
    <row r="14">
      <c r="C14" s="16">
        <v>36892.0</v>
      </c>
      <c r="D14" s="17" t="s">
        <v>83</v>
      </c>
      <c r="E14" s="4">
        <v>0.629294424</v>
      </c>
    </row>
    <row r="15">
      <c r="C15" s="16">
        <v>36923.0</v>
      </c>
      <c r="D15" s="17">
        <v>179.8</v>
      </c>
      <c r="E15" s="4">
        <v>0.633724537</v>
      </c>
    </row>
    <row r="16">
      <c r="C16" s="16">
        <v>36951.0</v>
      </c>
      <c r="D16" s="17" t="s">
        <v>83</v>
      </c>
      <c r="E16" s="4">
        <v>0.635842673</v>
      </c>
    </row>
    <row r="17">
      <c r="C17" s="16">
        <v>36982.0</v>
      </c>
      <c r="D17" s="17">
        <v>181.0</v>
      </c>
      <c r="E17" s="4">
        <v>0.637960809</v>
      </c>
    </row>
    <row r="18">
      <c r="C18" s="16">
        <v>37012.0</v>
      </c>
      <c r="D18" s="17" t="s">
        <v>83</v>
      </c>
      <c r="E18" s="4">
        <v>0.641740678</v>
      </c>
    </row>
    <row r="19">
      <c r="C19" s="16">
        <v>37043.0</v>
      </c>
      <c r="D19" s="17">
        <v>183.2</v>
      </c>
      <c r="E19" s="4">
        <v>0.645520547</v>
      </c>
    </row>
    <row r="20">
      <c r="C20" s="16">
        <v>37073.0</v>
      </c>
      <c r="D20" s="17" t="s">
        <v>83</v>
      </c>
      <c r="E20" s="4">
        <v>0.644977797</v>
      </c>
    </row>
    <row r="21">
      <c r="C21" s="16">
        <v>37104.0</v>
      </c>
      <c r="D21" s="17">
        <v>182.9</v>
      </c>
      <c r="E21" s="4">
        <v>0.644435046</v>
      </c>
    </row>
    <row r="22">
      <c r="C22" s="16">
        <v>37135.0</v>
      </c>
      <c r="D22" s="17" t="s">
        <v>83</v>
      </c>
      <c r="E22" s="4">
        <v>0.644709946</v>
      </c>
    </row>
    <row r="23">
      <c r="C23" s="16">
        <v>37165.0</v>
      </c>
      <c r="D23" s="17">
        <v>183.0</v>
      </c>
      <c r="E23" s="4">
        <v>0.644984845</v>
      </c>
    </row>
    <row r="24">
      <c r="C24" s="16">
        <v>37196.0</v>
      </c>
      <c r="D24" s="17" t="s">
        <v>83</v>
      </c>
      <c r="E24" s="4">
        <v>0.642921336</v>
      </c>
    </row>
    <row r="25">
      <c r="C25" s="16">
        <v>37226.0</v>
      </c>
      <c r="D25" s="17">
        <v>181.8</v>
      </c>
      <c r="E25" s="4">
        <v>0.640857828</v>
      </c>
    </row>
    <row r="26">
      <c r="C26" s="16">
        <v>37257.0</v>
      </c>
      <c r="D26" s="17" t="s">
        <v>83</v>
      </c>
      <c r="E26" s="4">
        <v>0.644856206</v>
      </c>
    </row>
    <row r="27">
      <c r="C27" s="16">
        <v>37288.0</v>
      </c>
      <c r="D27" s="17">
        <v>184.1</v>
      </c>
      <c r="E27" s="4">
        <v>0.648854585</v>
      </c>
    </row>
    <row r="28">
      <c r="C28" s="16">
        <v>37316.0</v>
      </c>
      <c r="D28" s="17" t="s">
        <v>83</v>
      </c>
      <c r="E28" s="4">
        <v>0.652338408</v>
      </c>
    </row>
    <row r="29">
      <c r="C29" s="16">
        <v>37347.0</v>
      </c>
      <c r="D29" s="17">
        <v>186.1</v>
      </c>
      <c r="E29" s="4">
        <v>0.655822232</v>
      </c>
    </row>
    <row r="30">
      <c r="C30" s="16">
        <v>37377.0</v>
      </c>
      <c r="D30" s="17" t="s">
        <v>83</v>
      </c>
      <c r="E30" s="4">
        <v>0.655575527</v>
      </c>
    </row>
    <row r="31">
      <c r="C31" s="16">
        <v>37408.0</v>
      </c>
      <c r="D31" s="17">
        <v>185.9</v>
      </c>
      <c r="E31" s="4">
        <v>0.655328822</v>
      </c>
    </row>
    <row r="32">
      <c r="C32" s="16">
        <v>37438.0</v>
      </c>
      <c r="D32" s="17" t="s">
        <v>83</v>
      </c>
      <c r="E32" s="4">
        <v>0.656819624</v>
      </c>
    </row>
    <row r="33">
      <c r="C33" s="16">
        <v>37469.0</v>
      </c>
      <c r="D33" s="17">
        <v>186.8</v>
      </c>
      <c r="E33" s="4">
        <v>0.658310425</v>
      </c>
    </row>
    <row r="34">
      <c r="C34" s="16">
        <v>37500.0</v>
      </c>
      <c r="D34" s="17" t="s">
        <v>83</v>
      </c>
      <c r="E34" s="4">
        <v>0.659602101</v>
      </c>
    </row>
    <row r="35">
      <c r="C35" s="16">
        <v>37530.0</v>
      </c>
      <c r="D35" s="17">
        <v>187.5</v>
      </c>
      <c r="E35" s="4">
        <v>0.660893776</v>
      </c>
    </row>
    <row r="36">
      <c r="C36" s="16">
        <v>37561.0</v>
      </c>
      <c r="D36" s="17" t="s">
        <v>83</v>
      </c>
      <c r="E36" s="4">
        <v>0.66027349</v>
      </c>
    </row>
    <row r="37">
      <c r="C37" s="16">
        <v>37591.0</v>
      </c>
      <c r="D37" s="17">
        <v>187.2</v>
      </c>
      <c r="E37" s="4">
        <v>0.659653204</v>
      </c>
    </row>
    <row r="38">
      <c r="C38" s="16">
        <v>37622.0</v>
      </c>
      <c r="D38" s="17" t="s">
        <v>83</v>
      </c>
      <c r="E38" s="4">
        <v>0.665558258</v>
      </c>
    </row>
    <row r="39">
      <c r="C39" s="16">
        <v>37653.0</v>
      </c>
      <c r="D39" s="17">
        <v>190.5</v>
      </c>
      <c r="E39" s="4">
        <v>0.671463311</v>
      </c>
    </row>
    <row r="40">
      <c r="C40" s="16">
        <v>37681.0</v>
      </c>
      <c r="D40" s="17" t="s">
        <v>83</v>
      </c>
      <c r="E40" s="4">
        <v>0.672559385</v>
      </c>
    </row>
    <row r="41">
      <c r="C41" s="16">
        <v>37712.0</v>
      </c>
      <c r="D41" s="17">
        <v>191.1</v>
      </c>
      <c r="E41" s="4">
        <v>0.673655459</v>
      </c>
    </row>
    <row r="42">
      <c r="C42" s="16">
        <v>37742.0</v>
      </c>
      <c r="D42" s="17" t="s">
        <v>83</v>
      </c>
      <c r="E42" s="4">
        <v>0.671528512</v>
      </c>
    </row>
    <row r="43">
      <c r="C43" s="16">
        <v>37773.0</v>
      </c>
      <c r="D43" s="17">
        <v>189.9</v>
      </c>
      <c r="E43" s="4">
        <v>0.669401565</v>
      </c>
    </row>
    <row r="44">
      <c r="C44" s="16">
        <v>37803.0</v>
      </c>
      <c r="D44" s="17" t="s">
        <v>83</v>
      </c>
      <c r="E44" s="4">
        <v>0.670122295</v>
      </c>
    </row>
    <row r="45">
      <c r="C45" s="16">
        <v>37834.0</v>
      </c>
      <c r="D45" s="17">
        <v>190.3</v>
      </c>
      <c r="E45" s="4">
        <v>0.670843025</v>
      </c>
    </row>
    <row r="46">
      <c r="C46" s="16">
        <v>37865.0</v>
      </c>
      <c r="D46" s="17" t="s">
        <v>83</v>
      </c>
      <c r="E46" s="4">
        <v>0.67192324</v>
      </c>
    </row>
    <row r="47">
      <c r="C47" s="16">
        <v>37895.0</v>
      </c>
      <c r="D47" s="17">
        <v>191.0</v>
      </c>
      <c r="E47" s="4">
        <v>0.673003454</v>
      </c>
    </row>
    <row r="48">
      <c r="C48" s="16">
        <v>37926.0</v>
      </c>
      <c r="D48" s="17" t="s">
        <v>83</v>
      </c>
      <c r="E48" s="4">
        <v>0.671477409</v>
      </c>
    </row>
    <row r="49">
      <c r="C49" s="16">
        <v>37956.0</v>
      </c>
      <c r="D49" s="17">
        <v>190.1</v>
      </c>
      <c r="E49" s="4">
        <v>0.669951364</v>
      </c>
    </row>
    <row r="50">
      <c r="C50" s="16">
        <v>37987.0</v>
      </c>
      <c r="D50" s="17" t="s">
        <v>83</v>
      </c>
      <c r="E50" s="4">
        <v>0.675257278</v>
      </c>
    </row>
    <row r="51">
      <c r="C51" s="16">
        <v>38018.0</v>
      </c>
      <c r="D51" s="17">
        <v>193.1</v>
      </c>
      <c r="E51" s="4">
        <v>0.680563192</v>
      </c>
    </row>
    <row r="52">
      <c r="C52" s="16">
        <v>38047.0</v>
      </c>
      <c r="D52" s="17" t="s">
        <v>83</v>
      </c>
      <c r="E52" s="4">
        <v>0.682838162</v>
      </c>
    </row>
    <row r="53">
      <c r="C53" s="16">
        <v>38078.0</v>
      </c>
      <c r="D53" s="17">
        <v>194.4</v>
      </c>
      <c r="E53" s="4">
        <v>0.685113132</v>
      </c>
    </row>
    <row r="54">
      <c r="C54" s="16">
        <v>38108.0</v>
      </c>
      <c r="D54" s="17" t="s">
        <v>83</v>
      </c>
      <c r="E54" s="4">
        <v>0.68767005</v>
      </c>
    </row>
    <row r="55">
      <c r="C55" s="16">
        <v>38139.0</v>
      </c>
      <c r="D55" s="17">
        <v>195.8</v>
      </c>
      <c r="E55" s="4">
        <v>0.690226968</v>
      </c>
    </row>
    <row r="56">
      <c r="C56" s="16">
        <v>38169.0</v>
      </c>
      <c r="D56" s="17" t="s">
        <v>83</v>
      </c>
      <c r="E56" s="4">
        <v>0.689337069</v>
      </c>
    </row>
    <row r="57">
      <c r="C57" s="16">
        <v>38200.0</v>
      </c>
      <c r="D57" s="17">
        <v>195.3</v>
      </c>
      <c r="E57" s="4">
        <v>0.68844717</v>
      </c>
    </row>
    <row r="58">
      <c r="C58" s="16">
        <v>38231.0</v>
      </c>
      <c r="D58" s="17" t="s">
        <v>83</v>
      </c>
      <c r="E58" s="4">
        <v>0.693194474</v>
      </c>
    </row>
    <row r="59">
      <c r="C59" s="16">
        <v>38261.0</v>
      </c>
      <c r="D59" s="17">
        <v>198.0</v>
      </c>
      <c r="E59" s="4">
        <v>0.697941778</v>
      </c>
    </row>
    <row r="60">
      <c r="C60" s="16">
        <v>38292.0</v>
      </c>
      <c r="D60" s="17" t="s">
        <v>83</v>
      </c>
      <c r="E60" s="4">
        <v>0.696169028</v>
      </c>
    </row>
    <row r="61">
      <c r="C61" s="16">
        <v>38322.0</v>
      </c>
      <c r="D61" s="17">
        <v>197.0</v>
      </c>
      <c r="E61" s="4">
        <v>0.694396278</v>
      </c>
    </row>
    <row r="62">
      <c r="C62" s="16">
        <v>38353.0</v>
      </c>
      <c r="D62" s="17" t="s">
        <v>83</v>
      </c>
      <c r="E62" s="4">
        <v>0.69799993</v>
      </c>
    </row>
    <row r="63">
      <c r="C63" s="16">
        <v>38384.0</v>
      </c>
      <c r="D63" s="17">
        <v>199.1</v>
      </c>
      <c r="E63" s="4">
        <v>0.701603581</v>
      </c>
    </row>
    <row r="64">
      <c r="C64" s="16">
        <v>38412.0</v>
      </c>
      <c r="D64" s="17" t="s">
        <v>83</v>
      </c>
      <c r="E64" s="4">
        <v>0.706782618</v>
      </c>
    </row>
    <row r="65">
      <c r="C65" s="16">
        <v>38443.0</v>
      </c>
      <c r="D65" s="17">
        <v>202.0</v>
      </c>
      <c r="E65" s="4">
        <v>0.711961655</v>
      </c>
    </row>
    <row r="66">
      <c r="C66" s="16">
        <v>38473.0</v>
      </c>
      <c r="D66" s="17" t="s">
        <v>83</v>
      </c>
      <c r="E66" s="4">
        <v>0.710745753</v>
      </c>
    </row>
    <row r="67">
      <c r="C67" s="16">
        <v>38504.0</v>
      </c>
      <c r="D67" s="17">
        <v>201.3</v>
      </c>
      <c r="E67" s="4">
        <v>0.709529851</v>
      </c>
    </row>
    <row r="68">
      <c r="C68" s="16">
        <v>38534.0</v>
      </c>
      <c r="D68" s="17" t="s">
        <v>83</v>
      </c>
      <c r="E68" s="4">
        <v>0.713429548</v>
      </c>
    </row>
    <row r="69">
      <c r="C69" s="16">
        <v>38565.0</v>
      </c>
      <c r="D69" s="17">
        <v>203.5</v>
      </c>
      <c r="E69" s="4">
        <v>0.717329245</v>
      </c>
    </row>
    <row r="70">
      <c r="C70" s="16">
        <v>38596.0</v>
      </c>
      <c r="D70" s="17" t="s">
        <v>83</v>
      </c>
      <c r="E70" s="4">
        <v>0.723532107</v>
      </c>
    </row>
    <row r="71">
      <c r="C71" s="16">
        <v>38626.0</v>
      </c>
      <c r="D71" s="17">
        <v>207.1</v>
      </c>
      <c r="E71" s="4">
        <v>0.729734969</v>
      </c>
    </row>
    <row r="72">
      <c r="C72" s="16">
        <v>38657.0</v>
      </c>
      <c r="D72" s="17" t="s">
        <v>83</v>
      </c>
      <c r="E72" s="4">
        <v>0.724719814</v>
      </c>
    </row>
    <row r="73">
      <c r="C73" s="16">
        <v>38687.0</v>
      </c>
      <c r="D73" s="17">
        <v>204.2</v>
      </c>
      <c r="E73" s="4">
        <v>0.719704659</v>
      </c>
    </row>
    <row r="74">
      <c r="C74" s="16">
        <v>38718.0</v>
      </c>
      <c r="D74" s="17" t="s">
        <v>83</v>
      </c>
      <c r="E74" s="4">
        <v>0.726118982</v>
      </c>
    </row>
    <row r="75">
      <c r="C75" s="16">
        <v>38749.0</v>
      </c>
      <c r="D75" s="17">
        <v>207.8</v>
      </c>
      <c r="E75" s="4">
        <v>0.732533305</v>
      </c>
    </row>
    <row r="76">
      <c r="C76" s="16">
        <v>38777.0</v>
      </c>
      <c r="D76" s="17" t="s">
        <v>83</v>
      </c>
      <c r="E76" s="4">
        <v>0.737153732</v>
      </c>
    </row>
    <row r="77">
      <c r="C77" s="16">
        <v>38808.0</v>
      </c>
      <c r="D77" s="17">
        <v>210.5</v>
      </c>
      <c r="E77" s="4">
        <v>0.741774159</v>
      </c>
    </row>
    <row r="78">
      <c r="C78" s="16">
        <v>38838.0</v>
      </c>
      <c r="D78" s="17" t="s">
        <v>83</v>
      </c>
      <c r="E78" s="4">
        <v>0.742607669</v>
      </c>
    </row>
    <row r="79">
      <c r="C79" s="16">
        <v>38869.0</v>
      </c>
      <c r="D79" s="17">
        <v>210.9</v>
      </c>
      <c r="E79" s="4">
        <v>0.743441179</v>
      </c>
    </row>
    <row r="80">
      <c r="C80" s="16">
        <v>38899.0</v>
      </c>
      <c r="D80" s="17" t="s">
        <v>83</v>
      </c>
      <c r="E80" s="4">
        <v>0.745305561</v>
      </c>
    </row>
    <row r="81">
      <c r="C81" s="16">
        <v>38930.0</v>
      </c>
      <c r="D81" s="17">
        <v>212.0</v>
      </c>
      <c r="E81" s="4">
        <v>0.747169944</v>
      </c>
    </row>
    <row r="82">
      <c r="C82" s="16">
        <v>38961.0</v>
      </c>
      <c r="D82" s="17" t="s">
        <v>83</v>
      </c>
      <c r="E82" s="4">
        <v>0.746739973</v>
      </c>
    </row>
    <row r="83">
      <c r="C83" s="16">
        <v>38991.0</v>
      </c>
      <c r="D83" s="17">
        <v>211.8</v>
      </c>
      <c r="E83" s="4">
        <v>0.746310002</v>
      </c>
    </row>
    <row r="84">
      <c r="C84" s="16">
        <v>39022.0</v>
      </c>
      <c r="D84" s="17" t="s">
        <v>83</v>
      </c>
      <c r="E84" s="4">
        <v>0.745009516</v>
      </c>
    </row>
    <row r="85">
      <c r="C85" s="16">
        <v>39052.0</v>
      </c>
      <c r="D85" s="17">
        <v>211.0</v>
      </c>
      <c r="E85" s="4">
        <v>0.743709029</v>
      </c>
    </row>
    <row r="86">
      <c r="C86" s="16">
        <v>39083.0</v>
      </c>
      <c r="D86" s="17" t="s">
        <v>83</v>
      </c>
      <c r="E86" s="4">
        <v>0.750563897</v>
      </c>
    </row>
    <row r="87">
      <c r="C87" s="16">
        <v>39114.0</v>
      </c>
      <c r="D87" s="17">
        <v>214.91</v>
      </c>
      <c r="E87" s="4">
        <v>0.757418764</v>
      </c>
    </row>
    <row r="88">
      <c r="C88" s="16">
        <v>39142.0</v>
      </c>
      <c r="D88" s="17" t="s">
        <v>83</v>
      </c>
      <c r="E88" s="4">
        <v>0.762342285</v>
      </c>
    </row>
    <row r="89">
      <c r="C89" s="16">
        <v>39173.0</v>
      </c>
      <c r="D89" s="17">
        <v>217.704</v>
      </c>
      <c r="E89" s="4">
        <v>0.767265807</v>
      </c>
    </row>
    <row r="90">
      <c r="C90" s="16">
        <v>39203.0</v>
      </c>
      <c r="D90" s="17" t="s">
        <v>83</v>
      </c>
      <c r="E90" s="4">
        <v>0.766737154</v>
      </c>
    </row>
    <row r="91">
      <c r="C91" s="16">
        <v>39234.0</v>
      </c>
      <c r="D91" s="17">
        <v>217.404</v>
      </c>
      <c r="E91" s="4">
        <v>0.766208501</v>
      </c>
    </row>
    <row r="92">
      <c r="C92" s="16">
        <v>39264.0</v>
      </c>
      <c r="D92" s="17" t="s">
        <v>83</v>
      </c>
      <c r="E92" s="4">
        <v>0.766342426</v>
      </c>
    </row>
    <row r="93">
      <c r="C93" s="16">
        <v>39295.0</v>
      </c>
      <c r="D93" s="17">
        <v>217.48</v>
      </c>
      <c r="E93" s="4">
        <v>0.766476352</v>
      </c>
    </row>
    <row r="94">
      <c r="C94" s="16">
        <v>39326.0</v>
      </c>
      <c r="D94" s="17" t="s">
        <v>83</v>
      </c>
      <c r="E94" s="4">
        <v>0.769082611</v>
      </c>
    </row>
    <row r="95">
      <c r="C95" s="16">
        <v>39356.0</v>
      </c>
      <c r="D95" s="17">
        <v>218.959</v>
      </c>
      <c r="E95" s="4">
        <v>0.77168887</v>
      </c>
    </row>
    <row r="96">
      <c r="C96" s="16">
        <v>39387.0</v>
      </c>
      <c r="D96" s="17" t="s">
        <v>83</v>
      </c>
      <c r="E96" s="4">
        <v>0.77280609</v>
      </c>
    </row>
    <row r="97">
      <c r="C97" s="16">
        <v>39417.0</v>
      </c>
      <c r="D97" s="17">
        <v>219.593</v>
      </c>
      <c r="E97" s="4">
        <v>0.77392331</v>
      </c>
    </row>
    <row r="98">
      <c r="C98" s="16">
        <v>39448.0</v>
      </c>
      <c r="D98" s="17" t="s">
        <v>83</v>
      </c>
      <c r="E98" s="4">
        <v>0.77703179</v>
      </c>
    </row>
    <row r="99">
      <c r="C99" s="16">
        <v>39479.0</v>
      </c>
      <c r="D99" s="17">
        <v>221.357</v>
      </c>
      <c r="E99" s="4">
        <v>0.780140269</v>
      </c>
    </row>
    <row r="100">
      <c r="C100" s="16">
        <v>39508.0</v>
      </c>
      <c r="D100" s="17" t="s">
        <v>83</v>
      </c>
      <c r="E100" s="4">
        <v>0.785366885</v>
      </c>
    </row>
    <row r="101">
      <c r="C101" s="16">
        <v>39539.0</v>
      </c>
      <c r="D101" s="17">
        <v>224.323</v>
      </c>
      <c r="E101" s="4">
        <v>0.790593501</v>
      </c>
    </row>
    <row r="102">
      <c r="C102" s="16">
        <v>39569.0</v>
      </c>
      <c r="D102" s="17" t="s">
        <v>83</v>
      </c>
      <c r="E102" s="4">
        <v>0.79764397</v>
      </c>
    </row>
    <row r="103">
      <c r="C103" s="16">
        <v>39600.0</v>
      </c>
      <c r="D103" s="17">
        <v>228.324</v>
      </c>
      <c r="E103" s="4">
        <v>0.804694439</v>
      </c>
    </row>
    <row r="104">
      <c r="C104" s="16">
        <v>39630.0</v>
      </c>
      <c r="D104" s="17" t="s">
        <v>83</v>
      </c>
      <c r="E104" s="4">
        <v>0.804165786</v>
      </c>
    </row>
    <row r="105">
      <c r="C105" s="16">
        <v>39661.0</v>
      </c>
      <c r="D105" s="17">
        <v>228.024</v>
      </c>
      <c r="E105" s="4">
        <v>0.803637133</v>
      </c>
    </row>
    <row r="106">
      <c r="C106" s="16">
        <v>39692.0</v>
      </c>
      <c r="D106" s="17" t="s">
        <v>83</v>
      </c>
      <c r="E106" s="4">
        <v>0.801078452</v>
      </c>
    </row>
    <row r="107">
      <c r="C107" s="16">
        <v>39722.0</v>
      </c>
      <c r="D107" s="17">
        <v>226.572</v>
      </c>
      <c r="E107" s="4">
        <v>0.798519772</v>
      </c>
    </row>
    <row r="108">
      <c r="C108" s="16">
        <v>39753.0</v>
      </c>
      <c r="D108" s="17" t="s">
        <v>83</v>
      </c>
      <c r="E108" s="4">
        <v>0.786542257</v>
      </c>
    </row>
    <row r="109">
      <c r="C109" s="16">
        <v>39783.0</v>
      </c>
      <c r="D109" s="17">
        <v>219.775</v>
      </c>
      <c r="E109" s="4">
        <v>0.774564742</v>
      </c>
    </row>
    <row r="110">
      <c r="C110" s="16">
        <v>39814.0</v>
      </c>
      <c r="D110" s="17" t="s">
        <v>83</v>
      </c>
      <c r="E110" s="4">
        <v>0.778804539</v>
      </c>
    </row>
    <row r="111">
      <c r="C111" s="16">
        <v>39845.0</v>
      </c>
      <c r="D111" s="17">
        <v>222.181</v>
      </c>
      <c r="E111" s="4">
        <v>0.783044336</v>
      </c>
    </row>
    <row r="112">
      <c r="C112" s="16">
        <v>39873.0</v>
      </c>
      <c r="D112" s="17" t="s">
        <v>83</v>
      </c>
      <c r="E112" s="4">
        <v>0.784304293</v>
      </c>
    </row>
    <row r="113">
      <c r="C113" s="16">
        <v>39904.0</v>
      </c>
      <c r="D113" s="17">
        <v>222.896</v>
      </c>
      <c r="E113" s="4">
        <v>0.785564249</v>
      </c>
    </row>
    <row r="114">
      <c r="C114" s="16">
        <v>39934.0</v>
      </c>
      <c r="D114" s="17" t="s">
        <v>83</v>
      </c>
      <c r="E114" s="4">
        <v>0.789261296</v>
      </c>
    </row>
    <row r="115">
      <c r="C115" s="16">
        <v>39965.0</v>
      </c>
      <c r="D115" s="17">
        <v>224.994</v>
      </c>
      <c r="E115" s="4">
        <v>0.792958342</v>
      </c>
    </row>
    <row r="116">
      <c r="C116" s="16">
        <v>39995.0</v>
      </c>
      <c r="D116" s="17" t="s">
        <v>83</v>
      </c>
      <c r="E116" s="4">
        <v>0.793740749</v>
      </c>
    </row>
    <row r="117">
      <c r="C117" s="16">
        <v>40026.0</v>
      </c>
      <c r="D117" s="17">
        <v>225.438</v>
      </c>
      <c r="E117" s="4">
        <v>0.794523155</v>
      </c>
    </row>
    <row r="118">
      <c r="C118" s="16">
        <v>40057.0</v>
      </c>
      <c r="D118" s="17" t="s">
        <v>83</v>
      </c>
      <c r="E118" s="4">
        <v>0.795575174</v>
      </c>
    </row>
    <row r="119">
      <c r="C119" s="16">
        <v>40087.0</v>
      </c>
      <c r="D119" s="17">
        <v>226.035</v>
      </c>
      <c r="E119" s="4">
        <v>0.796627194</v>
      </c>
    </row>
    <row r="120">
      <c r="C120" s="16">
        <v>40118.0</v>
      </c>
      <c r="D120" s="17" t="s">
        <v>83</v>
      </c>
      <c r="E120" s="4">
        <v>0.793656164</v>
      </c>
    </row>
    <row r="121">
      <c r="C121" s="16">
        <v>40148.0</v>
      </c>
      <c r="D121" s="17">
        <v>224.349</v>
      </c>
      <c r="E121" s="4">
        <v>0.790685134</v>
      </c>
    </row>
    <row r="122">
      <c r="C122" s="16">
        <v>40179.0</v>
      </c>
      <c r="D122" s="17" t="s">
        <v>83</v>
      </c>
      <c r="E122" s="4">
        <v>0.792935434</v>
      </c>
    </row>
    <row r="123">
      <c r="C123" s="16">
        <v>40210.0</v>
      </c>
      <c r="D123" s="17">
        <v>225.626</v>
      </c>
      <c r="E123" s="4">
        <v>0.795185733</v>
      </c>
    </row>
    <row r="124">
      <c r="C124" s="16">
        <v>40238.0</v>
      </c>
      <c r="D124" s="17" t="s">
        <v>83</v>
      </c>
      <c r="E124" s="4">
        <v>0.797619299</v>
      </c>
    </row>
    <row r="125">
      <c r="C125" s="16">
        <v>40269.0</v>
      </c>
      <c r="D125" s="17">
        <v>227.007</v>
      </c>
      <c r="E125" s="4">
        <v>0.800052865</v>
      </c>
    </row>
    <row r="126">
      <c r="C126" s="16">
        <v>40299.0</v>
      </c>
      <c r="D126" s="17" t="s">
        <v>83</v>
      </c>
      <c r="E126" s="4">
        <v>0.800239656</v>
      </c>
    </row>
    <row r="127">
      <c r="C127" s="16">
        <v>40330.0</v>
      </c>
      <c r="D127" s="17">
        <v>227.113</v>
      </c>
      <c r="E127" s="4">
        <v>0.800426447</v>
      </c>
    </row>
    <row r="128">
      <c r="C128" s="16">
        <v>40360.0</v>
      </c>
      <c r="D128" s="17" t="s">
        <v>83</v>
      </c>
      <c r="E128" s="4">
        <v>0.800933954</v>
      </c>
    </row>
    <row r="129">
      <c r="C129" s="16">
        <v>40391.0</v>
      </c>
      <c r="D129" s="17">
        <v>227.401</v>
      </c>
      <c r="E129" s="4">
        <v>0.80144146</v>
      </c>
    </row>
    <row r="130">
      <c r="C130" s="16">
        <v>40422.0</v>
      </c>
      <c r="D130" s="17" t="s">
        <v>83</v>
      </c>
      <c r="E130" s="4">
        <v>0.802033552</v>
      </c>
    </row>
    <row r="131">
      <c r="C131" s="16">
        <v>40452.0</v>
      </c>
      <c r="D131" s="17">
        <v>227.737</v>
      </c>
      <c r="E131" s="4">
        <v>0.802625643</v>
      </c>
    </row>
    <row r="132">
      <c r="C132" s="16">
        <v>40483.0</v>
      </c>
      <c r="D132" s="17" t="s">
        <v>83</v>
      </c>
      <c r="E132" s="4">
        <v>0.802185099</v>
      </c>
    </row>
    <row r="133">
      <c r="C133" s="16">
        <v>40513.0</v>
      </c>
      <c r="D133" s="17">
        <v>227.487</v>
      </c>
      <c r="E133" s="4">
        <v>0.801744555</v>
      </c>
    </row>
    <row r="134">
      <c r="C134" s="16">
        <v>40544.0</v>
      </c>
      <c r="D134" s="17" t="s">
        <v>83</v>
      </c>
      <c r="E134" s="4">
        <v>0.80676852</v>
      </c>
    </row>
    <row r="135">
      <c r="C135" s="16">
        <v>40575.0</v>
      </c>
      <c r="D135" s="17">
        <v>230.338</v>
      </c>
      <c r="E135" s="4">
        <v>0.811792486</v>
      </c>
    </row>
    <row r="136">
      <c r="C136" s="16">
        <v>40603.0</v>
      </c>
      <c r="D136" s="17" t="s">
        <v>83</v>
      </c>
      <c r="E136" s="4">
        <v>0.818444703</v>
      </c>
    </row>
    <row r="137">
      <c r="C137" s="16">
        <v>40634.0</v>
      </c>
      <c r="D137" s="17">
        <v>234.113</v>
      </c>
      <c r="E137" s="4">
        <v>0.82509692</v>
      </c>
    </row>
    <row r="138">
      <c r="C138" s="16">
        <v>40664.0</v>
      </c>
      <c r="D138" s="17" t="s">
        <v>83</v>
      </c>
      <c r="E138" s="4">
        <v>0.823637837</v>
      </c>
    </row>
    <row r="139">
      <c r="C139" s="16">
        <v>40695.0</v>
      </c>
      <c r="D139" s="17">
        <v>233.285</v>
      </c>
      <c r="E139" s="4">
        <v>0.822178755</v>
      </c>
    </row>
    <row r="140">
      <c r="C140" s="16">
        <v>40725.0</v>
      </c>
      <c r="D140" s="17" t="s">
        <v>83</v>
      </c>
      <c r="E140" s="4">
        <v>0.822127652</v>
      </c>
    </row>
    <row r="141">
      <c r="C141" s="16">
        <v>40756.0</v>
      </c>
      <c r="D141" s="17">
        <v>233.256</v>
      </c>
      <c r="E141" s="4">
        <v>0.822076549</v>
      </c>
    </row>
    <row r="142">
      <c r="C142" s="16">
        <v>40787.0</v>
      </c>
      <c r="D142" s="17" t="s">
        <v>83</v>
      </c>
      <c r="E142" s="4">
        <v>0.823946218</v>
      </c>
    </row>
    <row r="143">
      <c r="C143" s="16">
        <v>40817.0</v>
      </c>
      <c r="D143" s="17">
        <v>234.317</v>
      </c>
      <c r="E143" s="4">
        <v>0.825815888</v>
      </c>
    </row>
    <row r="144">
      <c r="C144" s="16">
        <v>40848.0</v>
      </c>
      <c r="D144" s="17" t="s">
        <v>83</v>
      </c>
      <c r="E144" s="4">
        <v>0.823468668</v>
      </c>
    </row>
    <row r="145">
      <c r="C145" s="16">
        <v>40878.0</v>
      </c>
      <c r="D145" s="17">
        <v>232.985</v>
      </c>
      <c r="E145" s="4">
        <v>0.821121449</v>
      </c>
    </row>
    <row r="146">
      <c r="C146" s="16">
        <v>40909.0</v>
      </c>
      <c r="D146" s="17" t="s">
        <v>83</v>
      </c>
      <c r="E146" s="4">
        <v>0.826131317</v>
      </c>
    </row>
    <row r="147">
      <c r="C147" s="16">
        <v>40940.0</v>
      </c>
      <c r="D147" s="17">
        <v>235.828</v>
      </c>
      <c r="E147" s="4">
        <v>0.831141186</v>
      </c>
    </row>
    <row r="148">
      <c r="C148" s="16">
        <v>40969.0</v>
      </c>
      <c r="D148" s="17" t="s">
        <v>83</v>
      </c>
      <c r="E148" s="4">
        <v>0.835127229</v>
      </c>
    </row>
    <row r="149">
      <c r="C149" s="16">
        <v>41000.0</v>
      </c>
      <c r="D149" s="17">
        <v>238.09</v>
      </c>
      <c r="E149" s="4">
        <v>0.839113273</v>
      </c>
    </row>
    <row r="150">
      <c r="C150" s="16">
        <v>41030.0</v>
      </c>
      <c r="D150" s="17" t="s">
        <v>83</v>
      </c>
      <c r="E150" s="4">
        <v>0.83856876</v>
      </c>
    </row>
    <row r="151">
      <c r="C151" s="16">
        <v>41061.0</v>
      </c>
      <c r="D151" s="17">
        <v>237.781</v>
      </c>
      <c r="E151" s="4">
        <v>0.838024248</v>
      </c>
    </row>
    <row r="152">
      <c r="C152" s="16">
        <v>41091.0</v>
      </c>
      <c r="D152" s="17" t="s">
        <v>83</v>
      </c>
      <c r="E152" s="4">
        <v>0.840232255</v>
      </c>
    </row>
    <row r="153">
      <c r="C153" s="16">
        <v>41122.0</v>
      </c>
      <c r="D153" s="17">
        <v>239.034</v>
      </c>
      <c r="E153" s="4">
        <v>0.842440262</v>
      </c>
    </row>
    <row r="154">
      <c r="C154" s="16">
        <v>41153.0</v>
      </c>
      <c r="D154" s="17" t="s">
        <v>83</v>
      </c>
      <c r="E154" s="4">
        <v>0.84685099</v>
      </c>
    </row>
    <row r="155">
      <c r="C155" s="16">
        <v>41183.0</v>
      </c>
      <c r="D155" s="17">
        <v>241.537</v>
      </c>
      <c r="E155" s="4">
        <v>0.851261718</v>
      </c>
    </row>
    <row r="156">
      <c r="C156" s="16">
        <v>41214.0</v>
      </c>
      <c r="D156" s="17" t="s">
        <v>83</v>
      </c>
      <c r="E156" s="4">
        <v>0.844509058</v>
      </c>
    </row>
    <row r="157">
      <c r="C157" s="16">
        <v>41244.0</v>
      </c>
      <c r="D157" s="17">
        <v>237.705</v>
      </c>
      <c r="E157" s="4">
        <v>0.837756397</v>
      </c>
    </row>
    <row r="158">
      <c r="C158" s="16">
        <v>41275.0</v>
      </c>
      <c r="D158" s="17" t="s">
        <v>83</v>
      </c>
      <c r="E158" s="4">
        <v>0.843989215</v>
      </c>
    </row>
    <row r="159">
      <c r="C159" s="16">
        <v>41306.0</v>
      </c>
      <c r="D159" s="17">
        <v>241.242</v>
      </c>
      <c r="E159" s="4">
        <v>0.850222034</v>
      </c>
    </row>
    <row r="160">
      <c r="C160" s="16">
        <v>41334.0</v>
      </c>
      <c r="D160" s="17" t="s">
        <v>83</v>
      </c>
      <c r="E160" s="4">
        <v>0.850498696</v>
      </c>
    </row>
    <row r="161">
      <c r="C161" s="16">
        <v>41365.0</v>
      </c>
      <c r="D161" s="17">
        <v>241.399</v>
      </c>
      <c r="E161" s="4">
        <v>0.850775358</v>
      </c>
    </row>
    <row r="162">
      <c r="C162" s="16">
        <v>41395.0</v>
      </c>
      <c r="D162" s="17" t="s">
        <v>83</v>
      </c>
      <c r="E162" s="4">
        <v>0.851704025</v>
      </c>
    </row>
    <row r="163">
      <c r="C163" s="16">
        <v>41426.0</v>
      </c>
      <c r="D163" s="17">
        <v>241.926</v>
      </c>
      <c r="E163" s="4">
        <v>0.852632692</v>
      </c>
    </row>
    <row r="164">
      <c r="C164" s="16">
        <v>41456.0</v>
      </c>
      <c r="D164" s="17" t="s">
        <v>83</v>
      </c>
      <c r="E164" s="4">
        <v>0.852704941</v>
      </c>
    </row>
    <row r="165">
      <c r="C165" s="16">
        <v>41487.0</v>
      </c>
      <c r="D165" s="17">
        <v>241.967</v>
      </c>
      <c r="E165" s="4">
        <v>0.85277719</v>
      </c>
    </row>
    <row r="166">
      <c r="C166" s="16">
        <v>41518.0</v>
      </c>
      <c r="D166" s="17" t="s">
        <v>83</v>
      </c>
      <c r="E166" s="4">
        <v>0.8539508</v>
      </c>
    </row>
    <row r="167">
      <c r="C167" s="16">
        <v>41548.0</v>
      </c>
      <c r="D167" s="17">
        <v>242.633</v>
      </c>
      <c r="E167" s="4">
        <v>0.85512441</v>
      </c>
    </row>
    <row r="168">
      <c r="C168" s="16">
        <v>41579.0</v>
      </c>
      <c r="D168" s="17" t="s">
        <v>83</v>
      </c>
      <c r="E168" s="4">
        <v>0.85317368</v>
      </c>
    </row>
    <row r="169">
      <c r="C169" s="16">
        <v>41609.0</v>
      </c>
      <c r="D169" s="17">
        <v>241.526</v>
      </c>
      <c r="E169" s="4">
        <v>0.851222951</v>
      </c>
    </row>
    <row r="170">
      <c r="C170" s="16">
        <v>41640.0</v>
      </c>
      <c r="D170" s="17" t="s">
        <v>83</v>
      </c>
      <c r="E170" s="4">
        <v>0.855647776</v>
      </c>
    </row>
    <row r="171">
      <c r="C171" s="16">
        <v>41671.0</v>
      </c>
      <c r="D171" s="17">
        <v>244.037</v>
      </c>
      <c r="E171" s="4">
        <v>0.860072602</v>
      </c>
    </row>
    <row r="172">
      <c r="C172" s="16">
        <v>41699.0</v>
      </c>
      <c r="D172" s="17" t="s">
        <v>83</v>
      </c>
      <c r="E172" s="4">
        <v>0.863355537</v>
      </c>
    </row>
    <row r="173">
      <c r="C173" s="16">
        <v>41730.0</v>
      </c>
      <c r="D173" s="17">
        <v>245.9</v>
      </c>
      <c r="E173" s="4">
        <v>0.866638472</v>
      </c>
    </row>
    <row r="174">
      <c r="C174" s="16">
        <v>41760.0</v>
      </c>
      <c r="D174" s="17" t="s">
        <v>83</v>
      </c>
      <c r="E174" s="4">
        <v>0.868978642</v>
      </c>
    </row>
    <row r="175">
      <c r="C175" s="16">
        <v>41791.0</v>
      </c>
      <c r="D175" s="17">
        <v>247.228</v>
      </c>
      <c r="E175" s="4">
        <v>0.871318813</v>
      </c>
    </row>
    <row r="176">
      <c r="C176" s="16">
        <v>41821.0</v>
      </c>
      <c r="D176" s="17" t="s">
        <v>83</v>
      </c>
      <c r="E176" s="4">
        <v>0.87137344</v>
      </c>
    </row>
    <row r="177">
      <c r="C177" s="16">
        <v>41852.0</v>
      </c>
      <c r="D177" s="17">
        <v>247.259</v>
      </c>
      <c r="E177" s="4">
        <v>0.871428068</v>
      </c>
    </row>
    <row r="178">
      <c r="C178" s="16">
        <v>41883.0</v>
      </c>
      <c r="D178" s="17" t="s">
        <v>83</v>
      </c>
      <c r="E178" s="4">
        <v>0.871819271</v>
      </c>
    </row>
    <row r="179">
      <c r="C179" s="16">
        <v>41913.0</v>
      </c>
      <c r="D179" s="17">
        <v>247.481</v>
      </c>
      <c r="E179" s="4">
        <v>0.872210474</v>
      </c>
    </row>
    <row r="180">
      <c r="C180" s="16">
        <v>41944.0</v>
      </c>
      <c r="D180" s="17" t="s">
        <v>83</v>
      </c>
      <c r="E180" s="4">
        <v>0.867507225</v>
      </c>
    </row>
    <row r="181">
      <c r="C181" s="16">
        <v>41974.0</v>
      </c>
      <c r="D181" s="17">
        <v>244.812</v>
      </c>
      <c r="E181" s="4">
        <v>0.862803975</v>
      </c>
    </row>
    <row r="182">
      <c r="C182" s="16">
        <v>42005.0</v>
      </c>
      <c r="D182" s="17" t="s">
        <v>83</v>
      </c>
      <c r="E182" s="4">
        <v>0.865281596</v>
      </c>
    </row>
    <row r="183">
      <c r="C183" s="16">
        <v>42036.0</v>
      </c>
      <c r="D183" s="17">
        <v>246.218</v>
      </c>
      <c r="E183" s="4">
        <v>0.867759216</v>
      </c>
    </row>
    <row r="184">
      <c r="C184" s="16">
        <v>42064.0</v>
      </c>
      <c r="D184" s="17" t="s">
        <v>83</v>
      </c>
      <c r="E184" s="4">
        <v>0.872021921</v>
      </c>
    </row>
    <row r="185">
      <c r="C185" s="16">
        <v>42095.0</v>
      </c>
      <c r="D185" s="17">
        <v>248.637</v>
      </c>
      <c r="E185" s="4">
        <v>0.876284627</v>
      </c>
    </row>
    <row r="186">
      <c r="C186" s="16">
        <v>42125.0</v>
      </c>
      <c r="D186" s="17" t="s">
        <v>83</v>
      </c>
      <c r="E186" s="4">
        <v>0.879398393</v>
      </c>
    </row>
    <row r="187">
      <c r="C187" s="16">
        <v>42156.0</v>
      </c>
      <c r="D187" s="17">
        <v>250.404</v>
      </c>
      <c r="E187" s="4">
        <v>0.882512159</v>
      </c>
    </row>
    <row r="188">
      <c r="C188" s="16">
        <v>42186.0</v>
      </c>
      <c r="D188" s="17" t="s">
        <v>83</v>
      </c>
      <c r="E188" s="4">
        <v>0.884008247</v>
      </c>
    </row>
    <row r="189">
      <c r="C189" s="16">
        <v>42217.0</v>
      </c>
      <c r="D189" s="17">
        <v>251.253</v>
      </c>
      <c r="E189" s="4">
        <v>0.885504335</v>
      </c>
    </row>
    <row r="190">
      <c r="C190" s="16">
        <v>42248.0</v>
      </c>
      <c r="D190" s="17" t="s">
        <v>83</v>
      </c>
      <c r="E190" s="4">
        <v>0.885507859</v>
      </c>
    </row>
    <row r="191">
      <c r="C191" s="16">
        <v>42278.0</v>
      </c>
      <c r="D191" s="17">
        <v>251.255</v>
      </c>
      <c r="E191" s="4">
        <v>0.885511384</v>
      </c>
    </row>
    <row r="192">
      <c r="C192" s="16">
        <v>42309.0</v>
      </c>
      <c r="D192" s="17" t="s">
        <v>83</v>
      </c>
      <c r="E192" s="4">
        <v>0.88455276</v>
      </c>
    </row>
    <row r="193">
      <c r="C193" s="16">
        <v>42339.0</v>
      </c>
      <c r="D193" s="17">
        <v>250.711</v>
      </c>
      <c r="E193" s="4">
        <v>0.883594135</v>
      </c>
    </row>
    <row r="194">
      <c r="C194" s="16">
        <v>42370.0</v>
      </c>
      <c r="D194" s="17" t="s">
        <v>83</v>
      </c>
      <c r="E194" s="4">
        <v>0.887009234</v>
      </c>
    </row>
    <row r="195">
      <c r="C195" s="16">
        <v>42401.0</v>
      </c>
      <c r="D195" s="17">
        <v>252.649</v>
      </c>
      <c r="E195" s="4">
        <v>0.890424332</v>
      </c>
    </row>
    <row r="196">
      <c r="C196" s="16">
        <v>42430.0</v>
      </c>
      <c r="D196" s="17" t="s">
        <v>83</v>
      </c>
      <c r="E196" s="4">
        <v>0.893041164</v>
      </c>
    </row>
    <row r="197">
      <c r="C197" s="16">
        <v>42461.0</v>
      </c>
      <c r="D197" s="17">
        <v>254.134</v>
      </c>
      <c r="E197" s="4">
        <v>0.895657997</v>
      </c>
    </row>
    <row r="198">
      <c r="C198" s="16">
        <v>42491.0</v>
      </c>
      <c r="D198" s="17" t="s">
        <v>83</v>
      </c>
      <c r="E198" s="4">
        <v>0.898199055</v>
      </c>
    </row>
    <row r="199">
      <c r="C199" s="16">
        <v>42522.0</v>
      </c>
      <c r="D199" s="17">
        <v>255.576</v>
      </c>
      <c r="E199" s="4">
        <v>0.900740114</v>
      </c>
    </row>
    <row r="200">
      <c r="C200" s="16">
        <v>42552.0</v>
      </c>
      <c r="D200" s="17" t="s">
        <v>83</v>
      </c>
      <c r="E200" s="4">
        <v>0.901658208</v>
      </c>
    </row>
    <row r="201">
      <c r="C201" s="16">
        <v>42583.0</v>
      </c>
      <c r="D201" s="17">
        <v>256.097</v>
      </c>
      <c r="E201" s="4">
        <v>0.902576302</v>
      </c>
    </row>
    <row r="202">
      <c r="C202" s="16">
        <v>42614.0</v>
      </c>
      <c r="D202" s="17" t="s">
        <v>83</v>
      </c>
      <c r="E202" s="4">
        <v>0.905640727</v>
      </c>
    </row>
    <row r="203">
      <c r="C203" s="16">
        <v>42644.0</v>
      </c>
      <c r="D203" s="17">
        <v>257.836</v>
      </c>
      <c r="E203" s="4">
        <v>0.908705153</v>
      </c>
    </row>
    <row r="204">
      <c r="C204" s="16">
        <v>42675.0</v>
      </c>
      <c r="D204" s="17" t="s">
        <v>83</v>
      </c>
      <c r="E204" s="4">
        <v>0.907149151</v>
      </c>
    </row>
    <row r="205">
      <c r="C205" s="16">
        <v>42705.0</v>
      </c>
      <c r="D205" s="17">
        <v>256.953</v>
      </c>
      <c r="E205" s="4">
        <v>0.905593149</v>
      </c>
    </row>
    <row r="206">
      <c r="C206" s="16">
        <v>42736.0</v>
      </c>
      <c r="D206" s="17" t="s">
        <v>83</v>
      </c>
      <c r="E206" s="4">
        <v>0.911158102</v>
      </c>
    </row>
    <row r="207">
      <c r="C207" s="16">
        <v>42767.0</v>
      </c>
      <c r="D207" s="17">
        <v>260.111</v>
      </c>
      <c r="E207" s="4">
        <v>0.916723056</v>
      </c>
    </row>
    <row r="208">
      <c r="C208" s="16">
        <v>42795.0</v>
      </c>
      <c r="D208" s="17" t="s">
        <v>83</v>
      </c>
      <c r="E208" s="4">
        <v>0.919787481</v>
      </c>
    </row>
    <row r="209">
      <c r="C209" s="16">
        <v>42826.0</v>
      </c>
      <c r="D209" s="17">
        <v>261.85</v>
      </c>
      <c r="E209" s="4">
        <v>0.922851907</v>
      </c>
    </row>
    <row r="210">
      <c r="C210" s="16">
        <v>42856.0</v>
      </c>
      <c r="D210" s="17" t="s">
        <v>83</v>
      </c>
      <c r="E210" s="4">
        <v>0.923620216</v>
      </c>
    </row>
    <row r="211">
      <c r="C211" s="16">
        <v>42887.0</v>
      </c>
      <c r="D211" s="17">
        <v>262.286</v>
      </c>
      <c r="E211" s="4">
        <v>0.924388525</v>
      </c>
    </row>
    <row r="212">
      <c r="C212" s="16">
        <v>42917.0</v>
      </c>
      <c r="D212" s="17" t="s">
        <v>83</v>
      </c>
      <c r="E212" s="4">
        <v>0.926480228</v>
      </c>
    </row>
    <row r="213">
      <c r="C213" s="16">
        <v>42948.0</v>
      </c>
      <c r="D213" s="17">
        <v>263.473</v>
      </c>
      <c r="E213" s="4">
        <v>0.928571932</v>
      </c>
    </row>
    <row r="214">
      <c r="C214" s="16">
        <v>42979.0</v>
      </c>
      <c r="D214" s="17" t="s">
        <v>83</v>
      </c>
      <c r="E214" s="4">
        <v>0.932094523</v>
      </c>
    </row>
    <row r="215">
      <c r="C215" s="16">
        <v>43009.0</v>
      </c>
      <c r="D215" s="17">
        <v>265.472</v>
      </c>
      <c r="E215" s="4">
        <v>0.935617114</v>
      </c>
    </row>
    <row r="216">
      <c r="C216" s="16">
        <v>43040.0</v>
      </c>
      <c r="D216" s="17" t="s">
        <v>83</v>
      </c>
      <c r="E216" s="4">
        <v>0.935934306</v>
      </c>
    </row>
    <row r="217">
      <c r="C217" s="16">
        <v>43070.0</v>
      </c>
      <c r="D217" s="17">
        <v>265.652</v>
      </c>
      <c r="E217" s="4">
        <v>0.936251498</v>
      </c>
    </row>
    <row r="218">
      <c r="C218" s="16">
        <v>43101.0</v>
      </c>
      <c r="D218" s="17" t="s">
        <v>83</v>
      </c>
      <c r="E218" s="4">
        <v>0.942586523</v>
      </c>
    </row>
    <row r="219">
      <c r="C219" s="16">
        <v>43132.0</v>
      </c>
      <c r="D219" s="17">
        <v>269.247</v>
      </c>
      <c r="E219" s="4">
        <v>0.948921548</v>
      </c>
    </row>
    <row r="220">
      <c r="C220" s="16">
        <v>43160.0</v>
      </c>
      <c r="D220" s="17" t="s">
        <v>83</v>
      </c>
      <c r="E220" s="4">
        <v>0.952380701</v>
      </c>
    </row>
    <row r="221">
      <c r="C221" s="16">
        <v>43191.0</v>
      </c>
      <c r="D221" s="17">
        <v>271.21</v>
      </c>
      <c r="E221" s="4">
        <v>0.955839853</v>
      </c>
    </row>
    <row r="222">
      <c r="C222" s="16">
        <v>43221.0</v>
      </c>
      <c r="D222" s="17" t="s">
        <v>83</v>
      </c>
      <c r="E222" s="4">
        <v>0.958046099</v>
      </c>
    </row>
    <row r="223">
      <c r="C223" s="16">
        <v>43252.0</v>
      </c>
      <c r="D223" s="32">
        <v>272.462</v>
      </c>
      <c r="E223" s="4">
        <v>0.960252344</v>
      </c>
    </row>
    <row r="224">
      <c r="C224" s="16">
        <v>43282.0</v>
      </c>
      <c r="D224" s="17" t="s">
        <v>83</v>
      </c>
      <c r="E224" s="4">
        <v>0.962687672</v>
      </c>
    </row>
    <row r="225">
      <c r="C225" s="16">
        <v>43313.0</v>
      </c>
      <c r="D225" s="17">
        <v>273.844</v>
      </c>
      <c r="E225" s="4">
        <v>0.965123</v>
      </c>
    </row>
    <row r="226">
      <c r="C226" s="16">
        <v>43344.0</v>
      </c>
      <c r="D226" s="17" t="s">
        <v>83</v>
      </c>
      <c r="E226" s="4">
        <v>0.968368929</v>
      </c>
    </row>
    <row r="227">
      <c r="C227" s="16">
        <v>43374.0</v>
      </c>
      <c r="D227" s="17">
        <v>275.686</v>
      </c>
      <c r="E227" s="4">
        <v>0.971614859</v>
      </c>
    </row>
    <row r="228">
      <c r="C228" s="16">
        <v>43405.0</v>
      </c>
      <c r="D228" s="17" t="s">
        <v>83</v>
      </c>
      <c r="E228" s="4">
        <v>0.970268556</v>
      </c>
    </row>
    <row r="229">
      <c r="C229" s="16">
        <v>43435.0</v>
      </c>
      <c r="D229" s="17">
        <v>274.922</v>
      </c>
      <c r="E229" s="4">
        <v>0.968922253</v>
      </c>
    </row>
    <row r="230">
      <c r="C230" s="16">
        <v>43466.0</v>
      </c>
      <c r="D230" s="17" t="s">
        <v>83</v>
      </c>
      <c r="E230" s="4">
        <v>0.971976105</v>
      </c>
    </row>
    <row r="231">
      <c r="C231" s="16">
        <v>43497.0</v>
      </c>
      <c r="D231" s="17">
        <v>276.655</v>
      </c>
      <c r="E231" s="4">
        <v>0.975029957</v>
      </c>
    </row>
    <row r="232">
      <c r="C232" s="16">
        <v>43525.0</v>
      </c>
      <c r="D232" s="17" t="s">
        <v>83</v>
      </c>
      <c r="E232" s="4">
        <v>0.981409036</v>
      </c>
    </row>
    <row r="233">
      <c r="C233" s="16">
        <v>43556.0</v>
      </c>
      <c r="D233" s="17">
        <v>280.275</v>
      </c>
      <c r="E233" s="4">
        <v>0.987788116</v>
      </c>
    </row>
    <row r="234">
      <c r="C234" s="16">
        <v>43586.0</v>
      </c>
      <c r="D234" s="17" t="s">
        <v>83</v>
      </c>
      <c r="E234" s="4">
        <v>0.988988158</v>
      </c>
    </row>
    <row r="235">
      <c r="C235" s="16">
        <v>43617.0</v>
      </c>
      <c r="D235" s="17">
        <v>280.956</v>
      </c>
      <c r="E235" s="4">
        <v>0.9901882</v>
      </c>
    </row>
    <row r="236">
      <c r="C236" s="16">
        <v>43647.0</v>
      </c>
      <c r="D236" s="17" t="s">
        <v>83</v>
      </c>
      <c r="E236" s="4">
        <v>0.990700994</v>
      </c>
    </row>
    <row r="237">
      <c r="C237" s="16">
        <v>43678.0</v>
      </c>
      <c r="D237" s="17">
        <v>281.247</v>
      </c>
      <c r="E237" s="4">
        <v>0.991213787</v>
      </c>
    </row>
    <row r="238">
      <c r="C238" s="16">
        <v>43709.0</v>
      </c>
      <c r="D238" s="17" t="s">
        <v>83</v>
      </c>
      <c r="E238" s="4">
        <v>0.995890604</v>
      </c>
    </row>
    <row r="239">
      <c r="C239" s="16">
        <v>43739.0</v>
      </c>
      <c r="D239" s="17">
        <v>283.901</v>
      </c>
      <c r="E239" s="4">
        <v>1.000567421</v>
      </c>
    </row>
    <row r="240">
      <c r="C240" s="16">
        <v>43770.0</v>
      </c>
      <c r="D240" s="17" t="s">
        <v>83</v>
      </c>
      <c r="E240" s="4">
        <v>0.998264256</v>
      </c>
    </row>
    <row r="241">
      <c r="C241" s="16">
        <v>43800.0</v>
      </c>
      <c r="D241" s="17">
        <v>282.594</v>
      </c>
      <c r="E241" s="4">
        <v>0.995961091</v>
      </c>
    </row>
    <row r="242">
      <c r="C242" s="16">
        <v>43831.0</v>
      </c>
      <c r="D242" s="17" t="s">
        <v>83</v>
      </c>
      <c r="E242" s="4">
        <v>1.0</v>
      </c>
    </row>
    <row r="243">
      <c r="C243" s="16">
        <v>43862.0</v>
      </c>
      <c r="D243" s="17">
        <v>284.886</v>
      </c>
      <c r="E243" s="4">
        <v>1.004038909</v>
      </c>
    </row>
    <row r="244">
      <c r="C244" s="16">
        <v>43891.0</v>
      </c>
      <c r="D244" s="17" t="s">
        <v>83</v>
      </c>
      <c r="E244" s="4">
        <v>1.000726017</v>
      </c>
    </row>
    <row r="245">
      <c r="C245" s="16">
        <v>43922.0</v>
      </c>
      <c r="D245" s="17">
        <v>283.006</v>
      </c>
      <c r="E245" s="4">
        <v>0.997413125</v>
      </c>
    </row>
    <row r="246">
      <c r="C246" s="16">
        <v>43952.0</v>
      </c>
      <c r="D246" s="17" t="s">
        <v>83</v>
      </c>
      <c r="E246" s="4">
        <v>1.000636146</v>
      </c>
    </row>
    <row r="247">
      <c r="C247" s="16">
        <v>43983.0</v>
      </c>
      <c r="D247" s="32">
        <v>284.835</v>
      </c>
      <c r="E247" s="4">
        <v>1.003859167</v>
      </c>
    </row>
    <row r="248">
      <c r="C248" s="16">
        <v>44013.0</v>
      </c>
      <c r="D248" s="17" t="s">
        <v>83</v>
      </c>
      <c r="E248" s="4">
        <v>1.006595827</v>
      </c>
    </row>
    <row r="249">
      <c r="C249" s="16">
        <v>44044.0</v>
      </c>
      <c r="D249" s="32">
        <v>286.388</v>
      </c>
      <c r="E249" s="4">
        <v>1.009332487</v>
      </c>
    </row>
    <row r="250">
      <c r="C250" s="16">
        <v>44075.0</v>
      </c>
      <c r="D250" s="17" t="s">
        <v>83</v>
      </c>
      <c r="E250" s="4">
        <v>1.010134278</v>
      </c>
    </row>
    <row r="251">
      <c r="C251" s="16">
        <v>44105.0</v>
      </c>
      <c r="D251" s="32">
        <v>286.843</v>
      </c>
      <c r="E251" s="4">
        <v>1.010936068</v>
      </c>
    </row>
    <row r="252">
      <c r="C252" s="16">
        <v>44136.0</v>
      </c>
      <c r="D252" s="17" t="s">
        <v>83</v>
      </c>
      <c r="E252" s="4">
        <v>1.011859449</v>
      </c>
    </row>
    <row r="253">
      <c r="C253" s="16">
        <v>44166.0</v>
      </c>
      <c r="D253" s="32">
        <v>287.367</v>
      </c>
      <c r="E253" s="4">
        <v>1.012782829</v>
      </c>
    </row>
    <row r="254">
      <c r="C254" s="16">
        <v>44197.0</v>
      </c>
      <c r="D254" s="17" t="s">
        <v>83</v>
      </c>
      <c r="E254" s="4">
        <v>1.016774159</v>
      </c>
    </row>
    <row r="255">
      <c r="C255" s="16">
        <v>44228.0</v>
      </c>
      <c r="D255" s="32">
        <v>289.632</v>
      </c>
      <c r="E255" s="4">
        <v>1.02076549</v>
      </c>
    </row>
    <row r="256">
      <c r="C256" s="16">
        <v>44256.0</v>
      </c>
      <c r="D256" s="17" t="s">
        <v>83</v>
      </c>
      <c r="E256" s="4">
        <v>1.028945513</v>
      </c>
    </row>
    <row r="257">
      <c r="C257" s="16">
        <v>44287.0</v>
      </c>
      <c r="D257" s="32">
        <v>294.274</v>
      </c>
      <c r="E257" s="4">
        <v>1.037125537</v>
      </c>
    </row>
    <row r="258">
      <c r="C258" s="16">
        <v>44317.0</v>
      </c>
      <c r="D258" s="17" t="s">
        <v>83</v>
      </c>
      <c r="E258" s="4">
        <v>1.042716924</v>
      </c>
    </row>
    <row r="259">
      <c r="C259" s="16">
        <v>44348.0</v>
      </c>
      <c r="D259" s="32">
        <v>297.447</v>
      </c>
      <c r="E259" s="4">
        <v>1.04830831</v>
      </c>
    </row>
    <row r="260">
      <c r="C260" s="16">
        <v>44378.0</v>
      </c>
      <c r="D260" s="17" t="s">
        <v>83</v>
      </c>
      <c r="E260" s="4">
        <v>1.052481145</v>
      </c>
    </row>
    <row r="261">
      <c r="C261" s="16">
        <v>44409.0</v>
      </c>
      <c r="D261" s="32">
        <v>299.815</v>
      </c>
      <c r="E261" s="4">
        <v>1.056653979</v>
      </c>
    </row>
    <row r="262">
      <c r="C262" s="16">
        <v>44440.0</v>
      </c>
      <c r="D262" s="17" t="s">
        <v>83</v>
      </c>
      <c r="E262" s="4">
        <v>1.061901741</v>
      </c>
    </row>
    <row r="263">
      <c r="C263" s="16">
        <v>44470.0</v>
      </c>
      <c r="D263" s="32">
        <v>302.793</v>
      </c>
      <c r="E263" s="4">
        <v>1.067149503</v>
      </c>
    </row>
    <row r="264">
      <c r="C264" s="16">
        <v>44501.0</v>
      </c>
      <c r="D264" s="17" t="s">
        <v>83</v>
      </c>
      <c r="E264" s="4">
        <v>1.072992881</v>
      </c>
    </row>
    <row r="265">
      <c r="C265" s="16">
        <v>44531.0</v>
      </c>
      <c r="D265" s="32">
        <v>306.109</v>
      </c>
      <c r="E265" s="4">
        <v>1.078836259</v>
      </c>
    </row>
    <row r="266">
      <c r="C266" s="16">
        <v>44562.0</v>
      </c>
      <c r="D266" s="17" t="s">
        <v>83</v>
      </c>
      <c r="E266" s="4">
        <v>1.087540374</v>
      </c>
    </row>
    <row r="267">
      <c r="C267" s="16">
        <v>44593.0</v>
      </c>
      <c r="D267" s="32">
        <v>311.048</v>
      </c>
      <c r="E267" s="4">
        <v>1.096244489</v>
      </c>
    </row>
    <row r="268">
      <c r="C268" s="16">
        <v>44621.0</v>
      </c>
      <c r="D268" s="17" t="s">
        <v>83</v>
      </c>
      <c r="E268" s="4">
        <v>1.106462654</v>
      </c>
    </row>
    <row r="269">
      <c r="C269" s="16">
        <v>44652.0</v>
      </c>
      <c r="D269" s="32">
        <v>316.847</v>
      </c>
      <c r="E269" s="4">
        <v>1.116680819</v>
      </c>
    </row>
    <row r="270">
      <c r="C270" s="16">
        <v>44682.0</v>
      </c>
      <c r="D270" s="17" t="s">
        <v>83</v>
      </c>
      <c r="E270" s="4">
        <v>1.125836879</v>
      </c>
    </row>
    <row r="271">
      <c r="C271" s="16">
        <v>44713.0</v>
      </c>
      <c r="D271" s="32">
        <v>322.043</v>
      </c>
      <c r="E271" s="4">
        <v>1.134992939</v>
      </c>
    </row>
    <row r="272">
      <c r="C272" s="16">
        <v>44743.0</v>
      </c>
      <c r="D272" s="17" t="s">
        <v>83</v>
      </c>
      <c r="E272" s="4">
        <v>1.135402139</v>
      </c>
    </row>
    <row r="273">
      <c r="C273" s="16">
        <v>44774.0</v>
      </c>
      <c r="D273" s="32">
        <v>322.275</v>
      </c>
      <c r="E273" s="4">
        <v>1.135811339</v>
      </c>
    </row>
    <row r="274">
      <c r="C274" s="16">
        <v>44805.0</v>
      </c>
      <c r="D274" s="17" t="s">
        <v>83</v>
      </c>
      <c r="E274" s="4">
        <v>1.140294553</v>
      </c>
    </row>
    <row r="275">
      <c r="C275" s="16">
        <v>44835.0</v>
      </c>
      <c r="D275" s="32">
        <v>324.819</v>
      </c>
      <c r="E275" s="4">
        <v>1.144777767</v>
      </c>
    </row>
    <row r="276">
      <c r="C276" s="16">
        <v>44866.0</v>
      </c>
      <c r="D276" s="17" t="s">
        <v>83</v>
      </c>
      <c r="E276" s="4">
        <v>1.141831939</v>
      </c>
    </row>
    <row r="277">
      <c r="C277" s="16">
        <v>44896.0</v>
      </c>
      <c r="D277" s="32">
        <v>323.148</v>
      </c>
      <c r="E277" s="4">
        <v>1.138886111</v>
      </c>
    </row>
  </sheetData>
  <hyperlinks>
    <hyperlink r:id="rId1" ref="B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33.38"/>
    <col customWidth="1" min="4" max="4" width="36.38"/>
    <col customWidth="1" min="5" max="5" width="16.5"/>
    <col customWidth="1" min="6" max="6" width="15.63"/>
    <col customWidth="1" min="7" max="7" width="15.88"/>
    <col customWidth="1" min="8" max="8" width="14.0"/>
    <col customWidth="1" min="9" max="9" width="15.13"/>
    <col customWidth="1" min="10" max="10" width="16.0"/>
    <col customWidth="1" min="13" max="13" width="27.88"/>
  </cols>
  <sheetData>
    <row r="1">
      <c r="A1" s="1" t="s">
        <v>63</v>
      </c>
      <c r="B1" s="4" t="s">
        <v>8</v>
      </c>
      <c r="D1" s="13" t="s">
        <v>66</v>
      </c>
      <c r="E1" s="13" t="s">
        <v>70</v>
      </c>
      <c r="F1" s="13" t="s">
        <v>73</v>
      </c>
      <c r="G1" s="13" t="s">
        <v>74</v>
      </c>
      <c r="H1" s="13" t="s">
        <v>77</v>
      </c>
      <c r="I1" s="13" t="s">
        <v>78</v>
      </c>
      <c r="J1" s="13" t="s">
        <v>79</v>
      </c>
      <c r="L1" s="4" t="s">
        <v>80</v>
      </c>
      <c r="M1" s="18">
        <f>SUM(F4:J8)/(2*E2*SUMPRODUCT(F2:J2,F3:J3))</f>
        <v>0.4510975058</v>
      </c>
      <c r="O1" s="1" t="s">
        <v>86</v>
      </c>
      <c r="P1" s="1" t="s">
        <v>90</v>
      </c>
    </row>
    <row r="2">
      <c r="A2" s="1" t="s">
        <v>68</v>
      </c>
      <c r="B2" s="15" t="s">
        <v>91</v>
      </c>
      <c r="D2" s="19" t="s">
        <v>100</v>
      </c>
      <c r="E2" s="20">
        <v>1.4248388E7</v>
      </c>
      <c r="F2" s="20">
        <v>2735227.0</v>
      </c>
      <c r="G2" s="20">
        <v>2774747.0</v>
      </c>
      <c r="H2" s="20">
        <v>2943249.0</v>
      </c>
      <c r="I2" s="20">
        <v>2945121.0</v>
      </c>
      <c r="J2" s="20">
        <v>2850043.0</v>
      </c>
      <c r="L2" s="4" t="s">
        <v>105</v>
      </c>
      <c r="M2" s="21">
        <f>POW(E2,2)*E3</f>
        <v>2.01032E+19</v>
      </c>
      <c r="O2" s="4">
        <v>0.001</v>
      </c>
      <c r="P2" s="10">
        <f t="shared" ref="P2:P1000" si="1">_xlfn.LOGNORM.INV(O2,$B$19,$B$20)</f>
        <v>4275.250799</v>
      </c>
    </row>
    <row r="3">
      <c r="A3" s="1" t="s">
        <v>85</v>
      </c>
      <c r="B3" s="4" t="s">
        <v>113</v>
      </c>
      <c r="D3" s="22" t="s">
        <v>114</v>
      </c>
      <c r="E3" s="23">
        <v>99022.5</v>
      </c>
      <c r="F3" s="23">
        <v>13584.06</v>
      </c>
      <c r="G3" s="23">
        <v>39369.1</v>
      </c>
      <c r="H3" s="23">
        <v>68070.28</v>
      </c>
      <c r="I3" s="23">
        <v>112527.22</v>
      </c>
      <c r="J3" s="23">
        <v>257105.69</v>
      </c>
      <c r="L3" s="4" t="s">
        <v>117</v>
      </c>
      <c r="M3" s="24">
        <f>E2*SUMPRODUCT(F2:J2,F3:J3)</f>
        <v>2.01032E+19</v>
      </c>
      <c r="O3" s="6">
        <f t="shared" ref="O3:O1000" si="3">O2+0.001</f>
        <v>0.002</v>
      </c>
      <c r="P3" s="10">
        <f t="shared" si="1"/>
        <v>5204.024042</v>
      </c>
    </row>
    <row r="4">
      <c r="A4" s="1"/>
      <c r="E4" s="13" t="s">
        <v>73</v>
      </c>
      <c r="F4" s="23">
        <f t="shared" ref="F4:J4" si="2">ABS(F$3-INDEX($F$3:$J$3,MATCH($E4,$F$1:$J$1,0)))*F$2*INDEX($F$2:$J$2,MATCH($E4,$F$1:$J$1,0))</f>
        <v>0</v>
      </c>
      <c r="G4" s="23">
        <f t="shared" si="2"/>
        <v>1.95697E+17</v>
      </c>
      <c r="H4" s="23">
        <f t="shared" si="2"/>
        <v>4.38639E+17</v>
      </c>
      <c r="I4" s="23">
        <f t="shared" si="2"/>
        <v>7.97044E+17</v>
      </c>
      <c r="J4" s="23">
        <f t="shared" si="2"/>
        <v>1.89838E+18</v>
      </c>
      <c r="L4" s="4" t="s">
        <v>129</v>
      </c>
      <c r="M4" s="21">
        <f>SUM(F4:J8)</f>
        <v>1.8137E+19</v>
      </c>
      <c r="O4" s="6">
        <f t="shared" si="3"/>
        <v>0.003</v>
      </c>
      <c r="P4" s="10">
        <f t="shared" si="1"/>
        <v>5872.584151</v>
      </c>
    </row>
    <row r="5">
      <c r="E5" s="13" t="s">
        <v>74</v>
      </c>
      <c r="F5" s="23">
        <f t="shared" ref="F5:J5" si="4">ABS(F$3-INDEX($F$3:$J$3,MATCH($E5,$F$1:$J$1,0)))*F$2*INDEX($F$2:$J$2,MATCH($E5,$F$1:$J$1,0))</f>
        <v>1.95697E+17</v>
      </c>
      <c r="G5" s="23">
        <f t="shared" si="4"/>
        <v>0</v>
      </c>
      <c r="H5" s="23">
        <f t="shared" si="4"/>
        <v>2.34396E+17</v>
      </c>
      <c r="I5" s="23">
        <f t="shared" si="4"/>
        <v>5.97846E+17</v>
      </c>
      <c r="J5" s="23">
        <f t="shared" si="4"/>
        <v>1.72189E+18</v>
      </c>
      <c r="O5" s="6">
        <f t="shared" si="3"/>
        <v>0.004</v>
      </c>
      <c r="P5" s="10">
        <f t="shared" si="1"/>
        <v>6417.440736</v>
      </c>
    </row>
    <row r="6">
      <c r="E6" s="13" t="s">
        <v>77</v>
      </c>
      <c r="F6" s="23">
        <f t="shared" ref="F6:J6" si="5">ABS(F$3-INDEX($F$3:$J$3,MATCH($E6,$F$1:$J$1,0)))*F$2*INDEX($F$2:$J$2,MATCH($E6,$F$1:$J$1,0))</f>
        <v>4.38639E+17</v>
      </c>
      <c r="G6" s="23">
        <f t="shared" si="5"/>
        <v>2.34396E+17</v>
      </c>
      <c r="H6" s="23">
        <f t="shared" si="5"/>
        <v>0</v>
      </c>
      <c r="I6" s="23">
        <f t="shared" si="5"/>
        <v>3.85363E+17</v>
      </c>
      <c r="J6" s="23">
        <f t="shared" si="5"/>
        <v>1.5857E+18</v>
      </c>
      <c r="O6" s="6">
        <f t="shared" si="3"/>
        <v>0.005</v>
      </c>
      <c r="P6" s="10">
        <f t="shared" si="1"/>
        <v>6887.40476</v>
      </c>
    </row>
    <row r="7">
      <c r="E7" s="13" t="s">
        <v>78</v>
      </c>
      <c r="F7" s="23">
        <f t="shared" ref="F7:J7" si="6">ABS(F$3-INDEX($F$3:$J$3,MATCH($E7,$F$1:$J$1,0)))*F$2*INDEX($F$2:$J$2,MATCH($E7,$F$1:$J$1,0))</f>
        <v>7.97044E+17</v>
      </c>
      <c r="G7" s="23">
        <f t="shared" si="6"/>
        <v>5.97846E+17</v>
      </c>
      <c r="H7" s="23">
        <f t="shared" si="6"/>
        <v>3.85363E+17</v>
      </c>
      <c r="I7" s="23">
        <f t="shared" si="6"/>
        <v>0</v>
      </c>
      <c r="J7" s="23">
        <f t="shared" si="6"/>
        <v>1.21355E+18</v>
      </c>
      <c r="O7" s="6">
        <f t="shared" si="3"/>
        <v>0.006</v>
      </c>
      <c r="P7" s="10">
        <f t="shared" si="1"/>
        <v>7306.251263</v>
      </c>
    </row>
    <row r="8">
      <c r="E8" s="13" t="s">
        <v>79</v>
      </c>
      <c r="F8" s="23">
        <f t="shared" ref="F8:J8" si="7">ABS(F$3-INDEX($F$3:$J$3,MATCH($E8,$F$1:$J$1,0)))*F$2*INDEX($F$2:$J$2,MATCH($E8,$F$1:$J$1,0))</f>
        <v>1.89838E+18</v>
      </c>
      <c r="G8" s="23">
        <f t="shared" si="7"/>
        <v>1.72189E+18</v>
      </c>
      <c r="H8" s="23">
        <f t="shared" si="7"/>
        <v>1.5857E+18</v>
      </c>
      <c r="I8" s="23">
        <f t="shared" si="7"/>
        <v>1.21355E+18</v>
      </c>
      <c r="J8" s="23">
        <f t="shared" si="7"/>
        <v>0</v>
      </c>
      <c r="O8" s="6">
        <f t="shared" si="3"/>
        <v>0.007</v>
      </c>
      <c r="P8" s="10">
        <f t="shared" si="1"/>
        <v>7687.571614</v>
      </c>
    </row>
    <row r="9">
      <c r="A9" s="3"/>
      <c r="O9" s="6">
        <f t="shared" si="3"/>
        <v>0.008</v>
      </c>
      <c r="P9" s="10">
        <f t="shared" si="1"/>
        <v>8039.954316</v>
      </c>
    </row>
    <row r="10">
      <c r="A10" s="3"/>
      <c r="O10" s="6">
        <f t="shared" si="3"/>
        <v>0.009</v>
      </c>
      <c r="P10" s="10">
        <f t="shared" si="1"/>
        <v>8369.215136</v>
      </c>
    </row>
    <row r="11">
      <c r="A11" s="1" t="s">
        <v>68</v>
      </c>
      <c r="B11" s="4" t="s">
        <v>161</v>
      </c>
      <c r="D11" s="13" t="s">
        <v>162</v>
      </c>
      <c r="E11" s="13" t="s">
        <v>163</v>
      </c>
      <c r="F11" s="13" t="s">
        <v>164</v>
      </c>
      <c r="G11" s="13" t="s">
        <v>165</v>
      </c>
      <c r="H11" s="13" t="s">
        <v>166</v>
      </c>
      <c r="I11" s="13" t="s">
        <v>167</v>
      </c>
      <c r="J11" s="13" t="s">
        <v>168</v>
      </c>
      <c r="O11" s="6">
        <f t="shared" si="3"/>
        <v>0.01</v>
      </c>
      <c r="P11" s="10">
        <f t="shared" si="1"/>
        <v>8679.497489</v>
      </c>
    </row>
    <row r="12">
      <c r="A12" s="1" t="s">
        <v>169</v>
      </c>
      <c r="B12" s="30" t="s">
        <v>170</v>
      </c>
      <c r="D12" s="13" t="s">
        <v>171</v>
      </c>
      <c r="E12" s="23">
        <v>16981.0</v>
      </c>
      <c r="F12" s="23">
        <v>47103.0</v>
      </c>
      <c r="G12" s="23">
        <v>80693.0</v>
      </c>
      <c r="H12" s="23">
        <v>127666.0</v>
      </c>
      <c r="I12" s="23">
        <v>295369.0</v>
      </c>
      <c r="J12" s="23">
        <v>531014.0</v>
      </c>
      <c r="O12" s="6">
        <f t="shared" si="3"/>
        <v>0.011</v>
      </c>
      <c r="P12" s="10">
        <f t="shared" si="1"/>
        <v>8973.870627</v>
      </c>
    </row>
    <row r="13">
      <c r="A13" s="1" t="s">
        <v>172</v>
      </c>
      <c r="B13" s="4">
        <v>0.4866</v>
      </c>
      <c r="D13" s="13" t="s">
        <v>173</v>
      </c>
      <c r="E13" s="31">
        <v>0.0299</v>
      </c>
      <c r="F13" s="31">
        <v>0.083</v>
      </c>
      <c r="G13" s="31">
        <v>0.1421</v>
      </c>
      <c r="H13" s="31">
        <v>0.2248</v>
      </c>
      <c r="I13" s="31">
        <v>0.5202</v>
      </c>
      <c r="J13" s="31">
        <v>0.2338</v>
      </c>
      <c r="O13" s="6">
        <f t="shared" si="3"/>
        <v>0.012</v>
      </c>
      <c r="P13" s="10">
        <f t="shared" si="1"/>
        <v>9254.6794</v>
      </c>
    </row>
    <row r="14">
      <c r="A14" s="1" t="s">
        <v>174</v>
      </c>
      <c r="B14" s="4">
        <v>0.995961091</v>
      </c>
      <c r="D14" s="13" t="s">
        <v>175</v>
      </c>
      <c r="E14" s="23">
        <f t="shared" ref="E14:J14" si="8">E12/$B$14</f>
        <v>17049.86284</v>
      </c>
      <c r="F14" s="23">
        <f t="shared" si="8"/>
        <v>47294.01623</v>
      </c>
      <c r="G14" s="23">
        <f t="shared" si="8"/>
        <v>81020.23335</v>
      </c>
      <c r="H14" s="23">
        <f t="shared" si="8"/>
        <v>128183.7224</v>
      </c>
      <c r="I14" s="23">
        <f t="shared" si="8"/>
        <v>296566.8063</v>
      </c>
      <c r="J14" s="23">
        <f t="shared" si="8"/>
        <v>533167.4147</v>
      </c>
      <c r="O14" s="6">
        <f t="shared" si="3"/>
        <v>0.013</v>
      </c>
      <c r="P14" s="10">
        <f t="shared" si="1"/>
        <v>9523.760722</v>
      </c>
    </row>
    <row r="15">
      <c r="A15" s="3"/>
      <c r="O15" s="6">
        <f t="shared" si="3"/>
        <v>0.014</v>
      </c>
      <c r="P15" s="10">
        <f t="shared" si="1"/>
        <v>9782.583826</v>
      </c>
    </row>
    <row r="16">
      <c r="A16" s="3"/>
      <c r="O16" s="6">
        <f t="shared" si="3"/>
        <v>0.015</v>
      </c>
      <c r="P16" s="10">
        <f t="shared" si="1"/>
        <v>10032.34462</v>
      </c>
    </row>
    <row r="17">
      <c r="A17" s="4" t="s">
        <v>176</v>
      </c>
      <c r="O17" s="6">
        <f t="shared" si="3"/>
        <v>0.016</v>
      </c>
      <c r="P17" s="10">
        <f t="shared" si="1"/>
        <v>10274.03121</v>
      </c>
    </row>
    <row r="18">
      <c r="A18" s="4" t="s">
        <v>177</v>
      </c>
      <c r="B18" s="4" t="s">
        <v>178</v>
      </c>
      <c r="O18" s="6">
        <f t="shared" si="3"/>
        <v>0.017</v>
      </c>
      <c r="P18" s="10">
        <f t="shared" si="1"/>
        <v>10508.47064</v>
      </c>
    </row>
    <row r="19">
      <c r="A19" s="4" t="s">
        <v>136</v>
      </c>
      <c r="B19" s="4">
        <v>11.2252433925184</v>
      </c>
      <c r="O19" s="6">
        <f t="shared" si="3"/>
        <v>0.018</v>
      </c>
      <c r="P19" s="10">
        <f t="shared" si="1"/>
        <v>10736.36298</v>
      </c>
    </row>
    <row r="20">
      <c r="A20" s="4" t="s">
        <v>179</v>
      </c>
      <c r="B20" s="4">
        <v>0.927</v>
      </c>
      <c r="O20" s="6">
        <f t="shared" si="3"/>
        <v>0.019</v>
      </c>
      <c r="P20" s="10">
        <f t="shared" si="1"/>
        <v>10958.30676</v>
      </c>
    </row>
    <row r="21">
      <c r="A21" s="3"/>
      <c r="O21" s="6">
        <f t="shared" si="3"/>
        <v>0.02</v>
      </c>
      <c r="P21" s="10">
        <f t="shared" si="1"/>
        <v>11174.81823</v>
      </c>
    </row>
    <row r="22">
      <c r="A22" s="3"/>
      <c r="O22" s="6">
        <f t="shared" si="3"/>
        <v>0.021</v>
      </c>
      <c r="P22" s="10">
        <f t="shared" si="1"/>
        <v>11386.3462</v>
      </c>
    </row>
    <row r="23">
      <c r="A23" s="3"/>
      <c r="O23" s="6">
        <f t="shared" si="3"/>
        <v>0.022</v>
      </c>
      <c r="P23" s="10">
        <f t="shared" si="1"/>
        <v>11593.28361</v>
      </c>
    </row>
    <row r="24">
      <c r="A24" s="3"/>
      <c r="O24" s="6">
        <f t="shared" si="3"/>
        <v>0.023</v>
      </c>
      <c r="P24" s="10">
        <f t="shared" si="1"/>
        <v>11795.97668</v>
      </c>
    </row>
    <row r="25">
      <c r="A25" s="3"/>
      <c r="O25" s="6">
        <f t="shared" si="3"/>
        <v>0.024</v>
      </c>
      <c r="P25" s="10">
        <f t="shared" si="1"/>
        <v>11994.73231</v>
      </c>
    </row>
    <row r="26">
      <c r="A26" s="3"/>
      <c r="O26" s="6">
        <f t="shared" si="3"/>
        <v>0.025</v>
      </c>
      <c r="P26" s="10">
        <f t="shared" si="1"/>
        <v>12189.82392</v>
      </c>
    </row>
    <row r="27">
      <c r="A27" s="3"/>
      <c r="O27" s="6">
        <f t="shared" si="3"/>
        <v>0.026</v>
      </c>
      <c r="P27" s="10">
        <f t="shared" si="1"/>
        <v>12381.4963</v>
      </c>
    </row>
    <row r="28">
      <c r="A28" s="3"/>
      <c r="O28" s="6">
        <f t="shared" si="3"/>
        <v>0.027</v>
      </c>
      <c r="P28" s="10">
        <f t="shared" si="1"/>
        <v>12569.96967</v>
      </c>
    </row>
    <row r="29">
      <c r="A29" s="3"/>
      <c r="O29" s="6">
        <f t="shared" si="3"/>
        <v>0.028</v>
      </c>
      <c r="P29" s="10">
        <f t="shared" si="1"/>
        <v>12755.44283</v>
      </c>
    </row>
    <row r="30">
      <c r="A30" s="3"/>
      <c r="O30" s="6">
        <f t="shared" si="3"/>
        <v>0.029</v>
      </c>
      <c r="P30" s="10">
        <f t="shared" si="1"/>
        <v>12938.09603</v>
      </c>
    </row>
    <row r="31">
      <c r="A31" s="3"/>
      <c r="O31" s="6">
        <f t="shared" si="3"/>
        <v>0.03</v>
      </c>
      <c r="P31" s="10">
        <f t="shared" si="1"/>
        <v>13118.09324</v>
      </c>
    </row>
    <row r="32">
      <c r="A32" s="3"/>
      <c r="O32" s="6">
        <f t="shared" si="3"/>
        <v>0.031</v>
      </c>
      <c r="P32" s="10">
        <f t="shared" si="1"/>
        <v>13295.58415</v>
      </c>
    </row>
    <row r="33">
      <c r="A33" s="3"/>
      <c r="O33" s="6">
        <f t="shared" si="3"/>
        <v>0.032</v>
      </c>
      <c r="P33" s="10">
        <f t="shared" si="1"/>
        <v>13470.70578</v>
      </c>
    </row>
    <row r="34">
      <c r="A34" s="3"/>
      <c r="O34" s="6">
        <f t="shared" si="3"/>
        <v>0.033</v>
      </c>
      <c r="P34" s="10">
        <f t="shared" si="1"/>
        <v>13643.58397</v>
      </c>
    </row>
    <row r="35">
      <c r="A35" s="3"/>
      <c r="O35" s="6">
        <f t="shared" si="3"/>
        <v>0.034</v>
      </c>
      <c r="P35" s="10">
        <f t="shared" si="1"/>
        <v>13814.33457</v>
      </c>
    </row>
    <row r="36">
      <c r="A36" s="3"/>
      <c r="O36" s="6">
        <f t="shared" si="3"/>
        <v>0.035</v>
      </c>
      <c r="P36" s="10">
        <f t="shared" si="1"/>
        <v>13983.0645</v>
      </c>
    </row>
    <row r="37">
      <c r="A37" s="3"/>
      <c r="O37" s="6">
        <f t="shared" si="3"/>
        <v>0.036</v>
      </c>
      <c r="P37" s="10">
        <f t="shared" si="1"/>
        <v>14149.87269</v>
      </c>
    </row>
    <row r="38">
      <c r="A38" s="3"/>
      <c r="O38" s="6">
        <f t="shared" si="3"/>
        <v>0.037</v>
      </c>
      <c r="P38" s="10">
        <f t="shared" si="1"/>
        <v>14314.85089</v>
      </c>
    </row>
    <row r="39">
      <c r="A39" s="3"/>
      <c r="O39" s="6">
        <f t="shared" si="3"/>
        <v>0.038</v>
      </c>
      <c r="P39" s="10">
        <f t="shared" si="1"/>
        <v>14478.08433</v>
      </c>
    </row>
    <row r="40">
      <c r="A40" s="3"/>
      <c r="O40" s="6">
        <f t="shared" si="3"/>
        <v>0.039</v>
      </c>
      <c r="P40" s="10">
        <f t="shared" si="1"/>
        <v>14639.65241</v>
      </c>
    </row>
    <row r="41">
      <c r="A41" s="3"/>
      <c r="O41" s="6">
        <f t="shared" si="3"/>
        <v>0.04</v>
      </c>
      <c r="P41" s="10">
        <f t="shared" si="1"/>
        <v>14799.62916</v>
      </c>
    </row>
    <row r="42">
      <c r="A42" s="3"/>
      <c r="O42" s="6">
        <f t="shared" si="3"/>
        <v>0.041</v>
      </c>
      <c r="P42" s="10">
        <f t="shared" si="1"/>
        <v>14958.08381</v>
      </c>
    </row>
    <row r="43">
      <c r="A43" s="3"/>
      <c r="O43" s="6">
        <f t="shared" si="3"/>
        <v>0.042</v>
      </c>
      <c r="P43" s="10">
        <f t="shared" si="1"/>
        <v>15115.08113</v>
      </c>
    </row>
    <row r="44">
      <c r="A44" s="3"/>
      <c r="O44" s="6">
        <f t="shared" si="3"/>
        <v>0.043</v>
      </c>
      <c r="P44" s="10">
        <f t="shared" si="1"/>
        <v>15270.6819</v>
      </c>
    </row>
    <row r="45">
      <c r="A45" s="3"/>
      <c r="O45" s="6">
        <f t="shared" si="3"/>
        <v>0.044</v>
      </c>
      <c r="P45" s="10">
        <f t="shared" si="1"/>
        <v>15424.94316</v>
      </c>
    </row>
    <row r="46">
      <c r="A46" s="3"/>
      <c r="O46" s="6">
        <f t="shared" si="3"/>
        <v>0.045</v>
      </c>
      <c r="P46" s="10">
        <f t="shared" si="1"/>
        <v>15577.91859</v>
      </c>
    </row>
    <row r="47">
      <c r="A47" s="3"/>
      <c r="O47" s="6">
        <f t="shared" si="3"/>
        <v>0.046</v>
      </c>
      <c r="P47" s="10">
        <f t="shared" si="1"/>
        <v>15729.65875</v>
      </c>
    </row>
    <row r="48">
      <c r="A48" s="3"/>
      <c r="O48" s="6">
        <f t="shared" si="3"/>
        <v>0.047</v>
      </c>
      <c r="P48" s="10">
        <f t="shared" si="1"/>
        <v>15880.21131</v>
      </c>
    </row>
    <row r="49">
      <c r="A49" s="3"/>
      <c r="O49" s="6">
        <f t="shared" si="3"/>
        <v>0.048</v>
      </c>
      <c r="P49" s="10">
        <f t="shared" si="1"/>
        <v>16029.62131</v>
      </c>
    </row>
    <row r="50">
      <c r="A50" s="3"/>
      <c r="O50" s="6">
        <f t="shared" si="3"/>
        <v>0.049</v>
      </c>
      <c r="P50" s="10">
        <f t="shared" si="1"/>
        <v>16177.93133</v>
      </c>
    </row>
    <row r="51">
      <c r="A51" s="3"/>
      <c r="O51" s="6">
        <f t="shared" si="3"/>
        <v>0.05</v>
      </c>
      <c r="P51" s="10">
        <f t="shared" si="1"/>
        <v>16325.18166</v>
      </c>
    </row>
    <row r="52">
      <c r="A52" s="3"/>
      <c r="O52" s="6">
        <f t="shared" si="3"/>
        <v>0.051</v>
      </c>
      <c r="P52" s="10">
        <f t="shared" si="1"/>
        <v>16471.41053</v>
      </c>
    </row>
    <row r="53">
      <c r="A53" s="3"/>
      <c r="O53" s="6">
        <f t="shared" si="3"/>
        <v>0.052</v>
      </c>
      <c r="P53" s="10">
        <f t="shared" si="1"/>
        <v>16616.65418</v>
      </c>
    </row>
    <row r="54">
      <c r="A54" s="3"/>
      <c r="O54" s="6">
        <f t="shared" si="3"/>
        <v>0.053</v>
      </c>
      <c r="P54" s="10">
        <f t="shared" si="1"/>
        <v>16760.94703</v>
      </c>
    </row>
    <row r="55">
      <c r="A55" s="3"/>
      <c r="O55" s="6">
        <f t="shared" si="3"/>
        <v>0.054</v>
      </c>
      <c r="P55" s="10">
        <f t="shared" si="1"/>
        <v>16904.32184</v>
      </c>
    </row>
    <row r="56">
      <c r="A56" s="3"/>
      <c r="O56" s="6">
        <f t="shared" si="3"/>
        <v>0.055</v>
      </c>
      <c r="P56" s="10">
        <f t="shared" si="1"/>
        <v>17046.80974</v>
      </c>
    </row>
    <row r="57">
      <c r="A57" s="3"/>
      <c r="O57" s="6">
        <f t="shared" si="3"/>
        <v>0.056</v>
      </c>
      <c r="P57" s="10">
        <f t="shared" si="1"/>
        <v>17188.44042</v>
      </c>
    </row>
    <row r="58">
      <c r="A58" s="3"/>
      <c r="O58" s="6">
        <f t="shared" si="3"/>
        <v>0.057</v>
      </c>
      <c r="P58" s="10">
        <f t="shared" si="1"/>
        <v>17329.24218</v>
      </c>
    </row>
    <row r="59">
      <c r="A59" s="3"/>
      <c r="O59" s="6">
        <f t="shared" si="3"/>
        <v>0.058</v>
      </c>
      <c r="P59" s="10">
        <f t="shared" si="1"/>
        <v>17469.24201</v>
      </c>
    </row>
    <row r="60">
      <c r="A60" s="3"/>
      <c r="O60" s="6">
        <f t="shared" si="3"/>
        <v>0.059</v>
      </c>
      <c r="P60" s="10">
        <f t="shared" si="1"/>
        <v>17608.46572</v>
      </c>
    </row>
    <row r="61">
      <c r="A61" s="3"/>
      <c r="O61" s="6">
        <f t="shared" si="3"/>
        <v>0.06</v>
      </c>
      <c r="P61" s="10">
        <f t="shared" si="1"/>
        <v>17746.93795</v>
      </c>
    </row>
    <row r="62">
      <c r="A62" s="3"/>
      <c r="O62" s="6">
        <f t="shared" si="3"/>
        <v>0.061</v>
      </c>
      <c r="P62" s="10">
        <f t="shared" si="1"/>
        <v>17884.6823</v>
      </c>
    </row>
    <row r="63">
      <c r="A63" s="3"/>
      <c r="O63" s="6">
        <f t="shared" si="3"/>
        <v>0.062</v>
      </c>
      <c r="P63" s="10">
        <f t="shared" si="1"/>
        <v>18021.72134</v>
      </c>
    </row>
    <row r="64">
      <c r="A64" s="3"/>
      <c r="O64" s="6">
        <f t="shared" si="3"/>
        <v>0.063</v>
      </c>
      <c r="P64" s="10">
        <f t="shared" si="1"/>
        <v>18158.0767</v>
      </c>
    </row>
    <row r="65">
      <c r="A65" s="3"/>
      <c r="O65" s="6">
        <f t="shared" si="3"/>
        <v>0.064</v>
      </c>
      <c r="P65" s="10">
        <f t="shared" si="1"/>
        <v>18293.76912</v>
      </c>
    </row>
    <row r="66">
      <c r="A66" s="3"/>
      <c r="O66" s="6">
        <f t="shared" si="3"/>
        <v>0.065</v>
      </c>
      <c r="P66" s="10">
        <f t="shared" si="1"/>
        <v>18428.81851</v>
      </c>
    </row>
    <row r="67">
      <c r="A67" s="3"/>
      <c r="O67" s="6">
        <f t="shared" si="3"/>
        <v>0.066</v>
      </c>
      <c r="P67" s="10">
        <f t="shared" si="1"/>
        <v>18563.24397</v>
      </c>
    </row>
    <row r="68">
      <c r="A68" s="3"/>
      <c r="O68" s="6">
        <f t="shared" si="3"/>
        <v>0.067</v>
      </c>
      <c r="P68" s="10">
        <f t="shared" si="1"/>
        <v>18697.06385</v>
      </c>
    </row>
    <row r="69">
      <c r="A69" s="3"/>
      <c r="O69" s="6">
        <f t="shared" si="3"/>
        <v>0.068</v>
      </c>
      <c r="P69" s="10">
        <f t="shared" si="1"/>
        <v>18830.29581</v>
      </c>
    </row>
    <row r="70">
      <c r="A70" s="3"/>
      <c r="O70" s="6">
        <f t="shared" si="3"/>
        <v>0.069</v>
      </c>
      <c r="P70" s="10">
        <f t="shared" si="1"/>
        <v>18962.9568</v>
      </c>
    </row>
    <row r="71">
      <c r="A71" s="3"/>
      <c r="O71" s="6">
        <f t="shared" si="3"/>
        <v>0.07</v>
      </c>
      <c r="P71" s="10">
        <f t="shared" si="1"/>
        <v>19095.06317</v>
      </c>
    </row>
    <row r="72">
      <c r="A72" s="3"/>
      <c r="O72" s="6">
        <f t="shared" si="3"/>
        <v>0.071</v>
      </c>
      <c r="P72" s="10">
        <f t="shared" si="1"/>
        <v>19226.63065</v>
      </c>
    </row>
    <row r="73">
      <c r="A73" s="3"/>
      <c r="O73" s="6">
        <f t="shared" si="3"/>
        <v>0.072</v>
      </c>
      <c r="P73" s="10">
        <f t="shared" si="1"/>
        <v>19357.6744</v>
      </c>
    </row>
    <row r="74">
      <c r="A74" s="3"/>
      <c r="O74" s="6">
        <f t="shared" si="3"/>
        <v>0.073</v>
      </c>
      <c r="P74" s="10">
        <f t="shared" si="1"/>
        <v>19488.20902</v>
      </c>
    </row>
    <row r="75">
      <c r="A75" s="3"/>
      <c r="O75" s="6">
        <f t="shared" si="3"/>
        <v>0.074</v>
      </c>
      <c r="P75" s="10">
        <f t="shared" si="1"/>
        <v>19618.24863</v>
      </c>
    </row>
    <row r="76">
      <c r="A76" s="3"/>
      <c r="O76" s="6">
        <f t="shared" si="3"/>
        <v>0.075</v>
      </c>
      <c r="P76" s="10">
        <f t="shared" si="1"/>
        <v>19747.80683</v>
      </c>
    </row>
    <row r="77">
      <c r="A77" s="3"/>
      <c r="O77" s="6">
        <f t="shared" si="3"/>
        <v>0.076</v>
      </c>
      <c r="P77" s="10">
        <f t="shared" si="1"/>
        <v>19876.89675</v>
      </c>
    </row>
    <row r="78">
      <c r="A78" s="3"/>
      <c r="O78" s="6">
        <f t="shared" si="3"/>
        <v>0.077</v>
      </c>
      <c r="P78" s="10">
        <f t="shared" si="1"/>
        <v>20005.53109</v>
      </c>
    </row>
    <row r="79">
      <c r="A79" s="3"/>
      <c r="O79" s="6">
        <f t="shared" si="3"/>
        <v>0.078</v>
      </c>
      <c r="P79" s="10">
        <f t="shared" si="1"/>
        <v>20133.72212</v>
      </c>
    </row>
    <row r="80">
      <c r="A80" s="3"/>
      <c r="O80" s="6">
        <f t="shared" si="3"/>
        <v>0.079</v>
      </c>
      <c r="P80" s="10">
        <f t="shared" si="1"/>
        <v>20261.48171</v>
      </c>
    </row>
    <row r="81">
      <c r="A81" s="3"/>
      <c r="O81" s="6">
        <f t="shared" si="3"/>
        <v>0.08</v>
      </c>
      <c r="P81" s="10">
        <f t="shared" si="1"/>
        <v>20388.82132</v>
      </c>
    </row>
    <row r="82">
      <c r="A82" s="3"/>
      <c r="O82" s="6">
        <f t="shared" si="3"/>
        <v>0.081</v>
      </c>
      <c r="P82" s="10">
        <f t="shared" si="1"/>
        <v>20515.75208</v>
      </c>
    </row>
    <row r="83">
      <c r="A83" s="3"/>
      <c r="O83" s="6">
        <f t="shared" si="3"/>
        <v>0.082</v>
      </c>
      <c r="P83" s="10">
        <f t="shared" si="1"/>
        <v>20642.28474</v>
      </c>
    </row>
    <row r="84">
      <c r="A84" s="3"/>
      <c r="O84" s="6">
        <f t="shared" si="3"/>
        <v>0.083</v>
      </c>
      <c r="P84" s="10">
        <f t="shared" si="1"/>
        <v>20768.42973</v>
      </c>
    </row>
    <row r="85">
      <c r="A85" s="3"/>
      <c r="O85" s="6">
        <f t="shared" si="3"/>
        <v>0.084</v>
      </c>
      <c r="P85" s="10">
        <f t="shared" si="1"/>
        <v>20894.19714</v>
      </c>
    </row>
    <row r="86">
      <c r="A86" s="3"/>
      <c r="O86" s="6">
        <f t="shared" si="3"/>
        <v>0.085</v>
      </c>
      <c r="P86" s="10">
        <f t="shared" si="1"/>
        <v>21019.59678</v>
      </c>
    </row>
    <row r="87">
      <c r="A87" s="3"/>
      <c r="O87" s="6">
        <f t="shared" si="3"/>
        <v>0.086</v>
      </c>
      <c r="P87" s="10">
        <f t="shared" si="1"/>
        <v>21144.63813</v>
      </c>
    </row>
    <row r="88">
      <c r="A88" s="3"/>
      <c r="O88" s="6">
        <f t="shared" si="3"/>
        <v>0.087</v>
      </c>
      <c r="P88" s="10">
        <f t="shared" si="1"/>
        <v>21269.33042</v>
      </c>
    </row>
    <row r="89">
      <c r="A89" s="3"/>
      <c r="O89" s="6">
        <f t="shared" si="3"/>
        <v>0.088</v>
      </c>
      <c r="P89" s="10">
        <f t="shared" si="1"/>
        <v>21393.68259</v>
      </c>
    </row>
    <row r="90">
      <c r="A90" s="3"/>
      <c r="O90" s="6">
        <f t="shared" si="3"/>
        <v>0.089</v>
      </c>
      <c r="P90" s="10">
        <f t="shared" si="1"/>
        <v>21517.70334</v>
      </c>
    </row>
    <row r="91">
      <c r="A91" s="3"/>
      <c r="O91" s="6">
        <f t="shared" si="3"/>
        <v>0.09</v>
      </c>
      <c r="P91" s="10">
        <f t="shared" si="1"/>
        <v>21641.4011</v>
      </c>
    </row>
    <row r="92">
      <c r="A92" s="3"/>
      <c r="O92" s="6">
        <f t="shared" si="3"/>
        <v>0.091</v>
      </c>
      <c r="P92" s="10">
        <f t="shared" si="1"/>
        <v>21764.78408</v>
      </c>
    </row>
    <row r="93">
      <c r="A93" s="3"/>
      <c r="O93" s="6">
        <f t="shared" si="3"/>
        <v>0.092</v>
      </c>
      <c r="P93" s="10">
        <f t="shared" si="1"/>
        <v>21887.86025</v>
      </c>
    </row>
    <row r="94">
      <c r="A94" s="3"/>
      <c r="O94" s="6">
        <f t="shared" si="3"/>
        <v>0.093</v>
      </c>
      <c r="P94" s="10">
        <f t="shared" si="1"/>
        <v>22010.63736</v>
      </c>
    </row>
    <row r="95">
      <c r="A95" s="3"/>
      <c r="O95" s="6">
        <f t="shared" si="3"/>
        <v>0.094</v>
      </c>
      <c r="P95" s="10">
        <f t="shared" si="1"/>
        <v>22133.12295</v>
      </c>
    </row>
    <row r="96">
      <c r="A96" s="3"/>
      <c r="O96" s="6">
        <f t="shared" si="3"/>
        <v>0.095</v>
      </c>
      <c r="P96" s="10">
        <f t="shared" si="1"/>
        <v>22255.32437</v>
      </c>
    </row>
    <row r="97">
      <c r="A97" s="3"/>
      <c r="O97" s="6">
        <f t="shared" si="3"/>
        <v>0.096</v>
      </c>
      <c r="P97" s="10">
        <f t="shared" si="1"/>
        <v>22377.24876</v>
      </c>
    </row>
    <row r="98">
      <c r="A98" s="3"/>
      <c r="O98" s="6">
        <f t="shared" si="3"/>
        <v>0.097</v>
      </c>
      <c r="P98" s="10">
        <f t="shared" si="1"/>
        <v>22498.90309</v>
      </c>
    </row>
    <row r="99">
      <c r="A99" s="3"/>
      <c r="O99" s="6">
        <f t="shared" si="3"/>
        <v>0.098</v>
      </c>
      <c r="P99" s="10">
        <f t="shared" si="1"/>
        <v>22620.29411</v>
      </c>
    </row>
    <row r="100">
      <c r="A100" s="3"/>
      <c r="O100" s="6">
        <f t="shared" si="3"/>
        <v>0.099</v>
      </c>
      <c r="P100" s="10">
        <f t="shared" si="1"/>
        <v>22741.42845</v>
      </c>
    </row>
    <row r="101">
      <c r="A101" s="3"/>
      <c r="O101" s="6">
        <f t="shared" si="3"/>
        <v>0.1</v>
      </c>
      <c r="P101" s="10">
        <f t="shared" si="1"/>
        <v>22862.31253</v>
      </c>
    </row>
    <row r="102">
      <c r="A102" s="3"/>
      <c r="O102" s="6">
        <f t="shared" si="3"/>
        <v>0.101</v>
      </c>
      <c r="P102" s="10">
        <f t="shared" si="1"/>
        <v>22982.95262</v>
      </c>
    </row>
    <row r="103">
      <c r="A103" s="3"/>
      <c r="O103" s="6">
        <f t="shared" si="3"/>
        <v>0.102</v>
      </c>
      <c r="P103" s="10">
        <f t="shared" si="1"/>
        <v>23103.35486</v>
      </c>
    </row>
    <row r="104">
      <c r="A104" s="3"/>
      <c r="O104" s="6">
        <f t="shared" si="3"/>
        <v>0.103</v>
      </c>
      <c r="P104" s="10">
        <f t="shared" si="1"/>
        <v>23223.5252</v>
      </c>
    </row>
    <row r="105">
      <c r="A105" s="3"/>
      <c r="O105" s="6">
        <f t="shared" si="3"/>
        <v>0.104</v>
      </c>
      <c r="P105" s="10">
        <f t="shared" si="1"/>
        <v>23343.46947</v>
      </c>
    </row>
    <row r="106">
      <c r="A106" s="3"/>
      <c r="O106" s="6">
        <f t="shared" si="3"/>
        <v>0.105</v>
      </c>
      <c r="P106" s="10">
        <f t="shared" si="1"/>
        <v>23463.19336</v>
      </c>
    </row>
    <row r="107">
      <c r="A107" s="3"/>
      <c r="O107" s="6">
        <f t="shared" si="3"/>
        <v>0.106</v>
      </c>
      <c r="P107" s="10">
        <f t="shared" si="1"/>
        <v>23582.70242</v>
      </c>
    </row>
    <row r="108">
      <c r="A108" s="3"/>
      <c r="O108" s="6">
        <f t="shared" si="3"/>
        <v>0.107</v>
      </c>
      <c r="P108" s="10">
        <f t="shared" si="1"/>
        <v>23702.00206</v>
      </c>
    </row>
    <row r="109">
      <c r="A109" s="3"/>
      <c r="O109" s="6">
        <f t="shared" si="3"/>
        <v>0.108</v>
      </c>
      <c r="P109" s="10">
        <f t="shared" si="1"/>
        <v>23821.09759</v>
      </c>
    </row>
    <row r="110">
      <c r="A110" s="3"/>
      <c r="O110" s="6">
        <f t="shared" si="3"/>
        <v>0.109</v>
      </c>
      <c r="P110" s="10">
        <f t="shared" si="1"/>
        <v>23939.99417</v>
      </c>
    </row>
    <row r="111">
      <c r="A111" s="3"/>
      <c r="O111" s="6">
        <f t="shared" si="3"/>
        <v>0.11</v>
      </c>
      <c r="P111" s="10">
        <f t="shared" si="1"/>
        <v>24058.69687</v>
      </c>
    </row>
    <row r="112">
      <c r="A112" s="3"/>
      <c r="O112" s="6">
        <f t="shared" si="3"/>
        <v>0.111</v>
      </c>
      <c r="P112" s="10">
        <f t="shared" si="1"/>
        <v>24177.21062</v>
      </c>
    </row>
    <row r="113">
      <c r="A113" s="3"/>
      <c r="O113" s="6">
        <f t="shared" si="3"/>
        <v>0.112</v>
      </c>
      <c r="P113" s="10">
        <f t="shared" si="1"/>
        <v>24295.54027</v>
      </c>
    </row>
    <row r="114">
      <c r="A114" s="3"/>
      <c r="O114" s="6">
        <f t="shared" si="3"/>
        <v>0.113</v>
      </c>
      <c r="P114" s="10">
        <f t="shared" si="1"/>
        <v>24413.69053</v>
      </c>
    </row>
    <row r="115">
      <c r="A115" s="3"/>
      <c r="O115" s="6">
        <f t="shared" si="3"/>
        <v>0.114</v>
      </c>
      <c r="P115" s="10">
        <f t="shared" si="1"/>
        <v>24531.66604</v>
      </c>
    </row>
    <row r="116">
      <c r="A116" s="3"/>
      <c r="O116" s="6">
        <f t="shared" si="3"/>
        <v>0.115</v>
      </c>
      <c r="P116" s="10">
        <f t="shared" si="1"/>
        <v>24649.47132</v>
      </c>
    </row>
    <row r="117">
      <c r="A117" s="3"/>
      <c r="O117" s="6">
        <f t="shared" si="3"/>
        <v>0.116</v>
      </c>
      <c r="P117" s="10">
        <f t="shared" si="1"/>
        <v>24767.1108</v>
      </c>
    </row>
    <row r="118">
      <c r="A118" s="3"/>
      <c r="O118" s="6">
        <f t="shared" si="3"/>
        <v>0.117</v>
      </c>
      <c r="P118" s="10">
        <f t="shared" si="1"/>
        <v>24884.58883</v>
      </c>
    </row>
    <row r="119">
      <c r="A119" s="3"/>
      <c r="O119" s="6">
        <f t="shared" si="3"/>
        <v>0.118</v>
      </c>
      <c r="P119" s="10">
        <f t="shared" si="1"/>
        <v>25001.90964</v>
      </c>
    </row>
    <row r="120">
      <c r="A120" s="3"/>
      <c r="O120" s="6">
        <f t="shared" si="3"/>
        <v>0.119</v>
      </c>
      <c r="P120" s="10">
        <f t="shared" si="1"/>
        <v>25119.07739</v>
      </c>
    </row>
    <row r="121">
      <c r="A121" s="3"/>
      <c r="O121" s="6">
        <f t="shared" si="3"/>
        <v>0.12</v>
      </c>
      <c r="P121" s="10">
        <f t="shared" si="1"/>
        <v>25236.09618</v>
      </c>
    </row>
    <row r="122">
      <c r="A122" s="3"/>
      <c r="O122" s="6">
        <f t="shared" si="3"/>
        <v>0.121</v>
      </c>
      <c r="P122" s="10">
        <f t="shared" si="1"/>
        <v>25352.96998</v>
      </c>
    </row>
    <row r="123">
      <c r="A123" s="3"/>
      <c r="O123" s="6">
        <f t="shared" si="3"/>
        <v>0.122</v>
      </c>
      <c r="P123" s="10">
        <f t="shared" si="1"/>
        <v>25469.70271</v>
      </c>
    </row>
    <row r="124">
      <c r="A124" s="3"/>
      <c r="O124" s="6">
        <f t="shared" si="3"/>
        <v>0.123</v>
      </c>
      <c r="P124" s="10">
        <f t="shared" si="1"/>
        <v>25586.29821</v>
      </c>
    </row>
    <row r="125">
      <c r="A125" s="3"/>
      <c r="O125" s="6">
        <f t="shared" si="3"/>
        <v>0.124</v>
      </c>
      <c r="P125" s="10">
        <f t="shared" si="1"/>
        <v>25702.76025</v>
      </c>
    </row>
    <row r="126">
      <c r="A126" s="3"/>
      <c r="O126" s="6">
        <f t="shared" si="3"/>
        <v>0.125</v>
      </c>
      <c r="P126" s="10">
        <f t="shared" si="1"/>
        <v>25819.0925</v>
      </c>
    </row>
    <row r="127">
      <c r="A127" s="3"/>
      <c r="O127" s="6">
        <f t="shared" si="3"/>
        <v>0.126</v>
      </c>
      <c r="P127" s="10">
        <f t="shared" si="1"/>
        <v>25935.29861</v>
      </c>
    </row>
    <row r="128">
      <c r="A128" s="3"/>
      <c r="O128" s="6">
        <f t="shared" si="3"/>
        <v>0.127</v>
      </c>
      <c r="P128" s="10">
        <f t="shared" si="1"/>
        <v>26051.38211</v>
      </c>
    </row>
    <row r="129">
      <c r="A129" s="3"/>
      <c r="O129" s="6">
        <f t="shared" si="3"/>
        <v>0.128</v>
      </c>
      <c r="P129" s="10">
        <f t="shared" si="1"/>
        <v>26167.34649</v>
      </c>
    </row>
    <row r="130">
      <c r="A130" s="3"/>
      <c r="O130" s="6">
        <f t="shared" si="3"/>
        <v>0.129</v>
      </c>
      <c r="P130" s="10">
        <f t="shared" si="1"/>
        <v>26283.19517</v>
      </c>
    </row>
    <row r="131">
      <c r="A131" s="3"/>
      <c r="O131" s="6">
        <f t="shared" si="3"/>
        <v>0.13</v>
      </c>
      <c r="P131" s="10">
        <f t="shared" si="1"/>
        <v>26398.93151</v>
      </c>
    </row>
    <row r="132">
      <c r="A132" s="3"/>
      <c r="O132" s="6">
        <f t="shared" si="3"/>
        <v>0.131</v>
      </c>
      <c r="P132" s="10">
        <f t="shared" si="1"/>
        <v>26514.55882</v>
      </c>
    </row>
    <row r="133">
      <c r="A133" s="3"/>
      <c r="O133" s="6">
        <f t="shared" si="3"/>
        <v>0.132</v>
      </c>
      <c r="P133" s="10">
        <f t="shared" si="1"/>
        <v>26630.08032</v>
      </c>
    </row>
    <row r="134">
      <c r="A134" s="3"/>
      <c r="O134" s="6">
        <f t="shared" si="3"/>
        <v>0.133</v>
      </c>
      <c r="P134" s="10">
        <f t="shared" si="1"/>
        <v>26745.49921</v>
      </c>
    </row>
    <row r="135">
      <c r="A135" s="3"/>
      <c r="O135" s="6">
        <f t="shared" si="3"/>
        <v>0.134</v>
      </c>
      <c r="P135" s="10">
        <f t="shared" si="1"/>
        <v>26860.8186</v>
      </c>
    </row>
    <row r="136">
      <c r="A136" s="3"/>
      <c r="O136" s="6">
        <f t="shared" si="3"/>
        <v>0.135</v>
      </c>
      <c r="P136" s="10">
        <f t="shared" si="1"/>
        <v>26976.04158</v>
      </c>
    </row>
    <row r="137">
      <c r="A137" s="3"/>
      <c r="O137" s="6">
        <f t="shared" si="3"/>
        <v>0.136</v>
      </c>
      <c r="P137" s="10">
        <f t="shared" si="1"/>
        <v>27091.17115</v>
      </c>
    </row>
    <row r="138">
      <c r="A138" s="3"/>
      <c r="O138" s="6">
        <f t="shared" si="3"/>
        <v>0.137</v>
      </c>
      <c r="P138" s="10">
        <f t="shared" si="1"/>
        <v>27206.21029</v>
      </c>
    </row>
    <row r="139">
      <c r="A139" s="3"/>
      <c r="O139" s="6">
        <f t="shared" si="3"/>
        <v>0.138</v>
      </c>
      <c r="P139" s="10">
        <f t="shared" si="1"/>
        <v>27321.16192</v>
      </c>
    </row>
    <row r="140">
      <c r="A140" s="3"/>
      <c r="O140" s="6">
        <f t="shared" si="3"/>
        <v>0.139</v>
      </c>
      <c r="P140" s="10">
        <f t="shared" si="1"/>
        <v>27436.0289</v>
      </c>
    </row>
    <row r="141">
      <c r="A141" s="3"/>
      <c r="O141" s="6">
        <f t="shared" si="3"/>
        <v>0.14</v>
      </c>
      <c r="P141" s="10">
        <f t="shared" si="1"/>
        <v>27550.81406</v>
      </c>
    </row>
    <row r="142">
      <c r="A142" s="3"/>
      <c r="O142" s="6">
        <f t="shared" si="3"/>
        <v>0.141</v>
      </c>
      <c r="P142" s="10">
        <f t="shared" si="1"/>
        <v>27665.52018</v>
      </c>
    </row>
    <row r="143">
      <c r="A143" s="3"/>
      <c r="O143" s="6">
        <f t="shared" si="3"/>
        <v>0.142</v>
      </c>
      <c r="P143" s="10">
        <f t="shared" si="1"/>
        <v>27780.14998</v>
      </c>
    </row>
    <row r="144">
      <c r="A144" s="3"/>
      <c r="O144" s="6">
        <f t="shared" si="3"/>
        <v>0.143</v>
      </c>
      <c r="P144" s="10">
        <f t="shared" si="1"/>
        <v>27894.70616</v>
      </c>
    </row>
    <row r="145">
      <c r="A145" s="3"/>
      <c r="O145" s="6">
        <f t="shared" si="3"/>
        <v>0.144</v>
      </c>
      <c r="P145" s="10">
        <f t="shared" si="1"/>
        <v>28009.19136</v>
      </c>
    </row>
    <row r="146">
      <c r="A146" s="3"/>
      <c r="O146" s="6">
        <f t="shared" si="3"/>
        <v>0.145</v>
      </c>
      <c r="P146" s="10">
        <f t="shared" si="1"/>
        <v>28123.60819</v>
      </c>
    </row>
    <row r="147">
      <c r="A147" s="3"/>
      <c r="O147" s="6">
        <f t="shared" si="3"/>
        <v>0.146</v>
      </c>
      <c r="P147" s="10">
        <f t="shared" si="1"/>
        <v>28237.95922</v>
      </c>
    </row>
    <row r="148">
      <c r="A148" s="3"/>
      <c r="O148" s="6">
        <f t="shared" si="3"/>
        <v>0.147</v>
      </c>
      <c r="P148" s="10">
        <f t="shared" si="1"/>
        <v>28352.24696</v>
      </c>
    </row>
    <row r="149">
      <c r="A149" s="3"/>
      <c r="O149" s="6">
        <f t="shared" si="3"/>
        <v>0.148</v>
      </c>
      <c r="P149" s="10">
        <f t="shared" si="1"/>
        <v>28466.47391</v>
      </c>
    </row>
    <row r="150">
      <c r="A150" s="3"/>
      <c r="O150" s="6">
        <f t="shared" si="3"/>
        <v>0.149</v>
      </c>
      <c r="P150" s="10">
        <f t="shared" si="1"/>
        <v>28580.64252</v>
      </c>
    </row>
    <row r="151">
      <c r="A151" s="3"/>
      <c r="O151" s="6">
        <f t="shared" si="3"/>
        <v>0.15</v>
      </c>
      <c r="P151" s="10">
        <f t="shared" si="1"/>
        <v>28694.7552</v>
      </c>
    </row>
    <row r="152">
      <c r="A152" s="3"/>
      <c r="O152" s="6">
        <f t="shared" si="3"/>
        <v>0.151</v>
      </c>
      <c r="P152" s="10">
        <f t="shared" si="1"/>
        <v>28808.81433</v>
      </c>
    </row>
    <row r="153">
      <c r="A153" s="3"/>
      <c r="O153" s="6">
        <f t="shared" si="3"/>
        <v>0.152</v>
      </c>
      <c r="P153" s="10">
        <f t="shared" si="1"/>
        <v>28922.82226</v>
      </c>
    </row>
    <row r="154">
      <c r="A154" s="3"/>
      <c r="O154" s="6">
        <f t="shared" si="3"/>
        <v>0.153</v>
      </c>
      <c r="P154" s="10">
        <f t="shared" si="1"/>
        <v>29036.78129</v>
      </c>
    </row>
    <row r="155">
      <c r="A155" s="3"/>
      <c r="O155" s="6">
        <f t="shared" si="3"/>
        <v>0.154</v>
      </c>
      <c r="P155" s="10">
        <f t="shared" si="1"/>
        <v>29150.69371</v>
      </c>
    </row>
    <row r="156">
      <c r="A156" s="3"/>
      <c r="O156" s="6">
        <f t="shared" si="3"/>
        <v>0.155</v>
      </c>
      <c r="P156" s="10">
        <f t="shared" si="1"/>
        <v>29264.56176</v>
      </c>
    </row>
    <row r="157">
      <c r="A157" s="3"/>
      <c r="O157" s="6">
        <f t="shared" si="3"/>
        <v>0.156</v>
      </c>
      <c r="P157" s="10">
        <f t="shared" si="1"/>
        <v>29378.38766</v>
      </c>
    </row>
    <row r="158">
      <c r="A158" s="3"/>
      <c r="O158" s="6">
        <f t="shared" si="3"/>
        <v>0.157</v>
      </c>
      <c r="P158" s="10">
        <f t="shared" si="1"/>
        <v>29492.17359</v>
      </c>
    </row>
    <row r="159">
      <c r="A159" s="3"/>
      <c r="O159" s="6">
        <f t="shared" si="3"/>
        <v>0.158</v>
      </c>
      <c r="P159" s="10">
        <f t="shared" si="1"/>
        <v>29605.92171</v>
      </c>
    </row>
    <row r="160">
      <c r="A160" s="3"/>
      <c r="O160" s="6">
        <f t="shared" si="3"/>
        <v>0.159</v>
      </c>
      <c r="P160" s="10">
        <f t="shared" si="1"/>
        <v>29719.63415</v>
      </c>
    </row>
    <row r="161">
      <c r="A161" s="3"/>
      <c r="O161" s="6">
        <f t="shared" si="3"/>
        <v>0.16</v>
      </c>
      <c r="P161" s="10">
        <f t="shared" si="1"/>
        <v>29833.313</v>
      </c>
    </row>
    <row r="162">
      <c r="A162" s="3"/>
      <c r="O162" s="6">
        <f t="shared" si="3"/>
        <v>0.161</v>
      </c>
      <c r="P162" s="10">
        <f t="shared" si="1"/>
        <v>29946.96033</v>
      </c>
    </row>
    <row r="163">
      <c r="A163" s="3"/>
      <c r="O163" s="6">
        <f t="shared" si="3"/>
        <v>0.162</v>
      </c>
      <c r="P163" s="10">
        <f t="shared" si="1"/>
        <v>30060.5782</v>
      </c>
    </row>
    <row r="164">
      <c r="A164" s="3"/>
      <c r="O164" s="6">
        <f t="shared" si="3"/>
        <v>0.163</v>
      </c>
      <c r="P164" s="10">
        <f t="shared" si="1"/>
        <v>30174.16861</v>
      </c>
    </row>
    <row r="165">
      <c r="A165" s="3"/>
      <c r="O165" s="6">
        <f t="shared" si="3"/>
        <v>0.164</v>
      </c>
      <c r="P165" s="10">
        <f t="shared" si="1"/>
        <v>30287.73356</v>
      </c>
    </row>
    <row r="166">
      <c r="A166" s="3"/>
      <c r="O166" s="6">
        <f t="shared" si="3"/>
        <v>0.165</v>
      </c>
      <c r="P166" s="10">
        <f t="shared" si="1"/>
        <v>30401.27502</v>
      </c>
    </row>
    <row r="167">
      <c r="A167" s="3"/>
      <c r="O167" s="6">
        <f t="shared" si="3"/>
        <v>0.166</v>
      </c>
      <c r="P167" s="10">
        <f t="shared" si="1"/>
        <v>30514.79493</v>
      </c>
    </row>
    <row r="168">
      <c r="A168" s="3"/>
      <c r="O168" s="6">
        <f t="shared" si="3"/>
        <v>0.167</v>
      </c>
      <c r="P168" s="10">
        <f t="shared" si="1"/>
        <v>30628.2952</v>
      </c>
    </row>
    <row r="169">
      <c r="A169" s="3"/>
      <c r="O169" s="6">
        <f t="shared" si="3"/>
        <v>0.168</v>
      </c>
      <c r="P169" s="10">
        <f t="shared" si="1"/>
        <v>30741.77775</v>
      </c>
    </row>
    <row r="170">
      <c r="A170" s="3"/>
      <c r="O170" s="6">
        <f t="shared" si="3"/>
        <v>0.169</v>
      </c>
      <c r="P170" s="10">
        <f t="shared" si="1"/>
        <v>30855.24443</v>
      </c>
    </row>
    <row r="171">
      <c r="A171" s="3"/>
      <c r="O171" s="6">
        <f t="shared" si="3"/>
        <v>0.17</v>
      </c>
      <c r="P171" s="10">
        <f t="shared" si="1"/>
        <v>30968.69711</v>
      </c>
    </row>
    <row r="172">
      <c r="A172" s="3"/>
      <c r="O172" s="6">
        <f t="shared" si="3"/>
        <v>0.171</v>
      </c>
      <c r="P172" s="10">
        <f t="shared" si="1"/>
        <v>31082.1376</v>
      </c>
    </row>
    <row r="173">
      <c r="A173" s="3"/>
      <c r="O173" s="6">
        <f t="shared" si="3"/>
        <v>0.172</v>
      </c>
      <c r="P173" s="10">
        <f t="shared" si="1"/>
        <v>31195.56772</v>
      </c>
    </row>
    <row r="174">
      <c r="A174" s="3"/>
      <c r="O174" s="6">
        <f t="shared" si="3"/>
        <v>0.173</v>
      </c>
      <c r="P174" s="10">
        <f t="shared" si="1"/>
        <v>31308.98926</v>
      </c>
    </row>
    <row r="175">
      <c r="A175" s="3"/>
      <c r="O175" s="6">
        <f t="shared" si="3"/>
        <v>0.174</v>
      </c>
      <c r="P175" s="10">
        <f t="shared" si="1"/>
        <v>31422.40398</v>
      </c>
    </row>
    <row r="176">
      <c r="A176" s="3"/>
      <c r="O176" s="6">
        <f t="shared" si="3"/>
        <v>0.175</v>
      </c>
      <c r="P176" s="10">
        <f t="shared" si="1"/>
        <v>31535.81363</v>
      </c>
    </row>
    <row r="177">
      <c r="A177" s="3"/>
      <c r="O177" s="6">
        <f t="shared" si="3"/>
        <v>0.176</v>
      </c>
      <c r="P177" s="10">
        <f t="shared" si="1"/>
        <v>31649.21994</v>
      </c>
    </row>
    <row r="178">
      <c r="A178" s="3"/>
      <c r="O178" s="6">
        <f t="shared" si="3"/>
        <v>0.177</v>
      </c>
      <c r="P178" s="10">
        <f t="shared" si="1"/>
        <v>31762.62462</v>
      </c>
    </row>
    <row r="179">
      <c r="A179" s="3"/>
      <c r="O179" s="6">
        <f t="shared" si="3"/>
        <v>0.178</v>
      </c>
      <c r="P179" s="10">
        <f t="shared" si="1"/>
        <v>31876.02936</v>
      </c>
    </row>
    <row r="180">
      <c r="A180" s="3"/>
      <c r="O180" s="6">
        <f t="shared" si="3"/>
        <v>0.179</v>
      </c>
      <c r="P180" s="10">
        <f t="shared" si="1"/>
        <v>31989.43584</v>
      </c>
    </row>
    <row r="181">
      <c r="A181" s="3"/>
      <c r="O181" s="6">
        <f t="shared" si="3"/>
        <v>0.18</v>
      </c>
      <c r="P181" s="10">
        <f t="shared" si="1"/>
        <v>32102.8457</v>
      </c>
    </row>
    <row r="182">
      <c r="A182" s="3"/>
      <c r="O182" s="6">
        <f t="shared" si="3"/>
        <v>0.181</v>
      </c>
      <c r="P182" s="10">
        <f t="shared" si="1"/>
        <v>32216.26059</v>
      </c>
    </row>
    <row r="183">
      <c r="A183" s="3"/>
      <c r="O183" s="6">
        <f t="shared" si="3"/>
        <v>0.182</v>
      </c>
      <c r="P183" s="10">
        <f t="shared" si="1"/>
        <v>32329.68213</v>
      </c>
    </row>
    <row r="184">
      <c r="A184" s="3"/>
      <c r="O184" s="6">
        <f t="shared" si="3"/>
        <v>0.183</v>
      </c>
      <c r="P184" s="10">
        <f t="shared" si="1"/>
        <v>32443.11192</v>
      </c>
    </row>
    <row r="185">
      <c r="A185" s="3"/>
      <c r="O185" s="6">
        <f t="shared" si="3"/>
        <v>0.184</v>
      </c>
      <c r="P185" s="10">
        <f t="shared" si="1"/>
        <v>32556.55156</v>
      </c>
    </row>
    <row r="186">
      <c r="A186" s="3"/>
      <c r="O186" s="6">
        <f t="shared" si="3"/>
        <v>0.185</v>
      </c>
      <c r="P186" s="10">
        <f t="shared" si="1"/>
        <v>32670.00261</v>
      </c>
    </row>
    <row r="187">
      <c r="A187" s="3"/>
      <c r="O187" s="6">
        <f t="shared" si="3"/>
        <v>0.186</v>
      </c>
      <c r="P187" s="10">
        <f t="shared" si="1"/>
        <v>32783.46663</v>
      </c>
    </row>
    <row r="188">
      <c r="A188" s="3"/>
      <c r="O188" s="6">
        <f t="shared" si="3"/>
        <v>0.187</v>
      </c>
      <c r="P188" s="10">
        <f t="shared" si="1"/>
        <v>32896.94518</v>
      </c>
    </row>
    <row r="189">
      <c r="A189" s="3"/>
      <c r="O189" s="6">
        <f t="shared" si="3"/>
        <v>0.188</v>
      </c>
      <c r="P189" s="10">
        <f t="shared" si="1"/>
        <v>33010.43976</v>
      </c>
    </row>
    <row r="190">
      <c r="A190" s="3"/>
      <c r="O190" s="6">
        <f t="shared" si="3"/>
        <v>0.189</v>
      </c>
      <c r="P190" s="10">
        <f t="shared" si="1"/>
        <v>33123.95191</v>
      </c>
    </row>
    <row r="191">
      <c r="A191" s="3"/>
      <c r="O191" s="6">
        <f t="shared" si="3"/>
        <v>0.19</v>
      </c>
      <c r="P191" s="10">
        <f t="shared" si="1"/>
        <v>33237.48312</v>
      </c>
    </row>
    <row r="192">
      <c r="A192" s="3"/>
      <c r="O192" s="6">
        <f t="shared" si="3"/>
        <v>0.191</v>
      </c>
      <c r="P192" s="10">
        <f t="shared" si="1"/>
        <v>33351.03486</v>
      </c>
    </row>
    <row r="193">
      <c r="A193" s="3"/>
      <c r="O193" s="6">
        <f t="shared" si="3"/>
        <v>0.192</v>
      </c>
      <c r="P193" s="10">
        <f t="shared" si="1"/>
        <v>33464.60863</v>
      </c>
    </row>
    <row r="194">
      <c r="A194" s="3"/>
      <c r="O194" s="6">
        <f t="shared" si="3"/>
        <v>0.193</v>
      </c>
      <c r="P194" s="10">
        <f t="shared" si="1"/>
        <v>33578.20587</v>
      </c>
    </row>
    <row r="195">
      <c r="A195" s="3"/>
      <c r="O195" s="6">
        <f t="shared" si="3"/>
        <v>0.194</v>
      </c>
      <c r="P195" s="10">
        <f t="shared" si="1"/>
        <v>33691.82803</v>
      </c>
    </row>
    <row r="196">
      <c r="A196" s="3"/>
      <c r="O196" s="6">
        <f t="shared" si="3"/>
        <v>0.195</v>
      </c>
      <c r="P196" s="10">
        <f t="shared" si="1"/>
        <v>33805.47655</v>
      </c>
    </row>
    <row r="197">
      <c r="A197" s="3"/>
      <c r="O197" s="6">
        <f t="shared" si="3"/>
        <v>0.196</v>
      </c>
      <c r="P197" s="10">
        <f t="shared" si="1"/>
        <v>33919.15285</v>
      </c>
    </row>
    <row r="198">
      <c r="A198" s="3"/>
      <c r="O198" s="6">
        <f t="shared" si="3"/>
        <v>0.197</v>
      </c>
      <c r="P198" s="10">
        <f t="shared" si="1"/>
        <v>34032.85834</v>
      </c>
    </row>
    <row r="199">
      <c r="A199" s="3"/>
      <c r="O199" s="6">
        <f t="shared" si="3"/>
        <v>0.198</v>
      </c>
      <c r="P199" s="10">
        <f t="shared" si="1"/>
        <v>34146.5944</v>
      </c>
    </row>
    <row r="200">
      <c r="A200" s="3"/>
      <c r="O200" s="6">
        <f t="shared" si="3"/>
        <v>0.199</v>
      </c>
      <c r="P200" s="10">
        <f t="shared" si="1"/>
        <v>34260.36245</v>
      </c>
    </row>
    <row r="201">
      <c r="A201" s="3"/>
      <c r="O201" s="6">
        <f t="shared" si="3"/>
        <v>0.2</v>
      </c>
      <c r="P201" s="10">
        <f t="shared" si="1"/>
        <v>34374.16383</v>
      </c>
    </row>
    <row r="202">
      <c r="A202" s="3"/>
      <c r="O202" s="6">
        <f t="shared" si="3"/>
        <v>0.201</v>
      </c>
      <c r="P202" s="10">
        <f t="shared" si="1"/>
        <v>34487.99993</v>
      </c>
    </row>
    <row r="203">
      <c r="A203" s="3"/>
      <c r="O203" s="6">
        <f t="shared" si="3"/>
        <v>0.202</v>
      </c>
      <c r="P203" s="10">
        <f t="shared" si="1"/>
        <v>34601.87209</v>
      </c>
    </row>
    <row r="204">
      <c r="A204" s="3"/>
      <c r="O204" s="6">
        <f t="shared" si="3"/>
        <v>0.203</v>
      </c>
      <c r="P204" s="10">
        <f t="shared" si="1"/>
        <v>34715.78165</v>
      </c>
    </row>
    <row r="205">
      <c r="A205" s="3"/>
      <c r="O205" s="6">
        <f t="shared" si="3"/>
        <v>0.204</v>
      </c>
      <c r="P205" s="10">
        <f t="shared" si="1"/>
        <v>34829.72995</v>
      </c>
    </row>
    <row r="206">
      <c r="A206" s="3"/>
      <c r="O206" s="6">
        <f t="shared" si="3"/>
        <v>0.205</v>
      </c>
      <c r="P206" s="10">
        <f t="shared" si="1"/>
        <v>34943.71831</v>
      </c>
    </row>
    <row r="207">
      <c r="A207" s="3"/>
      <c r="O207" s="6">
        <f t="shared" si="3"/>
        <v>0.206</v>
      </c>
      <c r="P207" s="10">
        <f t="shared" si="1"/>
        <v>35057.74805</v>
      </c>
    </row>
    <row r="208">
      <c r="A208" s="3"/>
      <c r="O208" s="6">
        <f t="shared" si="3"/>
        <v>0.207</v>
      </c>
      <c r="P208" s="10">
        <f t="shared" si="1"/>
        <v>35171.82046</v>
      </c>
    </row>
    <row r="209">
      <c r="A209" s="3"/>
      <c r="O209" s="6">
        <f t="shared" si="3"/>
        <v>0.208</v>
      </c>
      <c r="P209" s="10">
        <f t="shared" si="1"/>
        <v>35285.93683</v>
      </c>
    </row>
    <row r="210">
      <c r="A210" s="3"/>
      <c r="O210" s="6">
        <f t="shared" si="3"/>
        <v>0.209</v>
      </c>
      <c r="P210" s="10">
        <f t="shared" si="1"/>
        <v>35400.09846</v>
      </c>
    </row>
    <row r="211">
      <c r="A211" s="3"/>
      <c r="O211" s="6">
        <f t="shared" si="3"/>
        <v>0.21</v>
      </c>
      <c r="P211" s="10">
        <f t="shared" si="1"/>
        <v>35514.30661</v>
      </c>
    </row>
    <row r="212">
      <c r="A212" s="3"/>
      <c r="O212" s="6">
        <f t="shared" si="3"/>
        <v>0.211</v>
      </c>
      <c r="P212" s="10">
        <f t="shared" si="1"/>
        <v>35628.56255</v>
      </c>
    </row>
    <row r="213">
      <c r="A213" s="3"/>
      <c r="O213" s="6">
        <f t="shared" si="3"/>
        <v>0.212</v>
      </c>
      <c r="P213" s="10">
        <f t="shared" si="1"/>
        <v>35742.86755</v>
      </c>
    </row>
    <row r="214">
      <c r="A214" s="3"/>
      <c r="O214" s="6">
        <f t="shared" si="3"/>
        <v>0.213</v>
      </c>
      <c r="P214" s="10">
        <f t="shared" si="1"/>
        <v>35857.22284</v>
      </c>
    </row>
    <row r="215">
      <c r="A215" s="3"/>
      <c r="O215" s="6">
        <f t="shared" si="3"/>
        <v>0.214</v>
      </c>
      <c r="P215" s="10">
        <f t="shared" si="1"/>
        <v>35971.62967</v>
      </c>
    </row>
    <row r="216">
      <c r="A216" s="3"/>
      <c r="O216" s="6">
        <f t="shared" si="3"/>
        <v>0.215</v>
      </c>
      <c r="P216" s="10">
        <f t="shared" si="1"/>
        <v>36086.08927</v>
      </c>
    </row>
    <row r="217">
      <c r="A217" s="3"/>
      <c r="O217" s="6">
        <f t="shared" si="3"/>
        <v>0.216</v>
      </c>
      <c r="P217" s="10">
        <f t="shared" si="1"/>
        <v>36200.60287</v>
      </c>
    </row>
    <row r="218">
      <c r="A218" s="3"/>
      <c r="O218" s="6">
        <f t="shared" si="3"/>
        <v>0.217</v>
      </c>
      <c r="P218" s="10">
        <f t="shared" si="1"/>
        <v>36315.17168</v>
      </c>
    </row>
    <row r="219">
      <c r="A219" s="3"/>
      <c r="O219" s="6">
        <f t="shared" si="3"/>
        <v>0.218</v>
      </c>
      <c r="P219" s="10">
        <f t="shared" si="1"/>
        <v>36429.79691</v>
      </c>
    </row>
    <row r="220">
      <c r="A220" s="3"/>
      <c r="O220" s="6">
        <f t="shared" si="3"/>
        <v>0.219</v>
      </c>
      <c r="P220" s="10">
        <f t="shared" si="1"/>
        <v>36544.47976</v>
      </c>
    </row>
    <row r="221">
      <c r="A221" s="3"/>
      <c r="O221" s="6">
        <f t="shared" si="3"/>
        <v>0.22</v>
      </c>
      <c r="P221" s="10">
        <f t="shared" si="1"/>
        <v>36659.22143</v>
      </c>
    </row>
    <row r="222">
      <c r="A222" s="3"/>
      <c r="O222" s="6">
        <f t="shared" si="3"/>
        <v>0.221</v>
      </c>
      <c r="P222" s="10">
        <f t="shared" si="1"/>
        <v>36774.02311</v>
      </c>
    </row>
    <row r="223">
      <c r="A223" s="3"/>
      <c r="O223" s="6">
        <f t="shared" si="3"/>
        <v>0.222</v>
      </c>
      <c r="P223" s="10">
        <f t="shared" si="1"/>
        <v>36888.88598</v>
      </c>
    </row>
    <row r="224">
      <c r="A224" s="3"/>
      <c r="O224" s="6">
        <f t="shared" si="3"/>
        <v>0.223</v>
      </c>
      <c r="P224" s="10">
        <f t="shared" si="1"/>
        <v>37003.8112</v>
      </c>
    </row>
    <row r="225">
      <c r="A225" s="3"/>
      <c r="O225" s="6">
        <f t="shared" si="3"/>
        <v>0.224</v>
      </c>
      <c r="P225" s="10">
        <f t="shared" si="1"/>
        <v>37118.79995</v>
      </c>
    </row>
    <row r="226">
      <c r="A226" s="3"/>
      <c r="O226" s="6">
        <f t="shared" si="3"/>
        <v>0.225</v>
      </c>
      <c r="P226" s="10">
        <f t="shared" si="1"/>
        <v>37233.85339</v>
      </c>
    </row>
    <row r="227">
      <c r="A227" s="3"/>
      <c r="O227" s="6">
        <f t="shared" si="3"/>
        <v>0.226</v>
      </c>
      <c r="P227" s="10">
        <f t="shared" si="1"/>
        <v>37348.97267</v>
      </c>
    </row>
    <row r="228">
      <c r="A228" s="3"/>
      <c r="O228" s="6">
        <f t="shared" si="3"/>
        <v>0.227</v>
      </c>
      <c r="P228" s="10">
        <f t="shared" si="1"/>
        <v>37464.15894</v>
      </c>
    </row>
    <row r="229">
      <c r="A229" s="3"/>
      <c r="O229" s="6">
        <f t="shared" si="3"/>
        <v>0.228</v>
      </c>
      <c r="P229" s="10">
        <f t="shared" si="1"/>
        <v>37579.41334</v>
      </c>
    </row>
    <row r="230">
      <c r="A230" s="3"/>
      <c r="O230" s="6">
        <f t="shared" si="3"/>
        <v>0.229</v>
      </c>
      <c r="P230" s="10">
        <f t="shared" si="1"/>
        <v>37694.73701</v>
      </c>
    </row>
    <row r="231">
      <c r="A231" s="3"/>
      <c r="O231" s="6">
        <f t="shared" si="3"/>
        <v>0.23</v>
      </c>
      <c r="P231" s="10">
        <f t="shared" si="1"/>
        <v>37810.13109</v>
      </c>
    </row>
    <row r="232">
      <c r="A232" s="3"/>
      <c r="O232" s="6">
        <f t="shared" si="3"/>
        <v>0.231</v>
      </c>
      <c r="P232" s="10">
        <f t="shared" si="1"/>
        <v>37925.59668</v>
      </c>
    </row>
    <row r="233">
      <c r="A233" s="3"/>
      <c r="O233" s="6">
        <f t="shared" si="3"/>
        <v>0.232</v>
      </c>
      <c r="P233" s="10">
        <f t="shared" si="1"/>
        <v>38041.13492</v>
      </c>
    </row>
    <row r="234">
      <c r="A234" s="3"/>
      <c r="O234" s="6">
        <f t="shared" si="3"/>
        <v>0.233</v>
      </c>
      <c r="P234" s="10">
        <f t="shared" si="1"/>
        <v>38156.74692</v>
      </c>
    </row>
    <row r="235">
      <c r="A235" s="3"/>
      <c r="O235" s="6">
        <f t="shared" si="3"/>
        <v>0.234</v>
      </c>
      <c r="P235" s="10">
        <f t="shared" si="1"/>
        <v>38272.43379</v>
      </c>
    </row>
    <row r="236">
      <c r="A236" s="3"/>
      <c r="O236" s="6">
        <f t="shared" si="3"/>
        <v>0.235</v>
      </c>
      <c r="P236" s="10">
        <f t="shared" si="1"/>
        <v>38388.19663</v>
      </c>
    </row>
    <row r="237">
      <c r="A237" s="3"/>
      <c r="O237" s="6">
        <f t="shared" si="3"/>
        <v>0.236</v>
      </c>
      <c r="P237" s="10">
        <f t="shared" si="1"/>
        <v>38504.03653</v>
      </c>
    </row>
    <row r="238">
      <c r="A238" s="3"/>
      <c r="O238" s="6">
        <f t="shared" si="3"/>
        <v>0.237</v>
      </c>
      <c r="P238" s="10">
        <f t="shared" si="1"/>
        <v>38619.9546</v>
      </c>
    </row>
    <row r="239">
      <c r="A239" s="3"/>
      <c r="O239" s="6">
        <f t="shared" si="3"/>
        <v>0.238</v>
      </c>
      <c r="P239" s="10">
        <f t="shared" si="1"/>
        <v>38735.95193</v>
      </c>
    </row>
    <row r="240">
      <c r="A240" s="3"/>
      <c r="O240" s="6">
        <f t="shared" si="3"/>
        <v>0.239</v>
      </c>
      <c r="P240" s="10">
        <f t="shared" si="1"/>
        <v>38852.02959</v>
      </c>
    </row>
    <row r="241">
      <c r="A241" s="3"/>
      <c r="O241" s="6">
        <f t="shared" si="3"/>
        <v>0.24</v>
      </c>
      <c r="P241" s="10">
        <f t="shared" si="1"/>
        <v>38968.18867</v>
      </c>
    </row>
    <row r="242">
      <c r="A242" s="3"/>
      <c r="O242" s="6">
        <f t="shared" si="3"/>
        <v>0.241</v>
      </c>
      <c r="P242" s="10">
        <f t="shared" si="1"/>
        <v>39084.43024</v>
      </c>
    </row>
    <row r="243">
      <c r="A243" s="3"/>
      <c r="O243" s="6">
        <f t="shared" si="3"/>
        <v>0.242</v>
      </c>
      <c r="P243" s="10">
        <f t="shared" si="1"/>
        <v>39200.75537</v>
      </c>
    </row>
    <row r="244">
      <c r="A244" s="3"/>
      <c r="O244" s="6">
        <f t="shared" si="3"/>
        <v>0.243</v>
      </c>
      <c r="P244" s="10">
        <f t="shared" si="1"/>
        <v>39317.16514</v>
      </c>
    </row>
    <row r="245">
      <c r="A245" s="3"/>
      <c r="O245" s="6">
        <f t="shared" si="3"/>
        <v>0.244</v>
      </c>
      <c r="P245" s="10">
        <f t="shared" si="1"/>
        <v>39433.66061</v>
      </c>
    </row>
    <row r="246">
      <c r="A246" s="3"/>
      <c r="O246" s="6">
        <f t="shared" si="3"/>
        <v>0.245</v>
      </c>
      <c r="P246" s="10">
        <f t="shared" si="1"/>
        <v>39550.24282</v>
      </c>
    </row>
    <row r="247">
      <c r="A247" s="3"/>
      <c r="O247" s="6">
        <f t="shared" si="3"/>
        <v>0.246</v>
      </c>
      <c r="P247" s="10">
        <f t="shared" si="1"/>
        <v>39666.91285</v>
      </c>
    </row>
    <row r="248">
      <c r="A248" s="3"/>
      <c r="O248" s="6">
        <f t="shared" si="3"/>
        <v>0.247</v>
      </c>
      <c r="P248" s="10">
        <f t="shared" si="1"/>
        <v>39783.67174</v>
      </c>
    </row>
    <row r="249">
      <c r="A249" s="3"/>
      <c r="O249" s="6">
        <f t="shared" si="3"/>
        <v>0.248</v>
      </c>
      <c r="P249" s="10">
        <f t="shared" si="1"/>
        <v>39900.52054</v>
      </c>
    </row>
    <row r="250">
      <c r="A250" s="3"/>
      <c r="O250" s="6">
        <f t="shared" si="3"/>
        <v>0.249</v>
      </c>
      <c r="P250" s="10">
        <f t="shared" si="1"/>
        <v>40017.46029</v>
      </c>
    </row>
    <row r="251">
      <c r="A251" s="3"/>
      <c r="O251" s="6">
        <f t="shared" si="3"/>
        <v>0.25</v>
      </c>
      <c r="P251" s="10">
        <f t="shared" si="1"/>
        <v>40134.49203</v>
      </c>
    </row>
    <row r="252">
      <c r="A252" s="3"/>
      <c r="O252" s="6">
        <f t="shared" si="3"/>
        <v>0.251</v>
      </c>
      <c r="P252" s="10">
        <f t="shared" si="1"/>
        <v>40251.61681</v>
      </c>
    </row>
    <row r="253">
      <c r="A253" s="3"/>
      <c r="O253" s="6">
        <f t="shared" si="3"/>
        <v>0.252</v>
      </c>
      <c r="P253" s="10">
        <f t="shared" si="1"/>
        <v>40368.83566</v>
      </c>
    </row>
    <row r="254">
      <c r="A254" s="3"/>
      <c r="O254" s="6">
        <f t="shared" si="3"/>
        <v>0.253</v>
      </c>
      <c r="P254" s="10">
        <f t="shared" si="1"/>
        <v>40486.1496</v>
      </c>
    </row>
    <row r="255">
      <c r="A255" s="3"/>
      <c r="O255" s="6">
        <f t="shared" si="3"/>
        <v>0.254</v>
      </c>
      <c r="P255" s="10">
        <f t="shared" si="1"/>
        <v>40603.55966</v>
      </c>
    </row>
    <row r="256">
      <c r="A256" s="3"/>
      <c r="O256" s="6">
        <f t="shared" si="3"/>
        <v>0.255</v>
      </c>
      <c r="P256" s="10">
        <f t="shared" si="1"/>
        <v>40721.06688</v>
      </c>
    </row>
    <row r="257">
      <c r="A257" s="3"/>
      <c r="O257" s="6">
        <f t="shared" si="3"/>
        <v>0.256</v>
      </c>
      <c r="P257" s="10">
        <f t="shared" si="1"/>
        <v>40838.67226</v>
      </c>
    </row>
    <row r="258">
      <c r="A258" s="3"/>
      <c r="O258" s="6">
        <f t="shared" si="3"/>
        <v>0.257</v>
      </c>
      <c r="P258" s="10">
        <f t="shared" si="1"/>
        <v>40956.37684</v>
      </c>
    </row>
    <row r="259">
      <c r="A259" s="3"/>
      <c r="O259" s="6">
        <f t="shared" si="3"/>
        <v>0.258</v>
      </c>
      <c r="P259" s="10">
        <f t="shared" si="1"/>
        <v>41074.18163</v>
      </c>
    </row>
    <row r="260">
      <c r="A260" s="3"/>
      <c r="O260" s="6">
        <f t="shared" si="3"/>
        <v>0.259</v>
      </c>
      <c r="P260" s="10">
        <f t="shared" si="1"/>
        <v>41192.08764</v>
      </c>
    </row>
    <row r="261">
      <c r="A261" s="3"/>
      <c r="O261" s="6">
        <f t="shared" si="3"/>
        <v>0.26</v>
      </c>
      <c r="P261" s="10">
        <f t="shared" si="1"/>
        <v>41310.09588</v>
      </c>
    </row>
    <row r="262">
      <c r="A262" s="3"/>
      <c r="O262" s="6">
        <f t="shared" si="3"/>
        <v>0.261</v>
      </c>
      <c r="P262" s="10">
        <f t="shared" si="1"/>
        <v>41428.20737</v>
      </c>
    </row>
    <row r="263">
      <c r="A263" s="3"/>
      <c r="O263" s="6">
        <f t="shared" si="3"/>
        <v>0.262</v>
      </c>
      <c r="P263" s="10">
        <f t="shared" si="1"/>
        <v>41546.4231</v>
      </c>
    </row>
    <row r="264">
      <c r="A264" s="3"/>
      <c r="O264" s="6">
        <f t="shared" si="3"/>
        <v>0.263</v>
      </c>
      <c r="P264" s="10">
        <f t="shared" si="1"/>
        <v>41664.74409</v>
      </c>
    </row>
    <row r="265">
      <c r="A265" s="3"/>
      <c r="O265" s="6">
        <f t="shared" si="3"/>
        <v>0.264</v>
      </c>
      <c r="P265" s="10">
        <f t="shared" si="1"/>
        <v>41783.17133</v>
      </c>
    </row>
    <row r="266">
      <c r="A266" s="3"/>
      <c r="O266" s="6">
        <f t="shared" si="3"/>
        <v>0.265</v>
      </c>
      <c r="P266" s="10">
        <f t="shared" si="1"/>
        <v>41901.70582</v>
      </c>
    </row>
    <row r="267">
      <c r="A267" s="3"/>
      <c r="O267" s="6">
        <f t="shared" si="3"/>
        <v>0.266</v>
      </c>
      <c r="P267" s="10">
        <f t="shared" si="1"/>
        <v>42020.34857</v>
      </c>
    </row>
    <row r="268">
      <c r="A268" s="3"/>
      <c r="O268" s="6">
        <f t="shared" si="3"/>
        <v>0.267</v>
      </c>
      <c r="P268" s="10">
        <f t="shared" si="1"/>
        <v>42139.10056</v>
      </c>
    </row>
    <row r="269">
      <c r="A269" s="3"/>
      <c r="O269" s="6">
        <f t="shared" si="3"/>
        <v>0.268</v>
      </c>
      <c r="P269" s="10">
        <f t="shared" si="1"/>
        <v>42257.96279</v>
      </c>
    </row>
    <row r="270">
      <c r="A270" s="3"/>
      <c r="O270" s="6">
        <f t="shared" si="3"/>
        <v>0.269</v>
      </c>
      <c r="P270" s="10">
        <f t="shared" si="1"/>
        <v>42376.93626</v>
      </c>
    </row>
    <row r="271">
      <c r="A271" s="3"/>
      <c r="O271" s="6">
        <f t="shared" si="3"/>
        <v>0.27</v>
      </c>
      <c r="P271" s="10">
        <f t="shared" si="1"/>
        <v>42496.02195</v>
      </c>
    </row>
    <row r="272">
      <c r="A272" s="3"/>
      <c r="O272" s="6">
        <f t="shared" si="3"/>
        <v>0.271</v>
      </c>
      <c r="P272" s="10">
        <f t="shared" si="1"/>
        <v>42615.22085</v>
      </c>
    </row>
    <row r="273">
      <c r="A273" s="3"/>
      <c r="O273" s="6">
        <f t="shared" si="3"/>
        <v>0.272</v>
      </c>
      <c r="P273" s="10">
        <f t="shared" si="1"/>
        <v>42734.53395</v>
      </c>
    </row>
    <row r="274">
      <c r="A274" s="3"/>
      <c r="O274" s="6">
        <f t="shared" si="3"/>
        <v>0.273</v>
      </c>
      <c r="P274" s="10">
        <f t="shared" si="1"/>
        <v>42853.96224</v>
      </c>
    </row>
    <row r="275">
      <c r="A275" s="3"/>
      <c r="O275" s="6">
        <f t="shared" si="3"/>
        <v>0.274</v>
      </c>
      <c r="P275" s="10">
        <f t="shared" si="1"/>
        <v>42973.50669</v>
      </c>
    </row>
    <row r="276">
      <c r="A276" s="3"/>
      <c r="O276" s="6">
        <f t="shared" si="3"/>
        <v>0.275</v>
      </c>
      <c r="P276" s="10">
        <f t="shared" si="1"/>
        <v>43093.16829</v>
      </c>
    </row>
    <row r="277">
      <c r="A277" s="3"/>
      <c r="O277" s="6">
        <f t="shared" si="3"/>
        <v>0.276</v>
      </c>
      <c r="P277" s="10">
        <f t="shared" si="1"/>
        <v>43212.94802</v>
      </c>
    </row>
    <row r="278">
      <c r="A278" s="3"/>
      <c r="O278" s="6">
        <f t="shared" si="3"/>
        <v>0.277</v>
      </c>
      <c r="P278" s="10">
        <f t="shared" si="1"/>
        <v>43332.84686</v>
      </c>
    </row>
    <row r="279">
      <c r="A279" s="3"/>
      <c r="O279" s="6">
        <f t="shared" si="3"/>
        <v>0.278</v>
      </c>
      <c r="P279" s="10">
        <f t="shared" si="1"/>
        <v>43452.86579</v>
      </c>
    </row>
    <row r="280">
      <c r="A280" s="3"/>
      <c r="O280" s="6">
        <f t="shared" si="3"/>
        <v>0.279</v>
      </c>
      <c r="P280" s="10">
        <f t="shared" si="1"/>
        <v>43573.00578</v>
      </c>
    </row>
    <row r="281">
      <c r="A281" s="3"/>
      <c r="O281" s="6">
        <f t="shared" si="3"/>
        <v>0.28</v>
      </c>
      <c r="P281" s="10">
        <f t="shared" si="1"/>
        <v>43693.26782</v>
      </c>
    </row>
    <row r="282">
      <c r="A282" s="3"/>
      <c r="O282" s="6">
        <f t="shared" si="3"/>
        <v>0.281</v>
      </c>
      <c r="P282" s="10">
        <f t="shared" si="1"/>
        <v>43813.65287</v>
      </c>
    </row>
    <row r="283">
      <c r="A283" s="3"/>
      <c r="O283" s="6">
        <f t="shared" si="3"/>
        <v>0.282</v>
      </c>
      <c r="P283" s="10">
        <f t="shared" si="1"/>
        <v>43934.16191</v>
      </c>
    </row>
    <row r="284">
      <c r="A284" s="3"/>
      <c r="O284" s="6">
        <f t="shared" si="3"/>
        <v>0.283</v>
      </c>
      <c r="P284" s="10">
        <f t="shared" si="1"/>
        <v>44054.79592</v>
      </c>
    </row>
    <row r="285">
      <c r="A285" s="3"/>
      <c r="O285" s="6">
        <f t="shared" si="3"/>
        <v>0.284</v>
      </c>
      <c r="P285" s="10">
        <f t="shared" si="1"/>
        <v>44175.55587</v>
      </c>
    </row>
    <row r="286">
      <c r="A286" s="3"/>
      <c r="O286" s="6">
        <f t="shared" si="3"/>
        <v>0.285</v>
      </c>
      <c r="P286" s="10">
        <f t="shared" si="1"/>
        <v>44296.44272</v>
      </c>
    </row>
    <row r="287">
      <c r="A287" s="3"/>
      <c r="O287" s="6">
        <f t="shared" si="3"/>
        <v>0.286</v>
      </c>
      <c r="P287" s="10">
        <f t="shared" si="1"/>
        <v>44417.45745</v>
      </c>
    </row>
    <row r="288">
      <c r="A288" s="3"/>
      <c r="O288" s="6">
        <f t="shared" si="3"/>
        <v>0.287</v>
      </c>
      <c r="P288" s="10">
        <f t="shared" si="1"/>
        <v>44538.60103</v>
      </c>
    </row>
    <row r="289">
      <c r="A289" s="3"/>
      <c r="O289" s="6">
        <f t="shared" si="3"/>
        <v>0.288</v>
      </c>
      <c r="P289" s="10">
        <f t="shared" si="1"/>
        <v>44659.87443</v>
      </c>
    </row>
    <row r="290">
      <c r="A290" s="3"/>
      <c r="O290" s="6">
        <f t="shared" si="3"/>
        <v>0.289</v>
      </c>
      <c r="P290" s="10">
        <f t="shared" si="1"/>
        <v>44781.27862</v>
      </c>
    </row>
    <row r="291">
      <c r="A291" s="3"/>
      <c r="O291" s="6">
        <f t="shared" si="3"/>
        <v>0.29</v>
      </c>
      <c r="P291" s="10">
        <f t="shared" si="1"/>
        <v>44902.81456</v>
      </c>
    </row>
    <row r="292">
      <c r="A292" s="3"/>
      <c r="O292" s="6">
        <f t="shared" si="3"/>
        <v>0.291</v>
      </c>
      <c r="P292" s="10">
        <f t="shared" si="1"/>
        <v>45024.48323</v>
      </c>
    </row>
    <row r="293">
      <c r="A293" s="3"/>
      <c r="O293" s="6">
        <f t="shared" si="3"/>
        <v>0.292</v>
      </c>
      <c r="P293" s="10">
        <f t="shared" si="1"/>
        <v>45146.2856</v>
      </c>
    </row>
    <row r="294">
      <c r="A294" s="3"/>
      <c r="O294" s="6">
        <f t="shared" si="3"/>
        <v>0.293</v>
      </c>
      <c r="P294" s="10">
        <f t="shared" si="1"/>
        <v>45268.22262</v>
      </c>
    </row>
    <row r="295">
      <c r="A295" s="3"/>
      <c r="O295" s="6">
        <f t="shared" si="3"/>
        <v>0.294</v>
      </c>
      <c r="P295" s="10">
        <f t="shared" si="1"/>
        <v>45390.29528</v>
      </c>
    </row>
    <row r="296">
      <c r="A296" s="3"/>
      <c r="O296" s="6">
        <f t="shared" si="3"/>
        <v>0.295</v>
      </c>
      <c r="P296" s="10">
        <f t="shared" si="1"/>
        <v>45512.50452</v>
      </c>
    </row>
    <row r="297">
      <c r="A297" s="3"/>
      <c r="O297" s="6">
        <f t="shared" si="3"/>
        <v>0.296</v>
      </c>
      <c r="P297" s="10">
        <f t="shared" si="1"/>
        <v>45634.85134</v>
      </c>
    </row>
    <row r="298">
      <c r="A298" s="3"/>
      <c r="O298" s="6">
        <f t="shared" si="3"/>
        <v>0.297</v>
      </c>
      <c r="P298" s="10">
        <f t="shared" si="1"/>
        <v>45757.33668</v>
      </c>
    </row>
    <row r="299">
      <c r="A299" s="3"/>
      <c r="O299" s="6">
        <f t="shared" si="3"/>
        <v>0.298</v>
      </c>
      <c r="P299" s="10">
        <f t="shared" si="1"/>
        <v>45879.96151</v>
      </c>
    </row>
    <row r="300">
      <c r="A300" s="3"/>
      <c r="O300" s="6">
        <f t="shared" si="3"/>
        <v>0.299</v>
      </c>
      <c r="P300" s="10">
        <f t="shared" si="1"/>
        <v>46002.72682</v>
      </c>
    </row>
    <row r="301">
      <c r="A301" s="3"/>
      <c r="O301" s="6">
        <f t="shared" si="3"/>
        <v>0.3</v>
      </c>
      <c r="P301" s="10">
        <f t="shared" si="1"/>
        <v>46125.63355</v>
      </c>
    </row>
    <row r="302">
      <c r="A302" s="3"/>
      <c r="O302" s="6">
        <f t="shared" si="3"/>
        <v>0.301</v>
      </c>
      <c r="P302" s="10">
        <f t="shared" si="1"/>
        <v>46248.68268</v>
      </c>
    </row>
    <row r="303">
      <c r="A303" s="3"/>
      <c r="O303" s="6">
        <f t="shared" si="3"/>
        <v>0.302</v>
      </c>
      <c r="P303" s="10">
        <f t="shared" si="1"/>
        <v>46371.87517</v>
      </c>
    </row>
    <row r="304">
      <c r="A304" s="3"/>
      <c r="O304" s="6">
        <f t="shared" si="3"/>
        <v>0.303</v>
      </c>
      <c r="P304" s="10">
        <f t="shared" si="1"/>
        <v>46495.212</v>
      </c>
    </row>
    <row r="305">
      <c r="A305" s="3"/>
      <c r="O305" s="6">
        <f t="shared" si="3"/>
        <v>0.304</v>
      </c>
      <c r="P305" s="10">
        <f t="shared" si="1"/>
        <v>46618.69414</v>
      </c>
    </row>
    <row r="306">
      <c r="A306" s="3"/>
      <c r="O306" s="6">
        <f t="shared" si="3"/>
        <v>0.305</v>
      </c>
      <c r="P306" s="10">
        <f t="shared" si="1"/>
        <v>46742.32254</v>
      </c>
    </row>
    <row r="307">
      <c r="A307" s="3"/>
      <c r="O307" s="6">
        <f t="shared" si="3"/>
        <v>0.306</v>
      </c>
      <c r="P307" s="10">
        <f t="shared" si="1"/>
        <v>46866.09818</v>
      </c>
    </row>
    <row r="308">
      <c r="A308" s="3"/>
      <c r="O308" s="6">
        <f t="shared" si="3"/>
        <v>0.307</v>
      </c>
      <c r="P308" s="10">
        <f t="shared" si="1"/>
        <v>46990.02202</v>
      </c>
    </row>
    <row r="309">
      <c r="A309" s="3"/>
      <c r="O309" s="6">
        <f t="shared" si="3"/>
        <v>0.308</v>
      </c>
      <c r="P309" s="10">
        <f t="shared" si="1"/>
        <v>47114.09505</v>
      </c>
    </row>
    <row r="310">
      <c r="A310" s="3"/>
      <c r="O310" s="6">
        <f t="shared" si="3"/>
        <v>0.309</v>
      </c>
      <c r="P310" s="10">
        <f t="shared" si="1"/>
        <v>47238.31822</v>
      </c>
    </row>
    <row r="311">
      <c r="A311" s="3"/>
      <c r="O311" s="6">
        <f t="shared" si="3"/>
        <v>0.31</v>
      </c>
      <c r="P311" s="10">
        <f t="shared" si="1"/>
        <v>47362.69252</v>
      </c>
    </row>
    <row r="312">
      <c r="A312" s="3"/>
      <c r="O312" s="6">
        <f t="shared" si="3"/>
        <v>0.311</v>
      </c>
      <c r="P312" s="10">
        <f t="shared" si="1"/>
        <v>47487.2189</v>
      </c>
    </row>
    <row r="313">
      <c r="A313" s="3"/>
      <c r="O313" s="6">
        <f t="shared" si="3"/>
        <v>0.312</v>
      </c>
      <c r="P313" s="10">
        <f t="shared" si="1"/>
        <v>47611.89835</v>
      </c>
    </row>
    <row r="314">
      <c r="A314" s="3"/>
      <c r="O314" s="6">
        <f t="shared" si="3"/>
        <v>0.313</v>
      </c>
      <c r="P314" s="10">
        <f t="shared" si="1"/>
        <v>47736.73183</v>
      </c>
    </row>
    <row r="315">
      <c r="A315" s="3"/>
      <c r="O315" s="6">
        <f t="shared" si="3"/>
        <v>0.314</v>
      </c>
      <c r="P315" s="10">
        <f t="shared" si="1"/>
        <v>47861.72033</v>
      </c>
    </row>
    <row r="316">
      <c r="A316" s="3"/>
      <c r="O316" s="6">
        <f t="shared" si="3"/>
        <v>0.315</v>
      </c>
      <c r="P316" s="10">
        <f t="shared" si="1"/>
        <v>47986.86481</v>
      </c>
    </row>
    <row r="317">
      <c r="A317" s="3"/>
      <c r="O317" s="6">
        <f t="shared" si="3"/>
        <v>0.316</v>
      </c>
      <c r="P317" s="10">
        <f t="shared" si="1"/>
        <v>48112.16625</v>
      </c>
    </row>
    <row r="318">
      <c r="A318" s="3"/>
      <c r="O318" s="6">
        <f t="shared" si="3"/>
        <v>0.317</v>
      </c>
      <c r="P318" s="10">
        <f t="shared" si="1"/>
        <v>48237.62563</v>
      </c>
    </row>
    <row r="319">
      <c r="A319" s="3"/>
      <c r="O319" s="6">
        <f t="shared" si="3"/>
        <v>0.318</v>
      </c>
      <c r="P319" s="10">
        <f t="shared" si="1"/>
        <v>48363.24392</v>
      </c>
    </row>
    <row r="320">
      <c r="A320" s="3"/>
      <c r="O320" s="6">
        <f t="shared" si="3"/>
        <v>0.319</v>
      </c>
      <c r="P320" s="10">
        <f t="shared" si="1"/>
        <v>48489.02211</v>
      </c>
    </row>
    <row r="321">
      <c r="A321" s="3"/>
      <c r="O321" s="6">
        <f t="shared" si="3"/>
        <v>0.32</v>
      </c>
      <c r="P321" s="10">
        <f t="shared" si="1"/>
        <v>48614.96117</v>
      </c>
    </row>
    <row r="322">
      <c r="A322" s="3"/>
      <c r="O322" s="6">
        <f t="shared" si="3"/>
        <v>0.321</v>
      </c>
      <c r="P322" s="10">
        <f t="shared" si="1"/>
        <v>48741.06208</v>
      </c>
    </row>
    <row r="323">
      <c r="A323" s="3"/>
      <c r="O323" s="6">
        <f t="shared" si="3"/>
        <v>0.322</v>
      </c>
      <c r="P323" s="10">
        <f t="shared" si="1"/>
        <v>48867.32584</v>
      </c>
    </row>
    <row r="324">
      <c r="A324" s="3"/>
      <c r="O324" s="6">
        <f t="shared" si="3"/>
        <v>0.323</v>
      </c>
      <c r="P324" s="10">
        <f t="shared" si="1"/>
        <v>48993.75341</v>
      </c>
    </row>
    <row r="325">
      <c r="A325" s="3"/>
      <c r="O325" s="6">
        <f t="shared" si="3"/>
        <v>0.324</v>
      </c>
      <c r="P325" s="10">
        <f t="shared" si="1"/>
        <v>49120.34579</v>
      </c>
    </row>
    <row r="326">
      <c r="A326" s="3"/>
      <c r="O326" s="6">
        <f t="shared" si="3"/>
        <v>0.325</v>
      </c>
      <c r="P326" s="10">
        <f t="shared" si="1"/>
        <v>49247.10396</v>
      </c>
    </row>
    <row r="327">
      <c r="A327" s="3"/>
      <c r="O327" s="6">
        <f t="shared" si="3"/>
        <v>0.326</v>
      </c>
      <c r="P327" s="10">
        <f t="shared" si="1"/>
        <v>49374.02891</v>
      </c>
    </row>
    <row r="328">
      <c r="A328" s="3"/>
      <c r="O328" s="6">
        <f t="shared" si="3"/>
        <v>0.327</v>
      </c>
      <c r="P328" s="10">
        <f t="shared" si="1"/>
        <v>49501.12163</v>
      </c>
    </row>
    <row r="329">
      <c r="A329" s="3"/>
      <c r="O329" s="6">
        <f t="shared" si="3"/>
        <v>0.328</v>
      </c>
      <c r="P329" s="10">
        <f t="shared" si="1"/>
        <v>49628.3831</v>
      </c>
    </row>
    <row r="330">
      <c r="A330" s="3"/>
      <c r="O330" s="6">
        <f t="shared" si="3"/>
        <v>0.329</v>
      </c>
      <c r="P330" s="10">
        <f t="shared" si="1"/>
        <v>49755.81433</v>
      </c>
    </row>
    <row r="331">
      <c r="A331" s="3"/>
      <c r="O331" s="6">
        <f t="shared" si="3"/>
        <v>0.33</v>
      </c>
      <c r="P331" s="10">
        <f t="shared" si="1"/>
        <v>49883.4163</v>
      </c>
    </row>
    <row r="332">
      <c r="A332" s="3"/>
      <c r="O332" s="6">
        <f t="shared" si="3"/>
        <v>0.331</v>
      </c>
      <c r="P332" s="10">
        <f t="shared" si="1"/>
        <v>50011.19001</v>
      </c>
    </row>
    <row r="333">
      <c r="A333" s="3"/>
      <c r="O333" s="6">
        <f t="shared" si="3"/>
        <v>0.332</v>
      </c>
      <c r="P333" s="10">
        <f t="shared" si="1"/>
        <v>50139.13645</v>
      </c>
    </row>
    <row r="334">
      <c r="A334" s="3"/>
      <c r="O334" s="6">
        <f t="shared" si="3"/>
        <v>0.333</v>
      </c>
      <c r="P334" s="10">
        <f t="shared" si="1"/>
        <v>50267.25663</v>
      </c>
    </row>
    <row r="335">
      <c r="A335" s="3"/>
      <c r="O335" s="6">
        <f t="shared" si="3"/>
        <v>0.334</v>
      </c>
      <c r="P335" s="10">
        <f t="shared" si="1"/>
        <v>50395.55154</v>
      </c>
    </row>
    <row r="336">
      <c r="A336" s="3"/>
      <c r="O336" s="6">
        <f t="shared" si="3"/>
        <v>0.335</v>
      </c>
      <c r="P336" s="10">
        <f t="shared" si="1"/>
        <v>50524.02219</v>
      </c>
    </row>
    <row r="337">
      <c r="A337" s="3"/>
      <c r="O337" s="6">
        <f t="shared" si="3"/>
        <v>0.336</v>
      </c>
      <c r="P337" s="10">
        <f t="shared" si="1"/>
        <v>50652.66959</v>
      </c>
    </row>
    <row r="338">
      <c r="A338" s="3"/>
      <c r="O338" s="6">
        <f t="shared" si="3"/>
        <v>0.337</v>
      </c>
      <c r="P338" s="10">
        <f t="shared" si="1"/>
        <v>50781.49472</v>
      </c>
    </row>
    <row r="339">
      <c r="A339" s="3"/>
      <c r="O339" s="6">
        <f t="shared" si="3"/>
        <v>0.338</v>
      </c>
      <c r="P339" s="10">
        <f t="shared" si="1"/>
        <v>50910.49861</v>
      </c>
    </row>
    <row r="340">
      <c r="A340" s="3"/>
      <c r="O340" s="6">
        <f t="shared" si="3"/>
        <v>0.339</v>
      </c>
      <c r="P340" s="10">
        <f t="shared" si="1"/>
        <v>51039.68227</v>
      </c>
    </row>
    <row r="341">
      <c r="A341" s="3"/>
      <c r="O341" s="6">
        <f t="shared" si="3"/>
        <v>0.34</v>
      </c>
      <c r="P341" s="10">
        <f t="shared" si="1"/>
        <v>51169.0467</v>
      </c>
    </row>
    <row r="342">
      <c r="A342" s="3"/>
      <c r="O342" s="6">
        <f t="shared" si="3"/>
        <v>0.341</v>
      </c>
      <c r="P342" s="10">
        <f t="shared" si="1"/>
        <v>51298.59292</v>
      </c>
    </row>
    <row r="343">
      <c r="A343" s="3"/>
      <c r="O343" s="6">
        <f t="shared" si="3"/>
        <v>0.342</v>
      </c>
      <c r="P343" s="10">
        <f t="shared" si="1"/>
        <v>51428.32194</v>
      </c>
    </row>
    <row r="344">
      <c r="A344" s="3"/>
      <c r="O344" s="6">
        <f t="shared" si="3"/>
        <v>0.343</v>
      </c>
      <c r="P344" s="10">
        <f t="shared" si="1"/>
        <v>51558.23479</v>
      </c>
    </row>
    <row r="345">
      <c r="A345" s="3"/>
      <c r="O345" s="6">
        <f t="shared" si="3"/>
        <v>0.344</v>
      </c>
      <c r="P345" s="10">
        <f t="shared" si="1"/>
        <v>51688.33248</v>
      </c>
    </row>
    <row r="346">
      <c r="A346" s="3"/>
      <c r="O346" s="6">
        <f t="shared" si="3"/>
        <v>0.345</v>
      </c>
      <c r="P346" s="10">
        <f t="shared" si="1"/>
        <v>51818.61604</v>
      </c>
    </row>
    <row r="347">
      <c r="A347" s="3"/>
      <c r="O347" s="6">
        <f t="shared" si="3"/>
        <v>0.346</v>
      </c>
      <c r="P347" s="10">
        <f t="shared" si="1"/>
        <v>51949.08649</v>
      </c>
    </row>
    <row r="348">
      <c r="A348" s="3"/>
      <c r="O348" s="6">
        <f t="shared" si="3"/>
        <v>0.347</v>
      </c>
      <c r="P348" s="10">
        <f t="shared" si="1"/>
        <v>52079.74486</v>
      </c>
    </row>
    <row r="349">
      <c r="A349" s="3"/>
      <c r="O349" s="6">
        <f t="shared" si="3"/>
        <v>0.348</v>
      </c>
      <c r="P349" s="10">
        <f t="shared" si="1"/>
        <v>52210.59218</v>
      </c>
    </row>
    <row r="350">
      <c r="A350" s="3"/>
      <c r="O350" s="6">
        <f t="shared" si="3"/>
        <v>0.349</v>
      </c>
      <c r="P350" s="10">
        <f t="shared" si="1"/>
        <v>52341.62947</v>
      </c>
    </row>
    <row r="351">
      <c r="A351" s="3"/>
      <c r="O351" s="6">
        <f t="shared" si="3"/>
        <v>0.35</v>
      </c>
      <c r="P351" s="10">
        <f t="shared" si="1"/>
        <v>52472.85778</v>
      </c>
    </row>
    <row r="352">
      <c r="A352" s="3"/>
      <c r="O352" s="6">
        <f t="shared" si="3"/>
        <v>0.351</v>
      </c>
      <c r="P352" s="10">
        <f t="shared" si="1"/>
        <v>52604.27815</v>
      </c>
    </row>
    <row r="353">
      <c r="A353" s="3"/>
      <c r="O353" s="6">
        <f t="shared" si="3"/>
        <v>0.352</v>
      </c>
      <c r="P353" s="10">
        <f t="shared" si="1"/>
        <v>52735.8916</v>
      </c>
    </row>
    <row r="354">
      <c r="A354" s="3"/>
      <c r="O354" s="6">
        <f t="shared" si="3"/>
        <v>0.353</v>
      </c>
      <c r="P354" s="10">
        <f t="shared" si="1"/>
        <v>52867.69919</v>
      </c>
    </row>
    <row r="355">
      <c r="A355" s="3"/>
      <c r="O355" s="6">
        <f t="shared" si="3"/>
        <v>0.354</v>
      </c>
      <c r="P355" s="10">
        <f t="shared" si="1"/>
        <v>52999.70195</v>
      </c>
    </row>
    <row r="356">
      <c r="A356" s="3"/>
      <c r="O356" s="6">
        <f t="shared" si="3"/>
        <v>0.355</v>
      </c>
      <c r="P356" s="10">
        <f t="shared" si="1"/>
        <v>53131.90094</v>
      </c>
    </row>
    <row r="357">
      <c r="A357" s="3"/>
      <c r="O357" s="6">
        <f t="shared" si="3"/>
        <v>0.356</v>
      </c>
      <c r="P357" s="10">
        <f t="shared" si="1"/>
        <v>53264.29721</v>
      </c>
    </row>
    <row r="358">
      <c r="A358" s="3"/>
      <c r="O358" s="6">
        <f t="shared" si="3"/>
        <v>0.357</v>
      </c>
      <c r="P358" s="10">
        <f t="shared" si="1"/>
        <v>53396.8918</v>
      </c>
    </row>
    <row r="359">
      <c r="A359" s="3"/>
      <c r="O359" s="6">
        <f t="shared" si="3"/>
        <v>0.358</v>
      </c>
      <c r="P359" s="10">
        <f t="shared" si="1"/>
        <v>53529.68578</v>
      </c>
    </row>
    <row r="360">
      <c r="A360" s="3"/>
      <c r="O360" s="6">
        <f t="shared" si="3"/>
        <v>0.359</v>
      </c>
      <c r="P360" s="10">
        <f t="shared" si="1"/>
        <v>53662.6802</v>
      </c>
    </row>
    <row r="361">
      <c r="A361" s="3"/>
      <c r="O361" s="6">
        <f t="shared" si="3"/>
        <v>0.36</v>
      </c>
      <c r="P361" s="10">
        <f t="shared" si="1"/>
        <v>53795.87613</v>
      </c>
    </row>
    <row r="362">
      <c r="A362" s="3"/>
      <c r="O362" s="6">
        <f t="shared" si="3"/>
        <v>0.361</v>
      </c>
      <c r="P362" s="10">
        <f t="shared" si="1"/>
        <v>53929.27463</v>
      </c>
    </row>
    <row r="363">
      <c r="A363" s="3"/>
      <c r="O363" s="6">
        <f t="shared" si="3"/>
        <v>0.362</v>
      </c>
      <c r="P363" s="10">
        <f t="shared" si="1"/>
        <v>54062.87677</v>
      </c>
    </row>
    <row r="364">
      <c r="A364" s="3"/>
      <c r="O364" s="6">
        <f t="shared" si="3"/>
        <v>0.363</v>
      </c>
      <c r="P364" s="10">
        <f t="shared" si="1"/>
        <v>54196.68361</v>
      </c>
    </row>
    <row r="365">
      <c r="A365" s="3"/>
      <c r="O365" s="6">
        <f t="shared" si="3"/>
        <v>0.364</v>
      </c>
      <c r="P365" s="10">
        <f t="shared" si="1"/>
        <v>54330.69624</v>
      </c>
    </row>
    <row r="366">
      <c r="A366" s="3"/>
      <c r="O366" s="6">
        <f t="shared" si="3"/>
        <v>0.365</v>
      </c>
      <c r="P366" s="10">
        <f t="shared" si="1"/>
        <v>54464.91572</v>
      </c>
    </row>
    <row r="367">
      <c r="A367" s="3"/>
      <c r="O367" s="6">
        <f t="shared" si="3"/>
        <v>0.366</v>
      </c>
      <c r="P367" s="10">
        <f t="shared" si="1"/>
        <v>54599.34314</v>
      </c>
    </row>
    <row r="368">
      <c r="A368" s="3"/>
      <c r="O368" s="6">
        <f t="shared" si="3"/>
        <v>0.367</v>
      </c>
      <c r="P368" s="10">
        <f t="shared" si="1"/>
        <v>54733.97959</v>
      </c>
    </row>
    <row r="369">
      <c r="A369" s="3"/>
      <c r="O369" s="6">
        <f t="shared" si="3"/>
        <v>0.368</v>
      </c>
      <c r="P369" s="10">
        <f t="shared" si="1"/>
        <v>54868.82614</v>
      </c>
    </row>
    <row r="370">
      <c r="A370" s="3"/>
      <c r="O370" s="6">
        <f t="shared" si="3"/>
        <v>0.369</v>
      </c>
      <c r="P370" s="10">
        <f t="shared" si="1"/>
        <v>55003.8839</v>
      </c>
    </row>
    <row r="371">
      <c r="A371" s="3"/>
      <c r="O371" s="6">
        <f t="shared" si="3"/>
        <v>0.37</v>
      </c>
      <c r="P371" s="10">
        <f t="shared" si="1"/>
        <v>55139.15394</v>
      </c>
    </row>
    <row r="372">
      <c r="A372" s="3"/>
      <c r="O372" s="6">
        <f t="shared" si="3"/>
        <v>0.371</v>
      </c>
      <c r="P372" s="10">
        <f t="shared" si="1"/>
        <v>55274.63738</v>
      </c>
    </row>
    <row r="373">
      <c r="A373" s="3"/>
      <c r="O373" s="6">
        <f t="shared" si="3"/>
        <v>0.372</v>
      </c>
      <c r="P373" s="10">
        <f t="shared" si="1"/>
        <v>55410.3353</v>
      </c>
    </row>
    <row r="374">
      <c r="A374" s="3"/>
      <c r="O374" s="6">
        <f t="shared" si="3"/>
        <v>0.373</v>
      </c>
      <c r="P374" s="10">
        <f t="shared" si="1"/>
        <v>55546.24882</v>
      </c>
    </row>
    <row r="375">
      <c r="A375" s="3"/>
      <c r="O375" s="6">
        <f t="shared" si="3"/>
        <v>0.374</v>
      </c>
      <c r="P375" s="10">
        <f t="shared" si="1"/>
        <v>55682.37903</v>
      </c>
    </row>
    <row r="376">
      <c r="A376" s="3"/>
      <c r="O376" s="6">
        <f t="shared" si="3"/>
        <v>0.375</v>
      </c>
      <c r="P376" s="10">
        <f t="shared" si="1"/>
        <v>55818.72706</v>
      </c>
    </row>
    <row r="377">
      <c r="A377" s="3"/>
      <c r="O377" s="6">
        <f t="shared" si="3"/>
        <v>0.376</v>
      </c>
      <c r="P377" s="10">
        <f t="shared" si="1"/>
        <v>55955.29401</v>
      </c>
    </row>
    <row r="378">
      <c r="A378" s="3"/>
      <c r="O378" s="6">
        <f t="shared" si="3"/>
        <v>0.377</v>
      </c>
      <c r="P378" s="10">
        <f t="shared" si="1"/>
        <v>56092.081</v>
      </c>
    </row>
    <row r="379">
      <c r="A379" s="3"/>
      <c r="O379" s="6">
        <f t="shared" si="3"/>
        <v>0.378</v>
      </c>
      <c r="P379" s="10">
        <f t="shared" si="1"/>
        <v>56229.08916</v>
      </c>
    </row>
    <row r="380">
      <c r="A380" s="3"/>
      <c r="O380" s="6">
        <f t="shared" si="3"/>
        <v>0.379</v>
      </c>
      <c r="P380" s="10">
        <f t="shared" si="1"/>
        <v>56366.31961</v>
      </c>
    </row>
    <row r="381">
      <c r="A381" s="3"/>
      <c r="O381" s="6">
        <f t="shared" si="3"/>
        <v>0.38</v>
      </c>
      <c r="P381" s="10">
        <f t="shared" si="1"/>
        <v>56503.77349</v>
      </c>
    </row>
    <row r="382">
      <c r="A382" s="3"/>
      <c r="O382" s="6">
        <f t="shared" si="3"/>
        <v>0.381</v>
      </c>
      <c r="P382" s="10">
        <f t="shared" si="1"/>
        <v>56641.45191</v>
      </c>
    </row>
    <row r="383">
      <c r="A383" s="3"/>
      <c r="O383" s="6">
        <f t="shared" si="3"/>
        <v>0.382</v>
      </c>
      <c r="P383" s="10">
        <f t="shared" si="1"/>
        <v>56779.35602</v>
      </c>
    </row>
    <row r="384">
      <c r="A384" s="3"/>
      <c r="O384" s="6">
        <f t="shared" si="3"/>
        <v>0.383</v>
      </c>
      <c r="P384" s="10">
        <f t="shared" si="1"/>
        <v>56917.48697</v>
      </c>
    </row>
    <row r="385">
      <c r="A385" s="3"/>
      <c r="O385" s="6">
        <f t="shared" si="3"/>
        <v>0.384</v>
      </c>
      <c r="P385" s="10">
        <f t="shared" si="1"/>
        <v>57055.8459</v>
      </c>
    </row>
    <row r="386">
      <c r="A386" s="3"/>
      <c r="O386" s="6">
        <f t="shared" si="3"/>
        <v>0.385</v>
      </c>
      <c r="P386" s="10">
        <f t="shared" si="1"/>
        <v>57194.43395</v>
      </c>
    </row>
    <row r="387">
      <c r="A387" s="3"/>
      <c r="O387" s="6">
        <f t="shared" si="3"/>
        <v>0.386</v>
      </c>
      <c r="P387" s="10">
        <f t="shared" si="1"/>
        <v>57333.25228</v>
      </c>
    </row>
    <row r="388">
      <c r="A388" s="3"/>
      <c r="O388" s="6">
        <f t="shared" si="3"/>
        <v>0.387</v>
      </c>
      <c r="P388" s="10">
        <f t="shared" si="1"/>
        <v>57472.30205</v>
      </c>
    </row>
    <row r="389">
      <c r="A389" s="3"/>
      <c r="O389" s="6">
        <f t="shared" si="3"/>
        <v>0.388</v>
      </c>
      <c r="P389" s="10">
        <f t="shared" si="1"/>
        <v>57611.58441</v>
      </c>
    </row>
    <row r="390">
      <c r="A390" s="3"/>
      <c r="O390" s="6">
        <f t="shared" si="3"/>
        <v>0.389</v>
      </c>
      <c r="P390" s="10">
        <f t="shared" si="1"/>
        <v>57751.10055</v>
      </c>
    </row>
    <row r="391">
      <c r="A391" s="3"/>
      <c r="O391" s="6">
        <f t="shared" si="3"/>
        <v>0.39</v>
      </c>
      <c r="P391" s="10">
        <f t="shared" si="1"/>
        <v>57890.85161</v>
      </c>
    </row>
    <row r="392">
      <c r="A392" s="3"/>
      <c r="O392" s="6">
        <f t="shared" si="3"/>
        <v>0.391</v>
      </c>
      <c r="P392" s="10">
        <f t="shared" si="1"/>
        <v>58030.83879</v>
      </c>
    </row>
    <row r="393">
      <c r="A393" s="3"/>
      <c r="O393" s="6">
        <f t="shared" si="3"/>
        <v>0.392</v>
      </c>
      <c r="P393" s="10">
        <f t="shared" si="1"/>
        <v>58171.06326</v>
      </c>
    </row>
    <row r="394">
      <c r="A394" s="3"/>
      <c r="O394" s="6">
        <f t="shared" si="3"/>
        <v>0.393</v>
      </c>
      <c r="P394" s="10">
        <f t="shared" si="1"/>
        <v>58311.5262</v>
      </c>
    </row>
    <row r="395">
      <c r="A395" s="3"/>
      <c r="O395" s="6">
        <f t="shared" si="3"/>
        <v>0.394</v>
      </c>
      <c r="P395" s="10">
        <f t="shared" si="1"/>
        <v>58452.2288</v>
      </c>
    </row>
    <row r="396">
      <c r="A396" s="3"/>
      <c r="O396" s="6">
        <f t="shared" si="3"/>
        <v>0.395</v>
      </c>
      <c r="P396" s="10">
        <f t="shared" si="1"/>
        <v>58593.17225</v>
      </c>
    </row>
    <row r="397">
      <c r="A397" s="3"/>
      <c r="O397" s="6">
        <f t="shared" si="3"/>
        <v>0.396</v>
      </c>
      <c r="P397" s="10">
        <f t="shared" si="1"/>
        <v>58734.35776</v>
      </c>
    </row>
    <row r="398">
      <c r="A398" s="3"/>
      <c r="O398" s="6">
        <f t="shared" si="3"/>
        <v>0.397</v>
      </c>
      <c r="P398" s="10">
        <f t="shared" si="1"/>
        <v>58875.78651</v>
      </c>
    </row>
    <row r="399">
      <c r="A399" s="3"/>
      <c r="O399" s="6">
        <f t="shared" si="3"/>
        <v>0.398</v>
      </c>
      <c r="P399" s="10">
        <f t="shared" si="1"/>
        <v>59017.45973</v>
      </c>
    </row>
    <row r="400">
      <c r="A400" s="3"/>
      <c r="O400" s="6">
        <f t="shared" si="3"/>
        <v>0.399</v>
      </c>
      <c r="P400" s="10">
        <f t="shared" si="1"/>
        <v>59159.37861</v>
      </c>
    </row>
    <row r="401">
      <c r="A401" s="3"/>
      <c r="O401" s="6">
        <f t="shared" si="3"/>
        <v>0.4</v>
      </c>
      <c r="P401" s="10">
        <f t="shared" si="1"/>
        <v>59301.54438</v>
      </c>
    </row>
    <row r="402">
      <c r="A402" s="3"/>
      <c r="O402" s="6">
        <f t="shared" si="3"/>
        <v>0.401</v>
      </c>
      <c r="P402" s="10">
        <f t="shared" si="1"/>
        <v>59443.95826</v>
      </c>
    </row>
    <row r="403">
      <c r="A403" s="3"/>
      <c r="O403" s="6">
        <f t="shared" si="3"/>
        <v>0.402</v>
      </c>
      <c r="P403" s="10">
        <f t="shared" si="1"/>
        <v>59586.62146</v>
      </c>
    </row>
    <row r="404">
      <c r="A404" s="3"/>
      <c r="O404" s="6">
        <f t="shared" si="3"/>
        <v>0.403</v>
      </c>
      <c r="P404" s="10">
        <f t="shared" si="1"/>
        <v>59729.53523</v>
      </c>
    </row>
    <row r="405">
      <c r="A405" s="3"/>
      <c r="O405" s="6">
        <f t="shared" si="3"/>
        <v>0.404</v>
      </c>
      <c r="P405" s="10">
        <f t="shared" si="1"/>
        <v>59872.7008</v>
      </c>
    </row>
    <row r="406">
      <c r="A406" s="3"/>
      <c r="O406" s="6">
        <f t="shared" si="3"/>
        <v>0.405</v>
      </c>
      <c r="P406" s="10">
        <f t="shared" si="1"/>
        <v>60016.11941</v>
      </c>
    </row>
    <row r="407">
      <c r="A407" s="3"/>
      <c r="O407" s="6">
        <f t="shared" si="3"/>
        <v>0.406</v>
      </c>
      <c r="P407" s="10">
        <f t="shared" si="1"/>
        <v>60159.7923</v>
      </c>
    </row>
    <row r="408">
      <c r="A408" s="3"/>
      <c r="O408" s="6">
        <f t="shared" si="3"/>
        <v>0.407</v>
      </c>
      <c r="P408" s="10">
        <f t="shared" si="1"/>
        <v>60303.72072</v>
      </c>
    </row>
    <row r="409">
      <c r="A409" s="3"/>
      <c r="O409" s="6">
        <f t="shared" si="3"/>
        <v>0.408</v>
      </c>
      <c r="P409" s="10">
        <f t="shared" si="1"/>
        <v>60447.90594</v>
      </c>
    </row>
    <row r="410">
      <c r="A410" s="3"/>
      <c r="O410" s="6">
        <f t="shared" si="3"/>
        <v>0.409</v>
      </c>
      <c r="P410" s="10">
        <f t="shared" si="1"/>
        <v>60592.34921</v>
      </c>
    </row>
    <row r="411">
      <c r="A411" s="3"/>
      <c r="O411" s="6">
        <f t="shared" si="3"/>
        <v>0.41</v>
      </c>
      <c r="P411" s="10">
        <f t="shared" si="1"/>
        <v>60737.0518</v>
      </c>
    </row>
    <row r="412">
      <c r="A412" s="3"/>
      <c r="O412" s="6">
        <f t="shared" si="3"/>
        <v>0.411</v>
      </c>
      <c r="P412" s="10">
        <f t="shared" si="1"/>
        <v>60882.01498</v>
      </c>
    </row>
    <row r="413">
      <c r="A413" s="3"/>
      <c r="O413" s="6">
        <f t="shared" si="3"/>
        <v>0.412</v>
      </c>
      <c r="P413" s="10">
        <f t="shared" si="1"/>
        <v>61027.24003</v>
      </c>
    </row>
    <row r="414">
      <c r="A414" s="3"/>
      <c r="O414" s="6">
        <f t="shared" si="3"/>
        <v>0.413</v>
      </c>
      <c r="P414" s="10">
        <f t="shared" si="1"/>
        <v>61172.72823</v>
      </c>
    </row>
    <row r="415">
      <c r="A415" s="3"/>
      <c r="O415" s="6">
        <f t="shared" si="3"/>
        <v>0.414</v>
      </c>
      <c r="P415" s="10">
        <f t="shared" si="1"/>
        <v>61318.48087</v>
      </c>
    </row>
    <row r="416">
      <c r="A416" s="3"/>
      <c r="O416" s="6">
        <f t="shared" si="3"/>
        <v>0.415</v>
      </c>
      <c r="P416" s="10">
        <f t="shared" si="1"/>
        <v>61464.49925</v>
      </c>
    </row>
    <row r="417">
      <c r="A417" s="3"/>
      <c r="O417" s="6">
        <f t="shared" si="3"/>
        <v>0.416</v>
      </c>
      <c r="P417" s="10">
        <f t="shared" si="1"/>
        <v>61610.78466</v>
      </c>
    </row>
    <row r="418">
      <c r="A418" s="3"/>
      <c r="O418" s="6">
        <f t="shared" si="3"/>
        <v>0.417</v>
      </c>
      <c r="P418" s="10">
        <f t="shared" si="1"/>
        <v>61757.33841</v>
      </c>
    </row>
    <row r="419">
      <c r="A419" s="3"/>
      <c r="O419" s="6">
        <f t="shared" si="3"/>
        <v>0.418</v>
      </c>
      <c r="P419" s="10">
        <f t="shared" si="1"/>
        <v>61904.16181</v>
      </c>
    </row>
    <row r="420">
      <c r="A420" s="3"/>
      <c r="O420" s="6">
        <f t="shared" si="3"/>
        <v>0.419</v>
      </c>
      <c r="P420" s="10">
        <f t="shared" si="1"/>
        <v>62051.25617</v>
      </c>
    </row>
    <row r="421">
      <c r="A421" s="3"/>
      <c r="O421" s="6">
        <f t="shared" si="3"/>
        <v>0.42</v>
      </c>
      <c r="P421" s="10">
        <f t="shared" si="1"/>
        <v>62198.62283</v>
      </c>
    </row>
    <row r="422">
      <c r="A422" s="3"/>
      <c r="O422" s="6">
        <f t="shared" si="3"/>
        <v>0.421</v>
      </c>
      <c r="P422" s="10">
        <f t="shared" si="1"/>
        <v>62346.2631</v>
      </c>
    </row>
    <row r="423">
      <c r="A423" s="3"/>
      <c r="O423" s="6">
        <f t="shared" si="3"/>
        <v>0.422</v>
      </c>
      <c r="P423" s="10">
        <f t="shared" si="1"/>
        <v>62494.17833</v>
      </c>
    </row>
    <row r="424">
      <c r="A424" s="3"/>
      <c r="O424" s="6">
        <f t="shared" si="3"/>
        <v>0.423</v>
      </c>
      <c r="P424" s="10">
        <f t="shared" si="1"/>
        <v>62642.36985</v>
      </c>
    </row>
    <row r="425">
      <c r="A425" s="3"/>
      <c r="O425" s="6">
        <f t="shared" si="3"/>
        <v>0.424</v>
      </c>
      <c r="P425" s="10">
        <f t="shared" si="1"/>
        <v>62790.83901</v>
      </c>
    </row>
    <row r="426">
      <c r="A426" s="3"/>
      <c r="O426" s="6">
        <f t="shared" si="3"/>
        <v>0.425</v>
      </c>
      <c r="P426" s="10">
        <f t="shared" si="1"/>
        <v>62939.58717</v>
      </c>
    </row>
    <row r="427">
      <c r="A427" s="3"/>
      <c r="O427" s="6">
        <f t="shared" si="3"/>
        <v>0.426</v>
      </c>
      <c r="P427" s="10">
        <f t="shared" si="1"/>
        <v>63088.61567</v>
      </c>
    </row>
    <row r="428">
      <c r="A428" s="3"/>
      <c r="O428" s="6">
        <f t="shared" si="3"/>
        <v>0.427</v>
      </c>
      <c r="P428" s="10">
        <f t="shared" si="1"/>
        <v>63237.9259</v>
      </c>
    </row>
    <row r="429">
      <c r="A429" s="3"/>
      <c r="O429" s="6">
        <f t="shared" si="3"/>
        <v>0.428</v>
      </c>
      <c r="P429" s="10">
        <f t="shared" si="1"/>
        <v>63387.51921</v>
      </c>
    </row>
    <row r="430">
      <c r="A430" s="3"/>
      <c r="O430" s="6">
        <f t="shared" si="3"/>
        <v>0.429</v>
      </c>
      <c r="P430" s="10">
        <f t="shared" si="1"/>
        <v>63537.39699</v>
      </c>
    </row>
    <row r="431">
      <c r="A431" s="3"/>
      <c r="O431" s="6">
        <f t="shared" si="3"/>
        <v>0.43</v>
      </c>
      <c r="P431" s="10">
        <f t="shared" si="1"/>
        <v>63687.56062</v>
      </c>
    </row>
    <row r="432">
      <c r="A432" s="3"/>
      <c r="O432" s="6">
        <f t="shared" si="3"/>
        <v>0.431</v>
      </c>
      <c r="P432" s="10">
        <f t="shared" si="1"/>
        <v>63838.0115</v>
      </c>
    </row>
    <row r="433">
      <c r="A433" s="3"/>
      <c r="O433" s="6">
        <f t="shared" si="3"/>
        <v>0.432</v>
      </c>
      <c r="P433" s="10">
        <f t="shared" si="1"/>
        <v>63988.75101</v>
      </c>
    </row>
    <row r="434">
      <c r="A434" s="3"/>
      <c r="O434" s="6">
        <f t="shared" si="3"/>
        <v>0.433</v>
      </c>
      <c r="P434" s="10">
        <f t="shared" si="1"/>
        <v>64139.78057</v>
      </c>
    </row>
    <row r="435">
      <c r="A435" s="3"/>
      <c r="O435" s="6">
        <f t="shared" si="3"/>
        <v>0.434</v>
      </c>
      <c r="P435" s="10">
        <f t="shared" si="1"/>
        <v>64291.10158</v>
      </c>
    </row>
    <row r="436">
      <c r="A436" s="3"/>
      <c r="O436" s="6">
        <f t="shared" si="3"/>
        <v>0.435</v>
      </c>
      <c r="P436" s="10">
        <f t="shared" si="1"/>
        <v>64442.71546</v>
      </c>
    </row>
    <row r="437">
      <c r="A437" s="3"/>
      <c r="O437" s="6">
        <f t="shared" si="3"/>
        <v>0.436</v>
      </c>
      <c r="P437" s="10">
        <f t="shared" si="1"/>
        <v>64594.62365</v>
      </c>
    </row>
    <row r="438">
      <c r="A438" s="3"/>
      <c r="O438" s="6">
        <f t="shared" si="3"/>
        <v>0.437</v>
      </c>
      <c r="P438" s="10">
        <f t="shared" si="1"/>
        <v>64746.82756</v>
      </c>
    </row>
    <row r="439">
      <c r="A439" s="3"/>
      <c r="O439" s="6">
        <f t="shared" si="3"/>
        <v>0.438</v>
      </c>
      <c r="P439" s="10">
        <f t="shared" si="1"/>
        <v>64899.32863</v>
      </c>
    </row>
    <row r="440">
      <c r="A440" s="3"/>
      <c r="O440" s="6">
        <f t="shared" si="3"/>
        <v>0.439</v>
      </c>
      <c r="P440" s="10">
        <f t="shared" si="1"/>
        <v>65052.12832</v>
      </c>
    </row>
    <row r="441">
      <c r="A441" s="3"/>
      <c r="O441" s="6">
        <f t="shared" si="3"/>
        <v>0.44</v>
      </c>
      <c r="P441" s="10">
        <f t="shared" si="1"/>
        <v>65205.22807</v>
      </c>
    </row>
    <row r="442">
      <c r="A442" s="3"/>
      <c r="O442" s="6">
        <f t="shared" si="3"/>
        <v>0.441</v>
      </c>
      <c r="P442" s="10">
        <f t="shared" si="1"/>
        <v>65358.62934</v>
      </c>
    </row>
    <row r="443">
      <c r="A443" s="3"/>
      <c r="O443" s="6">
        <f t="shared" si="3"/>
        <v>0.442</v>
      </c>
      <c r="P443" s="10">
        <f t="shared" si="1"/>
        <v>65512.3336</v>
      </c>
    </row>
    <row r="444">
      <c r="A444" s="3"/>
      <c r="O444" s="6">
        <f t="shared" si="3"/>
        <v>0.443</v>
      </c>
      <c r="P444" s="10">
        <f t="shared" si="1"/>
        <v>65666.34233</v>
      </c>
    </row>
    <row r="445">
      <c r="A445" s="3"/>
      <c r="O445" s="6">
        <f t="shared" si="3"/>
        <v>0.444</v>
      </c>
      <c r="P445" s="10">
        <f t="shared" si="1"/>
        <v>65820.657</v>
      </c>
    </row>
    <row r="446">
      <c r="A446" s="3"/>
      <c r="O446" s="6">
        <f t="shared" si="3"/>
        <v>0.445</v>
      </c>
      <c r="P446" s="10">
        <f t="shared" si="1"/>
        <v>65975.2791</v>
      </c>
    </row>
    <row r="447">
      <c r="A447" s="3"/>
      <c r="O447" s="6">
        <f t="shared" si="3"/>
        <v>0.446</v>
      </c>
      <c r="P447" s="10">
        <f t="shared" si="1"/>
        <v>66130.21013</v>
      </c>
    </row>
    <row r="448">
      <c r="A448" s="3"/>
      <c r="O448" s="6">
        <f t="shared" si="3"/>
        <v>0.447</v>
      </c>
      <c r="P448" s="10">
        <f t="shared" si="1"/>
        <v>66285.45159</v>
      </c>
    </row>
    <row r="449">
      <c r="A449" s="3"/>
      <c r="O449" s="6">
        <f t="shared" si="3"/>
        <v>0.448</v>
      </c>
      <c r="P449" s="10">
        <f t="shared" si="1"/>
        <v>66441.005</v>
      </c>
    </row>
    <row r="450">
      <c r="A450" s="3"/>
      <c r="O450" s="6">
        <f t="shared" si="3"/>
        <v>0.449</v>
      </c>
      <c r="P450" s="10">
        <f t="shared" si="1"/>
        <v>66596.87187</v>
      </c>
    </row>
    <row r="451">
      <c r="A451" s="3"/>
      <c r="O451" s="6">
        <f t="shared" si="3"/>
        <v>0.45</v>
      </c>
      <c r="P451" s="10">
        <f t="shared" si="1"/>
        <v>66753.05373</v>
      </c>
    </row>
    <row r="452">
      <c r="A452" s="3"/>
      <c r="O452" s="6">
        <f t="shared" si="3"/>
        <v>0.451</v>
      </c>
      <c r="P452" s="10">
        <f t="shared" si="1"/>
        <v>66909.55211</v>
      </c>
    </row>
    <row r="453">
      <c r="A453" s="3"/>
      <c r="O453" s="6">
        <f t="shared" si="3"/>
        <v>0.452</v>
      </c>
      <c r="P453" s="10">
        <f t="shared" si="1"/>
        <v>67066.36856</v>
      </c>
    </row>
    <row r="454">
      <c r="A454" s="3"/>
      <c r="O454" s="6">
        <f t="shared" si="3"/>
        <v>0.453</v>
      </c>
      <c r="P454" s="10">
        <f t="shared" si="1"/>
        <v>67223.50462</v>
      </c>
    </row>
    <row r="455">
      <c r="A455" s="3"/>
      <c r="O455" s="6">
        <f t="shared" si="3"/>
        <v>0.454</v>
      </c>
      <c r="P455" s="10">
        <f t="shared" si="1"/>
        <v>67380.96186</v>
      </c>
    </row>
    <row r="456">
      <c r="A456" s="3"/>
      <c r="O456" s="6">
        <f t="shared" si="3"/>
        <v>0.455</v>
      </c>
      <c r="P456" s="10">
        <f t="shared" si="1"/>
        <v>67538.74183</v>
      </c>
    </row>
    <row r="457">
      <c r="A457" s="3"/>
      <c r="O457" s="6">
        <f t="shared" si="3"/>
        <v>0.456</v>
      </c>
      <c r="P457" s="10">
        <f t="shared" si="1"/>
        <v>67696.84613</v>
      </c>
    </row>
    <row r="458">
      <c r="A458" s="3"/>
      <c r="O458" s="6">
        <f t="shared" si="3"/>
        <v>0.457</v>
      </c>
      <c r="P458" s="10">
        <f t="shared" si="1"/>
        <v>67855.27631</v>
      </c>
    </row>
    <row r="459">
      <c r="A459" s="3"/>
      <c r="O459" s="6">
        <f t="shared" si="3"/>
        <v>0.458</v>
      </c>
      <c r="P459" s="10">
        <f t="shared" si="1"/>
        <v>68014.03399</v>
      </c>
    </row>
    <row r="460">
      <c r="A460" s="3"/>
      <c r="O460" s="6">
        <f t="shared" si="3"/>
        <v>0.459</v>
      </c>
      <c r="P460" s="10">
        <f t="shared" si="1"/>
        <v>68173.12076</v>
      </c>
    </row>
    <row r="461">
      <c r="A461" s="3"/>
      <c r="O461" s="6">
        <f t="shared" si="3"/>
        <v>0.46</v>
      </c>
      <c r="P461" s="10">
        <f t="shared" si="1"/>
        <v>68332.53822</v>
      </c>
    </row>
    <row r="462">
      <c r="A462" s="3"/>
      <c r="O462" s="6">
        <f t="shared" si="3"/>
        <v>0.461</v>
      </c>
      <c r="P462" s="10">
        <f t="shared" si="1"/>
        <v>68492.28799</v>
      </c>
    </row>
    <row r="463">
      <c r="A463" s="3"/>
      <c r="O463" s="6">
        <f t="shared" si="3"/>
        <v>0.462</v>
      </c>
      <c r="P463" s="10">
        <f t="shared" si="1"/>
        <v>68652.3717</v>
      </c>
    </row>
    <row r="464">
      <c r="A464" s="3"/>
      <c r="O464" s="6">
        <f t="shared" si="3"/>
        <v>0.463</v>
      </c>
      <c r="P464" s="10">
        <f t="shared" si="1"/>
        <v>68812.79099</v>
      </c>
    </row>
    <row r="465">
      <c r="A465" s="3"/>
      <c r="O465" s="6">
        <f t="shared" si="3"/>
        <v>0.464</v>
      </c>
      <c r="P465" s="10">
        <f t="shared" si="1"/>
        <v>68973.54748</v>
      </c>
    </row>
    <row r="466">
      <c r="A466" s="3"/>
      <c r="O466" s="6">
        <f t="shared" si="3"/>
        <v>0.465</v>
      </c>
      <c r="P466" s="10">
        <f t="shared" si="1"/>
        <v>69134.64284</v>
      </c>
    </row>
    <row r="467">
      <c r="A467" s="3"/>
      <c r="O467" s="6">
        <f t="shared" si="3"/>
        <v>0.466</v>
      </c>
      <c r="P467" s="10">
        <f t="shared" si="1"/>
        <v>69296.07873</v>
      </c>
    </row>
    <row r="468">
      <c r="A468" s="3"/>
      <c r="O468" s="6">
        <f t="shared" si="3"/>
        <v>0.467</v>
      </c>
      <c r="P468" s="10">
        <f t="shared" si="1"/>
        <v>69457.85681</v>
      </c>
    </row>
    <row r="469">
      <c r="A469" s="3"/>
      <c r="O469" s="6">
        <f t="shared" si="3"/>
        <v>0.468</v>
      </c>
      <c r="P469" s="10">
        <f t="shared" si="1"/>
        <v>69619.97877</v>
      </c>
    </row>
    <row r="470">
      <c r="A470" s="3"/>
      <c r="O470" s="6">
        <f t="shared" si="3"/>
        <v>0.469</v>
      </c>
      <c r="P470" s="10">
        <f t="shared" si="1"/>
        <v>69782.44629</v>
      </c>
    </row>
    <row r="471">
      <c r="A471" s="3"/>
      <c r="O471" s="6">
        <f t="shared" si="3"/>
        <v>0.47</v>
      </c>
      <c r="P471" s="10">
        <f t="shared" si="1"/>
        <v>69945.26106</v>
      </c>
    </row>
    <row r="472">
      <c r="A472" s="3"/>
      <c r="O472" s="6">
        <f t="shared" si="3"/>
        <v>0.471</v>
      </c>
      <c r="P472" s="10">
        <f t="shared" si="1"/>
        <v>70108.4248</v>
      </c>
    </row>
    <row r="473">
      <c r="A473" s="3"/>
      <c r="O473" s="6">
        <f t="shared" si="3"/>
        <v>0.472</v>
      </c>
      <c r="P473" s="10">
        <f t="shared" si="1"/>
        <v>70271.93922</v>
      </c>
    </row>
    <row r="474">
      <c r="A474" s="3"/>
      <c r="O474" s="6">
        <f t="shared" si="3"/>
        <v>0.473</v>
      </c>
      <c r="P474" s="10">
        <f t="shared" si="1"/>
        <v>70435.80605</v>
      </c>
    </row>
    <row r="475">
      <c r="A475" s="3"/>
      <c r="O475" s="6">
        <f t="shared" si="3"/>
        <v>0.474</v>
      </c>
      <c r="P475" s="10">
        <f t="shared" si="1"/>
        <v>70600.02702</v>
      </c>
    </row>
    <row r="476">
      <c r="A476" s="3"/>
      <c r="O476" s="6">
        <f t="shared" si="3"/>
        <v>0.475</v>
      </c>
      <c r="P476" s="10">
        <f t="shared" si="1"/>
        <v>70764.60387</v>
      </c>
    </row>
    <row r="477">
      <c r="A477" s="3"/>
      <c r="O477" s="6">
        <f t="shared" si="3"/>
        <v>0.476</v>
      </c>
      <c r="P477" s="10">
        <f t="shared" si="1"/>
        <v>70929.53836</v>
      </c>
    </row>
    <row r="478">
      <c r="A478" s="3"/>
      <c r="O478" s="6">
        <f t="shared" si="3"/>
        <v>0.477</v>
      </c>
      <c r="P478" s="10">
        <f t="shared" si="1"/>
        <v>71094.83226</v>
      </c>
    </row>
    <row r="479">
      <c r="A479" s="3"/>
      <c r="O479" s="6">
        <f t="shared" si="3"/>
        <v>0.478</v>
      </c>
      <c r="P479" s="10">
        <f t="shared" si="1"/>
        <v>71260.48733</v>
      </c>
    </row>
    <row r="480">
      <c r="A480" s="3"/>
      <c r="O480" s="6">
        <f t="shared" si="3"/>
        <v>0.479</v>
      </c>
      <c r="P480" s="10">
        <f t="shared" si="1"/>
        <v>71426.50537</v>
      </c>
    </row>
    <row r="481">
      <c r="A481" s="3"/>
      <c r="O481" s="6">
        <f t="shared" si="3"/>
        <v>0.48</v>
      </c>
      <c r="P481" s="10">
        <f t="shared" si="1"/>
        <v>71592.88816</v>
      </c>
    </row>
    <row r="482">
      <c r="A482" s="3"/>
      <c r="O482" s="6">
        <f t="shared" si="3"/>
        <v>0.481</v>
      </c>
      <c r="P482" s="10">
        <f t="shared" si="1"/>
        <v>71759.63751</v>
      </c>
    </row>
    <row r="483">
      <c r="A483" s="3"/>
      <c r="O483" s="6">
        <f t="shared" si="3"/>
        <v>0.482</v>
      </c>
      <c r="P483" s="10">
        <f t="shared" si="1"/>
        <v>71926.75524</v>
      </c>
    </row>
    <row r="484">
      <c r="A484" s="3"/>
      <c r="O484" s="6">
        <f t="shared" si="3"/>
        <v>0.483</v>
      </c>
      <c r="P484" s="10">
        <f t="shared" si="1"/>
        <v>72094.24317</v>
      </c>
    </row>
    <row r="485">
      <c r="A485" s="3"/>
      <c r="O485" s="6">
        <f t="shared" si="3"/>
        <v>0.484</v>
      </c>
      <c r="P485" s="10">
        <f t="shared" si="1"/>
        <v>72262.10314</v>
      </c>
    </row>
    <row r="486">
      <c r="A486" s="3"/>
      <c r="O486" s="6">
        <f t="shared" si="3"/>
        <v>0.485</v>
      </c>
      <c r="P486" s="10">
        <f t="shared" si="1"/>
        <v>72430.33699</v>
      </c>
    </row>
    <row r="487">
      <c r="A487" s="3"/>
      <c r="O487" s="6">
        <f t="shared" si="3"/>
        <v>0.486</v>
      </c>
      <c r="P487" s="10">
        <f t="shared" si="1"/>
        <v>72598.94658</v>
      </c>
    </row>
    <row r="488">
      <c r="A488" s="3"/>
      <c r="O488" s="6">
        <f t="shared" si="3"/>
        <v>0.487</v>
      </c>
      <c r="P488" s="10">
        <f t="shared" si="1"/>
        <v>72767.93379</v>
      </c>
    </row>
    <row r="489">
      <c r="A489" s="3"/>
      <c r="O489" s="6">
        <f t="shared" si="3"/>
        <v>0.488</v>
      </c>
      <c r="P489" s="10">
        <f t="shared" si="1"/>
        <v>72937.30047</v>
      </c>
    </row>
    <row r="490">
      <c r="A490" s="3"/>
      <c r="O490" s="6">
        <f t="shared" si="3"/>
        <v>0.489</v>
      </c>
      <c r="P490" s="10">
        <f t="shared" si="1"/>
        <v>73107.04854</v>
      </c>
    </row>
    <row r="491">
      <c r="A491" s="3"/>
      <c r="O491" s="6">
        <f t="shared" si="3"/>
        <v>0.49</v>
      </c>
      <c r="P491" s="10">
        <f t="shared" si="1"/>
        <v>73277.17989</v>
      </c>
    </row>
    <row r="492">
      <c r="A492" s="3"/>
      <c r="O492" s="6">
        <f t="shared" si="3"/>
        <v>0.491</v>
      </c>
      <c r="P492" s="10">
        <f t="shared" si="1"/>
        <v>73447.69642</v>
      </c>
    </row>
    <row r="493">
      <c r="A493" s="3"/>
      <c r="O493" s="6">
        <f t="shared" si="3"/>
        <v>0.492</v>
      </c>
      <c r="P493" s="10">
        <f t="shared" si="1"/>
        <v>73618.60007</v>
      </c>
    </row>
    <row r="494">
      <c r="A494" s="3"/>
      <c r="O494" s="6">
        <f t="shared" si="3"/>
        <v>0.493</v>
      </c>
      <c r="P494" s="10">
        <f t="shared" si="1"/>
        <v>73789.89277</v>
      </c>
    </row>
    <row r="495">
      <c r="A495" s="3"/>
      <c r="O495" s="6">
        <f t="shared" si="3"/>
        <v>0.494</v>
      </c>
      <c r="P495" s="10">
        <f t="shared" si="1"/>
        <v>73961.57647</v>
      </c>
    </row>
    <row r="496">
      <c r="A496" s="3"/>
      <c r="O496" s="6">
        <f t="shared" si="3"/>
        <v>0.495</v>
      </c>
      <c r="P496" s="10">
        <f t="shared" si="1"/>
        <v>74133.65311</v>
      </c>
    </row>
    <row r="497">
      <c r="A497" s="3"/>
      <c r="O497" s="6">
        <f t="shared" si="3"/>
        <v>0.496</v>
      </c>
      <c r="P497" s="10">
        <f t="shared" si="1"/>
        <v>74306.12468</v>
      </c>
    </row>
    <row r="498">
      <c r="A498" s="3"/>
      <c r="O498" s="6">
        <f t="shared" si="3"/>
        <v>0.497</v>
      </c>
      <c r="P498" s="10">
        <f t="shared" si="1"/>
        <v>74478.99316</v>
      </c>
    </row>
    <row r="499">
      <c r="A499" s="3"/>
      <c r="O499" s="6">
        <f t="shared" si="3"/>
        <v>0.498</v>
      </c>
      <c r="P499" s="10">
        <f t="shared" si="1"/>
        <v>74652.26053</v>
      </c>
    </row>
    <row r="500">
      <c r="A500" s="3"/>
      <c r="O500" s="6">
        <f t="shared" si="3"/>
        <v>0.499</v>
      </c>
      <c r="P500" s="10">
        <f t="shared" si="1"/>
        <v>74825.9288</v>
      </c>
    </row>
    <row r="501">
      <c r="A501" s="3"/>
      <c r="O501" s="6">
        <f t="shared" si="3"/>
        <v>0.5</v>
      </c>
      <c r="P501" s="10">
        <f t="shared" si="1"/>
        <v>75000</v>
      </c>
    </row>
    <row r="502">
      <c r="A502" s="3"/>
      <c r="O502" s="6">
        <f t="shared" si="3"/>
        <v>0.501</v>
      </c>
      <c r="P502" s="10">
        <f t="shared" si="1"/>
        <v>75174.47615</v>
      </c>
    </row>
    <row r="503">
      <c r="A503" s="3"/>
      <c r="O503" s="6">
        <f t="shared" si="3"/>
        <v>0.502</v>
      </c>
      <c r="P503" s="10">
        <f t="shared" si="1"/>
        <v>75349.35928</v>
      </c>
    </row>
    <row r="504">
      <c r="A504" s="3"/>
      <c r="O504" s="6">
        <f t="shared" si="3"/>
        <v>0.503</v>
      </c>
      <c r="P504" s="10">
        <f t="shared" si="1"/>
        <v>75524.65147</v>
      </c>
    </row>
    <row r="505">
      <c r="A505" s="3"/>
      <c r="O505" s="6">
        <f t="shared" si="3"/>
        <v>0.504</v>
      </c>
      <c r="P505" s="10">
        <f t="shared" si="1"/>
        <v>75700.35477</v>
      </c>
    </row>
    <row r="506">
      <c r="A506" s="3"/>
      <c r="O506" s="6">
        <f t="shared" si="3"/>
        <v>0.505</v>
      </c>
      <c r="P506" s="10">
        <f t="shared" si="1"/>
        <v>75876.47126</v>
      </c>
    </row>
    <row r="507">
      <c r="A507" s="3"/>
      <c r="O507" s="6">
        <f t="shared" si="3"/>
        <v>0.506</v>
      </c>
      <c r="P507" s="10">
        <f t="shared" si="1"/>
        <v>76053.00304</v>
      </c>
    </row>
    <row r="508">
      <c r="A508" s="3"/>
      <c r="O508" s="6">
        <f t="shared" si="3"/>
        <v>0.507</v>
      </c>
      <c r="P508" s="10">
        <f t="shared" si="1"/>
        <v>76229.95221</v>
      </c>
    </row>
    <row r="509">
      <c r="A509" s="3"/>
      <c r="O509" s="6">
        <f t="shared" si="3"/>
        <v>0.508</v>
      </c>
      <c r="P509" s="10">
        <f t="shared" si="1"/>
        <v>76407.3209</v>
      </c>
    </row>
    <row r="510">
      <c r="A510" s="3"/>
      <c r="O510" s="6">
        <f t="shared" si="3"/>
        <v>0.509</v>
      </c>
      <c r="P510" s="10">
        <f t="shared" si="1"/>
        <v>76585.11123</v>
      </c>
    </row>
    <row r="511">
      <c r="A511" s="3"/>
      <c r="O511" s="6">
        <f t="shared" si="3"/>
        <v>0.51</v>
      </c>
      <c r="P511" s="10">
        <f t="shared" si="1"/>
        <v>76763.32534</v>
      </c>
    </row>
    <row r="512">
      <c r="A512" s="3"/>
      <c r="O512" s="6">
        <f t="shared" si="3"/>
        <v>0.511</v>
      </c>
      <c r="P512" s="10">
        <f t="shared" si="1"/>
        <v>76941.96541</v>
      </c>
    </row>
    <row r="513">
      <c r="A513" s="3"/>
      <c r="O513" s="6">
        <f t="shared" si="3"/>
        <v>0.512</v>
      </c>
      <c r="P513" s="10">
        <f t="shared" si="1"/>
        <v>77121.03359</v>
      </c>
    </row>
    <row r="514">
      <c r="A514" s="3"/>
      <c r="O514" s="6">
        <f t="shared" si="3"/>
        <v>0.513</v>
      </c>
      <c r="P514" s="10">
        <f t="shared" si="1"/>
        <v>77300.53208</v>
      </c>
    </row>
    <row r="515">
      <c r="A515" s="3"/>
      <c r="O515" s="6">
        <f t="shared" si="3"/>
        <v>0.514</v>
      </c>
      <c r="P515" s="10">
        <f t="shared" si="1"/>
        <v>77480.46307</v>
      </c>
    </row>
    <row r="516">
      <c r="A516" s="3"/>
      <c r="O516" s="6">
        <f t="shared" si="3"/>
        <v>0.515</v>
      </c>
      <c r="P516" s="10">
        <f t="shared" si="1"/>
        <v>77660.82879</v>
      </c>
    </row>
    <row r="517">
      <c r="A517" s="3"/>
      <c r="O517" s="6">
        <f t="shared" si="3"/>
        <v>0.516</v>
      </c>
      <c r="P517" s="10">
        <f t="shared" si="1"/>
        <v>77841.63145</v>
      </c>
    </row>
    <row r="518">
      <c r="A518" s="3"/>
      <c r="O518" s="6">
        <f t="shared" si="3"/>
        <v>0.517</v>
      </c>
      <c r="P518" s="10">
        <f t="shared" si="1"/>
        <v>78022.87329</v>
      </c>
    </row>
    <row r="519">
      <c r="A519" s="3"/>
      <c r="O519" s="6">
        <f t="shared" si="3"/>
        <v>0.518</v>
      </c>
      <c r="P519" s="10">
        <f t="shared" si="1"/>
        <v>78204.55658</v>
      </c>
    </row>
    <row r="520">
      <c r="A520" s="3"/>
      <c r="O520" s="6">
        <f t="shared" si="3"/>
        <v>0.519</v>
      </c>
      <c r="P520" s="10">
        <f t="shared" si="1"/>
        <v>78386.68359</v>
      </c>
    </row>
    <row r="521">
      <c r="A521" s="3"/>
      <c r="O521" s="6">
        <f t="shared" si="3"/>
        <v>0.52</v>
      </c>
      <c r="P521" s="10">
        <f t="shared" si="1"/>
        <v>78569.25659</v>
      </c>
    </row>
    <row r="522">
      <c r="A522" s="3"/>
      <c r="O522" s="6">
        <f t="shared" si="3"/>
        <v>0.521</v>
      </c>
      <c r="P522" s="10">
        <f t="shared" si="1"/>
        <v>78752.2779</v>
      </c>
    </row>
    <row r="523">
      <c r="A523" s="3"/>
      <c r="O523" s="6">
        <f t="shared" si="3"/>
        <v>0.522</v>
      </c>
      <c r="P523" s="10">
        <f t="shared" si="1"/>
        <v>78935.74982</v>
      </c>
    </row>
    <row r="524">
      <c r="A524" s="3"/>
      <c r="O524" s="6">
        <f t="shared" si="3"/>
        <v>0.523</v>
      </c>
      <c r="P524" s="10">
        <f t="shared" si="1"/>
        <v>79119.67469</v>
      </c>
    </row>
    <row r="525">
      <c r="A525" s="3"/>
      <c r="O525" s="6">
        <f t="shared" si="3"/>
        <v>0.524</v>
      </c>
      <c r="P525" s="10">
        <f t="shared" si="1"/>
        <v>79304.05484</v>
      </c>
    </row>
    <row r="526">
      <c r="A526" s="3"/>
      <c r="O526" s="6">
        <f t="shared" si="3"/>
        <v>0.525</v>
      </c>
      <c r="P526" s="10">
        <f t="shared" si="1"/>
        <v>79488.89264</v>
      </c>
    </row>
    <row r="527">
      <c r="A527" s="3"/>
      <c r="O527" s="6">
        <f t="shared" si="3"/>
        <v>0.526</v>
      </c>
      <c r="P527" s="10">
        <f t="shared" si="1"/>
        <v>79674.19047</v>
      </c>
    </row>
    <row r="528">
      <c r="A528" s="3"/>
      <c r="O528" s="6">
        <f t="shared" si="3"/>
        <v>0.527</v>
      </c>
      <c r="P528" s="10">
        <f t="shared" si="1"/>
        <v>79859.95072</v>
      </c>
    </row>
    <row r="529">
      <c r="A529" s="3"/>
      <c r="O529" s="6">
        <f t="shared" si="3"/>
        <v>0.528</v>
      </c>
      <c r="P529" s="10">
        <f t="shared" si="1"/>
        <v>80046.17579</v>
      </c>
    </row>
    <row r="530">
      <c r="A530" s="3"/>
      <c r="O530" s="6">
        <f t="shared" si="3"/>
        <v>0.529</v>
      </c>
      <c r="P530" s="10">
        <f t="shared" si="1"/>
        <v>80232.8681</v>
      </c>
    </row>
    <row r="531">
      <c r="A531" s="3"/>
      <c r="O531" s="6">
        <f t="shared" si="3"/>
        <v>0.53</v>
      </c>
      <c r="P531" s="10">
        <f t="shared" si="1"/>
        <v>80420.0301</v>
      </c>
    </row>
    <row r="532">
      <c r="A532" s="3"/>
      <c r="O532" s="6">
        <f t="shared" si="3"/>
        <v>0.531</v>
      </c>
      <c r="P532" s="10">
        <f t="shared" si="1"/>
        <v>80607.66424</v>
      </c>
    </row>
    <row r="533">
      <c r="A533" s="3"/>
      <c r="O533" s="6">
        <f t="shared" si="3"/>
        <v>0.532</v>
      </c>
      <c r="P533" s="10">
        <f t="shared" si="1"/>
        <v>80795.77299</v>
      </c>
    </row>
    <row r="534">
      <c r="A534" s="3"/>
      <c r="O534" s="6">
        <f t="shared" si="3"/>
        <v>0.533</v>
      </c>
      <c r="P534" s="10">
        <f t="shared" si="1"/>
        <v>80984.35883</v>
      </c>
    </row>
    <row r="535">
      <c r="A535" s="3"/>
      <c r="O535" s="6">
        <f t="shared" si="3"/>
        <v>0.534</v>
      </c>
      <c r="P535" s="10">
        <f t="shared" si="1"/>
        <v>81173.42428</v>
      </c>
    </row>
    <row r="536">
      <c r="A536" s="3"/>
      <c r="O536" s="6">
        <f t="shared" si="3"/>
        <v>0.535</v>
      </c>
      <c r="P536" s="10">
        <f t="shared" si="1"/>
        <v>81362.97186</v>
      </c>
    </row>
    <row r="537">
      <c r="A537" s="3"/>
      <c r="O537" s="6">
        <f t="shared" si="3"/>
        <v>0.536</v>
      </c>
      <c r="P537" s="10">
        <f t="shared" si="1"/>
        <v>81553.00409</v>
      </c>
    </row>
    <row r="538">
      <c r="A538" s="3"/>
      <c r="O538" s="6">
        <f t="shared" si="3"/>
        <v>0.537</v>
      </c>
      <c r="P538" s="10">
        <f t="shared" si="1"/>
        <v>81743.52354</v>
      </c>
    </row>
    <row r="539">
      <c r="A539" s="3"/>
      <c r="O539" s="6">
        <f t="shared" si="3"/>
        <v>0.538</v>
      </c>
      <c r="P539" s="10">
        <f t="shared" si="1"/>
        <v>81934.53278</v>
      </c>
    </row>
    <row r="540">
      <c r="A540" s="3"/>
      <c r="O540" s="6">
        <f t="shared" si="3"/>
        <v>0.539</v>
      </c>
      <c r="P540" s="10">
        <f t="shared" si="1"/>
        <v>82126.0344</v>
      </c>
    </row>
    <row r="541">
      <c r="A541" s="3"/>
      <c r="O541" s="6">
        <f t="shared" si="3"/>
        <v>0.54</v>
      </c>
      <c r="P541" s="10">
        <f t="shared" si="1"/>
        <v>82318.03101</v>
      </c>
    </row>
    <row r="542">
      <c r="A542" s="3"/>
      <c r="O542" s="6">
        <f t="shared" si="3"/>
        <v>0.541</v>
      </c>
      <c r="P542" s="10">
        <f t="shared" si="1"/>
        <v>82510.52523</v>
      </c>
    </row>
    <row r="543">
      <c r="A543" s="3"/>
      <c r="O543" s="6">
        <f t="shared" si="3"/>
        <v>0.542</v>
      </c>
      <c r="P543" s="10">
        <f t="shared" si="1"/>
        <v>82703.5197</v>
      </c>
    </row>
    <row r="544">
      <c r="A544" s="3"/>
      <c r="O544" s="6">
        <f t="shared" si="3"/>
        <v>0.543</v>
      </c>
      <c r="P544" s="10">
        <f t="shared" si="1"/>
        <v>82897.01709</v>
      </c>
    </row>
    <row r="545">
      <c r="A545" s="3"/>
      <c r="O545" s="6">
        <f t="shared" si="3"/>
        <v>0.544</v>
      </c>
      <c r="P545" s="10">
        <f t="shared" si="1"/>
        <v>83091.02007</v>
      </c>
    </row>
    <row r="546">
      <c r="A546" s="3"/>
      <c r="O546" s="6">
        <f t="shared" si="3"/>
        <v>0.545</v>
      </c>
      <c r="P546" s="10">
        <f t="shared" si="1"/>
        <v>83285.53134</v>
      </c>
    </row>
    <row r="547">
      <c r="A547" s="3"/>
      <c r="O547" s="6">
        <f t="shared" si="3"/>
        <v>0.546</v>
      </c>
      <c r="P547" s="10">
        <f t="shared" si="1"/>
        <v>83480.55363</v>
      </c>
    </row>
    <row r="548">
      <c r="A548" s="3"/>
      <c r="O548" s="6">
        <f t="shared" si="3"/>
        <v>0.547</v>
      </c>
      <c r="P548" s="10">
        <f t="shared" si="1"/>
        <v>83676.08966</v>
      </c>
    </row>
    <row r="549">
      <c r="A549" s="3"/>
      <c r="O549" s="6">
        <f t="shared" si="3"/>
        <v>0.548</v>
      </c>
      <c r="P549" s="10">
        <f t="shared" si="1"/>
        <v>83872.14219</v>
      </c>
    </row>
    <row r="550">
      <c r="A550" s="3"/>
      <c r="O550" s="6">
        <f t="shared" si="3"/>
        <v>0.549</v>
      </c>
      <c r="P550" s="10">
        <f t="shared" si="1"/>
        <v>84068.714</v>
      </c>
    </row>
    <row r="551">
      <c r="A551" s="3"/>
      <c r="O551" s="6">
        <f t="shared" si="3"/>
        <v>0.55</v>
      </c>
      <c r="P551" s="10">
        <f t="shared" si="1"/>
        <v>84265.80787</v>
      </c>
    </row>
    <row r="552">
      <c r="A552" s="3"/>
      <c r="O552" s="6">
        <f t="shared" si="3"/>
        <v>0.551</v>
      </c>
      <c r="P552" s="10">
        <f t="shared" si="1"/>
        <v>84463.42661</v>
      </c>
    </row>
    <row r="553">
      <c r="A553" s="3"/>
      <c r="O553" s="6">
        <f t="shared" si="3"/>
        <v>0.552</v>
      </c>
      <c r="P553" s="10">
        <f t="shared" si="1"/>
        <v>84661.57307</v>
      </c>
    </row>
    <row r="554">
      <c r="A554" s="3"/>
      <c r="O554" s="6">
        <f t="shared" si="3"/>
        <v>0.553</v>
      </c>
      <c r="P554" s="10">
        <f t="shared" si="1"/>
        <v>84860.2501</v>
      </c>
    </row>
    <row r="555">
      <c r="A555" s="3"/>
      <c r="O555" s="6">
        <f t="shared" si="3"/>
        <v>0.554</v>
      </c>
      <c r="P555" s="10">
        <f t="shared" si="1"/>
        <v>85059.46055</v>
      </c>
    </row>
    <row r="556">
      <c r="A556" s="3"/>
      <c r="O556" s="6">
        <f t="shared" si="3"/>
        <v>0.555</v>
      </c>
      <c r="P556" s="10">
        <f t="shared" si="1"/>
        <v>85259.20734</v>
      </c>
    </row>
    <row r="557">
      <c r="A557" s="3"/>
      <c r="O557" s="6">
        <f t="shared" si="3"/>
        <v>0.556</v>
      </c>
      <c r="P557" s="10">
        <f t="shared" si="1"/>
        <v>85459.49337</v>
      </c>
    </row>
    <row r="558">
      <c r="A558" s="3"/>
      <c r="O558" s="6">
        <f t="shared" si="3"/>
        <v>0.557</v>
      </c>
      <c r="P558" s="10">
        <f t="shared" si="1"/>
        <v>85660.32157</v>
      </c>
    </row>
    <row r="559">
      <c r="A559" s="3"/>
      <c r="O559" s="6">
        <f t="shared" si="3"/>
        <v>0.558</v>
      </c>
      <c r="P559" s="10">
        <f t="shared" si="1"/>
        <v>85861.6949</v>
      </c>
    </row>
    <row r="560">
      <c r="A560" s="3"/>
      <c r="O560" s="6">
        <f t="shared" si="3"/>
        <v>0.559</v>
      </c>
      <c r="P560" s="10">
        <f t="shared" si="1"/>
        <v>86063.61634</v>
      </c>
    </row>
    <row r="561">
      <c r="A561" s="3"/>
      <c r="O561" s="6">
        <f t="shared" si="3"/>
        <v>0.56</v>
      </c>
      <c r="P561" s="10">
        <f t="shared" si="1"/>
        <v>86266.08888</v>
      </c>
    </row>
    <row r="562">
      <c r="A562" s="3"/>
      <c r="O562" s="6">
        <f t="shared" si="3"/>
        <v>0.561</v>
      </c>
      <c r="P562" s="10">
        <f t="shared" si="1"/>
        <v>86469.11555</v>
      </c>
    </row>
    <row r="563">
      <c r="A563" s="3"/>
      <c r="O563" s="6">
        <f t="shared" si="3"/>
        <v>0.562</v>
      </c>
      <c r="P563" s="10">
        <f t="shared" si="1"/>
        <v>86672.69937</v>
      </c>
    </row>
    <row r="564">
      <c r="A564" s="3"/>
      <c r="O564" s="6">
        <f t="shared" si="3"/>
        <v>0.563</v>
      </c>
      <c r="P564" s="10">
        <f t="shared" si="1"/>
        <v>86876.84343</v>
      </c>
    </row>
    <row r="565">
      <c r="A565" s="3"/>
      <c r="O565" s="6">
        <f t="shared" si="3"/>
        <v>0.564</v>
      </c>
      <c r="P565" s="10">
        <f t="shared" si="1"/>
        <v>87081.55079</v>
      </c>
    </row>
    <row r="566">
      <c r="A566" s="3"/>
      <c r="O566" s="6">
        <f t="shared" si="3"/>
        <v>0.565</v>
      </c>
      <c r="P566" s="10">
        <f t="shared" si="1"/>
        <v>87286.82458</v>
      </c>
    </row>
    <row r="567">
      <c r="A567" s="3"/>
      <c r="O567" s="6">
        <f t="shared" si="3"/>
        <v>0.566</v>
      </c>
      <c r="P567" s="10">
        <f t="shared" si="1"/>
        <v>87492.66791</v>
      </c>
    </row>
    <row r="568">
      <c r="A568" s="3"/>
      <c r="O568" s="6">
        <f t="shared" si="3"/>
        <v>0.567</v>
      </c>
      <c r="P568" s="10">
        <f t="shared" si="1"/>
        <v>87699.08394</v>
      </c>
    </row>
    <row r="569">
      <c r="A569" s="3"/>
      <c r="O569" s="6">
        <f t="shared" si="3"/>
        <v>0.568</v>
      </c>
      <c r="P569" s="10">
        <f t="shared" si="1"/>
        <v>87906.07585</v>
      </c>
    </row>
    <row r="570">
      <c r="A570" s="3"/>
      <c r="O570" s="6">
        <f t="shared" si="3"/>
        <v>0.569</v>
      </c>
      <c r="P570" s="10">
        <f t="shared" si="1"/>
        <v>88113.64684</v>
      </c>
    </row>
    <row r="571">
      <c r="A571" s="3"/>
      <c r="O571" s="6">
        <f t="shared" si="3"/>
        <v>0.57</v>
      </c>
      <c r="P571" s="10">
        <f t="shared" si="1"/>
        <v>88321.80013</v>
      </c>
    </row>
    <row r="572">
      <c r="A572" s="3"/>
      <c r="O572" s="6">
        <f t="shared" si="3"/>
        <v>0.571</v>
      </c>
      <c r="P572" s="10">
        <f t="shared" si="1"/>
        <v>88530.53896</v>
      </c>
    </row>
    <row r="573">
      <c r="A573" s="3"/>
      <c r="O573" s="6">
        <f t="shared" si="3"/>
        <v>0.572</v>
      </c>
      <c r="P573" s="10">
        <f t="shared" si="1"/>
        <v>88739.86662</v>
      </c>
    </row>
    <row r="574">
      <c r="A574" s="3"/>
      <c r="O574" s="6">
        <f t="shared" si="3"/>
        <v>0.573</v>
      </c>
      <c r="P574" s="10">
        <f t="shared" si="1"/>
        <v>88949.78638</v>
      </c>
    </row>
    <row r="575">
      <c r="A575" s="3"/>
      <c r="O575" s="6">
        <f t="shared" si="3"/>
        <v>0.574</v>
      </c>
      <c r="P575" s="10">
        <f t="shared" si="1"/>
        <v>89160.30158</v>
      </c>
    </row>
    <row r="576">
      <c r="A576" s="3"/>
      <c r="O576" s="6">
        <f t="shared" si="3"/>
        <v>0.575</v>
      </c>
      <c r="P576" s="10">
        <f t="shared" si="1"/>
        <v>89371.41556</v>
      </c>
    </row>
    <row r="577">
      <c r="A577" s="3"/>
      <c r="O577" s="6">
        <f t="shared" si="3"/>
        <v>0.576</v>
      </c>
      <c r="P577" s="10">
        <f t="shared" si="1"/>
        <v>89583.13168</v>
      </c>
    </row>
    <row r="578">
      <c r="A578" s="3"/>
      <c r="O578" s="6">
        <f t="shared" si="3"/>
        <v>0.577</v>
      </c>
      <c r="P578" s="10">
        <f t="shared" si="1"/>
        <v>89795.45335</v>
      </c>
    </row>
    <row r="579">
      <c r="A579" s="3"/>
      <c r="O579" s="6">
        <f t="shared" si="3"/>
        <v>0.578</v>
      </c>
      <c r="P579" s="10">
        <f t="shared" si="1"/>
        <v>90008.38398</v>
      </c>
    </row>
    <row r="580">
      <c r="A580" s="3"/>
      <c r="O580" s="6">
        <f t="shared" si="3"/>
        <v>0.579</v>
      </c>
      <c r="P580" s="10">
        <f t="shared" si="1"/>
        <v>90221.92702</v>
      </c>
    </row>
    <row r="581">
      <c r="A581" s="3"/>
      <c r="O581" s="6">
        <f t="shared" si="3"/>
        <v>0.58</v>
      </c>
      <c r="P581" s="10">
        <f t="shared" si="1"/>
        <v>90436.08595</v>
      </c>
    </row>
    <row r="582">
      <c r="A582" s="3"/>
      <c r="O582" s="6">
        <f t="shared" si="3"/>
        <v>0.581</v>
      </c>
      <c r="P582" s="10">
        <f t="shared" si="1"/>
        <v>90650.86425</v>
      </c>
    </row>
    <row r="583">
      <c r="A583" s="3"/>
      <c r="O583" s="6">
        <f t="shared" si="3"/>
        <v>0.582</v>
      </c>
      <c r="P583" s="10">
        <f t="shared" si="1"/>
        <v>90866.26546</v>
      </c>
    </row>
    <row r="584">
      <c r="A584" s="3"/>
      <c r="O584" s="6">
        <f t="shared" si="3"/>
        <v>0.583</v>
      </c>
      <c r="P584" s="10">
        <f t="shared" si="1"/>
        <v>91082.29313</v>
      </c>
    </row>
    <row r="585">
      <c r="A585" s="3"/>
      <c r="O585" s="6">
        <f t="shared" si="3"/>
        <v>0.584</v>
      </c>
      <c r="P585" s="10">
        <f t="shared" si="1"/>
        <v>91298.95084</v>
      </c>
    </row>
    <row r="586">
      <c r="A586" s="3"/>
      <c r="O586" s="6">
        <f t="shared" si="3"/>
        <v>0.585</v>
      </c>
      <c r="P586" s="10">
        <f t="shared" si="1"/>
        <v>91516.2422</v>
      </c>
    </row>
    <row r="587">
      <c r="A587" s="3"/>
      <c r="O587" s="6">
        <f t="shared" si="3"/>
        <v>0.586</v>
      </c>
      <c r="P587" s="10">
        <f t="shared" si="1"/>
        <v>91734.17084</v>
      </c>
    </row>
    <row r="588">
      <c r="A588" s="3"/>
      <c r="O588" s="6">
        <f t="shared" si="3"/>
        <v>0.587</v>
      </c>
      <c r="P588" s="10">
        <f t="shared" si="1"/>
        <v>91952.74042</v>
      </c>
    </row>
    <row r="589">
      <c r="A589" s="3"/>
      <c r="O589" s="6">
        <f t="shared" si="3"/>
        <v>0.588</v>
      </c>
      <c r="P589" s="10">
        <f t="shared" si="1"/>
        <v>92171.95464</v>
      </c>
    </row>
    <row r="590">
      <c r="A590" s="3"/>
      <c r="O590" s="6">
        <f t="shared" si="3"/>
        <v>0.589</v>
      </c>
      <c r="P590" s="10">
        <f t="shared" si="1"/>
        <v>92391.81722</v>
      </c>
    </row>
    <row r="591">
      <c r="A591" s="3"/>
      <c r="O591" s="6">
        <f t="shared" si="3"/>
        <v>0.59</v>
      </c>
      <c r="P591" s="10">
        <f t="shared" si="1"/>
        <v>92612.3319</v>
      </c>
    </row>
    <row r="592">
      <c r="A592" s="3"/>
      <c r="O592" s="6">
        <f t="shared" si="3"/>
        <v>0.591</v>
      </c>
      <c r="P592" s="10">
        <f t="shared" si="1"/>
        <v>92833.50247</v>
      </c>
    </row>
    <row r="593">
      <c r="A593" s="3"/>
      <c r="O593" s="6">
        <f t="shared" si="3"/>
        <v>0.592</v>
      </c>
      <c r="P593" s="10">
        <f t="shared" si="1"/>
        <v>93055.33273</v>
      </c>
    </row>
    <row r="594">
      <c r="A594" s="3"/>
      <c r="O594" s="6">
        <f t="shared" si="3"/>
        <v>0.593</v>
      </c>
      <c r="P594" s="10">
        <f t="shared" si="1"/>
        <v>93277.82652</v>
      </c>
    </row>
    <row r="595">
      <c r="A595" s="3"/>
      <c r="O595" s="6">
        <f t="shared" si="3"/>
        <v>0.594</v>
      </c>
      <c r="P595" s="10">
        <f t="shared" si="1"/>
        <v>93500.98771</v>
      </c>
    </row>
    <row r="596">
      <c r="A596" s="3"/>
      <c r="O596" s="6">
        <f t="shared" si="3"/>
        <v>0.595</v>
      </c>
      <c r="P596" s="10">
        <f t="shared" si="1"/>
        <v>93724.82019</v>
      </c>
    </row>
    <row r="597">
      <c r="A597" s="3"/>
      <c r="O597" s="6">
        <f t="shared" si="3"/>
        <v>0.596</v>
      </c>
      <c r="P597" s="10">
        <f t="shared" si="1"/>
        <v>93949.32791</v>
      </c>
    </row>
    <row r="598">
      <c r="A598" s="3"/>
      <c r="O598" s="6">
        <f t="shared" si="3"/>
        <v>0.597</v>
      </c>
      <c r="P598" s="10">
        <f t="shared" si="1"/>
        <v>94174.51481</v>
      </c>
    </row>
    <row r="599">
      <c r="A599" s="3"/>
      <c r="O599" s="6">
        <f t="shared" si="3"/>
        <v>0.598</v>
      </c>
      <c r="P599" s="10">
        <f t="shared" si="1"/>
        <v>94400.38488</v>
      </c>
    </row>
    <row r="600">
      <c r="A600" s="3"/>
      <c r="O600" s="6">
        <f t="shared" si="3"/>
        <v>0.599</v>
      </c>
      <c r="P600" s="10">
        <f t="shared" si="1"/>
        <v>94626.94217</v>
      </c>
    </row>
    <row r="601">
      <c r="A601" s="3"/>
      <c r="O601" s="6">
        <f t="shared" si="3"/>
        <v>0.6</v>
      </c>
      <c r="P601" s="10">
        <f t="shared" si="1"/>
        <v>94854.19071</v>
      </c>
    </row>
    <row r="602">
      <c r="A602" s="3"/>
      <c r="O602" s="6">
        <f t="shared" si="3"/>
        <v>0.601</v>
      </c>
      <c r="P602" s="10">
        <f t="shared" si="1"/>
        <v>95082.1346</v>
      </c>
    </row>
    <row r="603">
      <c r="A603" s="3"/>
      <c r="O603" s="6">
        <f t="shared" si="3"/>
        <v>0.602</v>
      </c>
      <c r="P603" s="10">
        <f t="shared" si="1"/>
        <v>95310.77796</v>
      </c>
    </row>
    <row r="604">
      <c r="A604" s="3"/>
      <c r="O604" s="6">
        <f t="shared" si="3"/>
        <v>0.603</v>
      </c>
      <c r="P604" s="10">
        <f t="shared" si="1"/>
        <v>95540.12495</v>
      </c>
    </row>
    <row r="605">
      <c r="A605" s="3"/>
      <c r="O605" s="6">
        <f t="shared" si="3"/>
        <v>0.604</v>
      </c>
      <c r="P605" s="10">
        <f t="shared" si="1"/>
        <v>95770.17975</v>
      </c>
    </row>
    <row r="606">
      <c r="A606" s="3"/>
      <c r="O606" s="6">
        <f t="shared" si="3"/>
        <v>0.605</v>
      </c>
      <c r="P606" s="10">
        <f t="shared" si="1"/>
        <v>96000.94659</v>
      </c>
    </row>
    <row r="607">
      <c r="A607" s="3"/>
      <c r="O607" s="6">
        <f t="shared" si="3"/>
        <v>0.606</v>
      </c>
      <c r="P607" s="10">
        <f t="shared" si="1"/>
        <v>96232.42972</v>
      </c>
    </row>
    <row r="608">
      <c r="A608" s="3"/>
      <c r="O608" s="6">
        <f t="shared" si="3"/>
        <v>0.607</v>
      </c>
      <c r="P608" s="10">
        <f t="shared" si="1"/>
        <v>96464.63344</v>
      </c>
    </row>
    <row r="609">
      <c r="A609" s="3"/>
      <c r="O609" s="6">
        <f t="shared" si="3"/>
        <v>0.608</v>
      </c>
      <c r="P609" s="10">
        <f t="shared" si="1"/>
        <v>96697.56206</v>
      </c>
    </row>
    <row r="610">
      <c r="A610" s="3"/>
      <c r="O610" s="6">
        <f t="shared" si="3"/>
        <v>0.609</v>
      </c>
      <c r="P610" s="10">
        <f t="shared" si="1"/>
        <v>96931.21997</v>
      </c>
    </row>
    <row r="611">
      <c r="A611" s="3"/>
      <c r="O611" s="6">
        <f t="shared" si="3"/>
        <v>0.61</v>
      </c>
      <c r="P611" s="10">
        <f t="shared" si="1"/>
        <v>97165.61154</v>
      </c>
    </row>
    <row r="612">
      <c r="A612" s="3"/>
      <c r="O612" s="6">
        <f t="shared" si="3"/>
        <v>0.611</v>
      </c>
      <c r="P612" s="10">
        <f t="shared" si="1"/>
        <v>97400.74123</v>
      </c>
    </row>
    <row r="613">
      <c r="A613" s="3"/>
      <c r="O613" s="6">
        <f t="shared" si="3"/>
        <v>0.612</v>
      </c>
      <c r="P613" s="10">
        <f t="shared" si="1"/>
        <v>97636.61349</v>
      </c>
    </row>
    <row r="614">
      <c r="A614" s="3"/>
      <c r="O614" s="6">
        <f t="shared" si="3"/>
        <v>0.613</v>
      </c>
      <c r="P614" s="10">
        <f t="shared" si="1"/>
        <v>97873.23284</v>
      </c>
    </row>
    <row r="615">
      <c r="A615" s="3"/>
      <c r="O615" s="6">
        <f t="shared" si="3"/>
        <v>0.614</v>
      </c>
      <c r="P615" s="10">
        <f t="shared" si="1"/>
        <v>98110.60382</v>
      </c>
    </row>
    <row r="616">
      <c r="A616" s="3"/>
      <c r="O616" s="6">
        <f t="shared" si="3"/>
        <v>0.615</v>
      </c>
      <c r="P616" s="10">
        <f t="shared" si="1"/>
        <v>98348.73102</v>
      </c>
    </row>
    <row r="617">
      <c r="A617" s="3"/>
      <c r="O617" s="6">
        <f t="shared" si="3"/>
        <v>0.616</v>
      </c>
      <c r="P617" s="10">
        <f t="shared" si="1"/>
        <v>98587.61905</v>
      </c>
    </row>
    <row r="618">
      <c r="A618" s="3"/>
      <c r="O618" s="6">
        <f t="shared" si="3"/>
        <v>0.617</v>
      </c>
      <c r="P618" s="10">
        <f t="shared" si="1"/>
        <v>98827.27259</v>
      </c>
    </row>
    <row r="619">
      <c r="A619" s="3"/>
      <c r="O619" s="6">
        <f t="shared" si="3"/>
        <v>0.618</v>
      </c>
      <c r="P619" s="10">
        <f t="shared" si="1"/>
        <v>99067.69632</v>
      </c>
    </row>
    <row r="620">
      <c r="A620" s="3"/>
      <c r="O620" s="6">
        <f t="shared" si="3"/>
        <v>0.619</v>
      </c>
      <c r="P620" s="10">
        <f t="shared" si="1"/>
        <v>99308.89499</v>
      </c>
    </row>
    <row r="621">
      <c r="A621" s="3"/>
      <c r="O621" s="6">
        <f t="shared" si="3"/>
        <v>0.62</v>
      </c>
      <c r="P621" s="10">
        <f t="shared" si="1"/>
        <v>99550.87339</v>
      </c>
    </row>
    <row r="622">
      <c r="A622" s="3"/>
      <c r="O622" s="6">
        <f t="shared" si="3"/>
        <v>0.621</v>
      </c>
      <c r="P622" s="10">
        <f t="shared" si="1"/>
        <v>99793.63631</v>
      </c>
    </row>
    <row r="623">
      <c r="A623" s="3"/>
      <c r="O623" s="6">
        <f t="shared" si="3"/>
        <v>0.622</v>
      </c>
      <c r="P623" s="10">
        <f t="shared" si="1"/>
        <v>100037.1886</v>
      </c>
    </row>
    <row r="624">
      <c r="A624" s="3"/>
      <c r="O624" s="6">
        <f t="shared" si="3"/>
        <v>0.623</v>
      </c>
      <c r="P624" s="10">
        <f t="shared" si="1"/>
        <v>100281.5353</v>
      </c>
    </row>
    <row r="625">
      <c r="A625" s="3"/>
      <c r="O625" s="6">
        <f t="shared" si="3"/>
        <v>0.624</v>
      </c>
      <c r="P625" s="10">
        <f t="shared" si="1"/>
        <v>100526.6812</v>
      </c>
    </row>
    <row r="626">
      <c r="A626" s="3"/>
      <c r="O626" s="6">
        <f t="shared" si="3"/>
        <v>0.625</v>
      </c>
      <c r="P626" s="10">
        <f t="shared" si="1"/>
        <v>100772.6313</v>
      </c>
    </row>
    <row r="627">
      <c r="A627" s="3"/>
      <c r="O627" s="6">
        <f t="shared" si="3"/>
        <v>0.626</v>
      </c>
      <c r="P627" s="10">
        <f t="shared" si="1"/>
        <v>101019.3907</v>
      </c>
    </row>
    <row r="628">
      <c r="A628" s="3"/>
      <c r="O628" s="6">
        <f t="shared" si="3"/>
        <v>0.627</v>
      </c>
      <c r="P628" s="10">
        <f t="shared" si="1"/>
        <v>101266.9644</v>
      </c>
    </row>
    <row r="629">
      <c r="A629" s="3"/>
      <c r="O629" s="6">
        <f t="shared" si="3"/>
        <v>0.628</v>
      </c>
      <c r="P629" s="10">
        <f t="shared" si="1"/>
        <v>101515.3576</v>
      </c>
    </row>
    <row r="630">
      <c r="A630" s="3"/>
      <c r="O630" s="6">
        <f t="shared" si="3"/>
        <v>0.629</v>
      </c>
      <c r="P630" s="10">
        <f t="shared" si="1"/>
        <v>101764.5753</v>
      </c>
    </row>
    <row r="631">
      <c r="A631" s="3"/>
      <c r="O631" s="6">
        <f t="shared" si="3"/>
        <v>0.63</v>
      </c>
      <c r="P631" s="10">
        <f t="shared" si="1"/>
        <v>102014.623</v>
      </c>
    </row>
    <row r="632">
      <c r="A632" s="3"/>
      <c r="O632" s="6">
        <f t="shared" si="3"/>
        <v>0.631</v>
      </c>
      <c r="P632" s="10">
        <f t="shared" si="1"/>
        <v>102265.5057</v>
      </c>
    </row>
    <row r="633">
      <c r="A633" s="3"/>
      <c r="O633" s="6">
        <f t="shared" si="3"/>
        <v>0.632</v>
      </c>
      <c r="P633" s="10">
        <f t="shared" si="1"/>
        <v>102517.2287</v>
      </c>
    </row>
    <row r="634">
      <c r="A634" s="3"/>
      <c r="O634" s="6">
        <f t="shared" si="3"/>
        <v>0.633</v>
      </c>
      <c r="P634" s="10">
        <f t="shared" si="1"/>
        <v>102769.7975</v>
      </c>
    </row>
    <row r="635">
      <c r="A635" s="3"/>
      <c r="O635" s="6">
        <f t="shared" si="3"/>
        <v>0.634</v>
      </c>
      <c r="P635" s="10">
        <f t="shared" si="1"/>
        <v>103023.2174</v>
      </c>
    </row>
    <row r="636">
      <c r="A636" s="3"/>
      <c r="O636" s="6">
        <f t="shared" si="3"/>
        <v>0.635</v>
      </c>
      <c r="P636" s="10">
        <f t="shared" si="1"/>
        <v>103277.4939</v>
      </c>
    </row>
    <row r="637">
      <c r="A637" s="3"/>
      <c r="O637" s="6">
        <f t="shared" si="3"/>
        <v>0.636</v>
      </c>
      <c r="P637" s="10">
        <f t="shared" si="1"/>
        <v>103532.6324</v>
      </c>
    </row>
    <row r="638">
      <c r="A638" s="3"/>
      <c r="O638" s="6">
        <f t="shared" si="3"/>
        <v>0.637</v>
      </c>
      <c r="P638" s="10">
        <f t="shared" si="1"/>
        <v>103788.6384</v>
      </c>
    </row>
    <row r="639">
      <c r="A639" s="3"/>
      <c r="O639" s="6">
        <f t="shared" si="3"/>
        <v>0.638</v>
      </c>
      <c r="P639" s="10">
        <f t="shared" si="1"/>
        <v>104045.5177</v>
      </c>
    </row>
    <row r="640">
      <c r="A640" s="3"/>
      <c r="O640" s="6">
        <f t="shared" si="3"/>
        <v>0.639</v>
      </c>
      <c r="P640" s="10">
        <f t="shared" si="1"/>
        <v>104303.2757</v>
      </c>
    </row>
    <row r="641">
      <c r="A641" s="3"/>
      <c r="O641" s="6">
        <f t="shared" si="3"/>
        <v>0.64</v>
      </c>
      <c r="P641" s="10">
        <f t="shared" si="1"/>
        <v>104561.9182</v>
      </c>
    </row>
    <row r="642">
      <c r="A642" s="3"/>
      <c r="O642" s="6">
        <f t="shared" si="3"/>
        <v>0.641</v>
      </c>
      <c r="P642" s="10">
        <f t="shared" si="1"/>
        <v>104821.4509</v>
      </c>
    </row>
    <row r="643">
      <c r="A643" s="3"/>
      <c r="O643" s="6">
        <f t="shared" si="3"/>
        <v>0.642</v>
      </c>
      <c r="P643" s="10">
        <f t="shared" si="1"/>
        <v>105081.8797</v>
      </c>
    </row>
    <row r="644">
      <c r="A644" s="3"/>
      <c r="O644" s="6">
        <f t="shared" si="3"/>
        <v>0.643</v>
      </c>
      <c r="P644" s="10">
        <f t="shared" si="1"/>
        <v>105343.2103</v>
      </c>
    </row>
    <row r="645">
      <c r="A645" s="3"/>
      <c r="O645" s="6">
        <f t="shared" si="3"/>
        <v>0.644</v>
      </c>
      <c r="P645" s="10">
        <f t="shared" si="1"/>
        <v>105605.4486</v>
      </c>
    </row>
    <row r="646">
      <c r="A646" s="3"/>
      <c r="O646" s="6">
        <f t="shared" si="3"/>
        <v>0.645</v>
      </c>
      <c r="P646" s="10">
        <f t="shared" si="1"/>
        <v>105868.6006</v>
      </c>
    </row>
    <row r="647">
      <c r="A647" s="3"/>
      <c r="O647" s="6">
        <f t="shared" si="3"/>
        <v>0.646</v>
      </c>
      <c r="P647" s="10">
        <f t="shared" si="1"/>
        <v>106132.6723</v>
      </c>
    </row>
    <row r="648">
      <c r="A648" s="3"/>
      <c r="O648" s="6">
        <f t="shared" si="3"/>
        <v>0.647</v>
      </c>
      <c r="P648" s="10">
        <f t="shared" si="1"/>
        <v>106397.6698</v>
      </c>
    </row>
    <row r="649">
      <c r="A649" s="3"/>
      <c r="O649" s="6">
        <f t="shared" si="3"/>
        <v>0.648</v>
      </c>
      <c r="P649" s="10">
        <f t="shared" si="1"/>
        <v>106663.5991</v>
      </c>
    </row>
    <row r="650">
      <c r="A650" s="3"/>
      <c r="O650" s="6">
        <f t="shared" si="3"/>
        <v>0.649</v>
      </c>
      <c r="P650" s="10">
        <f t="shared" si="1"/>
        <v>106930.4665</v>
      </c>
    </row>
    <row r="651">
      <c r="A651" s="3"/>
      <c r="O651" s="6">
        <f t="shared" si="3"/>
        <v>0.65</v>
      </c>
      <c r="P651" s="10">
        <f t="shared" si="1"/>
        <v>107198.2781</v>
      </c>
    </row>
    <row r="652">
      <c r="A652" s="3"/>
      <c r="O652" s="6">
        <f t="shared" si="3"/>
        <v>0.651</v>
      </c>
      <c r="P652" s="10">
        <f t="shared" si="1"/>
        <v>107467.0402</v>
      </c>
    </row>
    <row r="653">
      <c r="A653" s="3"/>
      <c r="O653" s="6">
        <f t="shared" si="3"/>
        <v>0.652</v>
      </c>
      <c r="P653" s="10">
        <f t="shared" si="1"/>
        <v>107736.7593</v>
      </c>
    </row>
    <row r="654">
      <c r="A654" s="3"/>
      <c r="O654" s="6">
        <f t="shared" si="3"/>
        <v>0.653</v>
      </c>
      <c r="P654" s="10">
        <f t="shared" si="1"/>
        <v>108007.4416</v>
      </c>
    </row>
    <row r="655">
      <c r="A655" s="3"/>
      <c r="O655" s="6">
        <f t="shared" si="3"/>
        <v>0.654</v>
      </c>
      <c r="P655" s="10">
        <f t="shared" si="1"/>
        <v>108279.0936</v>
      </c>
    </row>
    <row r="656">
      <c r="A656" s="3"/>
      <c r="O656" s="6">
        <f t="shared" si="3"/>
        <v>0.655</v>
      </c>
      <c r="P656" s="10">
        <f t="shared" si="1"/>
        <v>108551.7219</v>
      </c>
    </row>
    <row r="657">
      <c r="A657" s="3"/>
      <c r="O657" s="6">
        <f t="shared" si="3"/>
        <v>0.656</v>
      </c>
      <c r="P657" s="10">
        <f t="shared" si="1"/>
        <v>108825.3331</v>
      </c>
    </row>
    <row r="658">
      <c r="A658" s="3"/>
      <c r="O658" s="6">
        <f t="shared" si="3"/>
        <v>0.657</v>
      </c>
      <c r="P658" s="10">
        <f t="shared" si="1"/>
        <v>109099.9338</v>
      </c>
    </row>
    <row r="659">
      <c r="A659" s="3"/>
      <c r="O659" s="6">
        <f t="shared" si="3"/>
        <v>0.658</v>
      </c>
      <c r="P659" s="10">
        <f t="shared" si="1"/>
        <v>109375.5306</v>
      </c>
    </row>
    <row r="660">
      <c r="A660" s="3"/>
      <c r="O660" s="6">
        <f t="shared" si="3"/>
        <v>0.659</v>
      </c>
      <c r="P660" s="10">
        <f t="shared" si="1"/>
        <v>109652.1304</v>
      </c>
    </row>
    <row r="661">
      <c r="A661" s="3"/>
      <c r="O661" s="6">
        <f t="shared" si="3"/>
        <v>0.66</v>
      </c>
      <c r="P661" s="10">
        <f t="shared" si="1"/>
        <v>109929.74</v>
      </c>
    </row>
    <row r="662">
      <c r="A662" s="3"/>
      <c r="O662" s="6">
        <f t="shared" si="3"/>
        <v>0.661</v>
      </c>
      <c r="P662" s="10">
        <f t="shared" si="1"/>
        <v>110208.3663</v>
      </c>
    </row>
    <row r="663">
      <c r="A663" s="3"/>
      <c r="O663" s="6">
        <f t="shared" si="3"/>
        <v>0.662</v>
      </c>
      <c r="P663" s="10">
        <f t="shared" si="1"/>
        <v>110488.0163</v>
      </c>
    </row>
    <row r="664">
      <c r="A664" s="3"/>
      <c r="O664" s="6">
        <f t="shared" si="3"/>
        <v>0.663</v>
      </c>
      <c r="P664" s="10">
        <f t="shared" si="1"/>
        <v>110768.697</v>
      </c>
    </row>
    <row r="665">
      <c r="A665" s="3"/>
      <c r="O665" s="6">
        <f t="shared" si="3"/>
        <v>0.664</v>
      </c>
      <c r="P665" s="10">
        <f t="shared" si="1"/>
        <v>111050.4154</v>
      </c>
    </row>
    <row r="666">
      <c r="A666" s="3"/>
      <c r="O666" s="6">
        <f t="shared" si="3"/>
        <v>0.665</v>
      </c>
      <c r="P666" s="10">
        <f t="shared" si="1"/>
        <v>111333.1789</v>
      </c>
    </row>
    <row r="667">
      <c r="A667" s="3"/>
      <c r="O667" s="6">
        <f t="shared" si="3"/>
        <v>0.666</v>
      </c>
      <c r="P667" s="10">
        <f t="shared" si="1"/>
        <v>111616.9945</v>
      </c>
    </row>
    <row r="668">
      <c r="A668" s="3"/>
      <c r="O668" s="6">
        <f t="shared" si="3"/>
        <v>0.667</v>
      </c>
      <c r="P668" s="10">
        <f t="shared" si="1"/>
        <v>111901.8697</v>
      </c>
    </row>
    <row r="669">
      <c r="A669" s="3"/>
      <c r="O669" s="6">
        <f t="shared" si="3"/>
        <v>0.668</v>
      </c>
      <c r="P669" s="10">
        <f t="shared" si="1"/>
        <v>112187.8117</v>
      </c>
    </row>
    <row r="670">
      <c r="A670" s="3"/>
      <c r="O670" s="6">
        <f t="shared" si="3"/>
        <v>0.669</v>
      </c>
      <c r="P670" s="10">
        <f t="shared" si="1"/>
        <v>112474.8281</v>
      </c>
    </row>
    <row r="671">
      <c r="A671" s="3"/>
      <c r="O671" s="6">
        <f t="shared" si="3"/>
        <v>0.67</v>
      </c>
      <c r="P671" s="10">
        <f t="shared" si="1"/>
        <v>112762.9264</v>
      </c>
    </row>
    <row r="672">
      <c r="A672" s="3"/>
      <c r="O672" s="6">
        <f t="shared" si="3"/>
        <v>0.671</v>
      </c>
      <c r="P672" s="10">
        <f t="shared" si="1"/>
        <v>113052.1141</v>
      </c>
    </row>
    <row r="673">
      <c r="A673" s="3"/>
      <c r="O673" s="6">
        <f t="shared" si="3"/>
        <v>0.672</v>
      </c>
      <c r="P673" s="10">
        <f t="shared" si="1"/>
        <v>113342.399</v>
      </c>
    </row>
    <row r="674">
      <c r="A674" s="3"/>
      <c r="O674" s="6">
        <f t="shared" si="3"/>
        <v>0.673</v>
      </c>
      <c r="P674" s="10">
        <f t="shared" si="1"/>
        <v>113633.7888</v>
      </c>
    </row>
    <row r="675">
      <c r="A675" s="3"/>
      <c r="O675" s="6">
        <f t="shared" si="3"/>
        <v>0.674</v>
      </c>
      <c r="P675" s="10">
        <f t="shared" si="1"/>
        <v>113926.2913</v>
      </c>
    </row>
    <row r="676">
      <c r="A676" s="3"/>
      <c r="O676" s="6">
        <f t="shared" si="3"/>
        <v>0.675</v>
      </c>
      <c r="P676" s="10">
        <f t="shared" si="1"/>
        <v>114219.9144</v>
      </c>
    </row>
    <row r="677">
      <c r="A677" s="3"/>
      <c r="O677" s="6">
        <f t="shared" si="3"/>
        <v>0.676</v>
      </c>
      <c r="P677" s="10">
        <f t="shared" si="1"/>
        <v>114514.6662</v>
      </c>
    </row>
    <row r="678">
      <c r="A678" s="3"/>
      <c r="O678" s="6">
        <f t="shared" si="3"/>
        <v>0.677</v>
      </c>
      <c r="P678" s="10">
        <f t="shared" si="1"/>
        <v>114810.5546</v>
      </c>
    </row>
    <row r="679">
      <c r="A679" s="3"/>
      <c r="O679" s="6">
        <f t="shared" si="3"/>
        <v>0.678</v>
      </c>
      <c r="P679" s="10">
        <f t="shared" si="1"/>
        <v>115107.5878</v>
      </c>
    </row>
    <row r="680">
      <c r="A680" s="3"/>
      <c r="O680" s="6">
        <f t="shared" si="3"/>
        <v>0.679</v>
      </c>
      <c r="P680" s="10">
        <f t="shared" si="1"/>
        <v>115405.7741</v>
      </c>
    </row>
    <row r="681">
      <c r="A681" s="3"/>
      <c r="O681" s="6">
        <f t="shared" si="3"/>
        <v>0.68</v>
      </c>
      <c r="P681" s="10">
        <f t="shared" si="1"/>
        <v>115705.1217</v>
      </c>
    </row>
    <row r="682">
      <c r="A682" s="3"/>
      <c r="O682" s="6">
        <f t="shared" si="3"/>
        <v>0.681</v>
      </c>
      <c r="P682" s="10">
        <f t="shared" si="1"/>
        <v>116005.6391</v>
      </c>
    </row>
    <row r="683">
      <c r="A683" s="3"/>
      <c r="O683" s="6">
        <f t="shared" si="3"/>
        <v>0.682</v>
      </c>
      <c r="P683" s="10">
        <f t="shared" si="1"/>
        <v>116307.3347</v>
      </c>
    </row>
    <row r="684">
      <c r="A684" s="3"/>
      <c r="O684" s="6">
        <f t="shared" si="3"/>
        <v>0.683</v>
      </c>
      <c r="P684" s="10">
        <f t="shared" si="1"/>
        <v>116610.2172</v>
      </c>
    </row>
    <row r="685">
      <c r="A685" s="3"/>
      <c r="O685" s="6">
        <f t="shared" si="3"/>
        <v>0.684</v>
      </c>
      <c r="P685" s="10">
        <f t="shared" si="1"/>
        <v>116914.295</v>
      </c>
    </row>
    <row r="686">
      <c r="A686" s="3"/>
      <c r="O686" s="6">
        <f t="shared" si="3"/>
        <v>0.685</v>
      </c>
      <c r="P686" s="10">
        <f t="shared" si="1"/>
        <v>117219.5771</v>
      </c>
    </row>
    <row r="687">
      <c r="A687" s="3"/>
      <c r="O687" s="6">
        <f t="shared" si="3"/>
        <v>0.686</v>
      </c>
      <c r="P687" s="10">
        <f t="shared" si="1"/>
        <v>117526.0722</v>
      </c>
    </row>
    <row r="688">
      <c r="A688" s="3"/>
      <c r="O688" s="6">
        <f t="shared" si="3"/>
        <v>0.687</v>
      </c>
      <c r="P688" s="10">
        <f t="shared" si="1"/>
        <v>117833.7893</v>
      </c>
    </row>
    <row r="689">
      <c r="A689" s="3"/>
      <c r="O689" s="6">
        <f t="shared" si="3"/>
        <v>0.688</v>
      </c>
      <c r="P689" s="10">
        <f t="shared" si="1"/>
        <v>118142.7373</v>
      </c>
    </row>
    <row r="690">
      <c r="A690" s="3"/>
      <c r="O690" s="6">
        <f t="shared" si="3"/>
        <v>0.689</v>
      </c>
      <c r="P690" s="10">
        <f t="shared" si="1"/>
        <v>118452.9254</v>
      </c>
    </row>
    <row r="691">
      <c r="A691" s="3"/>
      <c r="O691" s="6">
        <f t="shared" si="3"/>
        <v>0.69</v>
      </c>
      <c r="P691" s="10">
        <f t="shared" si="1"/>
        <v>118764.3629</v>
      </c>
    </row>
    <row r="692">
      <c r="A692" s="3"/>
      <c r="O692" s="6">
        <f t="shared" si="3"/>
        <v>0.691</v>
      </c>
      <c r="P692" s="10">
        <f t="shared" si="1"/>
        <v>119077.0589</v>
      </c>
    </row>
    <row r="693">
      <c r="A693" s="3"/>
      <c r="O693" s="6">
        <f t="shared" si="3"/>
        <v>0.692</v>
      </c>
      <c r="P693" s="10">
        <f t="shared" si="1"/>
        <v>119391.0229</v>
      </c>
    </row>
    <row r="694">
      <c r="A694" s="3"/>
      <c r="O694" s="6">
        <f t="shared" si="3"/>
        <v>0.693</v>
      </c>
      <c r="P694" s="10">
        <f t="shared" si="1"/>
        <v>119706.2644</v>
      </c>
    </row>
    <row r="695">
      <c r="A695" s="3"/>
      <c r="O695" s="6">
        <f t="shared" si="3"/>
        <v>0.694</v>
      </c>
      <c r="P695" s="10">
        <f t="shared" si="1"/>
        <v>120022.793</v>
      </c>
    </row>
    <row r="696">
      <c r="A696" s="3"/>
      <c r="O696" s="6">
        <f t="shared" si="3"/>
        <v>0.695</v>
      </c>
      <c r="P696" s="10">
        <f t="shared" si="1"/>
        <v>120340.6184</v>
      </c>
    </row>
    <row r="697">
      <c r="A697" s="3"/>
      <c r="O697" s="6">
        <f t="shared" si="3"/>
        <v>0.696</v>
      </c>
      <c r="P697" s="10">
        <f t="shared" si="1"/>
        <v>120659.7504</v>
      </c>
    </row>
    <row r="698">
      <c r="A698" s="3"/>
      <c r="O698" s="6">
        <f t="shared" si="3"/>
        <v>0.697</v>
      </c>
      <c r="P698" s="10">
        <f t="shared" si="1"/>
        <v>120980.199</v>
      </c>
    </row>
    <row r="699">
      <c r="A699" s="3"/>
      <c r="O699" s="6">
        <f t="shared" si="3"/>
        <v>0.698</v>
      </c>
      <c r="P699" s="10">
        <f t="shared" si="1"/>
        <v>121301.9741</v>
      </c>
    </row>
    <row r="700">
      <c r="A700" s="3"/>
      <c r="O700" s="6">
        <f t="shared" si="3"/>
        <v>0.699</v>
      </c>
      <c r="P700" s="10">
        <f t="shared" si="1"/>
        <v>121625.0858</v>
      </c>
    </row>
    <row r="701">
      <c r="A701" s="3"/>
      <c r="O701" s="6">
        <f t="shared" si="3"/>
        <v>0.7</v>
      </c>
      <c r="P701" s="10">
        <f t="shared" si="1"/>
        <v>121949.5445</v>
      </c>
    </row>
    <row r="702">
      <c r="A702" s="3"/>
      <c r="O702" s="6">
        <f t="shared" si="3"/>
        <v>0.701</v>
      </c>
      <c r="P702" s="10">
        <f t="shared" si="1"/>
        <v>122275.3604</v>
      </c>
    </row>
    <row r="703">
      <c r="A703" s="3"/>
      <c r="O703" s="6">
        <f t="shared" si="3"/>
        <v>0.702</v>
      </c>
      <c r="P703" s="10">
        <f t="shared" si="1"/>
        <v>122602.544</v>
      </c>
    </row>
    <row r="704">
      <c r="A704" s="3"/>
      <c r="O704" s="6">
        <f t="shared" si="3"/>
        <v>0.703</v>
      </c>
      <c r="P704" s="10">
        <f t="shared" si="1"/>
        <v>122931.1059</v>
      </c>
    </row>
    <row r="705">
      <c r="A705" s="3"/>
      <c r="O705" s="6">
        <f t="shared" si="3"/>
        <v>0.704</v>
      </c>
      <c r="P705" s="10">
        <f t="shared" si="1"/>
        <v>123261.0567</v>
      </c>
    </row>
    <row r="706">
      <c r="A706" s="3"/>
      <c r="O706" s="6">
        <f t="shared" si="3"/>
        <v>0.705</v>
      </c>
      <c r="P706" s="10">
        <f t="shared" si="1"/>
        <v>123592.4074</v>
      </c>
    </row>
    <row r="707">
      <c r="A707" s="3"/>
      <c r="O707" s="6">
        <f t="shared" si="3"/>
        <v>0.706</v>
      </c>
      <c r="P707" s="10">
        <f t="shared" si="1"/>
        <v>123925.1687</v>
      </c>
    </row>
    <row r="708">
      <c r="A708" s="3"/>
      <c r="O708" s="6">
        <f t="shared" si="3"/>
        <v>0.707</v>
      </c>
      <c r="P708" s="10">
        <f t="shared" si="1"/>
        <v>124259.3518</v>
      </c>
    </row>
    <row r="709">
      <c r="A709" s="3"/>
      <c r="O709" s="6">
        <f t="shared" si="3"/>
        <v>0.708</v>
      </c>
      <c r="P709" s="10">
        <f t="shared" si="1"/>
        <v>124594.9678</v>
      </c>
    </row>
    <row r="710">
      <c r="A710" s="3"/>
      <c r="O710" s="6">
        <f t="shared" si="3"/>
        <v>0.709</v>
      </c>
      <c r="P710" s="10">
        <f t="shared" si="1"/>
        <v>124932.028</v>
      </c>
    </row>
    <row r="711">
      <c r="A711" s="3"/>
      <c r="O711" s="6">
        <f t="shared" si="3"/>
        <v>0.71</v>
      </c>
      <c r="P711" s="10">
        <f t="shared" si="1"/>
        <v>125270.5438</v>
      </c>
    </row>
    <row r="712">
      <c r="A712" s="3"/>
      <c r="O712" s="6">
        <f t="shared" si="3"/>
        <v>0.711</v>
      </c>
      <c r="P712" s="10">
        <f t="shared" si="1"/>
        <v>125610.5268</v>
      </c>
    </row>
    <row r="713">
      <c r="A713" s="3"/>
      <c r="O713" s="6">
        <f t="shared" si="3"/>
        <v>0.712</v>
      </c>
      <c r="P713" s="10">
        <f t="shared" si="1"/>
        <v>125951.9887</v>
      </c>
    </row>
    <row r="714">
      <c r="A714" s="3"/>
      <c r="O714" s="6">
        <f t="shared" si="3"/>
        <v>0.713</v>
      </c>
      <c r="P714" s="10">
        <f t="shared" si="1"/>
        <v>126294.9412</v>
      </c>
    </row>
    <row r="715">
      <c r="A715" s="3"/>
      <c r="O715" s="6">
        <f t="shared" si="3"/>
        <v>0.714</v>
      </c>
      <c r="P715" s="10">
        <f t="shared" si="1"/>
        <v>126639.3964</v>
      </c>
    </row>
    <row r="716">
      <c r="A716" s="3"/>
      <c r="O716" s="6">
        <f t="shared" si="3"/>
        <v>0.715</v>
      </c>
      <c r="P716" s="10">
        <f t="shared" si="1"/>
        <v>126985.3662</v>
      </c>
    </row>
    <row r="717">
      <c r="A717" s="3"/>
      <c r="O717" s="6">
        <f t="shared" si="3"/>
        <v>0.716</v>
      </c>
      <c r="P717" s="10">
        <f t="shared" si="1"/>
        <v>127332.8629</v>
      </c>
    </row>
    <row r="718">
      <c r="A718" s="3"/>
      <c r="O718" s="6">
        <f t="shared" si="3"/>
        <v>0.717</v>
      </c>
      <c r="P718" s="10">
        <f t="shared" si="1"/>
        <v>127681.8989</v>
      </c>
    </row>
    <row r="719">
      <c r="A719" s="3"/>
      <c r="O719" s="6">
        <f t="shared" si="3"/>
        <v>0.718</v>
      </c>
      <c r="P719" s="10">
        <f t="shared" si="1"/>
        <v>128032.4867</v>
      </c>
    </row>
    <row r="720">
      <c r="A720" s="3"/>
      <c r="O720" s="6">
        <f t="shared" si="3"/>
        <v>0.719</v>
      </c>
      <c r="P720" s="10">
        <f t="shared" si="1"/>
        <v>128384.6388</v>
      </c>
    </row>
    <row r="721">
      <c r="A721" s="3"/>
      <c r="O721" s="6">
        <f t="shared" si="3"/>
        <v>0.72</v>
      </c>
      <c r="P721" s="10">
        <f t="shared" si="1"/>
        <v>128738.3682</v>
      </c>
    </row>
    <row r="722">
      <c r="A722" s="3"/>
      <c r="O722" s="6">
        <f t="shared" si="3"/>
        <v>0.721</v>
      </c>
      <c r="P722" s="10">
        <f t="shared" si="1"/>
        <v>129093.6877</v>
      </c>
    </row>
    <row r="723">
      <c r="A723" s="3"/>
      <c r="O723" s="6">
        <f t="shared" si="3"/>
        <v>0.722</v>
      </c>
      <c r="P723" s="10">
        <f t="shared" si="1"/>
        <v>129450.6104</v>
      </c>
    </row>
    <row r="724">
      <c r="A724" s="3"/>
      <c r="O724" s="6">
        <f t="shared" si="3"/>
        <v>0.723</v>
      </c>
      <c r="P724" s="10">
        <f t="shared" si="1"/>
        <v>129809.1496</v>
      </c>
    </row>
    <row r="725">
      <c r="A725" s="3"/>
      <c r="O725" s="6">
        <f t="shared" si="3"/>
        <v>0.724</v>
      </c>
      <c r="P725" s="10">
        <f t="shared" si="1"/>
        <v>130169.3186</v>
      </c>
    </row>
    <row r="726">
      <c r="A726" s="3"/>
      <c r="O726" s="6">
        <f t="shared" si="3"/>
        <v>0.725</v>
      </c>
      <c r="P726" s="10">
        <f t="shared" si="1"/>
        <v>130531.1311</v>
      </c>
    </row>
    <row r="727">
      <c r="A727" s="3"/>
      <c r="O727" s="6">
        <f t="shared" si="3"/>
        <v>0.726</v>
      </c>
      <c r="P727" s="10">
        <f t="shared" si="1"/>
        <v>130894.6007</v>
      </c>
    </row>
    <row r="728">
      <c r="A728" s="3"/>
      <c r="O728" s="6">
        <f t="shared" si="3"/>
        <v>0.727</v>
      </c>
      <c r="P728" s="10">
        <f t="shared" si="1"/>
        <v>131259.7414</v>
      </c>
    </row>
    <row r="729">
      <c r="A729" s="3"/>
      <c r="O729" s="6">
        <f t="shared" si="3"/>
        <v>0.728</v>
      </c>
      <c r="P729" s="10">
        <f t="shared" si="1"/>
        <v>131626.5671</v>
      </c>
    </row>
    <row r="730">
      <c r="A730" s="3"/>
      <c r="O730" s="6">
        <f t="shared" si="3"/>
        <v>0.729</v>
      </c>
      <c r="P730" s="10">
        <f t="shared" si="1"/>
        <v>131995.0921</v>
      </c>
    </row>
    <row r="731">
      <c r="A731" s="3"/>
      <c r="O731" s="6">
        <f t="shared" si="3"/>
        <v>0.73</v>
      </c>
      <c r="P731" s="10">
        <f t="shared" si="1"/>
        <v>132365.3307</v>
      </c>
    </row>
    <row r="732">
      <c r="A732" s="3"/>
      <c r="O732" s="6">
        <f t="shared" si="3"/>
        <v>0.731</v>
      </c>
      <c r="P732" s="10">
        <f t="shared" si="1"/>
        <v>132737.2976</v>
      </c>
    </row>
    <row r="733">
      <c r="A733" s="3"/>
      <c r="O733" s="6">
        <f t="shared" si="3"/>
        <v>0.732</v>
      </c>
      <c r="P733" s="10">
        <f t="shared" si="1"/>
        <v>133111.0074</v>
      </c>
    </row>
    <row r="734">
      <c r="A734" s="3"/>
      <c r="O734" s="6">
        <f t="shared" si="3"/>
        <v>0.733</v>
      </c>
      <c r="P734" s="10">
        <f t="shared" si="1"/>
        <v>133486.4752</v>
      </c>
    </row>
    <row r="735">
      <c r="A735" s="3"/>
      <c r="O735" s="6">
        <f t="shared" si="3"/>
        <v>0.734</v>
      </c>
      <c r="P735" s="10">
        <f t="shared" si="1"/>
        <v>133863.7158</v>
      </c>
    </row>
    <row r="736">
      <c r="A736" s="3"/>
      <c r="O736" s="6">
        <f t="shared" si="3"/>
        <v>0.735</v>
      </c>
      <c r="P736" s="10">
        <f t="shared" si="1"/>
        <v>134242.7448</v>
      </c>
    </row>
    <row r="737">
      <c r="A737" s="3"/>
      <c r="O737" s="6">
        <f t="shared" si="3"/>
        <v>0.736</v>
      </c>
      <c r="P737" s="10">
        <f t="shared" si="1"/>
        <v>134623.5774</v>
      </c>
    </row>
    <row r="738">
      <c r="A738" s="3"/>
      <c r="O738" s="6">
        <f t="shared" si="3"/>
        <v>0.737</v>
      </c>
      <c r="P738" s="10">
        <f t="shared" si="1"/>
        <v>135006.2295</v>
      </c>
    </row>
    <row r="739">
      <c r="A739" s="3"/>
      <c r="O739" s="6">
        <f t="shared" si="3"/>
        <v>0.738</v>
      </c>
      <c r="P739" s="10">
        <f t="shared" si="1"/>
        <v>135390.7167</v>
      </c>
    </row>
    <row r="740">
      <c r="A740" s="3"/>
      <c r="O740" s="6">
        <f t="shared" si="3"/>
        <v>0.739</v>
      </c>
      <c r="P740" s="10">
        <f t="shared" si="1"/>
        <v>135777.0552</v>
      </c>
    </row>
    <row r="741">
      <c r="A741" s="3"/>
      <c r="O741" s="6">
        <f t="shared" si="3"/>
        <v>0.74</v>
      </c>
      <c r="P741" s="10">
        <f t="shared" si="1"/>
        <v>136165.2613</v>
      </c>
    </row>
    <row r="742">
      <c r="A742" s="3"/>
      <c r="O742" s="6">
        <f t="shared" si="3"/>
        <v>0.741</v>
      </c>
      <c r="P742" s="10">
        <f t="shared" si="1"/>
        <v>136555.3513</v>
      </c>
    </row>
    <row r="743">
      <c r="A743" s="3"/>
      <c r="O743" s="6">
        <f t="shared" si="3"/>
        <v>0.742</v>
      </c>
      <c r="P743" s="10">
        <f t="shared" si="1"/>
        <v>136947.342</v>
      </c>
    </row>
    <row r="744">
      <c r="A744" s="3"/>
      <c r="O744" s="6">
        <f t="shared" si="3"/>
        <v>0.743</v>
      </c>
      <c r="P744" s="10">
        <f t="shared" si="1"/>
        <v>137341.2502</v>
      </c>
    </row>
    <row r="745">
      <c r="A745" s="3"/>
      <c r="O745" s="6">
        <f t="shared" si="3"/>
        <v>0.744</v>
      </c>
      <c r="P745" s="10">
        <f t="shared" si="1"/>
        <v>137737.093</v>
      </c>
    </row>
    <row r="746">
      <c r="A746" s="3"/>
      <c r="O746" s="6">
        <f t="shared" si="3"/>
        <v>0.745</v>
      </c>
      <c r="P746" s="10">
        <f t="shared" si="1"/>
        <v>138134.8877</v>
      </c>
    </row>
    <row r="747">
      <c r="A747" s="3"/>
      <c r="O747" s="6">
        <f t="shared" si="3"/>
        <v>0.746</v>
      </c>
      <c r="P747" s="10">
        <f t="shared" si="1"/>
        <v>138534.6518</v>
      </c>
    </row>
    <row r="748">
      <c r="A748" s="3"/>
      <c r="O748" s="6">
        <f t="shared" si="3"/>
        <v>0.747</v>
      </c>
      <c r="P748" s="10">
        <f t="shared" si="1"/>
        <v>138936.4031</v>
      </c>
    </row>
    <row r="749">
      <c r="A749" s="3"/>
      <c r="O749" s="6">
        <f t="shared" si="3"/>
        <v>0.748</v>
      </c>
      <c r="P749" s="10">
        <f t="shared" si="1"/>
        <v>139340.1595</v>
      </c>
    </row>
    <row r="750">
      <c r="A750" s="3"/>
      <c r="O750" s="6">
        <f t="shared" si="3"/>
        <v>0.749</v>
      </c>
      <c r="P750" s="10">
        <f t="shared" si="1"/>
        <v>139745.9393</v>
      </c>
    </row>
    <row r="751">
      <c r="A751" s="3"/>
      <c r="O751" s="6">
        <f t="shared" si="3"/>
        <v>0.75</v>
      </c>
      <c r="P751" s="10">
        <f t="shared" si="1"/>
        <v>140153.7609</v>
      </c>
    </row>
    <row r="752">
      <c r="A752" s="3"/>
      <c r="O752" s="6">
        <f t="shared" si="3"/>
        <v>0.751</v>
      </c>
      <c r="P752" s="10">
        <f t="shared" si="1"/>
        <v>140563.643</v>
      </c>
    </row>
    <row r="753">
      <c r="A753" s="3"/>
      <c r="O753" s="6">
        <f t="shared" si="3"/>
        <v>0.752</v>
      </c>
      <c r="P753" s="10">
        <f t="shared" si="1"/>
        <v>140975.6044</v>
      </c>
    </row>
    <row r="754">
      <c r="A754" s="3"/>
      <c r="O754" s="6">
        <f t="shared" si="3"/>
        <v>0.753</v>
      </c>
      <c r="P754" s="10">
        <f t="shared" si="1"/>
        <v>141389.6645</v>
      </c>
    </row>
    <row r="755">
      <c r="A755" s="3"/>
      <c r="O755" s="6">
        <f t="shared" si="3"/>
        <v>0.754</v>
      </c>
      <c r="P755" s="10">
        <f t="shared" si="1"/>
        <v>141805.8426</v>
      </c>
    </row>
    <row r="756">
      <c r="A756" s="3"/>
      <c r="O756" s="6">
        <f t="shared" si="3"/>
        <v>0.755</v>
      </c>
      <c r="P756" s="10">
        <f t="shared" si="1"/>
        <v>142224.1584</v>
      </c>
    </row>
    <row r="757">
      <c r="A757" s="3"/>
      <c r="O757" s="6">
        <f t="shared" si="3"/>
        <v>0.756</v>
      </c>
      <c r="P757" s="10">
        <f t="shared" si="1"/>
        <v>142644.6319</v>
      </c>
    </row>
    <row r="758">
      <c r="A758" s="3"/>
      <c r="O758" s="6">
        <f t="shared" si="3"/>
        <v>0.757</v>
      </c>
      <c r="P758" s="10">
        <f t="shared" si="1"/>
        <v>143067.2832</v>
      </c>
    </row>
    <row r="759">
      <c r="A759" s="3"/>
      <c r="O759" s="6">
        <f t="shared" si="3"/>
        <v>0.758</v>
      </c>
      <c r="P759" s="10">
        <f t="shared" si="1"/>
        <v>143492.1329</v>
      </c>
    </row>
    <row r="760">
      <c r="A760" s="3"/>
      <c r="O760" s="6">
        <f t="shared" si="3"/>
        <v>0.759</v>
      </c>
      <c r="P760" s="10">
        <f t="shared" si="1"/>
        <v>143919.2017</v>
      </c>
    </row>
    <row r="761">
      <c r="A761" s="3"/>
      <c r="O761" s="6">
        <f t="shared" si="3"/>
        <v>0.76</v>
      </c>
      <c r="P761" s="10">
        <f t="shared" si="1"/>
        <v>144348.5107</v>
      </c>
    </row>
    <row r="762">
      <c r="A762" s="3"/>
      <c r="O762" s="6">
        <f t="shared" si="3"/>
        <v>0.761</v>
      </c>
      <c r="P762" s="10">
        <f t="shared" si="1"/>
        <v>144780.0812</v>
      </c>
    </row>
    <row r="763">
      <c r="A763" s="3"/>
      <c r="O763" s="6">
        <f t="shared" si="3"/>
        <v>0.762</v>
      </c>
      <c r="P763" s="10">
        <f t="shared" si="1"/>
        <v>145213.9349</v>
      </c>
    </row>
    <row r="764">
      <c r="A764" s="3"/>
      <c r="O764" s="6">
        <f t="shared" si="3"/>
        <v>0.763</v>
      </c>
      <c r="P764" s="10">
        <f t="shared" si="1"/>
        <v>145650.0935</v>
      </c>
    </row>
    <row r="765">
      <c r="A765" s="3"/>
      <c r="O765" s="6">
        <f t="shared" si="3"/>
        <v>0.764</v>
      </c>
      <c r="P765" s="10">
        <f t="shared" si="1"/>
        <v>146088.5794</v>
      </c>
    </row>
    <row r="766">
      <c r="A766" s="3"/>
      <c r="O766" s="6">
        <f t="shared" si="3"/>
        <v>0.765</v>
      </c>
      <c r="P766" s="10">
        <f t="shared" si="1"/>
        <v>146529.4151</v>
      </c>
    </row>
    <row r="767">
      <c r="A767" s="3"/>
      <c r="O767" s="6">
        <f t="shared" si="3"/>
        <v>0.766</v>
      </c>
      <c r="P767" s="10">
        <f t="shared" si="1"/>
        <v>146972.6235</v>
      </c>
    </row>
    <row r="768">
      <c r="A768" s="3"/>
      <c r="O768" s="6">
        <f t="shared" si="3"/>
        <v>0.767</v>
      </c>
      <c r="P768" s="10">
        <f t="shared" si="1"/>
        <v>147418.2275</v>
      </c>
    </row>
    <row r="769">
      <c r="A769" s="3"/>
      <c r="O769" s="6">
        <f t="shared" si="3"/>
        <v>0.768</v>
      </c>
      <c r="P769" s="10">
        <f t="shared" si="1"/>
        <v>147866.2509</v>
      </c>
    </row>
    <row r="770">
      <c r="A770" s="3"/>
      <c r="O770" s="6">
        <f t="shared" si="3"/>
        <v>0.769</v>
      </c>
      <c r="P770" s="10">
        <f t="shared" si="1"/>
        <v>148316.7173</v>
      </c>
    </row>
    <row r="771">
      <c r="A771" s="3"/>
      <c r="O771" s="6">
        <f t="shared" si="3"/>
        <v>0.77</v>
      </c>
      <c r="P771" s="10">
        <f t="shared" si="1"/>
        <v>148769.6508</v>
      </c>
    </row>
    <row r="772">
      <c r="A772" s="3"/>
      <c r="O772" s="6">
        <f t="shared" si="3"/>
        <v>0.771</v>
      </c>
      <c r="P772" s="10">
        <f t="shared" si="1"/>
        <v>149225.0761</v>
      </c>
    </row>
    <row r="773">
      <c r="A773" s="3"/>
      <c r="O773" s="6">
        <f t="shared" si="3"/>
        <v>0.772</v>
      </c>
      <c r="P773" s="10">
        <f t="shared" si="1"/>
        <v>149683.0179</v>
      </c>
    </row>
    <row r="774">
      <c r="A774" s="3"/>
      <c r="O774" s="6">
        <f t="shared" si="3"/>
        <v>0.773</v>
      </c>
      <c r="P774" s="10">
        <f t="shared" si="1"/>
        <v>150143.5014</v>
      </c>
    </row>
    <row r="775">
      <c r="A775" s="3"/>
      <c r="O775" s="6">
        <f t="shared" si="3"/>
        <v>0.774</v>
      </c>
      <c r="P775" s="10">
        <f t="shared" si="1"/>
        <v>150606.5522</v>
      </c>
    </row>
    <row r="776">
      <c r="A776" s="3"/>
      <c r="O776" s="6">
        <f t="shared" si="3"/>
        <v>0.775</v>
      </c>
      <c r="P776" s="10">
        <f t="shared" si="1"/>
        <v>151072.1961</v>
      </c>
    </row>
    <row r="777">
      <c r="A777" s="3"/>
      <c r="O777" s="6">
        <f t="shared" si="3"/>
        <v>0.776</v>
      </c>
      <c r="P777" s="10">
        <f t="shared" si="1"/>
        <v>151540.4595</v>
      </c>
    </row>
    <row r="778">
      <c r="A778" s="3"/>
      <c r="O778" s="6">
        <f t="shared" si="3"/>
        <v>0.777</v>
      </c>
      <c r="P778" s="10">
        <f t="shared" si="1"/>
        <v>152011.369</v>
      </c>
    </row>
    <row r="779">
      <c r="A779" s="3"/>
      <c r="O779" s="6">
        <f t="shared" si="3"/>
        <v>0.778</v>
      </c>
      <c r="P779" s="10">
        <f t="shared" si="1"/>
        <v>152484.9518</v>
      </c>
    </row>
    <row r="780">
      <c r="A780" s="3"/>
      <c r="O780" s="6">
        <f t="shared" si="3"/>
        <v>0.779</v>
      </c>
      <c r="P780" s="10">
        <f t="shared" si="1"/>
        <v>152961.2352</v>
      </c>
    </row>
    <row r="781">
      <c r="A781" s="3"/>
      <c r="O781" s="6">
        <f t="shared" si="3"/>
        <v>0.78</v>
      </c>
      <c r="P781" s="10">
        <f t="shared" si="1"/>
        <v>153440.2472</v>
      </c>
    </row>
    <row r="782">
      <c r="A782" s="3"/>
      <c r="O782" s="6">
        <f t="shared" si="3"/>
        <v>0.781</v>
      </c>
      <c r="P782" s="10">
        <f t="shared" si="1"/>
        <v>153922.016</v>
      </c>
    </row>
    <row r="783">
      <c r="A783" s="3"/>
      <c r="O783" s="6">
        <f t="shared" si="3"/>
        <v>0.782</v>
      </c>
      <c r="P783" s="10">
        <f t="shared" si="1"/>
        <v>154406.5704</v>
      </c>
    </row>
    <row r="784">
      <c r="A784" s="3"/>
      <c r="O784" s="6">
        <f t="shared" si="3"/>
        <v>0.783</v>
      </c>
      <c r="P784" s="10">
        <f t="shared" si="1"/>
        <v>154893.9394</v>
      </c>
    </row>
    <row r="785">
      <c r="A785" s="3"/>
      <c r="O785" s="6">
        <f t="shared" si="3"/>
        <v>0.784</v>
      </c>
      <c r="P785" s="10">
        <f t="shared" si="1"/>
        <v>155384.1526</v>
      </c>
    </row>
    <row r="786">
      <c r="A786" s="3"/>
      <c r="O786" s="6">
        <f t="shared" si="3"/>
        <v>0.785</v>
      </c>
      <c r="P786" s="10">
        <f t="shared" si="1"/>
        <v>155877.2401</v>
      </c>
    </row>
    <row r="787">
      <c r="A787" s="3"/>
      <c r="O787" s="6">
        <f t="shared" si="3"/>
        <v>0.786</v>
      </c>
      <c r="P787" s="10">
        <f t="shared" si="1"/>
        <v>156373.2322</v>
      </c>
    </row>
    <row r="788">
      <c r="A788" s="3"/>
      <c r="O788" s="6">
        <f t="shared" si="3"/>
        <v>0.787</v>
      </c>
      <c r="P788" s="10">
        <f t="shared" si="1"/>
        <v>156872.16</v>
      </c>
    </row>
    <row r="789">
      <c r="A789" s="3"/>
      <c r="O789" s="6">
        <f t="shared" si="3"/>
        <v>0.788</v>
      </c>
      <c r="P789" s="10">
        <f t="shared" si="1"/>
        <v>157374.0549</v>
      </c>
    </row>
    <row r="790">
      <c r="A790" s="3"/>
      <c r="O790" s="6">
        <f t="shared" si="3"/>
        <v>0.789</v>
      </c>
      <c r="P790" s="10">
        <f t="shared" si="1"/>
        <v>157878.9487</v>
      </c>
    </row>
    <row r="791">
      <c r="A791" s="3"/>
      <c r="O791" s="6">
        <f t="shared" si="3"/>
        <v>0.79</v>
      </c>
      <c r="P791" s="10">
        <f t="shared" si="1"/>
        <v>158386.8738</v>
      </c>
    </row>
    <row r="792">
      <c r="A792" s="3"/>
      <c r="O792" s="6">
        <f t="shared" si="3"/>
        <v>0.791</v>
      </c>
      <c r="P792" s="10">
        <f t="shared" si="1"/>
        <v>158897.8631</v>
      </c>
    </row>
    <row r="793">
      <c r="A793" s="3"/>
      <c r="O793" s="6">
        <f t="shared" si="3"/>
        <v>0.792</v>
      </c>
      <c r="P793" s="10">
        <f t="shared" si="1"/>
        <v>159411.9501</v>
      </c>
    </row>
    <row r="794">
      <c r="A794" s="3"/>
      <c r="O794" s="6">
        <f t="shared" si="3"/>
        <v>0.793</v>
      </c>
      <c r="P794" s="10">
        <f t="shared" si="1"/>
        <v>159929.1685</v>
      </c>
    </row>
    <row r="795">
      <c r="A795" s="3"/>
      <c r="O795" s="6">
        <f t="shared" si="3"/>
        <v>0.794</v>
      </c>
      <c r="P795" s="10">
        <f t="shared" si="1"/>
        <v>160449.5529</v>
      </c>
    </row>
    <row r="796">
      <c r="A796" s="3"/>
      <c r="O796" s="6">
        <f t="shared" si="3"/>
        <v>0.795</v>
      </c>
      <c r="P796" s="10">
        <f t="shared" si="1"/>
        <v>160973.1383</v>
      </c>
    </row>
    <row r="797">
      <c r="A797" s="3"/>
      <c r="O797" s="6">
        <f t="shared" si="3"/>
        <v>0.796</v>
      </c>
      <c r="P797" s="10">
        <f t="shared" si="1"/>
        <v>161499.9602</v>
      </c>
    </row>
    <row r="798">
      <c r="A798" s="3"/>
      <c r="O798" s="6">
        <f t="shared" si="3"/>
        <v>0.797</v>
      </c>
      <c r="P798" s="10">
        <f t="shared" si="1"/>
        <v>162030.0547</v>
      </c>
    </row>
    <row r="799">
      <c r="A799" s="3"/>
      <c r="O799" s="6">
        <f t="shared" si="3"/>
        <v>0.798</v>
      </c>
      <c r="P799" s="10">
        <f t="shared" si="1"/>
        <v>162563.4586</v>
      </c>
    </row>
    <row r="800">
      <c r="A800" s="3"/>
      <c r="O800" s="6">
        <f t="shared" si="3"/>
        <v>0.799</v>
      </c>
      <c r="P800" s="10">
        <f t="shared" si="1"/>
        <v>163100.2091</v>
      </c>
    </row>
    <row r="801">
      <c r="A801" s="3"/>
      <c r="O801" s="6">
        <f t="shared" si="3"/>
        <v>0.8</v>
      </c>
      <c r="P801" s="10">
        <f t="shared" si="1"/>
        <v>163640.3442</v>
      </c>
    </row>
    <row r="802">
      <c r="A802" s="3"/>
      <c r="O802" s="6">
        <f t="shared" si="3"/>
        <v>0.801</v>
      </c>
      <c r="P802" s="10">
        <f t="shared" si="1"/>
        <v>164183.9023</v>
      </c>
    </row>
    <row r="803">
      <c r="A803" s="3"/>
      <c r="O803" s="6">
        <f t="shared" si="3"/>
        <v>0.802</v>
      </c>
      <c r="P803" s="10">
        <f t="shared" si="1"/>
        <v>164730.9226</v>
      </c>
    </row>
    <row r="804">
      <c r="A804" s="3"/>
      <c r="O804" s="6">
        <f t="shared" si="3"/>
        <v>0.803</v>
      </c>
      <c r="P804" s="10">
        <f t="shared" si="1"/>
        <v>165281.4449</v>
      </c>
    </row>
    <row r="805">
      <c r="A805" s="3"/>
      <c r="O805" s="6">
        <f t="shared" si="3"/>
        <v>0.804</v>
      </c>
      <c r="P805" s="10">
        <f t="shared" si="1"/>
        <v>165835.5097</v>
      </c>
    </row>
    <row r="806">
      <c r="A806" s="3"/>
      <c r="O806" s="6">
        <f t="shared" si="3"/>
        <v>0.805</v>
      </c>
      <c r="P806" s="10">
        <f t="shared" si="1"/>
        <v>166393.158</v>
      </c>
    </row>
    <row r="807">
      <c r="A807" s="3"/>
      <c r="O807" s="6">
        <f t="shared" si="3"/>
        <v>0.806</v>
      </c>
      <c r="P807" s="10">
        <f t="shared" si="1"/>
        <v>166954.4316</v>
      </c>
    </row>
    <row r="808">
      <c r="A808" s="3"/>
      <c r="O808" s="6">
        <f t="shared" si="3"/>
        <v>0.807</v>
      </c>
      <c r="P808" s="10">
        <f t="shared" si="1"/>
        <v>167519.3732</v>
      </c>
    </row>
    <row r="809">
      <c r="A809" s="3"/>
      <c r="O809" s="6">
        <f t="shared" si="3"/>
        <v>0.808</v>
      </c>
      <c r="P809" s="10">
        <f t="shared" si="1"/>
        <v>168088.0258</v>
      </c>
    </row>
    <row r="810">
      <c r="A810" s="3"/>
      <c r="O810" s="6">
        <f t="shared" si="3"/>
        <v>0.809</v>
      </c>
      <c r="P810" s="10">
        <f t="shared" si="1"/>
        <v>168660.4336</v>
      </c>
    </row>
    <row r="811">
      <c r="A811" s="3"/>
      <c r="O811" s="6">
        <f t="shared" si="3"/>
        <v>0.81</v>
      </c>
      <c r="P811" s="10">
        <f t="shared" si="1"/>
        <v>169236.6411</v>
      </c>
    </row>
    <row r="812">
      <c r="A812" s="3"/>
      <c r="O812" s="6">
        <f t="shared" si="3"/>
        <v>0.811</v>
      </c>
      <c r="P812" s="10">
        <f t="shared" si="1"/>
        <v>169816.6938</v>
      </c>
    </row>
    <row r="813">
      <c r="A813" s="3"/>
      <c r="O813" s="6">
        <f t="shared" si="3"/>
        <v>0.812</v>
      </c>
      <c r="P813" s="10">
        <f t="shared" si="1"/>
        <v>170400.6381</v>
      </c>
    </row>
    <row r="814">
      <c r="A814" s="3"/>
      <c r="O814" s="6">
        <f t="shared" si="3"/>
        <v>0.813</v>
      </c>
      <c r="P814" s="10">
        <f t="shared" si="1"/>
        <v>170988.521</v>
      </c>
    </row>
    <row r="815">
      <c r="A815" s="3"/>
      <c r="O815" s="6">
        <f t="shared" si="3"/>
        <v>0.814</v>
      </c>
      <c r="P815" s="10">
        <f t="shared" si="1"/>
        <v>171580.3903</v>
      </c>
    </row>
    <row r="816">
      <c r="A816" s="3"/>
      <c r="O816" s="6">
        <f t="shared" si="3"/>
        <v>0.815</v>
      </c>
      <c r="P816" s="10">
        <f t="shared" si="1"/>
        <v>172176.2948</v>
      </c>
    </row>
    <row r="817">
      <c r="A817" s="3"/>
      <c r="O817" s="6">
        <f t="shared" si="3"/>
        <v>0.816</v>
      </c>
      <c r="P817" s="10">
        <f t="shared" si="1"/>
        <v>172776.2841</v>
      </c>
    </row>
    <row r="818">
      <c r="A818" s="3"/>
      <c r="O818" s="6">
        <f t="shared" si="3"/>
        <v>0.817</v>
      </c>
      <c r="P818" s="10">
        <f t="shared" si="1"/>
        <v>173380.4086</v>
      </c>
    </row>
    <row r="819">
      <c r="A819" s="3"/>
      <c r="O819" s="6">
        <f t="shared" si="3"/>
        <v>0.818</v>
      </c>
      <c r="P819" s="10">
        <f t="shared" si="1"/>
        <v>173988.7196</v>
      </c>
    </row>
    <row r="820">
      <c r="A820" s="3"/>
      <c r="O820" s="6">
        <f t="shared" si="3"/>
        <v>0.819</v>
      </c>
      <c r="P820" s="10">
        <f t="shared" si="1"/>
        <v>174601.2696</v>
      </c>
    </row>
    <row r="821">
      <c r="A821" s="3"/>
      <c r="O821" s="6">
        <f t="shared" si="3"/>
        <v>0.82</v>
      </c>
      <c r="P821" s="10">
        <f t="shared" si="1"/>
        <v>175218.1116</v>
      </c>
    </row>
    <row r="822">
      <c r="A822" s="3"/>
      <c r="O822" s="6">
        <f t="shared" si="3"/>
        <v>0.821</v>
      </c>
      <c r="P822" s="10">
        <f t="shared" si="1"/>
        <v>175839.2999</v>
      </c>
    </row>
    <row r="823">
      <c r="A823" s="3"/>
      <c r="O823" s="6">
        <f t="shared" si="3"/>
        <v>0.822</v>
      </c>
      <c r="P823" s="10">
        <f t="shared" si="1"/>
        <v>176464.8895</v>
      </c>
    </row>
    <row r="824">
      <c r="A824" s="3"/>
      <c r="O824" s="6">
        <f t="shared" si="3"/>
        <v>0.823</v>
      </c>
      <c r="P824" s="10">
        <f t="shared" si="1"/>
        <v>177094.9368</v>
      </c>
    </row>
    <row r="825">
      <c r="A825" s="3"/>
      <c r="O825" s="6">
        <f t="shared" si="3"/>
        <v>0.824</v>
      </c>
      <c r="P825" s="10">
        <f t="shared" si="1"/>
        <v>177729.4989</v>
      </c>
    </row>
    <row r="826">
      <c r="A826" s="3"/>
      <c r="O826" s="6">
        <f t="shared" si="3"/>
        <v>0.825</v>
      </c>
      <c r="P826" s="10">
        <f t="shared" si="1"/>
        <v>178368.634</v>
      </c>
    </row>
    <row r="827">
      <c r="A827" s="3"/>
      <c r="O827" s="6">
        <f t="shared" si="3"/>
        <v>0.826</v>
      </c>
      <c r="P827" s="10">
        <f t="shared" si="1"/>
        <v>179012.4016</v>
      </c>
    </row>
    <row r="828">
      <c r="A828" s="3"/>
      <c r="O828" s="6">
        <f t="shared" si="3"/>
        <v>0.827</v>
      </c>
      <c r="P828" s="10">
        <f t="shared" si="1"/>
        <v>179660.8621</v>
      </c>
    </row>
    <row r="829">
      <c r="A829" s="3"/>
      <c r="O829" s="6">
        <f t="shared" si="3"/>
        <v>0.828</v>
      </c>
      <c r="P829" s="10">
        <f t="shared" si="1"/>
        <v>180314.077</v>
      </c>
    </row>
    <row r="830">
      <c r="A830" s="3"/>
      <c r="O830" s="6">
        <f t="shared" si="3"/>
        <v>0.829</v>
      </c>
      <c r="P830" s="10">
        <f t="shared" si="1"/>
        <v>180972.1092</v>
      </c>
    </row>
    <row r="831">
      <c r="A831" s="3"/>
      <c r="O831" s="6">
        <f t="shared" si="3"/>
        <v>0.83</v>
      </c>
      <c r="P831" s="10">
        <f t="shared" si="1"/>
        <v>181635.0226</v>
      </c>
    </row>
    <row r="832">
      <c r="A832" s="3"/>
      <c r="O832" s="6">
        <f t="shared" si="3"/>
        <v>0.831</v>
      </c>
      <c r="P832" s="10">
        <f t="shared" si="1"/>
        <v>182302.8825</v>
      </c>
    </row>
    <row r="833">
      <c r="A833" s="3"/>
      <c r="O833" s="6">
        <f t="shared" si="3"/>
        <v>0.832</v>
      </c>
      <c r="P833" s="10">
        <f t="shared" si="1"/>
        <v>182975.7552</v>
      </c>
    </row>
    <row r="834">
      <c r="A834" s="3"/>
      <c r="O834" s="6">
        <f t="shared" si="3"/>
        <v>0.833</v>
      </c>
      <c r="P834" s="10">
        <f t="shared" si="1"/>
        <v>183653.7085</v>
      </c>
    </row>
    <row r="835">
      <c r="A835" s="3"/>
      <c r="O835" s="6">
        <f t="shared" si="3"/>
        <v>0.834</v>
      </c>
      <c r="P835" s="10">
        <f t="shared" si="1"/>
        <v>184336.8115</v>
      </c>
    </row>
    <row r="836">
      <c r="A836" s="3"/>
      <c r="O836" s="6">
        <f t="shared" si="3"/>
        <v>0.835</v>
      </c>
      <c r="P836" s="10">
        <f t="shared" si="1"/>
        <v>185025.1345</v>
      </c>
    </row>
    <row r="837">
      <c r="A837" s="3"/>
      <c r="O837" s="6">
        <f t="shared" si="3"/>
        <v>0.836</v>
      </c>
      <c r="P837" s="10">
        <f t="shared" si="1"/>
        <v>185718.7494</v>
      </c>
    </row>
    <row r="838">
      <c r="A838" s="3"/>
      <c r="O838" s="6">
        <f t="shared" si="3"/>
        <v>0.837</v>
      </c>
      <c r="P838" s="10">
        <f t="shared" si="1"/>
        <v>186417.7294</v>
      </c>
    </row>
    <row r="839">
      <c r="A839" s="3"/>
      <c r="O839" s="6">
        <f t="shared" si="3"/>
        <v>0.838</v>
      </c>
      <c r="P839" s="10">
        <f t="shared" si="1"/>
        <v>187122.1493</v>
      </c>
    </row>
    <row r="840">
      <c r="A840" s="3"/>
      <c r="O840" s="6">
        <f t="shared" si="3"/>
        <v>0.839</v>
      </c>
      <c r="P840" s="10">
        <f t="shared" si="1"/>
        <v>187832.085</v>
      </c>
    </row>
    <row r="841">
      <c r="A841" s="3"/>
      <c r="O841" s="6">
        <f t="shared" si="3"/>
        <v>0.84</v>
      </c>
      <c r="P841" s="10">
        <f t="shared" si="1"/>
        <v>188547.6146</v>
      </c>
    </row>
    <row r="842">
      <c r="A842" s="3"/>
      <c r="O842" s="6">
        <f t="shared" si="3"/>
        <v>0.841</v>
      </c>
      <c r="P842" s="10">
        <f t="shared" si="1"/>
        <v>189268.8171</v>
      </c>
    </row>
    <row r="843">
      <c r="A843" s="3"/>
      <c r="O843" s="6">
        <f t="shared" si="3"/>
        <v>0.842</v>
      </c>
      <c r="P843" s="10">
        <f t="shared" si="1"/>
        <v>189995.7736</v>
      </c>
    </row>
    <row r="844">
      <c r="A844" s="3"/>
      <c r="O844" s="6">
        <f t="shared" si="3"/>
        <v>0.843</v>
      </c>
      <c r="P844" s="10">
        <f t="shared" si="1"/>
        <v>190728.5668</v>
      </c>
    </row>
    <row r="845">
      <c r="A845" s="3"/>
      <c r="O845" s="6">
        <f t="shared" si="3"/>
        <v>0.844</v>
      </c>
      <c r="P845" s="10">
        <f t="shared" si="1"/>
        <v>191467.2808</v>
      </c>
    </row>
    <row r="846">
      <c r="A846" s="3"/>
      <c r="O846" s="6">
        <f t="shared" si="3"/>
        <v>0.845</v>
      </c>
      <c r="P846" s="10">
        <f t="shared" si="1"/>
        <v>192212.0019</v>
      </c>
    </row>
    <row r="847">
      <c r="A847" s="3"/>
      <c r="O847" s="6">
        <f t="shared" si="3"/>
        <v>0.846</v>
      </c>
      <c r="P847" s="10">
        <f t="shared" si="1"/>
        <v>192962.8178</v>
      </c>
    </row>
    <row r="848">
      <c r="A848" s="3"/>
      <c r="O848" s="6">
        <f t="shared" si="3"/>
        <v>0.847</v>
      </c>
      <c r="P848" s="10">
        <f t="shared" si="1"/>
        <v>193719.8185</v>
      </c>
    </row>
    <row r="849">
      <c r="A849" s="3"/>
      <c r="O849" s="6">
        <f t="shared" si="3"/>
        <v>0.848</v>
      </c>
      <c r="P849" s="10">
        <f t="shared" si="1"/>
        <v>194483.0954</v>
      </c>
    </row>
    <row r="850">
      <c r="A850" s="3"/>
      <c r="O850" s="6">
        <f t="shared" si="3"/>
        <v>0.849</v>
      </c>
      <c r="P850" s="10">
        <f t="shared" si="1"/>
        <v>195252.7423</v>
      </c>
    </row>
    <row r="851">
      <c r="A851" s="3"/>
      <c r="O851" s="6">
        <f t="shared" si="3"/>
        <v>0.85</v>
      </c>
      <c r="P851" s="10">
        <f t="shared" si="1"/>
        <v>196028.8548</v>
      </c>
    </row>
    <row r="852">
      <c r="A852" s="3"/>
      <c r="O852" s="6">
        <f t="shared" si="3"/>
        <v>0.851</v>
      </c>
      <c r="P852" s="10">
        <f t="shared" si="1"/>
        <v>196811.5306</v>
      </c>
    </row>
    <row r="853">
      <c r="A853" s="3"/>
      <c r="O853" s="6">
        <f t="shared" si="3"/>
        <v>0.852</v>
      </c>
      <c r="P853" s="10">
        <f t="shared" si="1"/>
        <v>197600.8696</v>
      </c>
    </row>
    <row r="854">
      <c r="A854" s="3"/>
      <c r="O854" s="6">
        <f t="shared" si="3"/>
        <v>0.853</v>
      </c>
      <c r="P854" s="10">
        <f t="shared" si="1"/>
        <v>198396.9739</v>
      </c>
    </row>
    <row r="855">
      <c r="A855" s="3"/>
      <c r="O855" s="6">
        <f t="shared" si="3"/>
        <v>0.854</v>
      </c>
      <c r="P855" s="10">
        <f t="shared" si="1"/>
        <v>199199.9477</v>
      </c>
    </row>
    <row r="856">
      <c r="A856" s="3"/>
      <c r="O856" s="6">
        <f t="shared" si="3"/>
        <v>0.855</v>
      </c>
      <c r="P856" s="10">
        <f t="shared" si="1"/>
        <v>200009.8978</v>
      </c>
    </row>
    <row r="857">
      <c r="A857" s="3"/>
      <c r="O857" s="6">
        <f t="shared" si="3"/>
        <v>0.856</v>
      </c>
      <c r="P857" s="10">
        <f t="shared" si="1"/>
        <v>200826.9331</v>
      </c>
    </row>
    <row r="858">
      <c r="A858" s="3"/>
      <c r="O858" s="6">
        <f t="shared" si="3"/>
        <v>0.857</v>
      </c>
      <c r="P858" s="10">
        <f t="shared" si="1"/>
        <v>201651.1652</v>
      </c>
    </row>
    <row r="859">
      <c r="A859" s="3"/>
      <c r="O859" s="6">
        <f t="shared" si="3"/>
        <v>0.858</v>
      </c>
      <c r="P859" s="10">
        <f t="shared" si="1"/>
        <v>202482.7081</v>
      </c>
    </row>
    <row r="860">
      <c r="A860" s="3"/>
      <c r="O860" s="6">
        <f t="shared" si="3"/>
        <v>0.859</v>
      </c>
      <c r="P860" s="10">
        <f t="shared" si="1"/>
        <v>203321.6785</v>
      </c>
    </row>
    <row r="861">
      <c r="A861" s="3"/>
      <c r="O861" s="6">
        <f t="shared" si="3"/>
        <v>0.86</v>
      </c>
      <c r="P861" s="10">
        <f t="shared" si="1"/>
        <v>204168.1958</v>
      </c>
    </row>
    <row r="862">
      <c r="A862" s="3"/>
      <c r="O862" s="6">
        <f t="shared" si="3"/>
        <v>0.861</v>
      </c>
      <c r="P862" s="10">
        <f t="shared" si="1"/>
        <v>205022.3821</v>
      </c>
    </row>
    <row r="863">
      <c r="A863" s="3"/>
      <c r="O863" s="6">
        <f t="shared" si="3"/>
        <v>0.862</v>
      </c>
      <c r="P863" s="10">
        <f t="shared" si="1"/>
        <v>205884.3623</v>
      </c>
    </row>
    <row r="864">
      <c r="A864" s="3"/>
      <c r="O864" s="6">
        <f t="shared" si="3"/>
        <v>0.863</v>
      </c>
      <c r="P864" s="10">
        <f t="shared" si="1"/>
        <v>206754.2646</v>
      </c>
    </row>
    <row r="865">
      <c r="A865" s="3"/>
      <c r="O865" s="6">
        <f t="shared" si="3"/>
        <v>0.864</v>
      </c>
      <c r="P865" s="10">
        <f t="shared" si="1"/>
        <v>207632.2197</v>
      </c>
    </row>
    <row r="866">
      <c r="A866" s="3"/>
      <c r="O866" s="6">
        <f t="shared" si="3"/>
        <v>0.865</v>
      </c>
      <c r="P866" s="10">
        <f t="shared" si="1"/>
        <v>208518.3619</v>
      </c>
    </row>
    <row r="867">
      <c r="A867" s="3"/>
      <c r="O867" s="6">
        <f t="shared" si="3"/>
        <v>0.866</v>
      </c>
      <c r="P867" s="10">
        <f t="shared" si="1"/>
        <v>209412.8285</v>
      </c>
    </row>
    <row r="868">
      <c r="A868" s="3"/>
      <c r="O868" s="6">
        <f t="shared" si="3"/>
        <v>0.867</v>
      </c>
      <c r="P868" s="10">
        <f t="shared" si="1"/>
        <v>210315.7603</v>
      </c>
    </row>
    <row r="869">
      <c r="A869" s="3"/>
      <c r="O869" s="6">
        <f t="shared" si="3"/>
        <v>0.868</v>
      </c>
      <c r="P869" s="10">
        <f t="shared" si="1"/>
        <v>211227.3013</v>
      </c>
    </row>
    <row r="870">
      <c r="A870" s="3"/>
      <c r="O870" s="6">
        <f t="shared" si="3"/>
        <v>0.869</v>
      </c>
      <c r="P870" s="10">
        <f t="shared" si="1"/>
        <v>212147.5993</v>
      </c>
    </row>
    <row r="871">
      <c r="A871" s="3"/>
      <c r="O871" s="6">
        <f t="shared" si="3"/>
        <v>0.87</v>
      </c>
      <c r="P871" s="10">
        <f t="shared" si="1"/>
        <v>213076.8057</v>
      </c>
    </row>
    <row r="872">
      <c r="A872" s="3"/>
      <c r="O872" s="6">
        <f t="shared" si="3"/>
        <v>0.871</v>
      </c>
      <c r="P872" s="10">
        <f t="shared" si="1"/>
        <v>214015.0756</v>
      </c>
    </row>
    <row r="873">
      <c r="A873" s="3"/>
      <c r="O873" s="6">
        <f t="shared" si="3"/>
        <v>0.872</v>
      </c>
      <c r="P873" s="10">
        <f t="shared" si="1"/>
        <v>214962.5681</v>
      </c>
    </row>
    <row r="874">
      <c r="A874" s="3"/>
      <c r="O874" s="6">
        <f t="shared" si="3"/>
        <v>0.873</v>
      </c>
      <c r="P874" s="10">
        <f t="shared" si="1"/>
        <v>215919.4463</v>
      </c>
    </row>
    <row r="875">
      <c r="A875" s="3"/>
      <c r="O875" s="6">
        <f t="shared" si="3"/>
        <v>0.874</v>
      </c>
      <c r="P875" s="10">
        <f t="shared" si="1"/>
        <v>216885.8776</v>
      </c>
    </row>
    <row r="876">
      <c r="A876" s="3"/>
      <c r="O876" s="6">
        <f t="shared" si="3"/>
        <v>0.875</v>
      </c>
      <c r="P876" s="10">
        <f t="shared" si="1"/>
        <v>217862.0336</v>
      </c>
    </row>
    <row r="877">
      <c r="A877" s="3"/>
      <c r="O877" s="6">
        <f t="shared" si="3"/>
        <v>0.876</v>
      </c>
      <c r="P877" s="10">
        <f t="shared" si="1"/>
        <v>218848.0905</v>
      </c>
    </row>
    <row r="878">
      <c r="A878" s="3"/>
      <c r="O878" s="6">
        <f t="shared" si="3"/>
        <v>0.877</v>
      </c>
      <c r="P878" s="10">
        <f t="shared" si="1"/>
        <v>219844.2289</v>
      </c>
    </row>
    <row r="879">
      <c r="A879" s="3"/>
      <c r="O879" s="6">
        <f t="shared" si="3"/>
        <v>0.878</v>
      </c>
      <c r="P879" s="10">
        <f t="shared" si="1"/>
        <v>220850.6344</v>
      </c>
    </row>
    <row r="880">
      <c r="A880" s="3"/>
      <c r="O880" s="6">
        <f t="shared" si="3"/>
        <v>0.879</v>
      </c>
      <c r="P880" s="10">
        <f t="shared" si="1"/>
        <v>221867.4974</v>
      </c>
    </row>
    <row r="881">
      <c r="A881" s="3"/>
      <c r="O881" s="6">
        <f t="shared" si="3"/>
        <v>0.88</v>
      </c>
      <c r="P881" s="10">
        <f t="shared" si="1"/>
        <v>222895.0136</v>
      </c>
    </row>
    <row r="882">
      <c r="A882" s="3"/>
      <c r="O882" s="6">
        <f t="shared" si="3"/>
        <v>0.881</v>
      </c>
      <c r="P882" s="10">
        <f t="shared" si="1"/>
        <v>223933.3838</v>
      </c>
    </row>
    <row r="883">
      <c r="A883" s="3"/>
      <c r="O883" s="6">
        <f t="shared" si="3"/>
        <v>0.882</v>
      </c>
      <c r="P883" s="10">
        <f t="shared" si="1"/>
        <v>224982.8146</v>
      </c>
    </row>
    <row r="884">
      <c r="A884" s="3"/>
      <c r="O884" s="6">
        <f t="shared" si="3"/>
        <v>0.883</v>
      </c>
      <c r="P884" s="10">
        <f t="shared" si="1"/>
        <v>226043.5179</v>
      </c>
    </row>
    <row r="885">
      <c r="A885" s="3"/>
      <c r="O885" s="6">
        <f t="shared" si="3"/>
        <v>0.884</v>
      </c>
      <c r="P885" s="10">
        <f t="shared" si="1"/>
        <v>227115.7118</v>
      </c>
    </row>
    <row r="886">
      <c r="A886" s="3"/>
      <c r="O886" s="6">
        <f t="shared" si="3"/>
        <v>0.885</v>
      </c>
      <c r="P886" s="10">
        <f t="shared" si="1"/>
        <v>228199.6205</v>
      </c>
    </row>
    <row r="887">
      <c r="A887" s="3"/>
      <c r="O887" s="6">
        <f t="shared" si="3"/>
        <v>0.886</v>
      </c>
      <c r="P887" s="10">
        <f t="shared" si="1"/>
        <v>229295.4743</v>
      </c>
    </row>
    <row r="888">
      <c r="A888" s="3"/>
      <c r="O888" s="6">
        <f t="shared" si="3"/>
        <v>0.887</v>
      </c>
      <c r="P888" s="10">
        <f t="shared" si="1"/>
        <v>230403.5104</v>
      </c>
    </row>
    <row r="889">
      <c r="A889" s="3"/>
      <c r="O889" s="6">
        <f t="shared" si="3"/>
        <v>0.888</v>
      </c>
      <c r="P889" s="10">
        <f t="shared" si="1"/>
        <v>231523.9726</v>
      </c>
    </row>
    <row r="890">
      <c r="A890" s="3"/>
      <c r="O890" s="6">
        <f t="shared" si="3"/>
        <v>0.889</v>
      </c>
      <c r="P890" s="10">
        <f t="shared" si="1"/>
        <v>232657.112</v>
      </c>
    </row>
    <row r="891">
      <c r="A891" s="3"/>
      <c r="O891" s="6">
        <f t="shared" si="3"/>
        <v>0.89</v>
      </c>
      <c r="P891" s="10">
        <f t="shared" si="1"/>
        <v>233803.1869</v>
      </c>
    </row>
    <row r="892">
      <c r="A892" s="3"/>
      <c r="O892" s="6">
        <f t="shared" si="3"/>
        <v>0.891</v>
      </c>
      <c r="P892" s="10">
        <f t="shared" si="1"/>
        <v>234962.4632</v>
      </c>
    </row>
    <row r="893">
      <c r="A893" s="3"/>
      <c r="O893" s="6">
        <f t="shared" si="3"/>
        <v>0.892</v>
      </c>
      <c r="P893" s="10">
        <f t="shared" si="1"/>
        <v>236135.215</v>
      </c>
    </row>
    <row r="894">
      <c r="A894" s="3"/>
      <c r="O894" s="6">
        <f t="shared" si="3"/>
        <v>0.893</v>
      </c>
      <c r="P894" s="10">
        <f t="shared" si="1"/>
        <v>237321.7244</v>
      </c>
    </row>
    <row r="895">
      <c r="A895" s="3"/>
      <c r="O895" s="6">
        <f t="shared" si="3"/>
        <v>0.894</v>
      </c>
      <c r="P895" s="10">
        <f t="shared" si="1"/>
        <v>238522.2822</v>
      </c>
    </row>
    <row r="896">
      <c r="A896" s="3"/>
      <c r="O896" s="6">
        <f t="shared" si="3"/>
        <v>0.895</v>
      </c>
      <c r="P896" s="10">
        <f t="shared" si="1"/>
        <v>239737.1881</v>
      </c>
    </row>
    <row r="897">
      <c r="A897" s="3"/>
      <c r="O897" s="6">
        <f t="shared" si="3"/>
        <v>0.896</v>
      </c>
      <c r="P897" s="10">
        <f t="shared" si="1"/>
        <v>240966.7512</v>
      </c>
    </row>
    <row r="898">
      <c r="A898" s="3"/>
      <c r="O898" s="6">
        <f t="shared" si="3"/>
        <v>0.897</v>
      </c>
      <c r="P898" s="10">
        <f t="shared" si="1"/>
        <v>242211.2901</v>
      </c>
    </row>
    <row r="899">
      <c r="A899" s="3"/>
      <c r="O899" s="6">
        <f t="shared" si="3"/>
        <v>0.898</v>
      </c>
      <c r="P899" s="10">
        <f t="shared" si="1"/>
        <v>243471.1337</v>
      </c>
    </row>
    <row r="900">
      <c r="A900" s="3"/>
      <c r="O900" s="6">
        <f t="shared" si="3"/>
        <v>0.899</v>
      </c>
      <c r="P900" s="10">
        <f t="shared" si="1"/>
        <v>244746.6212</v>
      </c>
    </row>
    <row r="901">
      <c r="A901" s="3"/>
      <c r="O901" s="6">
        <f t="shared" si="3"/>
        <v>0.9</v>
      </c>
      <c r="P901" s="10">
        <f t="shared" si="1"/>
        <v>246038.1028</v>
      </c>
    </row>
    <row r="902">
      <c r="A902" s="3"/>
      <c r="O902" s="6">
        <f t="shared" si="3"/>
        <v>0.901</v>
      </c>
      <c r="P902" s="10">
        <f t="shared" si="1"/>
        <v>247345.9402</v>
      </c>
    </row>
    <row r="903">
      <c r="A903" s="3"/>
      <c r="O903" s="6">
        <f t="shared" si="3"/>
        <v>0.902</v>
      </c>
      <c r="P903" s="10">
        <f t="shared" si="1"/>
        <v>248670.5068</v>
      </c>
    </row>
    <row r="904">
      <c r="A904" s="3"/>
      <c r="O904" s="6">
        <f t="shared" si="3"/>
        <v>0.903</v>
      </c>
      <c r="P904" s="10">
        <f t="shared" si="1"/>
        <v>250012.1885</v>
      </c>
    </row>
    <row r="905">
      <c r="A905" s="3"/>
      <c r="O905" s="6">
        <f t="shared" si="3"/>
        <v>0.904</v>
      </c>
      <c r="P905" s="10">
        <f t="shared" si="1"/>
        <v>251371.3844</v>
      </c>
    </row>
    <row r="906">
      <c r="A906" s="3"/>
      <c r="O906" s="6">
        <f t="shared" si="3"/>
        <v>0.905</v>
      </c>
      <c r="P906" s="10">
        <f t="shared" si="1"/>
        <v>252748.5066</v>
      </c>
    </row>
    <row r="907">
      <c r="A907" s="3"/>
      <c r="O907" s="6">
        <f t="shared" si="3"/>
        <v>0.906</v>
      </c>
      <c r="P907" s="10">
        <f t="shared" si="1"/>
        <v>254143.982</v>
      </c>
    </row>
    <row r="908">
      <c r="A908" s="3"/>
      <c r="O908" s="6">
        <f t="shared" si="3"/>
        <v>0.907</v>
      </c>
      <c r="P908" s="10">
        <f t="shared" si="1"/>
        <v>255558.2516</v>
      </c>
    </row>
    <row r="909">
      <c r="A909" s="3"/>
      <c r="O909" s="6">
        <f t="shared" si="3"/>
        <v>0.908</v>
      </c>
      <c r="P909" s="10">
        <f t="shared" si="1"/>
        <v>256991.7725</v>
      </c>
    </row>
    <row r="910">
      <c r="A910" s="3"/>
      <c r="O910" s="6">
        <f t="shared" si="3"/>
        <v>0.909</v>
      </c>
      <c r="P910" s="10">
        <f t="shared" si="1"/>
        <v>258445.0174</v>
      </c>
    </row>
    <row r="911">
      <c r="A911" s="3"/>
      <c r="O911" s="6">
        <f t="shared" si="3"/>
        <v>0.91</v>
      </c>
      <c r="P911" s="10">
        <f t="shared" si="1"/>
        <v>259918.4763</v>
      </c>
    </row>
    <row r="912">
      <c r="A912" s="3"/>
      <c r="O912" s="6">
        <f t="shared" si="3"/>
        <v>0.911</v>
      </c>
      <c r="P912" s="10">
        <f t="shared" si="1"/>
        <v>261412.6569</v>
      </c>
    </row>
    <row r="913">
      <c r="A913" s="3"/>
      <c r="O913" s="6">
        <f t="shared" si="3"/>
        <v>0.912</v>
      </c>
      <c r="P913" s="10">
        <f t="shared" si="1"/>
        <v>262928.0852</v>
      </c>
    </row>
    <row r="914">
      <c r="A914" s="3"/>
      <c r="O914" s="6">
        <f t="shared" si="3"/>
        <v>0.913</v>
      </c>
      <c r="P914" s="10">
        <f t="shared" si="1"/>
        <v>264465.307</v>
      </c>
    </row>
    <row r="915">
      <c r="A915" s="3"/>
      <c r="O915" s="6">
        <f t="shared" si="3"/>
        <v>0.914</v>
      </c>
      <c r="P915" s="10">
        <f t="shared" si="1"/>
        <v>266024.8884</v>
      </c>
    </row>
    <row r="916">
      <c r="A916" s="3"/>
      <c r="O916" s="6">
        <f t="shared" si="3"/>
        <v>0.915</v>
      </c>
      <c r="P916" s="10">
        <f t="shared" si="1"/>
        <v>267607.417</v>
      </c>
    </row>
    <row r="917">
      <c r="A917" s="3"/>
      <c r="O917" s="6">
        <f t="shared" si="3"/>
        <v>0.916</v>
      </c>
      <c r="P917" s="10">
        <f t="shared" si="1"/>
        <v>269213.5027</v>
      </c>
    </row>
    <row r="918">
      <c r="A918" s="3"/>
      <c r="O918" s="6">
        <f t="shared" si="3"/>
        <v>0.917</v>
      </c>
      <c r="P918" s="10">
        <f t="shared" si="1"/>
        <v>270843.7794</v>
      </c>
    </row>
    <row r="919">
      <c r="A919" s="3"/>
      <c r="O919" s="6">
        <f t="shared" si="3"/>
        <v>0.918</v>
      </c>
      <c r="P919" s="10">
        <f t="shared" si="1"/>
        <v>272498.9055</v>
      </c>
    </row>
    <row r="920">
      <c r="A920" s="3"/>
      <c r="O920" s="6">
        <f t="shared" si="3"/>
        <v>0.919</v>
      </c>
      <c r="P920" s="10">
        <f t="shared" si="1"/>
        <v>274179.5659</v>
      </c>
    </row>
    <row r="921">
      <c r="A921" s="3"/>
      <c r="O921" s="6">
        <f t="shared" si="3"/>
        <v>0.92</v>
      </c>
      <c r="P921" s="10">
        <f t="shared" si="1"/>
        <v>275886.4728</v>
      </c>
    </row>
    <row r="922">
      <c r="A922" s="3"/>
      <c r="O922" s="6">
        <f t="shared" si="3"/>
        <v>0.921</v>
      </c>
      <c r="P922" s="10">
        <f t="shared" si="1"/>
        <v>277620.3676</v>
      </c>
    </row>
    <row r="923">
      <c r="A923" s="3"/>
      <c r="O923" s="6">
        <f t="shared" si="3"/>
        <v>0.922</v>
      </c>
      <c r="P923" s="10">
        <f t="shared" si="1"/>
        <v>279382.0221</v>
      </c>
    </row>
    <row r="924">
      <c r="A924" s="3"/>
      <c r="O924" s="6">
        <f t="shared" si="3"/>
        <v>0.923</v>
      </c>
      <c r="P924" s="10">
        <f t="shared" si="1"/>
        <v>281172.2405</v>
      </c>
    </row>
    <row r="925">
      <c r="A925" s="3"/>
      <c r="O925" s="6">
        <f t="shared" si="3"/>
        <v>0.924</v>
      </c>
      <c r="P925" s="10">
        <f t="shared" si="1"/>
        <v>282991.8609</v>
      </c>
    </row>
    <row r="926">
      <c r="A926" s="3"/>
      <c r="O926" s="6">
        <f t="shared" si="3"/>
        <v>0.925</v>
      </c>
      <c r="P926" s="10">
        <f t="shared" si="1"/>
        <v>284841.7573</v>
      </c>
    </row>
    <row r="927">
      <c r="A927" s="3"/>
      <c r="O927" s="6">
        <f t="shared" si="3"/>
        <v>0.926</v>
      </c>
      <c r="P927" s="10">
        <f t="shared" si="1"/>
        <v>286722.8418</v>
      </c>
    </row>
    <row r="928">
      <c r="A928" s="3"/>
      <c r="O928" s="6">
        <f t="shared" si="3"/>
        <v>0.927</v>
      </c>
      <c r="P928" s="10">
        <f t="shared" si="1"/>
        <v>288636.0667</v>
      </c>
    </row>
    <row r="929">
      <c r="A929" s="3"/>
      <c r="O929" s="6">
        <f t="shared" si="3"/>
        <v>0.928</v>
      </c>
      <c r="P929" s="10">
        <f t="shared" si="1"/>
        <v>290582.4266</v>
      </c>
    </row>
    <row r="930">
      <c r="A930" s="3"/>
      <c r="O930" s="6">
        <f t="shared" si="3"/>
        <v>0.929</v>
      </c>
      <c r="P930" s="10">
        <f t="shared" si="1"/>
        <v>292562.9614</v>
      </c>
    </row>
    <row r="931">
      <c r="A931" s="3"/>
      <c r="O931" s="6">
        <f t="shared" si="3"/>
        <v>0.93</v>
      </c>
      <c r="P931" s="10">
        <f t="shared" si="1"/>
        <v>294578.7584</v>
      </c>
    </row>
    <row r="932">
      <c r="A932" s="3"/>
      <c r="O932" s="6">
        <f t="shared" si="3"/>
        <v>0.931</v>
      </c>
      <c r="P932" s="10">
        <f t="shared" si="1"/>
        <v>296630.9558</v>
      </c>
    </row>
    <row r="933">
      <c r="A933" s="3"/>
      <c r="O933" s="6">
        <f t="shared" si="3"/>
        <v>0.932</v>
      </c>
      <c r="P933" s="10">
        <f t="shared" si="1"/>
        <v>298720.7454</v>
      </c>
    </row>
    <row r="934">
      <c r="A934" s="3"/>
      <c r="O934" s="6">
        <f t="shared" si="3"/>
        <v>0.933</v>
      </c>
      <c r="P934" s="10">
        <f t="shared" si="1"/>
        <v>300849.3764</v>
      </c>
    </row>
    <row r="935">
      <c r="A935" s="3"/>
      <c r="O935" s="6">
        <f t="shared" si="3"/>
        <v>0.934</v>
      </c>
      <c r="P935" s="10">
        <f t="shared" si="1"/>
        <v>303018.1583</v>
      </c>
    </row>
    <row r="936">
      <c r="A936" s="3"/>
      <c r="O936" s="6">
        <f t="shared" si="3"/>
        <v>0.935</v>
      </c>
      <c r="P936" s="10">
        <f t="shared" si="1"/>
        <v>305228.4658</v>
      </c>
    </row>
    <row r="937">
      <c r="A937" s="3"/>
      <c r="O937" s="6">
        <f t="shared" si="3"/>
        <v>0.936</v>
      </c>
      <c r="P937" s="10">
        <f t="shared" si="1"/>
        <v>307481.7422</v>
      </c>
    </row>
    <row r="938">
      <c r="A938" s="3"/>
      <c r="O938" s="6">
        <f t="shared" si="3"/>
        <v>0.937</v>
      </c>
      <c r="P938" s="10">
        <f t="shared" si="1"/>
        <v>309779.5044</v>
      </c>
    </row>
    <row r="939">
      <c r="A939" s="3"/>
      <c r="O939" s="6">
        <f t="shared" si="3"/>
        <v>0.938</v>
      </c>
      <c r="P939" s="10">
        <f t="shared" si="1"/>
        <v>312123.348</v>
      </c>
    </row>
    <row r="940">
      <c r="A940" s="3"/>
      <c r="O940" s="6">
        <f t="shared" si="3"/>
        <v>0.939</v>
      </c>
      <c r="P940" s="10">
        <f t="shared" si="1"/>
        <v>314514.9523</v>
      </c>
    </row>
    <row r="941">
      <c r="A941" s="3"/>
      <c r="O941" s="6">
        <f t="shared" si="3"/>
        <v>0.94</v>
      </c>
      <c r="P941" s="10">
        <f t="shared" si="1"/>
        <v>316956.0864</v>
      </c>
    </row>
    <row r="942">
      <c r="A942" s="3"/>
      <c r="O942" s="6">
        <f t="shared" si="3"/>
        <v>0.941</v>
      </c>
      <c r="P942" s="10">
        <f t="shared" si="1"/>
        <v>319448.6158</v>
      </c>
    </row>
    <row r="943">
      <c r="A943" s="3"/>
      <c r="O943" s="6">
        <f t="shared" si="3"/>
        <v>0.942</v>
      </c>
      <c r="P943" s="10">
        <f t="shared" si="1"/>
        <v>321994.5088</v>
      </c>
    </row>
    <row r="944">
      <c r="A944" s="3"/>
      <c r="O944" s="6">
        <f t="shared" si="3"/>
        <v>0.943</v>
      </c>
      <c r="P944" s="10">
        <f t="shared" si="1"/>
        <v>324595.8446</v>
      </c>
    </row>
    <row r="945">
      <c r="A945" s="3"/>
      <c r="O945" s="6">
        <f t="shared" si="3"/>
        <v>0.944</v>
      </c>
      <c r="P945" s="10">
        <f t="shared" si="1"/>
        <v>327254.8214</v>
      </c>
    </row>
    <row r="946">
      <c r="A946" s="3"/>
      <c r="O946" s="6">
        <f t="shared" si="3"/>
        <v>0.945</v>
      </c>
      <c r="P946" s="10">
        <f t="shared" si="1"/>
        <v>329973.7656</v>
      </c>
    </row>
    <row r="947">
      <c r="A947" s="3"/>
      <c r="O947" s="6">
        <f t="shared" si="3"/>
        <v>0.946</v>
      </c>
      <c r="P947" s="10">
        <f t="shared" si="1"/>
        <v>332755.1412</v>
      </c>
    </row>
    <row r="948">
      <c r="A948" s="3"/>
      <c r="O948" s="6">
        <f t="shared" si="3"/>
        <v>0.947</v>
      </c>
      <c r="P948" s="10">
        <f t="shared" si="1"/>
        <v>335601.5617</v>
      </c>
    </row>
    <row r="949">
      <c r="A949" s="3"/>
      <c r="O949" s="6">
        <f t="shared" si="3"/>
        <v>0.948</v>
      </c>
      <c r="P949" s="10">
        <f t="shared" si="1"/>
        <v>338515.8011</v>
      </c>
    </row>
    <row r="950">
      <c r="A950" s="3"/>
      <c r="O950" s="6">
        <f t="shared" si="3"/>
        <v>0.949</v>
      </c>
      <c r="P950" s="10">
        <f t="shared" si="1"/>
        <v>341500.8077</v>
      </c>
    </row>
    <row r="951">
      <c r="A951" s="3"/>
      <c r="O951" s="6">
        <f t="shared" si="3"/>
        <v>0.95</v>
      </c>
      <c r="P951" s="10">
        <f t="shared" si="1"/>
        <v>344559.7186</v>
      </c>
    </row>
    <row r="952">
      <c r="A952" s="3"/>
      <c r="O952" s="6">
        <f t="shared" si="3"/>
        <v>0.951</v>
      </c>
      <c r="P952" s="10">
        <f t="shared" si="1"/>
        <v>347695.8757</v>
      </c>
    </row>
    <row r="953">
      <c r="A953" s="3"/>
      <c r="O953" s="6">
        <f t="shared" si="3"/>
        <v>0.952</v>
      </c>
      <c r="P953" s="10">
        <f t="shared" si="1"/>
        <v>350912.8438</v>
      </c>
    </row>
    <row r="954">
      <c r="A954" s="3"/>
      <c r="O954" s="6">
        <f t="shared" si="3"/>
        <v>0.953</v>
      </c>
      <c r="P954" s="10">
        <f t="shared" si="1"/>
        <v>354214.4301</v>
      </c>
    </row>
    <row r="955">
      <c r="A955" s="3"/>
      <c r="O955" s="6">
        <f t="shared" si="3"/>
        <v>0.954</v>
      </c>
      <c r="P955" s="10">
        <f t="shared" si="1"/>
        <v>357604.7065</v>
      </c>
    </row>
    <row r="956">
      <c r="A956" s="3"/>
      <c r="O956" s="6">
        <f t="shared" si="3"/>
        <v>0.955</v>
      </c>
      <c r="P956" s="10">
        <f t="shared" si="1"/>
        <v>361088.0341</v>
      </c>
    </row>
    <row r="957">
      <c r="A957" s="3"/>
      <c r="O957" s="6">
        <f t="shared" si="3"/>
        <v>0.956</v>
      </c>
      <c r="P957" s="10">
        <f t="shared" si="1"/>
        <v>364669.091</v>
      </c>
    </row>
    <row r="958">
      <c r="A958" s="3"/>
      <c r="O958" s="6">
        <f t="shared" si="3"/>
        <v>0.957</v>
      </c>
      <c r="P958" s="10">
        <f t="shared" si="1"/>
        <v>368352.9025</v>
      </c>
    </row>
    <row r="959">
      <c r="A959" s="3"/>
      <c r="O959" s="6">
        <f t="shared" si="3"/>
        <v>0.958</v>
      </c>
      <c r="P959" s="10">
        <f t="shared" si="1"/>
        <v>372144.8764</v>
      </c>
    </row>
    <row r="960">
      <c r="A960" s="3"/>
      <c r="O960" s="6">
        <f t="shared" si="3"/>
        <v>0.959</v>
      </c>
      <c r="P960" s="10">
        <f t="shared" si="1"/>
        <v>376050.8413</v>
      </c>
    </row>
    <row r="961">
      <c r="A961" s="3"/>
      <c r="O961" s="6">
        <f t="shared" si="3"/>
        <v>0.96</v>
      </c>
      <c r="P961" s="10">
        <f t="shared" si="1"/>
        <v>380077.091</v>
      </c>
    </row>
    <row r="962">
      <c r="A962" s="3"/>
      <c r="O962" s="6">
        <f t="shared" si="3"/>
        <v>0.961</v>
      </c>
      <c r="P962" s="10">
        <f t="shared" si="1"/>
        <v>384230.4341</v>
      </c>
    </row>
    <row r="963">
      <c r="A963" s="3"/>
      <c r="O963" s="6">
        <f t="shared" si="3"/>
        <v>0.962</v>
      </c>
      <c r="P963" s="10">
        <f t="shared" si="1"/>
        <v>388518.2508</v>
      </c>
    </row>
    <row r="964">
      <c r="A964" s="3"/>
      <c r="O964" s="6">
        <f t="shared" si="3"/>
        <v>0.963</v>
      </c>
      <c r="P964" s="10">
        <f t="shared" si="1"/>
        <v>392948.557</v>
      </c>
    </row>
    <row r="965">
      <c r="A965" s="3"/>
      <c r="O965" s="6">
        <f t="shared" si="3"/>
        <v>0.964</v>
      </c>
      <c r="P965" s="10">
        <f t="shared" si="1"/>
        <v>397530.0784</v>
      </c>
    </row>
    <row r="966">
      <c r="A966" s="3"/>
      <c r="O966" s="6">
        <f t="shared" si="3"/>
        <v>0.965</v>
      </c>
      <c r="P966" s="10">
        <f t="shared" si="1"/>
        <v>402272.3346</v>
      </c>
    </row>
    <row r="967">
      <c r="A967" s="3"/>
      <c r="O967" s="6">
        <f t="shared" si="3"/>
        <v>0.966</v>
      </c>
      <c r="P967" s="10">
        <f t="shared" si="1"/>
        <v>407185.7369</v>
      </c>
    </row>
    <row r="968">
      <c r="A968" s="3"/>
      <c r="O968" s="6">
        <f t="shared" si="3"/>
        <v>0.967</v>
      </c>
      <c r="P968" s="10">
        <f t="shared" si="1"/>
        <v>412281.7005</v>
      </c>
    </row>
    <row r="969">
      <c r="A969" s="3"/>
      <c r="O969" s="6">
        <f t="shared" si="3"/>
        <v>0.968</v>
      </c>
      <c r="P969" s="10">
        <f t="shared" si="1"/>
        <v>417572.7755</v>
      </c>
    </row>
    <row r="970">
      <c r="A970" s="3"/>
      <c r="O970" s="6">
        <f t="shared" si="3"/>
        <v>0.969</v>
      </c>
      <c r="P970" s="10">
        <f t="shared" si="1"/>
        <v>423072.7991</v>
      </c>
    </row>
    <row r="971">
      <c r="A971" s="3"/>
      <c r="O971" s="6">
        <f t="shared" si="3"/>
        <v>0.97</v>
      </c>
      <c r="P971" s="10">
        <f t="shared" si="1"/>
        <v>428797.0741</v>
      </c>
    </row>
    <row r="972">
      <c r="A972" s="3"/>
      <c r="O972" s="6">
        <f t="shared" si="3"/>
        <v>0.971</v>
      </c>
      <c r="P972" s="10">
        <f t="shared" si="1"/>
        <v>434762.5793</v>
      </c>
    </row>
    <row r="973">
      <c r="A973" s="3"/>
      <c r="O973" s="6">
        <f t="shared" si="3"/>
        <v>0.972</v>
      </c>
      <c r="P973" s="10">
        <f t="shared" si="1"/>
        <v>440988.2177</v>
      </c>
    </row>
    <row r="974">
      <c r="A974" s="3"/>
      <c r="O974" s="6">
        <f t="shared" si="3"/>
        <v>0.973</v>
      </c>
      <c r="P974" s="10">
        <f t="shared" si="1"/>
        <v>447495.1132</v>
      </c>
    </row>
    <row r="975">
      <c r="A975" s="3"/>
      <c r="O975" s="6">
        <f t="shared" si="3"/>
        <v>0.974</v>
      </c>
      <c r="P975" s="10">
        <f t="shared" si="1"/>
        <v>454306.9644</v>
      </c>
    </row>
    <row r="976">
      <c r="A976" s="3"/>
      <c r="O976" s="6">
        <f t="shared" si="3"/>
        <v>0.975</v>
      </c>
      <c r="P976" s="10">
        <f t="shared" si="1"/>
        <v>461450.472</v>
      </c>
    </row>
    <row r="977">
      <c r="A977" s="3"/>
      <c r="O977" s="6">
        <f t="shared" si="3"/>
        <v>0.976</v>
      </c>
      <c r="P977" s="10">
        <f t="shared" si="1"/>
        <v>468955.8597</v>
      </c>
    </row>
    <row r="978">
      <c r="A978" s="3"/>
      <c r="O978" s="6">
        <f t="shared" si="3"/>
        <v>0.977</v>
      </c>
      <c r="P978" s="10">
        <f t="shared" si="1"/>
        <v>476857.5041</v>
      </c>
    </row>
    <row r="979">
      <c r="A979" s="3"/>
      <c r="O979" s="6">
        <f t="shared" si="3"/>
        <v>0.978</v>
      </c>
      <c r="P979" s="10">
        <f t="shared" si="1"/>
        <v>485194.7206</v>
      </c>
    </row>
    <row r="980">
      <c r="A980" s="3"/>
      <c r="O980" s="6">
        <f t="shared" si="3"/>
        <v>0.979</v>
      </c>
      <c r="P980" s="10">
        <f t="shared" si="1"/>
        <v>494012.7324</v>
      </c>
    </row>
    <row r="981">
      <c r="A981" s="3"/>
      <c r="O981" s="6">
        <f t="shared" si="3"/>
        <v>0.98</v>
      </c>
      <c r="P981" s="10">
        <f t="shared" si="1"/>
        <v>503363.8922</v>
      </c>
    </row>
    <row r="982">
      <c r="A982" s="3"/>
      <c r="O982" s="6">
        <f t="shared" si="3"/>
        <v>0.981</v>
      </c>
      <c r="P982" s="10">
        <f t="shared" si="1"/>
        <v>513309.2297</v>
      </c>
    </row>
    <row r="983">
      <c r="A983" s="3"/>
      <c r="O983" s="6">
        <f t="shared" si="3"/>
        <v>0.982</v>
      </c>
      <c r="P983" s="10">
        <f t="shared" si="1"/>
        <v>523920.4387</v>
      </c>
    </row>
    <row r="984">
      <c r="A984" s="3"/>
      <c r="O984" s="6">
        <f t="shared" si="3"/>
        <v>0.983</v>
      </c>
      <c r="P984" s="10">
        <f t="shared" si="1"/>
        <v>535282.4587</v>
      </c>
    </row>
    <row r="985">
      <c r="A985" s="3"/>
      <c r="O985" s="6">
        <f t="shared" si="3"/>
        <v>0.984</v>
      </c>
      <c r="P985" s="10">
        <f t="shared" si="1"/>
        <v>547496.8767</v>
      </c>
    </row>
    <row r="986">
      <c r="A986" s="3"/>
      <c r="O986" s="6">
        <f t="shared" si="3"/>
        <v>0.985</v>
      </c>
      <c r="P986" s="10">
        <f t="shared" si="1"/>
        <v>560686.4808</v>
      </c>
    </row>
    <row r="987">
      <c r="A987" s="3"/>
      <c r="O987" s="6">
        <f t="shared" si="3"/>
        <v>0.986</v>
      </c>
      <c r="P987" s="10">
        <f t="shared" si="1"/>
        <v>575001.4618</v>
      </c>
    </row>
    <row r="988">
      <c r="A988" s="3"/>
      <c r="O988" s="6">
        <f t="shared" si="3"/>
        <v>0.987</v>
      </c>
      <c r="P988" s="10">
        <f t="shared" si="1"/>
        <v>590628.0265</v>
      </c>
    </row>
    <row r="989">
      <c r="A989" s="3"/>
      <c r="O989" s="6">
        <f t="shared" si="3"/>
        <v>0.988</v>
      </c>
      <c r="P989" s="10">
        <f t="shared" si="1"/>
        <v>607800.6333</v>
      </c>
    </row>
    <row r="990">
      <c r="A990" s="3"/>
      <c r="O990" s="6">
        <f t="shared" si="3"/>
        <v>0.989</v>
      </c>
      <c r="P990" s="10">
        <f t="shared" si="1"/>
        <v>626819.8232</v>
      </c>
    </row>
    <row r="991">
      <c r="A991" s="3"/>
      <c r="O991" s="6">
        <f t="shared" si="3"/>
        <v>0.99</v>
      </c>
      <c r="P991" s="10">
        <f t="shared" si="1"/>
        <v>648078.9939</v>
      </c>
    </row>
    <row r="992">
      <c r="A992" s="3"/>
      <c r="O992" s="6">
        <f t="shared" si="3"/>
        <v>0.991</v>
      </c>
      <c r="P992" s="10">
        <f t="shared" si="1"/>
        <v>672106.0349</v>
      </c>
    </row>
    <row r="993">
      <c r="A993" s="3"/>
      <c r="O993" s="6">
        <f t="shared" si="3"/>
        <v>0.992</v>
      </c>
      <c r="P993" s="10">
        <f t="shared" si="1"/>
        <v>699630.8411</v>
      </c>
    </row>
    <row r="994">
      <c r="A994" s="3"/>
      <c r="O994" s="6">
        <f t="shared" si="3"/>
        <v>0.993</v>
      </c>
      <c r="P994" s="10">
        <f t="shared" si="1"/>
        <v>731700.5008</v>
      </c>
    </row>
    <row r="995">
      <c r="A995" s="3"/>
      <c r="O995" s="6">
        <f t="shared" si="3"/>
        <v>0.994</v>
      </c>
      <c r="P995" s="10">
        <f t="shared" si="1"/>
        <v>769888.6608</v>
      </c>
    </row>
    <row r="996">
      <c r="A996" s="3"/>
      <c r="O996" s="6">
        <f t="shared" si="3"/>
        <v>0.995</v>
      </c>
      <c r="P996" s="10">
        <f t="shared" si="1"/>
        <v>816708.2081</v>
      </c>
    </row>
    <row r="997">
      <c r="A997" s="3"/>
      <c r="O997" s="6">
        <f t="shared" si="3"/>
        <v>0.996</v>
      </c>
      <c r="P997" s="10">
        <f t="shared" si="1"/>
        <v>876517.6386</v>
      </c>
    </row>
    <row r="998">
      <c r="A998" s="3"/>
      <c r="O998" s="6">
        <f t="shared" si="3"/>
        <v>0.997</v>
      </c>
      <c r="P998" s="10">
        <f t="shared" si="1"/>
        <v>957840.6806</v>
      </c>
    </row>
    <row r="999">
      <c r="A999" s="3"/>
      <c r="O999" s="6">
        <f t="shared" si="3"/>
        <v>0.998</v>
      </c>
      <c r="P999" s="10">
        <f t="shared" si="1"/>
        <v>1080894.315</v>
      </c>
    </row>
    <row r="1000">
      <c r="A1000" s="3"/>
      <c r="O1000" s="6">
        <f t="shared" si="3"/>
        <v>0.999</v>
      </c>
      <c r="P1000" s="10">
        <f t="shared" si="1"/>
        <v>1315712.286</v>
      </c>
    </row>
  </sheetData>
  <hyperlinks>
    <hyperlink r:id="rId1" ref="B2"/>
    <hyperlink r:id="rId2" ref="B12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63.13"/>
    <col customWidth="1" min="5" max="5" width="50.13"/>
    <col customWidth="1" min="9" max="9" width="37.63"/>
  </cols>
  <sheetData>
    <row r="1">
      <c r="A1" s="4" t="s">
        <v>227</v>
      </c>
      <c r="B1" s="4" t="s">
        <v>17</v>
      </c>
      <c r="C1" s="4" t="s">
        <v>64</v>
      </c>
      <c r="D1" s="4" t="s">
        <v>229</v>
      </c>
      <c r="E1" s="41" t="s">
        <v>230</v>
      </c>
      <c r="G1" s="42" t="s">
        <v>232</v>
      </c>
      <c r="H1" s="4" t="s">
        <v>233</v>
      </c>
      <c r="I1" s="4" t="s">
        <v>234</v>
      </c>
    </row>
    <row r="2">
      <c r="A2" s="6" t="s">
        <v>235</v>
      </c>
      <c r="B2" s="6" t="s">
        <v>236</v>
      </c>
      <c r="C2" s="6" t="str">
        <f t="shared" ref="C2:C302" si="1">A2&amp;"/"&amp;B2</f>
        <v>Jan/2000</v>
      </c>
      <c r="D2" s="6">
        <v>0.04109309309309309</v>
      </c>
      <c r="E2" s="6">
        <f t="shared" ref="E2:E13" si="2">$E$14</f>
        <v>0.1089</v>
      </c>
      <c r="G2" s="44" t="str">
        <f t="shared" ref="G2:G287" si="3">A14&amp;"/"&amp;B14</f>
        <v>Jan/2001</v>
      </c>
      <c r="H2" s="38">
        <v>0.33117350611951046</v>
      </c>
      <c r="I2" s="6">
        <v>0.34326999999999996</v>
      </c>
    </row>
    <row r="3">
      <c r="A3" s="6" t="s">
        <v>240</v>
      </c>
      <c r="B3" s="6" t="s">
        <v>236</v>
      </c>
      <c r="C3" s="6" t="str">
        <f t="shared" si="1"/>
        <v>Feb/2000</v>
      </c>
      <c r="D3" s="6">
        <v>0.04347597597597598</v>
      </c>
      <c r="E3" s="6">
        <f t="shared" si="2"/>
        <v>0.1089</v>
      </c>
      <c r="G3" s="44" t="str">
        <f t="shared" si="3"/>
        <v>Feb/2001</v>
      </c>
      <c r="H3" s="38">
        <v>0.33117350611951046</v>
      </c>
      <c r="I3" s="6">
        <v>0.34356</v>
      </c>
    </row>
    <row r="4">
      <c r="A4" s="6" t="s">
        <v>242</v>
      </c>
      <c r="B4" s="6" t="s">
        <v>236</v>
      </c>
      <c r="C4" s="6" t="str">
        <f t="shared" si="1"/>
        <v>Mar/2000</v>
      </c>
      <c r="D4" s="6">
        <v>0.05261261261261261</v>
      </c>
      <c r="E4" s="6">
        <f t="shared" si="2"/>
        <v>0.1089</v>
      </c>
      <c r="G4" s="44" t="str">
        <f t="shared" si="3"/>
        <v>Mar/2001</v>
      </c>
      <c r="H4" s="38">
        <v>0.33117350611951046</v>
      </c>
      <c r="I4" s="6">
        <v>0.32511</v>
      </c>
    </row>
    <row r="5">
      <c r="A5" s="6" t="s">
        <v>243</v>
      </c>
      <c r="B5" s="6" t="s">
        <v>236</v>
      </c>
      <c r="C5" s="6" t="str">
        <f t="shared" si="1"/>
        <v>Apr/2000</v>
      </c>
      <c r="D5" s="6">
        <v>0.05256006006006006</v>
      </c>
      <c r="E5" s="6">
        <f t="shared" si="2"/>
        <v>0.1089</v>
      </c>
      <c r="G5" s="44" t="str">
        <f t="shared" si="3"/>
        <v>Apr/2001</v>
      </c>
      <c r="H5" s="38">
        <v>0.33117350611951046</v>
      </c>
      <c r="I5" s="6">
        <v>0.32077999999999995</v>
      </c>
    </row>
    <row r="6">
      <c r="A6" s="6" t="s">
        <v>245</v>
      </c>
      <c r="B6" s="6" t="s">
        <v>236</v>
      </c>
      <c r="C6" s="6" t="str">
        <f t="shared" si="1"/>
        <v>May/2000</v>
      </c>
      <c r="D6" s="6">
        <v>0.04957957957957958</v>
      </c>
      <c r="E6" s="6">
        <f t="shared" si="2"/>
        <v>0.1089</v>
      </c>
      <c r="G6" s="44" t="str">
        <f t="shared" si="3"/>
        <v>May/2001</v>
      </c>
      <c r="H6" s="38">
        <v>0.33117350611951046</v>
      </c>
      <c r="I6" s="6">
        <v>0.31855</v>
      </c>
    </row>
    <row r="7">
      <c r="A7" s="6" t="s">
        <v>246</v>
      </c>
      <c r="B7" s="6" t="s">
        <v>236</v>
      </c>
      <c r="C7" s="6" t="str">
        <f t="shared" si="1"/>
        <v>Jun/2000</v>
      </c>
      <c r="D7" s="6">
        <v>0.0486936936936937</v>
      </c>
      <c r="E7" s="6">
        <f t="shared" si="2"/>
        <v>0.1089</v>
      </c>
      <c r="G7" s="44" t="str">
        <f t="shared" si="3"/>
        <v>Jun/2001</v>
      </c>
      <c r="H7" s="38">
        <v>0.33117350611951046</v>
      </c>
      <c r="I7" s="6">
        <v>0.28845</v>
      </c>
    </row>
    <row r="8">
      <c r="A8" s="6" t="s">
        <v>247</v>
      </c>
      <c r="B8" s="6" t="s">
        <v>236</v>
      </c>
      <c r="C8" s="6" t="str">
        <f t="shared" si="1"/>
        <v>Jul/2000</v>
      </c>
      <c r="D8" s="6">
        <v>0.05136336336336336</v>
      </c>
      <c r="E8" s="6">
        <f t="shared" si="2"/>
        <v>0.1089</v>
      </c>
      <c r="G8" s="44" t="str">
        <f t="shared" si="3"/>
        <v>Jul/2001</v>
      </c>
      <c r="H8" s="38">
        <v>0.33117350611951046</v>
      </c>
      <c r="I8" s="6">
        <v>0.30122000000000004</v>
      </c>
    </row>
    <row r="9">
      <c r="A9" s="6" t="s">
        <v>248</v>
      </c>
      <c r="B9" s="6" t="s">
        <v>236</v>
      </c>
      <c r="C9" s="6" t="str">
        <f t="shared" si="1"/>
        <v>Aug/2000</v>
      </c>
      <c r="D9" s="6">
        <v>0.05032282282282282</v>
      </c>
      <c r="E9" s="6">
        <f t="shared" si="2"/>
        <v>0.1089</v>
      </c>
      <c r="G9" s="44" t="str">
        <f t="shared" si="3"/>
        <v>Aug/2001</v>
      </c>
      <c r="H9" s="38">
        <v>0.33117350611951046</v>
      </c>
      <c r="I9" s="6">
        <v>0.30837</v>
      </c>
    </row>
    <row r="10">
      <c r="A10" s="6" t="s">
        <v>249</v>
      </c>
      <c r="B10" s="6" t="s">
        <v>236</v>
      </c>
      <c r="C10" s="6" t="str">
        <f t="shared" si="1"/>
        <v>Sep/2000</v>
      </c>
      <c r="D10" s="6">
        <v>0.054827327327327334</v>
      </c>
      <c r="E10" s="6">
        <f t="shared" si="2"/>
        <v>0.1089</v>
      </c>
      <c r="G10" s="44" t="str">
        <f t="shared" si="3"/>
        <v>Sep/2001</v>
      </c>
      <c r="H10" s="38">
        <v>0.33117350611951046</v>
      </c>
      <c r="I10" s="6">
        <v>0.30442</v>
      </c>
    </row>
    <row r="11">
      <c r="A11" s="6" t="s">
        <v>250</v>
      </c>
      <c r="B11" s="6" t="s">
        <v>236</v>
      </c>
      <c r="C11" s="6" t="str">
        <f t="shared" si="1"/>
        <v>Oct/2000</v>
      </c>
      <c r="D11" s="6">
        <v>0.05441441441441442</v>
      </c>
      <c r="E11" s="6">
        <f t="shared" si="2"/>
        <v>0.1089</v>
      </c>
      <c r="G11" s="44" t="str">
        <f t="shared" si="3"/>
        <v>Oct/2001</v>
      </c>
      <c r="H11" s="38">
        <v>0.33117350611951046</v>
      </c>
      <c r="I11" s="6">
        <v>0.30442</v>
      </c>
    </row>
    <row r="12">
      <c r="A12" s="6" t="s">
        <v>251</v>
      </c>
      <c r="B12" s="6" t="s">
        <v>236</v>
      </c>
      <c r="C12" s="6" t="str">
        <f t="shared" si="1"/>
        <v>Nov/2000</v>
      </c>
      <c r="D12" s="6">
        <v>0.05303303303303303</v>
      </c>
      <c r="E12" s="6">
        <f t="shared" si="2"/>
        <v>0.1089</v>
      </c>
      <c r="G12" s="44" t="str">
        <f t="shared" si="3"/>
        <v>Nov/2001</v>
      </c>
      <c r="H12" s="38">
        <v>0.33117350611951046</v>
      </c>
      <c r="I12" s="6">
        <v>0.28881</v>
      </c>
    </row>
    <row r="13">
      <c r="A13" s="6" t="s">
        <v>252</v>
      </c>
      <c r="B13" s="6" t="s">
        <v>236</v>
      </c>
      <c r="C13" s="6" t="str">
        <f t="shared" si="1"/>
        <v>Dec/2000</v>
      </c>
      <c r="D13" s="6">
        <v>0.05040540540540541</v>
      </c>
      <c r="E13" s="6">
        <f t="shared" si="2"/>
        <v>0.1089</v>
      </c>
      <c r="G13" s="44" t="str">
        <f t="shared" si="3"/>
        <v>Dec/2001</v>
      </c>
      <c r="H13" s="38">
        <v>0.33117350611951046</v>
      </c>
      <c r="I13" s="6">
        <v>0.2853</v>
      </c>
    </row>
    <row r="14">
      <c r="A14" s="6" t="s">
        <v>235</v>
      </c>
      <c r="B14" s="6" t="s">
        <v>253</v>
      </c>
      <c r="C14" s="6" t="str">
        <f t="shared" si="1"/>
        <v>Jan/2001</v>
      </c>
      <c r="D14" s="6">
        <v>0.04807207207207208</v>
      </c>
      <c r="E14" s="6">
        <v>0.10890000000000001</v>
      </c>
      <c r="G14" s="44" t="str">
        <f t="shared" si="3"/>
        <v>Jan/2002</v>
      </c>
      <c r="H14" s="38">
        <v>0.33117350611951046</v>
      </c>
      <c r="I14" s="6">
        <v>0.26315</v>
      </c>
    </row>
    <row r="15">
      <c r="A15" s="6" t="s">
        <v>240</v>
      </c>
      <c r="B15" s="6" t="s">
        <v>253</v>
      </c>
      <c r="C15" s="6" t="str">
        <f t="shared" si="1"/>
        <v>Feb/2001</v>
      </c>
      <c r="D15" s="6">
        <v>0.04916666666666667</v>
      </c>
      <c r="E15" s="6">
        <v>0.1114</v>
      </c>
      <c r="G15" s="44" t="str">
        <f t="shared" si="3"/>
        <v>Feb/2002</v>
      </c>
      <c r="H15" s="38">
        <v>0.33117350611951046</v>
      </c>
      <c r="I15" s="6">
        <v>0.26665</v>
      </c>
    </row>
    <row r="16">
      <c r="A16" s="6" t="s">
        <v>242</v>
      </c>
      <c r="B16" s="6" t="s">
        <v>253</v>
      </c>
      <c r="C16" s="6" t="str">
        <f t="shared" si="1"/>
        <v>Mar/2001</v>
      </c>
      <c r="D16" s="6">
        <v>0.05084084084084085</v>
      </c>
      <c r="E16" s="6">
        <v>0.11289999999999999</v>
      </c>
      <c r="G16" s="44" t="str">
        <f t="shared" si="3"/>
        <v>Mar/2002</v>
      </c>
      <c r="H16" s="38">
        <v>0.33117350611951046</v>
      </c>
      <c r="I16" s="6">
        <v>0.27642</v>
      </c>
    </row>
    <row r="17">
      <c r="A17" s="6" t="s">
        <v>243</v>
      </c>
      <c r="B17" s="6" t="s">
        <v>253</v>
      </c>
      <c r="C17" s="6" t="str">
        <f t="shared" si="1"/>
        <v>Apr/2001</v>
      </c>
      <c r="D17" s="6">
        <v>0.05383183183183184</v>
      </c>
      <c r="E17" s="6">
        <v>0.1114</v>
      </c>
      <c r="G17" s="44" t="str">
        <f t="shared" si="3"/>
        <v>Apr/2002</v>
      </c>
      <c r="H17" s="38">
        <v>0.33117350611951046</v>
      </c>
      <c r="I17" s="6">
        <v>0.23476</v>
      </c>
    </row>
    <row r="18">
      <c r="A18" s="6" t="s">
        <v>245</v>
      </c>
      <c r="B18" s="6" t="s">
        <v>253</v>
      </c>
      <c r="C18" s="6" t="str">
        <f t="shared" si="1"/>
        <v>May/2001</v>
      </c>
      <c r="D18" s="6">
        <v>0.05848348348348349</v>
      </c>
      <c r="E18" s="6">
        <v>0.1197</v>
      </c>
      <c r="G18" s="44" t="str">
        <f t="shared" si="3"/>
        <v>May/2002</v>
      </c>
      <c r="H18" s="38">
        <v>0.33117350611951046</v>
      </c>
      <c r="I18" s="6">
        <v>0.23788</v>
      </c>
    </row>
    <row r="19">
      <c r="A19" s="6" t="s">
        <v>246</v>
      </c>
      <c r="B19" s="6" t="s">
        <v>253</v>
      </c>
      <c r="C19" s="6" t="str">
        <f t="shared" si="1"/>
        <v>Jun/2001</v>
      </c>
      <c r="D19" s="6">
        <v>0.057860360360360366</v>
      </c>
      <c r="E19" s="6">
        <v>0.12869999999999998</v>
      </c>
      <c r="G19" s="44" t="str">
        <f t="shared" si="3"/>
        <v>Jun/2002</v>
      </c>
      <c r="H19" s="38">
        <v>0.33117350611951046</v>
      </c>
      <c r="I19" s="6">
        <v>0.27519</v>
      </c>
    </row>
    <row r="20">
      <c r="A20" s="6" t="s">
        <v>247</v>
      </c>
      <c r="B20" s="6" t="s">
        <v>253</v>
      </c>
      <c r="C20" s="6" t="str">
        <f t="shared" si="1"/>
        <v>Jul/2001</v>
      </c>
      <c r="D20" s="6">
        <v>0.05315315315315316</v>
      </c>
      <c r="E20" s="6">
        <v>0.1305</v>
      </c>
      <c r="G20" s="44" t="str">
        <f t="shared" si="3"/>
        <v>Jul/2002</v>
      </c>
      <c r="H20" s="38">
        <v>0.33117350611951046</v>
      </c>
      <c r="I20" s="6">
        <v>0.29284</v>
      </c>
    </row>
    <row r="21">
      <c r="A21" s="6" t="s">
        <v>248</v>
      </c>
      <c r="B21" s="6" t="s">
        <v>253</v>
      </c>
      <c r="C21" s="6" t="str">
        <f t="shared" si="1"/>
        <v>Aug/2001</v>
      </c>
      <c r="D21" s="6">
        <v>0.0468018018018018</v>
      </c>
      <c r="E21" s="6">
        <v>0.128</v>
      </c>
      <c r="G21" s="44" t="str">
        <f t="shared" si="3"/>
        <v>Aug/2002</v>
      </c>
      <c r="H21" s="38">
        <v>0.33117350611951046</v>
      </c>
      <c r="I21" s="6">
        <v>0.28858999999999996</v>
      </c>
    </row>
    <row r="22">
      <c r="A22" s="6" t="s">
        <v>249</v>
      </c>
      <c r="B22" s="6" t="s">
        <v>253</v>
      </c>
      <c r="C22" s="6" t="str">
        <f t="shared" si="1"/>
        <v>Sep/2001</v>
      </c>
      <c r="D22" s="6">
        <v>0.04993993993993995</v>
      </c>
      <c r="E22" s="6">
        <v>0.12869999999999998</v>
      </c>
      <c r="G22" s="44" t="str">
        <f t="shared" si="3"/>
        <v>Sep/2002</v>
      </c>
      <c r="H22" s="38">
        <v>0.33117350611951046</v>
      </c>
      <c r="I22" s="6">
        <v>0.29374</v>
      </c>
    </row>
    <row r="23">
      <c r="A23" s="6" t="s">
        <v>250</v>
      </c>
      <c r="B23" s="6" t="s">
        <v>253</v>
      </c>
      <c r="C23" s="6" t="str">
        <f t="shared" si="1"/>
        <v>Oct/2001</v>
      </c>
      <c r="D23" s="6">
        <v>0.04642642642642643</v>
      </c>
      <c r="E23" s="6">
        <v>0.1249</v>
      </c>
      <c r="G23" s="44" t="str">
        <f t="shared" si="3"/>
        <v>Oct/2002</v>
      </c>
      <c r="H23" s="38">
        <v>0.33117350611951046</v>
      </c>
      <c r="I23" s="6">
        <v>0.28099</v>
      </c>
    </row>
    <row r="24">
      <c r="A24" s="6" t="s">
        <v>251</v>
      </c>
      <c r="B24" s="6" t="s">
        <v>253</v>
      </c>
      <c r="C24" s="6" t="str">
        <f t="shared" si="1"/>
        <v>Nov/2001</v>
      </c>
      <c r="D24" s="6">
        <v>0.04075825825825826</v>
      </c>
      <c r="E24" s="6">
        <v>0.12119999999999999</v>
      </c>
      <c r="G24" s="44" t="str">
        <f t="shared" si="3"/>
        <v>Nov/2002</v>
      </c>
      <c r="H24" s="38">
        <v>0.33117350611951046</v>
      </c>
      <c r="I24" s="6">
        <v>0.29266000000000003</v>
      </c>
    </row>
    <row r="25">
      <c r="A25" s="6" t="s">
        <v>252</v>
      </c>
      <c r="B25" s="6" t="s">
        <v>253</v>
      </c>
      <c r="C25" s="6" t="str">
        <f t="shared" si="1"/>
        <v>Dec/2001</v>
      </c>
      <c r="D25" s="6">
        <v>0.03477477477477478</v>
      </c>
      <c r="E25" s="6">
        <v>0.1226</v>
      </c>
      <c r="G25" s="44" t="str">
        <f t="shared" si="3"/>
        <v>Dec/2002</v>
      </c>
      <c r="H25" s="38">
        <v>0.33117350611951046</v>
      </c>
      <c r="I25" s="6">
        <v>0.28418</v>
      </c>
    </row>
    <row r="26">
      <c r="A26" s="6" t="s">
        <v>235</v>
      </c>
      <c r="B26" s="6" t="s">
        <v>254</v>
      </c>
      <c r="C26" s="6" t="str">
        <f t="shared" si="1"/>
        <v>Jan/2002</v>
      </c>
      <c r="D26" s="6">
        <v>0.035593093093093095</v>
      </c>
      <c r="E26" s="6">
        <v>0.1303</v>
      </c>
      <c r="G26" s="44" t="str">
        <f t="shared" si="3"/>
        <v>Jan/2003</v>
      </c>
      <c r="H26" s="38">
        <v>0.33117350611951046</v>
      </c>
      <c r="I26" s="6">
        <v>0.27734</v>
      </c>
    </row>
    <row r="27">
      <c r="A27" s="6" t="s">
        <v>240</v>
      </c>
      <c r="B27" s="6" t="s">
        <v>254</v>
      </c>
      <c r="C27" s="6" t="str">
        <f t="shared" si="1"/>
        <v>Feb/2002</v>
      </c>
      <c r="D27" s="6">
        <v>0.03825075075075075</v>
      </c>
      <c r="E27" s="6">
        <v>0.1258</v>
      </c>
      <c r="G27" s="44" t="str">
        <f t="shared" si="3"/>
        <v>Feb/2003</v>
      </c>
      <c r="H27" s="38">
        <v>0.33117350611951046</v>
      </c>
      <c r="I27" s="6">
        <v>0.2865</v>
      </c>
    </row>
    <row r="28">
      <c r="A28" s="6" t="s">
        <v>242</v>
      </c>
      <c r="B28" s="6" t="s">
        <v>254</v>
      </c>
      <c r="C28" s="6" t="str">
        <f t="shared" si="1"/>
        <v>Mar/2002</v>
      </c>
      <c r="D28" s="6">
        <v>0.04387387387387388</v>
      </c>
      <c r="E28" s="6">
        <v>0.1258</v>
      </c>
      <c r="G28" s="44" t="str">
        <f t="shared" si="3"/>
        <v>Mar/2003</v>
      </c>
      <c r="H28" s="38">
        <v>0.33117350611951046</v>
      </c>
      <c r="I28" s="6">
        <v>0.27597000000000005</v>
      </c>
    </row>
    <row r="29">
      <c r="A29" s="6" t="s">
        <v>243</v>
      </c>
      <c r="B29" s="6" t="s">
        <v>254</v>
      </c>
      <c r="C29" s="6" t="str">
        <f t="shared" si="1"/>
        <v>Apr/2002</v>
      </c>
      <c r="D29" s="6">
        <v>0.04835435435435436</v>
      </c>
      <c r="E29" s="6">
        <v>0.12050000000000001</v>
      </c>
      <c r="G29" s="44" t="str">
        <f t="shared" si="3"/>
        <v>Apr/2003</v>
      </c>
      <c r="H29" s="38">
        <v>0.33117350611951046</v>
      </c>
      <c r="I29" s="6">
        <v>0.23911000000000002</v>
      </c>
    </row>
    <row r="30">
      <c r="A30" s="6" t="s">
        <v>245</v>
      </c>
      <c r="B30" s="6" t="s">
        <v>254</v>
      </c>
      <c r="C30" s="6" t="str">
        <f t="shared" si="1"/>
        <v>May/2002</v>
      </c>
      <c r="D30" s="6">
        <v>0.04707957957957959</v>
      </c>
      <c r="E30" s="6">
        <v>0.1282</v>
      </c>
      <c r="G30" s="44" t="str">
        <f t="shared" si="3"/>
        <v>May/2003</v>
      </c>
      <c r="H30" s="38">
        <v>0.33117350611951046</v>
      </c>
      <c r="I30" s="6">
        <v>0.20708000000000001</v>
      </c>
    </row>
    <row r="31">
      <c r="A31" s="6" t="s">
        <v>246</v>
      </c>
      <c r="B31" s="6" t="s">
        <v>254</v>
      </c>
      <c r="C31" s="6" t="str">
        <f t="shared" si="1"/>
        <v>Jun/2002</v>
      </c>
      <c r="D31" s="6">
        <v>0.04763513513513514</v>
      </c>
      <c r="E31" s="6">
        <v>0.12869999999999998</v>
      </c>
      <c r="G31" s="44" t="str">
        <f t="shared" si="3"/>
        <v>Jun/2003</v>
      </c>
      <c r="H31" s="38">
        <v>0.33117350611951046</v>
      </c>
      <c r="I31" s="6">
        <v>0.22822</v>
      </c>
    </row>
    <row r="32">
      <c r="A32" s="6" t="s">
        <v>247</v>
      </c>
      <c r="B32" s="6" t="s">
        <v>254</v>
      </c>
      <c r="C32" s="6" t="str">
        <f t="shared" si="1"/>
        <v>Jul/2002</v>
      </c>
      <c r="D32" s="6">
        <v>0.04807207207207208</v>
      </c>
      <c r="E32" s="6">
        <v>0.1328</v>
      </c>
      <c r="G32" s="44" t="str">
        <f t="shared" si="3"/>
        <v>Jul/2003</v>
      </c>
      <c r="H32" s="38">
        <v>0.33117350611951046</v>
      </c>
      <c r="I32" s="6">
        <v>0.28668</v>
      </c>
    </row>
    <row r="33">
      <c r="A33" s="6" t="s">
        <v>248</v>
      </c>
      <c r="B33" s="6" t="s">
        <v>254</v>
      </c>
      <c r="C33" s="6" t="str">
        <f t="shared" si="1"/>
        <v>Aug/2002</v>
      </c>
      <c r="D33" s="6">
        <v>0.047695195195195196</v>
      </c>
      <c r="E33" s="6">
        <v>0.1292</v>
      </c>
      <c r="G33" s="44" t="str">
        <f t="shared" si="3"/>
        <v>Aug/2003</v>
      </c>
      <c r="H33" s="38">
        <v>0.33117350611951046</v>
      </c>
      <c r="I33" s="6">
        <v>0.28847</v>
      </c>
    </row>
    <row r="34">
      <c r="A34" s="6" t="s">
        <v>249</v>
      </c>
      <c r="B34" s="6" t="s">
        <v>254</v>
      </c>
      <c r="C34" s="6" t="str">
        <f t="shared" si="1"/>
        <v>Sep/2002</v>
      </c>
      <c r="D34" s="6">
        <v>0.04742942942942944</v>
      </c>
      <c r="E34" s="6">
        <v>0.1161</v>
      </c>
      <c r="G34" s="44" t="str">
        <f t="shared" si="3"/>
        <v>Sep/2003</v>
      </c>
      <c r="H34" s="38">
        <v>0.33117350611951046</v>
      </c>
      <c r="I34" s="6">
        <v>0.2925</v>
      </c>
    </row>
    <row r="35">
      <c r="A35" s="6" t="s">
        <v>250</v>
      </c>
      <c r="B35" s="6" t="s">
        <v>254</v>
      </c>
      <c r="C35" s="6" t="str">
        <f t="shared" si="1"/>
        <v>Oct/2002</v>
      </c>
      <c r="D35" s="6">
        <v>0.04598348348348349</v>
      </c>
      <c r="E35" s="6">
        <v>0.1198</v>
      </c>
      <c r="G35" s="44" t="str">
        <f t="shared" si="3"/>
        <v>Oct/2003</v>
      </c>
      <c r="H35" s="38">
        <v>0.33117350611951046</v>
      </c>
      <c r="I35" s="6">
        <v>0.2948</v>
      </c>
    </row>
    <row r="36">
      <c r="A36" s="6" t="s">
        <v>251</v>
      </c>
      <c r="B36" s="6" t="s">
        <v>254</v>
      </c>
      <c r="C36" s="6" t="str">
        <f t="shared" si="1"/>
        <v>Nov/2002</v>
      </c>
      <c r="D36" s="6">
        <v>0.047379879879879884</v>
      </c>
      <c r="E36" s="6">
        <v>0.1255</v>
      </c>
      <c r="G36" s="44" t="str">
        <f t="shared" si="3"/>
        <v>Nov/2003</v>
      </c>
      <c r="H36" s="38">
        <v>0.33117350611951046</v>
      </c>
      <c r="I36" s="6">
        <v>0.27997000000000005</v>
      </c>
    </row>
    <row r="37">
      <c r="A37" s="6" t="s">
        <v>252</v>
      </c>
      <c r="B37" s="6" t="s">
        <v>254</v>
      </c>
      <c r="C37" s="6" t="str">
        <f t="shared" si="1"/>
        <v>Dec/2002</v>
      </c>
      <c r="D37" s="6">
        <v>0.04612012012012012</v>
      </c>
      <c r="E37" s="6">
        <v>0.1331</v>
      </c>
      <c r="G37" s="44" t="str">
        <f t="shared" si="3"/>
        <v>Dec/2003</v>
      </c>
      <c r="H37" s="38">
        <v>0.33117350611951046</v>
      </c>
      <c r="I37" s="6">
        <v>0.2694</v>
      </c>
    </row>
    <row r="38">
      <c r="A38" s="6" t="s">
        <v>235</v>
      </c>
      <c r="B38" s="6" t="s">
        <v>255</v>
      </c>
      <c r="C38" s="6" t="str">
        <f t="shared" si="1"/>
        <v>Jan/2003</v>
      </c>
      <c r="D38" s="6">
        <v>0.048438438438438446</v>
      </c>
      <c r="E38" s="6">
        <v>0.1281</v>
      </c>
      <c r="G38" s="44" t="str">
        <f t="shared" si="3"/>
        <v>Jan/2004</v>
      </c>
      <c r="H38" s="38">
        <v>0.33117350611951046</v>
      </c>
      <c r="I38" s="6">
        <v>0.27165</v>
      </c>
    </row>
    <row r="39">
      <c r="A39" s="6" t="s">
        <v>240</v>
      </c>
      <c r="B39" s="6" t="s">
        <v>255</v>
      </c>
      <c r="C39" s="6" t="str">
        <f t="shared" si="1"/>
        <v>Feb/2003</v>
      </c>
      <c r="D39" s="6">
        <v>0.0541966966966967</v>
      </c>
      <c r="E39" s="6">
        <v>0.1241</v>
      </c>
      <c r="G39" s="44" t="str">
        <f t="shared" si="3"/>
        <v>Feb/2004</v>
      </c>
      <c r="H39" s="38">
        <v>0.33117350611951046</v>
      </c>
      <c r="I39" s="6">
        <v>0.28767000000000004</v>
      </c>
    </row>
    <row r="40">
      <c r="A40" s="6" t="s">
        <v>242</v>
      </c>
      <c r="B40" s="6" t="s">
        <v>255</v>
      </c>
      <c r="C40" s="6" t="str">
        <f t="shared" si="1"/>
        <v>Mar/2003</v>
      </c>
      <c r="D40" s="6">
        <v>0.06314714714714714</v>
      </c>
      <c r="E40" s="6">
        <v>0.1142</v>
      </c>
      <c r="G40" s="44" t="str">
        <f t="shared" si="3"/>
        <v>Mar/2004</v>
      </c>
      <c r="H40" s="38">
        <v>0.33117350611951046</v>
      </c>
      <c r="I40" s="6">
        <v>0.28164999999999996</v>
      </c>
    </row>
    <row r="41">
      <c r="A41" s="6" t="s">
        <v>243</v>
      </c>
      <c r="B41" s="6" t="s">
        <v>255</v>
      </c>
      <c r="C41" s="6" t="str">
        <f t="shared" si="1"/>
        <v>Apr/2003</v>
      </c>
      <c r="D41" s="6">
        <v>0.06139639639639641</v>
      </c>
      <c r="E41" s="6">
        <v>0.1251</v>
      </c>
      <c r="G41" s="44" t="str">
        <f t="shared" si="3"/>
        <v>Apr/2004</v>
      </c>
      <c r="H41" s="38">
        <v>0.33117350611951046</v>
      </c>
      <c r="I41" s="6">
        <v>0.27446</v>
      </c>
    </row>
    <row r="42">
      <c r="A42" s="6" t="s">
        <v>245</v>
      </c>
      <c r="B42" s="6" t="s">
        <v>255</v>
      </c>
      <c r="C42" s="6" t="str">
        <f t="shared" si="1"/>
        <v>May/2003</v>
      </c>
      <c r="D42" s="6">
        <v>0.055307807807807814</v>
      </c>
      <c r="E42" s="6">
        <v>0.1274</v>
      </c>
      <c r="G42" s="44" t="str">
        <f t="shared" si="3"/>
        <v>May/2004</v>
      </c>
      <c r="H42" s="38">
        <v>0.33117350611951046</v>
      </c>
      <c r="I42" s="6">
        <v>0.26221</v>
      </c>
    </row>
    <row r="43">
      <c r="A43" s="6" t="s">
        <v>246</v>
      </c>
      <c r="B43" s="6" t="s">
        <v>255</v>
      </c>
      <c r="C43" s="6" t="str">
        <f t="shared" si="1"/>
        <v>Jun/2003</v>
      </c>
      <c r="D43" s="6">
        <v>0.05297297297297298</v>
      </c>
      <c r="E43" s="6">
        <v>0.13119999999999998</v>
      </c>
      <c r="G43" s="44" t="str">
        <f t="shared" si="3"/>
        <v>Jun/2004</v>
      </c>
      <c r="H43" s="38">
        <v>0.33117350611951046</v>
      </c>
      <c r="I43" s="6">
        <v>0.25334</v>
      </c>
    </row>
    <row r="44">
      <c r="A44" s="6" t="s">
        <v>247</v>
      </c>
      <c r="B44" s="6" t="s">
        <v>255</v>
      </c>
      <c r="C44" s="6" t="str">
        <f t="shared" si="1"/>
        <v>Jul/2003</v>
      </c>
      <c r="D44" s="6">
        <v>0.05235735735735736</v>
      </c>
      <c r="E44" s="6">
        <v>0.135</v>
      </c>
      <c r="G44" s="44" t="str">
        <f t="shared" si="3"/>
        <v>Jul/2004</v>
      </c>
      <c r="H44" s="38">
        <v>0.33117350611951046</v>
      </c>
      <c r="I44" s="6">
        <v>0.28737999999999997</v>
      </c>
    </row>
    <row r="45">
      <c r="A45" s="6" t="s">
        <v>248</v>
      </c>
      <c r="B45" s="6" t="s">
        <v>255</v>
      </c>
      <c r="C45" s="6" t="str">
        <f t="shared" si="1"/>
        <v>Aug/2003</v>
      </c>
      <c r="D45" s="6">
        <v>0.05605855855855856</v>
      </c>
      <c r="E45" s="6">
        <v>0.129</v>
      </c>
      <c r="G45" s="44" t="str">
        <f t="shared" si="3"/>
        <v>Aug/2004</v>
      </c>
      <c r="H45" s="38">
        <v>0.33117350611951046</v>
      </c>
      <c r="I45" s="6">
        <v>0.29401</v>
      </c>
    </row>
    <row r="46">
      <c r="A46" s="6" t="s">
        <v>249</v>
      </c>
      <c r="B46" s="6" t="s">
        <v>255</v>
      </c>
      <c r="C46" s="6" t="str">
        <f t="shared" si="1"/>
        <v>Sep/2003</v>
      </c>
      <c r="D46" s="6">
        <v>0.06071471471471473</v>
      </c>
      <c r="E46" s="6">
        <v>0.1008</v>
      </c>
      <c r="G46" s="44" t="str">
        <f t="shared" si="3"/>
        <v>Sep/2004</v>
      </c>
      <c r="H46" s="38">
        <v>0.33117350611951046</v>
      </c>
      <c r="I46" s="6">
        <v>0.30501</v>
      </c>
    </row>
    <row r="47">
      <c r="A47" s="6" t="s">
        <v>250</v>
      </c>
      <c r="B47" s="6" t="s">
        <v>255</v>
      </c>
      <c r="C47" s="6" t="str">
        <f t="shared" si="1"/>
        <v>Oct/2003</v>
      </c>
      <c r="D47" s="6">
        <v>0.053791291291291295</v>
      </c>
      <c r="E47" s="6">
        <v>0.1047</v>
      </c>
      <c r="G47" s="44" t="str">
        <f t="shared" si="3"/>
        <v>Oct/2004</v>
      </c>
      <c r="H47" s="38">
        <v>0.33117350611951046</v>
      </c>
      <c r="I47" s="6">
        <v>0.31142000000000003</v>
      </c>
    </row>
    <row r="48">
      <c r="A48" s="6" t="s">
        <v>251</v>
      </c>
      <c r="B48" s="6" t="s">
        <v>255</v>
      </c>
      <c r="C48" s="6" t="str">
        <f t="shared" si="1"/>
        <v>Nov/2003</v>
      </c>
      <c r="D48" s="6">
        <v>0.05081081081081081</v>
      </c>
      <c r="E48" s="6">
        <v>0.12539999999999998</v>
      </c>
      <c r="G48" s="44" t="str">
        <f t="shared" si="3"/>
        <v>Nov/2004</v>
      </c>
      <c r="H48" s="38">
        <v>0.33117350611951046</v>
      </c>
      <c r="I48" s="6">
        <v>0.33447000000000005</v>
      </c>
    </row>
    <row r="49">
      <c r="A49" s="6" t="s">
        <v>252</v>
      </c>
      <c r="B49" s="6" t="s">
        <v>255</v>
      </c>
      <c r="C49" s="6" t="str">
        <f t="shared" si="1"/>
        <v>Dec/2003</v>
      </c>
      <c r="D49" s="6">
        <v>0.049045045045045046</v>
      </c>
      <c r="E49" s="6">
        <v>0.1245</v>
      </c>
      <c r="G49" s="44" t="str">
        <f t="shared" si="3"/>
        <v>Dec/2004</v>
      </c>
      <c r="H49" s="38">
        <v>0.33117350611951046</v>
      </c>
      <c r="I49" s="6">
        <v>0.31583999999999995</v>
      </c>
    </row>
    <row r="50">
      <c r="A50" s="6" t="s">
        <v>235</v>
      </c>
      <c r="B50" s="6" t="s">
        <v>256</v>
      </c>
      <c r="C50" s="6" t="str">
        <f t="shared" si="1"/>
        <v>Jan/2004</v>
      </c>
      <c r="D50" s="6">
        <v>0.050300300300300305</v>
      </c>
      <c r="E50" s="6">
        <v>0.1259</v>
      </c>
      <c r="G50" s="44" t="str">
        <f t="shared" si="3"/>
        <v>Jan/2005</v>
      </c>
      <c r="H50" s="38">
        <v>0.33117350611951046</v>
      </c>
      <c r="I50" s="6">
        <v>0.27702</v>
      </c>
    </row>
    <row r="51">
      <c r="A51" s="6" t="s">
        <v>240</v>
      </c>
      <c r="B51" s="6" t="s">
        <v>256</v>
      </c>
      <c r="C51" s="6" t="str">
        <f t="shared" si="1"/>
        <v>Feb/2004</v>
      </c>
      <c r="D51" s="6">
        <v>0.056088588588588596</v>
      </c>
      <c r="E51" s="6">
        <v>0.12390000000000001</v>
      </c>
      <c r="G51" s="44" t="str">
        <f t="shared" si="3"/>
        <v>Feb/2005</v>
      </c>
      <c r="H51" s="38">
        <v>0.33117350611951046</v>
      </c>
      <c r="I51" s="6">
        <v>0.27101</v>
      </c>
    </row>
    <row r="52">
      <c r="A52" s="6" t="s">
        <v>242</v>
      </c>
      <c r="B52" s="6" t="s">
        <v>256</v>
      </c>
      <c r="C52" s="6" t="str">
        <f t="shared" si="1"/>
        <v>Mar/2004</v>
      </c>
      <c r="D52" s="6">
        <v>0.06294294294294295</v>
      </c>
      <c r="E52" s="6">
        <v>0.12140000000000001</v>
      </c>
      <c r="G52" s="44" t="str">
        <f t="shared" si="3"/>
        <v>Mar/2005</v>
      </c>
      <c r="H52" s="38">
        <v>0.33117350611951046</v>
      </c>
      <c r="I52" s="6">
        <v>0.25331</v>
      </c>
    </row>
    <row r="53">
      <c r="A53" s="6" t="s">
        <v>243</v>
      </c>
      <c r="B53" s="6" t="s">
        <v>256</v>
      </c>
      <c r="C53" s="6" t="str">
        <f t="shared" si="1"/>
        <v>Apr/2004</v>
      </c>
      <c r="D53" s="6">
        <v>0.06422672672672673</v>
      </c>
      <c r="E53" s="6">
        <v>0.1143</v>
      </c>
      <c r="G53" s="44" t="str">
        <f t="shared" si="3"/>
        <v>Apr/2005</v>
      </c>
      <c r="H53" s="38">
        <v>0.33117350611951046</v>
      </c>
      <c r="I53" s="6">
        <v>0.2319</v>
      </c>
    </row>
    <row r="54">
      <c r="A54" s="6" t="s">
        <v>245</v>
      </c>
      <c r="B54" s="6" t="s">
        <v>256</v>
      </c>
      <c r="C54" s="6" t="str">
        <f t="shared" si="1"/>
        <v>May/2004</v>
      </c>
      <c r="D54" s="6">
        <v>0.06761561561561563</v>
      </c>
      <c r="E54" s="6">
        <v>0.1197</v>
      </c>
      <c r="G54" s="44" t="str">
        <f t="shared" si="3"/>
        <v>May/2005</v>
      </c>
      <c r="H54" s="38">
        <v>0.33117350611951046</v>
      </c>
      <c r="I54" s="6">
        <v>0.21771000000000001</v>
      </c>
    </row>
    <row r="55">
      <c r="A55" s="6" t="s">
        <v>246</v>
      </c>
      <c r="B55" s="6" t="s">
        <v>256</v>
      </c>
      <c r="C55" s="6" t="str">
        <f t="shared" si="1"/>
        <v>Jun/2004</v>
      </c>
      <c r="D55" s="6">
        <v>0.06832582582582584</v>
      </c>
      <c r="E55" s="6">
        <v>0.124</v>
      </c>
      <c r="G55" s="44" t="str">
        <f t="shared" si="3"/>
        <v>Jun/2005</v>
      </c>
      <c r="H55" s="38">
        <v>0.33117350611951046</v>
      </c>
      <c r="I55" s="6">
        <v>0.22547999999999999</v>
      </c>
    </row>
    <row r="56">
      <c r="A56" s="6" t="s">
        <v>247</v>
      </c>
      <c r="B56" s="6" t="s">
        <v>256</v>
      </c>
      <c r="C56" s="6" t="str">
        <f t="shared" si="1"/>
        <v>Jul/2004</v>
      </c>
      <c r="D56" s="6">
        <v>0.06565315315315316</v>
      </c>
      <c r="E56" s="6">
        <v>0.1219</v>
      </c>
      <c r="G56" s="44" t="str">
        <f t="shared" si="3"/>
        <v>Jul/2005</v>
      </c>
      <c r="H56" s="38">
        <v>0.33117350611951046</v>
      </c>
      <c r="I56" s="6">
        <v>0.28317000000000003</v>
      </c>
    </row>
    <row r="57">
      <c r="A57" s="6" t="s">
        <v>248</v>
      </c>
      <c r="B57" s="6" t="s">
        <v>256</v>
      </c>
      <c r="C57" s="6" t="str">
        <f t="shared" si="1"/>
        <v>Aug/2004</v>
      </c>
      <c r="D57" s="6">
        <v>0.06261861861861862</v>
      </c>
      <c r="E57" s="6">
        <v>0.125</v>
      </c>
      <c r="G57" s="44" t="str">
        <f t="shared" si="3"/>
        <v>Aug/2005</v>
      </c>
      <c r="H57" s="38">
        <v>0.33117350611951046</v>
      </c>
      <c r="I57" s="6">
        <v>0.29761000000000004</v>
      </c>
    </row>
    <row r="58">
      <c r="A58" s="6" t="s">
        <v>249</v>
      </c>
      <c r="B58" s="6" t="s">
        <v>256</v>
      </c>
      <c r="C58" s="6" t="str">
        <f t="shared" si="1"/>
        <v>Sep/2004</v>
      </c>
      <c r="D58" s="6">
        <v>0.062139639639639636</v>
      </c>
      <c r="E58" s="6">
        <v>0.12179999999999999</v>
      </c>
      <c r="G58" s="44" t="str">
        <f t="shared" si="3"/>
        <v>Sep/2005</v>
      </c>
      <c r="H58" s="38">
        <v>0.33117350611951046</v>
      </c>
      <c r="I58" s="6">
        <v>0.28020999999999996</v>
      </c>
    </row>
    <row r="59">
      <c r="A59" s="6" t="s">
        <v>250</v>
      </c>
      <c r="B59" s="6" t="s">
        <v>256</v>
      </c>
      <c r="C59" s="6" t="str">
        <f t="shared" si="1"/>
        <v>Oct/2004</v>
      </c>
      <c r="D59" s="6">
        <v>0.0699774774774775</v>
      </c>
      <c r="E59" s="6">
        <v>0.1143</v>
      </c>
      <c r="G59" s="44" t="str">
        <f t="shared" si="3"/>
        <v>Oct/2005</v>
      </c>
      <c r="H59" s="38">
        <v>0.33117350611951046</v>
      </c>
      <c r="I59" s="6">
        <v>0.27467</v>
      </c>
    </row>
    <row r="60">
      <c r="A60" s="6" t="s">
        <v>251</v>
      </c>
      <c r="B60" s="6" t="s">
        <v>256</v>
      </c>
      <c r="C60" s="6" t="str">
        <f t="shared" si="1"/>
        <v>Nov/2004</v>
      </c>
      <c r="D60" s="6">
        <v>0.0691891891891892</v>
      </c>
      <c r="E60" s="6">
        <v>0.125</v>
      </c>
      <c r="G60" s="44" t="str">
        <f t="shared" si="3"/>
        <v>Nov/2005</v>
      </c>
      <c r="H60" s="38">
        <v>0.33117350611951046</v>
      </c>
      <c r="I60" s="6">
        <v>0.29637</v>
      </c>
    </row>
    <row r="61">
      <c r="A61" s="6" t="s">
        <v>252</v>
      </c>
      <c r="B61" s="6" t="s">
        <v>256</v>
      </c>
      <c r="C61" s="6" t="str">
        <f t="shared" si="1"/>
        <v>Dec/2004</v>
      </c>
      <c r="D61" s="6">
        <v>0.06295795795795796</v>
      </c>
      <c r="E61" s="6">
        <v>0.124</v>
      </c>
      <c r="G61" s="44" t="str">
        <f t="shared" si="3"/>
        <v>Dec/2005</v>
      </c>
      <c r="H61" s="38">
        <v>0.33117350611951046</v>
      </c>
      <c r="I61" s="6">
        <v>0.2789</v>
      </c>
    </row>
    <row r="62">
      <c r="A62" s="6" t="s">
        <v>235</v>
      </c>
      <c r="B62" s="6" t="s">
        <v>257</v>
      </c>
      <c r="C62" s="6" t="str">
        <f t="shared" si="1"/>
        <v>Jan/2005</v>
      </c>
      <c r="D62" s="6">
        <v>0.05909309309309309</v>
      </c>
      <c r="E62" s="6">
        <v>0.1219</v>
      </c>
      <c r="G62" s="44" t="str">
        <f t="shared" si="3"/>
        <v>Jan/2006</v>
      </c>
      <c r="H62" s="38">
        <v>0.33117350611951046</v>
      </c>
      <c r="I62" s="6">
        <v>0.24555000000000002</v>
      </c>
    </row>
    <row r="63">
      <c r="A63" s="6" t="s">
        <v>240</v>
      </c>
      <c r="B63" s="6" t="s">
        <v>257</v>
      </c>
      <c r="C63" s="6" t="str">
        <f t="shared" si="1"/>
        <v>Feb/2005</v>
      </c>
      <c r="D63" s="6">
        <v>0.0635885885885886</v>
      </c>
      <c r="E63" s="6">
        <v>0.1233</v>
      </c>
      <c r="G63" s="44" t="str">
        <f t="shared" si="3"/>
        <v>Feb/2006</v>
      </c>
      <c r="H63" s="38">
        <v>0.33117350611951046</v>
      </c>
      <c r="I63" s="6">
        <v>0.25695999999999997</v>
      </c>
    </row>
    <row r="64">
      <c r="A64" s="6" t="s">
        <v>242</v>
      </c>
      <c r="B64" s="6" t="s">
        <v>257</v>
      </c>
      <c r="C64" s="6" t="str">
        <f t="shared" si="1"/>
        <v>Mar/2005</v>
      </c>
      <c r="D64" s="6">
        <v>0.0690990990990991</v>
      </c>
      <c r="E64" s="6">
        <v>0.1128</v>
      </c>
      <c r="G64" s="44" t="str">
        <f t="shared" si="3"/>
        <v>Mar/2006</v>
      </c>
      <c r="H64" s="38">
        <v>0.33117350611951046</v>
      </c>
      <c r="I64" s="6">
        <v>0.24475999999999998</v>
      </c>
    </row>
    <row r="65">
      <c r="A65" s="6" t="s">
        <v>243</v>
      </c>
      <c r="B65" s="6" t="s">
        <v>257</v>
      </c>
      <c r="C65" s="6" t="str">
        <f t="shared" si="1"/>
        <v>Apr/2005</v>
      </c>
      <c r="D65" s="6">
        <v>0.07661411411411412</v>
      </c>
      <c r="E65" s="6">
        <v>0.12119999999999999</v>
      </c>
      <c r="G65" s="44" t="str">
        <f t="shared" si="3"/>
        <v>Apr/2006</v>
      </c>
      <c r="H65" s="38">
        <v>0.33117350611951046</v>
      </c>
      <c r="I65" s="6">
        <v>0.23079</v>
      </c>
    </row>
    <row r="66">
      <c r="A66" s="6" t="s">
        <v>245</v>
      </c>
      <c r="B66" s="6" t="s">
        <v>257</v>
      </c>
      <c r="C66" s="6" t="str">
        <f t="shared" si="1"/>
        <v>May/2005</v>
      </c>
      <c r="D66" s="6">
        <v>0.07431831831831832</v>
      </c>
      <c r="E66" s="6">
        <v>0.1257</v>
      </c>
      <c r="G66" s="44" t="str">
        <f t="shared" si="3"/>
        <v>May/2006</v>
      </c>
      <c r="H66" s="38">
        <v>0.33117350611951046</v>
      </c>
      <c r="I66" s="6">
        <v>0.23436</v>
      </c>
    </row>
    <row r="67">
      <c r="A67" s="6" t="s">
        <v>246</v>
      </c>
      <c r="B67" s="6" t="s">
        <v>257</v>
      </c>
      <c r="C67" s="6" t="str">
        <f t="shared" si="1"/>
        <v>Jun/2005</v>
      </c>
      <c r="D67" s="6">
        <v>0.07099849849849851</v>
      </c>
      <c r="E67" s="6">
        <v>0.134</v>
      </c>
      <c r="G67" s="44" t="str">
        <f t="shared" si="3"/>
        <v>Jun/2006</v>
      </c>
      <c r="H67" s="38">
        <v>0.33117350611951046</v>
      </c>
      <c r="I67" s="6">
        <v>0.24719</v>
      </c>
    </row>
    <row r="68">
      <c r="A68" s="6" t="s">
        <v>247</v>
      </c>
      <c r="B68" s="6" t="s">
        <v>257</v>
      </c>
      <c r="C68" s="6" t="str">
        <f t="shared" si="1"/>
        <v>Jul/2005</v>
      </c>
      <c r="D68" s="6">
        <v>0.07553303303303303</v>
      </c>
      <c r="E68" s="6">
        <v>0.1316</v>
      </c>
      <c r="G68" s="44" t="str">
        <f t="shared" si="3"/>
        <v>Jul/2006</v>
      </c>
      <c r="H68" s="38">
        <v>0.33117350611951046</v>
      </c>
      <c r="I68" s="6">
        <v>0.30116000000000004</v>
      </c>
    </row>
    <row r="69">
      <c r="A69" s="6" t="s">
        <v>248</v>
      </c>
      <c r="B69" s="6" t="s">
        <v>257</v>
      </c>
      <c r="C69" s="6" t="str">
        <f t="shared" si="1"/>
        <v>Aug/2005</v>
      </c>
      <c r="D69" s="6">
        <v>0.08039639639639641</v>
      </c>
      <c r="E69" s="6">
        <v>0.1343</v>
      </c>
      <c r="G69" s="44" t="str">
        <f t="shared" si="3"/>
        <v>Aug/2006</v>
      </c>
      <c r="H69" s="38">
        <v>0.33117350611951046</v>
      </c>
      <c r="I69" s="6">
        <v>0.28987</v>
      </c>
    </row>
    <row r="70">
      <c r="A70" s="6" t="s">
        <v>249</v>
      </c>
      <c r="B70" s="6" t="s">
        <v>257</v>
      </c>
      <c r="C70" s="6" t="str">
        <f t="shared" si="1"/>
        <v>Sep/2005</v>
      </c>
      <c r="D70" s="6">
        <v>0.08979729729729732</v>
      </c>
      <c r="E70" s="6">
        <v>0.12140000000000001</v>
      </c>
      <c r="G70" s="44" t="str">
        <f t="shared" si="3"/>
        <v>Sep/2006</v>
      </c>
      <c r="H70" s="38">
        <v>0.33117350611951046</v>
      </c>
      <c r="I70" s="6">
        <v>0.30093000000000003</v>
      </c>
    </row>
    <row r="71">
      <c r="A71" s="6" t="s">
        <v>250</v>
      </c>
      <c r="B71" s="6" t="s">
        <v>257</v>
      </c>
      <c r="C71" s="6" t="str">
        <f t="shared" si="1"/>
        <v>Oct/2005</v>
      </c>
      <c r="D71" s="6">
        <v>0.08656456456456456</v>
      </c>
      <c r="E71" s="6">
        <v>0.113</v>
      </c>
      <c r="G71" s="44" t="str">
        <f t="shared" si="3"/>
        <v>Oct/2006</v>
      </c>
      <c r="H71" s="38">
        <v>0.33117350611951046</v>
      </c>
      <c r="I71" s="6">
        <v>0.3043</v>
      </c>
    </row>
    <row r="72">
      <c r="A72" s="6" t="s">
        <v>251</v>
      </c>
      <c r="B72" s="6" t="s">
        <v>257</v>
      </c>
      <c r="C72" s="6" t="str">
        <f t="shared" si="1"/>
        <v>Nov/2005</v>
      </c>
      <c r="D72" s="6">
        <v>0.07587087087087087</v>
      </c>
      <c r="E72" s="6">
        <v>0.128</v>
      </c>
      <c r="G72" s="44" t="str">
        <f t="shared" si="3"/>
        <v>Nov/2006</v>
      </c>
      <c r="H72" s="38">
        <v>0.33117350611951046</v>
      </c>
      <c r="I72" s="6">
        <v>0.30778</v>
      </c>
    </row>
    <row r="73">
      <c r="A73" s="6" t="s">
        <v>252</v>
      </c>
      <c r="B73" s="6" t="s">
        <v>257</v>
      </c>
      <c r="C73" s="6" t="str">
        <f t="shared" si="1"/>
        <v>Dec/2005</v>
      </c>
      <c r="D73" s="6">
        <v>0.06827327327327329</v>
      </c>
      <c r="E73" s="6">
        <v>0.1291</v>
      </c>
      <c r="G73" s="44" t="str">
        <f t="shared" si="3"/>
        <v>Dec/2006</v>
      </c>
      <c r="H73" s="38">
        <v>0.33117350611951046</v>
      </c>
      <c r="I73" s="6">
        <v>0.3073</v>
      </c>
    </row>
    <row r="74">
      <c r="A74" s="6" t="s">
        <v>235</v>
      </c>
      <c r="B74" s="6" t="s">
        <v>258</v>
      </c>
      <c r="C74" s="6" t="str">
        <f t="shared" si="1"/>
        <v>Jan/2006</v>
      </c>
      <c r="D74" s="6">
        <v>0.07144144144144145</v>
      </c>
      <c r="E74" s="6">
        <v>0.13140000000000002</v>
      </c>
      <c r="G74" s="44" t="str">
        <f t="shared" si="3"/>
        <v>Jan/2007</v>
      </c>
      <c r="H74" s="38">
        <v>0.33117350611951046</v>
      </c>
      <c r="I74" s="6">
        <v>0.28872000000000003</v>
      </c>
    </row>
    <row r="75">
      <c r="A75" s="6" t="s">
        <v>240</v>
      </c>
      <c r="B75" s="6" t="s">
        <v>258</v>
      </c>
      <c r="C75" s="6" t="str">
        <f t="shared" si="1"/>
        <v>Feb/2006</v>
      </c>
      <c r="D75" s="6">
        <v>0.07490990990990991</v>
      </c>
      <c r="E75" s="6">
        <v>0.13449999999999998</v>
      </c>
      <c r="G75" s="44" t="str">
        <f t="shared" si="3"/>
        <v>Feb/2007</v>
      </c>
      <c r="H75" s="38">
        <v>0.33117350611951046</v>
      </c>
      <c r="I75" s="6">
        <v>0.28962</v>
      </c>
    </row>
    <row r="76">
      <c r="A76" s="6" t="s">
        <v>242</v>
      </c>
      <c r="B76" s="6" t="s">
        <v>258</v>
      </c>
      <c r="C76" s="6" t="str">
        <f t="shared" si="1"/>
        <v>Mar/2006</v>
      </c>
      <c r="D76" s="6">
        <v>0.07744744744744746</v>
      </c>
      <c r="E76" s="6">
        <v>0.13720000000000002</v>
      </c>
      <c r="G76" s="44" t="str">
        <f t="shared" si="3"/>
        <v>Mar/2007</v>
      </c>
      <c r="H76" s="38">
        <v>0.33117350611951046</v>
      </c>
      <c r="I76" s="6">
        <v>0.26248</v>
      </c>
    </row>
    <row r="77">
      <c r="A77" s="6" t="s">
        <v>243</v>
      </c>
      <c r="B77" s="6" t="s">
        <v>258</v>
      </c>
      <c r="C77" s="6" t="str">
        <f t="shared" si="1"/>
        <v>Apr/2006</v>
      </c>
      <c r="D77" s="6">
        <v>0.08647147147147147</v>
      </c>
      <c r="E77" s="6">
        <v>0.1399</v>
      </c>
      <c r="G77" s="44" t="str">
        <f t="shared" si="3"/>
        <v>Apr/2007</v>
      </c>
      <c r="H77" s="38">
        <v>0.33117350611951046</v>
      </c>
      <c r="I77" s="6">
        <v>0.26614</v>
      </c>
    </row>
    <row r="78">
      <c r="A78" s="6" t="s">
        <v>245</v>
      </c>
      <c r="B78" s="6" t="s">
        <v>258</v>
      </c>
      <c r="C78" s="6" t="str">
        <f t="shared" si="1"/>
        <v>May/2006</v>
      </c>
      <c r="D78" s="6">
        <v>0.09881681681681684</v>
      </c>
      <c r="E78" s="6">
        <v>0.1404</v>
      </c>
      <c r="G78" s="44" t="str">
        <f t="shared" si="3"/>
        <v>May/2007</v>
      </c>
      <c r="H78" s="38">
        <v>0.33117350611951046</v>
      </c>
      <c r="I78" s="6">
        <v>0.2753</v>
      </c>
    </row>
    <row r="79">
      <c r="A79" s="6" t="s">
        <v>246</v>
      </c>
      <c r="B79" s="6" t="s">
        <v>258</v>
      </c>
      <c r="C79" s="6" t="str">
        <f t="shared" si="1"/>
        <v>Jun/2006</v>
      </c>
      <c r="D79" s="6">
        <v>0.09650900900900902</v>
      </c>
      <c r="E79" s="6">
        <v>0.1517</v>
      </c>
      <c r="G79" s="44" t="str">
        <f t="shared" si="3"/>
        <v>Jun/2007</v>
      </c>
      <c r="H79" s="38">
        <v>0.33117350611951046</v>
      </c>
      <c r="I79" s="6">
        <v>0.28899</v>
      </c>
    </row>
    <row r="80">
      <c r="A80" s="6" t="s">
        <v>247</v>
      </c>
      <c r="B80" s="6" t="s">
        <v>258</v>
      </c>
      <c r="C80" s="6" t="str">
        <f t="shared" si="1"/>
        <v>Jul/2006</v>
      </c>
      <c r="D80" s="6">
        <v>0.09652252252252254</v>
      </c>
      <c r="E80" s="6">
        <v>0.16649999999999998</v>
      </c>
      <c r="G80" s="44" t="str">
        <f t="shared" si="3"/>
        <v>Jul/2007</v>
      </c>
      <c r="H80" s="38">
        <v>0.33117350611951046</v>
      </c>
      <c r="I80" s="6">
        <v>0.30434</v>
      </c>
    </row>
    <row r="81">
      <c r="A81" s="6" t="s">
        <v>248</v>
      </c>
      <c r="B81" s="6" t="s">
        <v>258</v>
      </c>
      <c r="C81" s="6" t="str">
        <f t="shared" si="1"/>
        <v>Aug/2006</v>
      </c>
      <c r="D81" s="6">
        <v>0.09506756756756758</v>
      </c>
      <c r="E81" s="6">
        <v>0.1489</v>
      </c>
      <c r="G81" s="44" t="str">
        <f t="shared" si="3"/>
        <v>Aug/2007</v>
      </c>
      <c r="H81" s="38">
        <v>0.33117350611951046</v>
      </c>
      <c r="I81" s="6">
        <v>0.32577999999999996</v>
      </c>
    </row>
    <row r="82">
      <c r="A82" s="6" t="s">
        <v>249</v>
      </c>
      <c r="B82" s="6" t="s">
        <v>258</v>
      </c>
      <c r="C82" s="6" t="str">
        <f t="shared" si="1"/>
        <v>Sep/2006</v>
      </c>
      <c r="D82" s="6">
        <v>0.08683933933933934</v>
      </c>
      <c r="E82" s="6">
        <v>0.1457</v>
      </c>
      <c r="G82" s="44" t="str">
        <f t="shared" si="3"/>
        <v>Sep/2007</v>
      </c>
      <c r="H82" s="38">
        <v>0.33117350611951046</v>
      </c>
      <c r="I82" s="6">
        <v>0.31351</v>
      </c>
    </row>
    <row r="83">
      <c r="A83" s="6" t="s">
        <v>250</v>
      </c>
      <c r="B83" s="6" t="s">
        <v>258</v>
      </c>
      <c r="C83" s="6" t="str">
        <f t="shared" si="1"/>
        <v>Oct/2006</v>
      </c>
      <c r="D83" s="6">
        <v>0.07651051051051051</v>
      </c>
      <c r="E83" s="6">
        <v>0.122</v>
      </c>
      <c r="G83" s="44" t="str">
        <f t="shared" si="3"/>
        <v>Oct/2007</v>
      </c>
      <c r="H83" s="38">
        <v>0.33117350611951046</v>
      </c>
      <c r="I83" s="6">
        <v>0.32661</v>
      </c>
    </row>
    <row r="84">
      <c r="A84" s="6" t="s">
        <v>251</v>
      </c>
      <c r="B84" s="6" t="s">
        <v>258</v>
      </c>
      <c r="C84" s="6" t="str">
        <f t="shared" si="1"/>
        <v>Nov/2006</v>
      </c>
      <c r="D84" s="6">
        <v>0.07393393393393394</v>
      </c>
      <c r="E84" s="6">
        <v>0.1447</v>
      </c>
      <c r="G84" s="44" t="str">
        <f t="shared" si="3"/>
        <v>Nov/2007</v>
      </c>
      <c r="H84" s="38">
        <v>0.33117350611951046</v>
      </c>
      <c r="I84" s="6">
        <v>0.32261</v>
      </c>
    </row>
    <row r="85">
      <c r="A85" s="6" t="s">
        <v>252</v>
      </c>
      <c r="B85" s="6" t="s">
        <v>258</v>
      </c>
      <c r="C85" s="6" t="str">
        <f t="shared" si="1"/>
        <v>Dec/2006</v>
      </c>
      <c r="D85" s="6">
        <v>0.07633633633633634</v>
      </c>
      <c r="E85" s="6">
        <v>0.1447</v>
      </c>
      <c r="G85" s="44" t="str">
        <f t="shared" si="3"/>
        <v>Dec/2007</v>
      </c>
      <c r="H85" s="38">
        <v>0.33117350611951046</v>
      </c>
      <c r="I85" s="6">
        <v>0.34579000000000004</v>
      </c>
    </row>
    <row r="86">
      <c r="A86" s="6" t="s">
        <v>235</v>
      </c>
      <c r="B86" s="6" t="s">
        <v>259</v>
      </c>
      <c r="C86" s="6" t="str">
        <f t="shared" si="1"/>
        <v>Jan/2007</v>
      </c>
      <c r="D86" s="6">
        <v>0.0772012012012012</v>
      </c>
      <c r="E86" s="6">
        <v>0.14980000000000002</v>
      </c>
      <c r="G86" s="44" t="str">
        <f t="shared" si="3"/>
        <v>Jan/2008</v>
      </c>
      <c r="H86" s="38">
        <v>0.33117350611951046</v>
      </c>
      <c r="I86" s="6">
        <v>0.33393</v>
      </c>
    </row>
    <row r="87">
      <c r="A87" s="6" t="s">
        <v>240</v>
      </c>
      <c r="B87" s="6" t="s">
        <v>259</v>
      </c>
      <c r="C87" s="6" t="str">
        <f t="shared" si="1"/>
        <v>Feb/2007</v>
      </c>
      <c r="D87" s="6">
        <v>0.08012762762762764</v>
      </c>
      <c r="E87" s="6">
        <v>0.1418</v>
      </c>
      <c r="G87" s="44" t="str">
        <f t="shared" si="3"/>
        <v>Feb/2008</v>
      </c>
      <c r="H87" s="38">
        <v>0.33117350611951046</v>
      </c>
      <c r="I87" s="6">
        <v>0.32930000000000004</v>
      </c>
    </row>
    <row r="88">
      <c r="A88" s="6" t="s">
        <v>242</v>
      </c>
      <c r="B88" s="6" t="s">
        <v>259</v>
      </c>
      <c r="C88" s="6" t="str">
        <f t="shared" si="1"/>
        <v>Mar/2007</v>
      </c>
      <c r="D88" s="6">
        <v>0.09187687687687689</v>
      </c>
      <c r="E88" s="6">
        <v>0.1382</v>
      </c>
      <c r="G88" s="44" t="str">
        <f t="shared" si="3"/>
        <v>Mar/2008</v>
      </c>
      <c r="H88" s="38">
        <v>0.33117350611951046</v>
      </c>
      <c r="I88" s="6">
        <v>0.31198000000000004</v>
      </c>
    </row>
    <row r="89">
      <c r="A89" s="6" t="s">
        <v>243</v>
      </c>
      <c r="B89" s="6" t="s">
        <v>259</v>
      </c>
      <c r="C89" s="6" t="str">
        <f t="shared" si="1"/>
        <v>Apr/2007</v>
      </c>
      <c r="D89" s="6">
        <v>0.09885885885885888</v>
      </c>
      <c r="E89" s="6">
        <v>0.1374</v>
      </c>
      <c r="G89" s="44" t="str">
        <f t="shared" si="3"/>
        <v>Apr/2008</v>
      </c>
      <c r="H89" s="38">
        <v>0.33117350611951046</v>
      </c>
      <c r="I89" s="6">
        <v>0.30416000000000004</v>
      </c>
    </row>
    <row r="90">
      <c r="A90" s="6" t="s">
        <v>245</v>
      </c>
      <c r="B90" s="6" t="s">
        <v>259</v>
      </c>
      <c r="C90" s="6" t="str">
        <f t="shared" si="1"/>
        <v>May/2007</v>
      </c>
      <c r="D90" s="6">
        <v>0.10325825825825827</v>
      </c>
      <c r="E90" s="6">
        <v>0.14150000000000001</v>
      </c>
      <c r="G90" s="44" t="str">
        <f t="shared" si="3"/>
        <v>May/2008</v>
      </c>
      <c r="H90" s="38">
        <v>0.33117350611951046</v>
      </c>
      <c r="I90" s="6">
        <v>0.26081</v>
      </c>
    </row>
    <row r="91">
      <c r="A91" s="6" t="s">
        <v>246</v>
      </c>
      <c r="B91" s="6" t="s">
        <v>259</v>
      </c>
      <c r="C91" s="6" t="str">
        <f t="shared" si="1"/>
        <v>Jun/2007</v>
      </c>
      <c r="D91" s="6">
        <v>0.09851351351351352</v>
      </c>
      <c r="E91" s="6">
        <v>0.1472</v>
      </c>
      <c r="G91" s="44" t="str">
        <f t="shared" si="3"/>
        <v>Jun/2008</v>
      </c>
      <c r="H91" s="38">
        <v>0.33117350611951046</v>
      </c>
      <c r="I91" s="6">
        <v>0.27498</v>
      </c>
    </row>
    <row r="92">
      <c r="A92" s="6" t="s">
        <v>247</v>
      </c>
      <c r="B92" s="6" t="s">
        <v>259</v>
      </c>
      <c r="C92" s="6" t="str">
        <f t="shared" si="1"/>
        <v>Jul/2007</v>
      </c>
      <c r="D92" s="6">
        <v>0.09386786786786788</v>
      </c>
      <c r="E92" s="6">
        <v>0.15130000000000002</v>
      </c>
      <c r="G92" s="44" t="str">
        <f t="shared" si="3"/>
        <v>Jul/2008</v>
      </c>
      <c r="H92" s="38">
        <v>0.33117350611951046</v>
      </c>
      <c r="I92" s="6">
        <v>0.29004</v>
      </c>
    </row>
    <row r="93">
      <c r="A93" s="6" t="s">
        <v>248</v>
      </c>
      <c r="B93" s="6" t="s">
        <v>259</v>
      </c>
      <c r="C93" s="6" t="str">
        <f t="shared" si="1"/>
        <v>Aug/2007</v>
      </c>
      <c r="D93" s="6">
        <v>0.08706456456456459</v>
      </c>
      <c r="E93" s="6">
        <v>0.15109999999999998</v>
      </c>
      <c r="G93" s="44" t="str">
        <f t="shared" si="3"/>
        <v>Aug/2008</v>
      </c>
      <c r="H93" s="38">
        <v>0.33117350611951046</v>
      </c>
      <c r="I93" s="6">
        <v>0.31259</v>
      </c>
    </row>
    <row r="94">
      <c r="A94" s="6" t="s">
        <v>249</v>
      </c>
      <c r="B94" s="6" t="s">
        <v>259</v>
      </c>
      <c r="C94" s="6" t="str">
        <f t="shared" si="1"/>
        <v>Sep/2007</v>
      </c>
      <c r="D94" s="6">
        <v>0.0862987987987988</v>
      </c>
      <c r="E94" s="6">
        <v>0.151</v>
      </c>
      <c r="G94" s="44" t="str">
        <f t="shared" si="3"/>
        <v>Sep/2008</v>
      </c>
      <c r="H94" s="38">
        <v>0.33117350611951046</v>
      </c>
      <c r="I94" s="6">
        <v>0.33679000000000003</v>
      </c>
    </row>
    <row r="95">
      <c r="A95" s="6" t="s">
        <v>250</v>
      </c>
      <c r="B95" s="6" t="s">
        <v>259</v>
      </c>
      <c r="C95" s="6" t="str">
        <f t="shared" si="1"/>
        <v>Oct/2007</v>
      </c>
      <c r="D95" s="6">
        <v>0.09203603603603602</v>
      </c>
      <c r="E95" s="6">
        <v>0.1253</v>
      </c>
      <c r="G95" s="44" t="str">
        <f t="shared" si="3"/>
        <v>Oct/2008</v>
      </c>
      <c r="H95" s="38">
        <v>0.33117350611951046</v>
      </c>
      <c r="I95" s="6">
        <v>0.34494</v>
      </c>
    </row>
    <row r="96">
      <c r="A96" s="6" t="s">
        <v>251</v>
      </c>
      <c r="B96" s="6" t="s">
        <v>259</v>
      </c>
      <c r="C96" s="6" t="str">
        <f t="shared" si="1"/>
        <v>Nov/2007</v>
      </c>
      <c r="D96" s="6">
        <v>0.10052552552552553</v>
      </c>
      <c r="E96" s="6">
        <v>0.1437</v>
      </c>
      <c r="G96" s="44" t="str">
        <f t="shared" si="3"/>
        <v>Nov/2008</v>
      </c>
      <c r="H96" s="38">
        <v>0.33117350611951046</v>
      </c>
      <c r="I96" s="6">
        <v>0.34516</v>
      </c>
    </row>
    <row r="97">
      <c r="A97" s="6" t="s">
        <v>252</v>
      </c>
      <c r="B97" s="6" t="s">
        <v>259</v>
      </c>
      <c r="C97" s="6" t="str">
        <f t="shared" si="1"/>
        <v>Dec/2007</v>
      </c>
      <c r="D97" s="6">
        <v>0.09930330330330331</v>
      </c>
      <c r="E97" s="6">
        <v>0.1446</v>
      </c>
      <c r="G97" s="44" t="str">
        <f t="shared" si="3"/>
        <v>Dec/2008</v>
      </c>
      <c r="H97" s="38">
        <v>0.33117350611951046</v>
      </c>
      <c r="I97" s="6">
        <v>0.34817000000000004</v>
      </c>
    </row>
    <row r="98">
      <c r="A98" s="6" t="s">
        <v>235</v>
      </c>
      <c r="B98" s="6" t="s">
        <v>260</v>
      </c>
      <c r="C98" s="6" t="str">
        <f t="shared" si="1"/>
        <v>Jan/2008</v>
      </c>
      <c r="D98" s="6">
        <v>0.09753753753753755</v>
      </c>
      <c r="E98" s="6">
        <v>0.1373</v>
      </c>
      <c r="G98" s="44" t="str">
        <f t="shared" si="3"/>
        <v>Jan/2009</v>
      </c>
      <c r="H98" s="38">
        <v>0.33117350611951046</v>
      </c>
      <c r="I98" s="6">
        <v>0.34408</v>
      </c>
    </row>
    <row r="99">
      <c r="A99" s="6" t="s">
        <v>240</v>
      </c>
      <c r="B99" s="6" t="s">
        <v>260</v>
      </c>
      <c r="C99" s="6" t="str">
        <f t="shared" si="1"/>
        <v>Feb/2008</v>
      </c>
      <c r="D99" s="6">
        <v>0.09560060060060059</v>
      </c>
      <c r="E99" s="6">
        <v>0.1336</v>
      </c>
      <c r="G99" s="44" t="str">
        <f t="shared" si="3"/>
        <v>Feb/2009</v>
      </c>
      <c r="H99" s="38">
        <v>0.33117350611951046</v>
      </c>
      <c r="I99" s="6">
        <v>0.33829000000000004</v>
      </c>
    </row>
    <row r="100">
      <c r="A100" s="6" t="s">
        <v>242</v>
      </c>
      <c r="B100" s="6" t="s">
        <v>260</v>
      </c>
      <c r="C100" s="6" t="str">
        <f t="shared" si="1"/>
        <v>Mar/2008</v>
      </c>
      <c r="D100" s="6">
        <v>0.10696696696696699</v>
      </c>
      <c r="E100" s="6">
        <v>0.1315</v>
      </c>
      <c r="G100" s="44" t="str">
        <f t="shared" si="3"/>
        <v>Mar/2009</v>
      </c>
      <c r="H100" s="38">
        <v>0.33117350611951046</v>
      </c>
      <c r="I100" s="6">
        <v>0.2894</v>
      </c>
    </row>
    <row r="101">
      <c r="A101" s="6" t="s">
        <v>243</v>
      </c>
      <c r="B101" s="6" t="s">
        <v>260</v>
      </c>
      <c r="C101" s="6" t="str">
        <f t="shared" si="1"/>
        <v>Apr/2008</v>
      </c>
      <c r="D101" s="6">
        <v>0.1140915915915916</v>
      </c>
      <c r="E101" s="6">
        <v>0.1293</v>
      </c>
      <c r="G101" s="44" t="str">
        <f t="shared" si="3"/>
        <v>Apr/2009</v>
      </c>
      <c r="H101" s="38">
        <v>0.33117350611951046</v>
      </c>
      <c r="I101" s="6">
        <v>0.25239</v>
      </c>
    </row>
    <row r="102">
      <c r="A102" s="6" t="s">
        <v>245</v>
      </c>
      <c r="B102" s="6" t="s">
        <v>260</v>
      </c>
      <c r="C102" s="6" t="str">
        <f t="shared" si="1"/>
        <v>May/2008</v>
      </c>
      <c r="D102" s="6">
        <v>0.11916666666666668</v>
      </c>
      <c r="E102" s="6">
        <v>0.1355</v>
      </c>
      <c r="G102" s="44" t="str">
        <f t="shared" si="3"/>
        <v>May/2009</v>
      </c>
      <c r="H102" s="38">
        <v>0.33117350611951046</v>
      </c>
      <c r="I102" s="6">
        <v>0.23884</v>
      </c>
    </row>
    <row r="103">
      <c r="A103" s="6" t="s">
        <v>246</v>
      </c>
      <c r="B103" s="6" t="s">
        <v>260</v>
      </c>
      <c r="C103" s="6" t="str">
        <f t="shared" si="1"/>
        <v>Jun/2008</v>
      </c>
      <c r="D103" s="6">
        <v>0.13466066066066068</v>
      </c>
      <c r="E103" s="6">
        <v>0.145</v>
      </c>
      <c r="G103" s="44" t="str">
        <f t="shared" si="3"/>
        <v>Jun/2009</v>
      </c>
      <c r="H103" s="38">
        <v>0.33117350611951046</v>
      </c>
      <c r="I103" s="6">
        <v>0.23188999999999999</v>
      </c>
    </row>
    <row r="104">
      <c r="A104" s="6" t="s">
        <v>247</v>
      </c>
      <c r="B104" s="6" t="s">
        <v>260</v>
      </c>
      <c r="C104" s="6" t="str">
        <f t="shared" si="1"/>
        <v>Jul/2008</v>
      </c>
      <c r="D104" s="6">
        <v>0.1339864864864865</v>
      </c>
      <c r="E104" s="6">
        <v>0.14400000000000002</v>
      </c>
      <c r="G104" s="44" t="str">
        <f t="shared" si="3"/>
        <v>Jul/2009</v>
      </c>
      <c r="H104" s="38">
        <v>0.33117350611951046</v>
      </c>
      <c r="I104" s="6">
        <v>0.29368</v>
      </c>
    </row>
    <row r="105">
      <c r="A105" s="6" t="s">
        <v>248</v>
      </c>
      <c r="B105" s="6" t="s">
        <v>260</v>
      </c>
      <c r="C105" s="6" t="str">
        <f t="shared" si="1"/>
        <v>Aug/2008</v>
      </c>
      <c r="D105" s="6">
        <v>0.12248498498498497</v>
      </c>
      <c r="E105" s="6">
        <v>0.1456</v>
      </c>
      <c r="G105" s="44" t="str">
        <f t="shared" si="3"/>
        <v>Aug/2009</v>
      </c>
      <c r="H105" s="38">
        <v>0.33117350611951046</v>
      </c>
      <c r="I105" s="6">
        <v>0.3122</v>
      </c>
    </row>
    <row r="106">
      <c r="A106" s="6" t="s">
        <v>249</v>
      </c>
      <c r="B106" s="6" t="s">
        <v>260</v>
      </c>
      <c r="C106" s="6" t="str">
        <f t="shared" si="1"/>
        <v>Sep/2008</v>
      </c>
      <c r="D106" s="6">
        <v>0.1138918918918919</v>
      </c>
      <c r="E106" s="6">
        <v>0.1402</v>
      </c>
      <c r="G106" s="44" t="str">
        <f t="shared" si="3"/>
        <v>Sep/2009</v>
      </c>
      <c r="H106" s="38">
        <v>0.33117350611951046</v>
      </c>
      <c r="I106" s="6">
        <v>0.33444999999999997</v>
      </c>
    </row>
    <row r="107">
      <c r="A107" s="6" t="s">
        <v>250</v>
      </c>
      <c r="B107" s="6" t="s">
        <v>260</v>
      </c>
      <c r="C107" s="6" t="str">
        <f t="shared" si="1"/>
        <v>Oct/2008</v>
      </c>
      <c r="D107" s="6">
        <v>0.10177177177177178</v>
      </c>
      <c r="E107" s="6">
        <v>0.1309</v>
      </c>
      <c r="G107" s="44" t="str">
        <f t="shared" si="3"/>
        <v>Oct/2009</v>
      </c>
      <c r="H107" s="38">
        <v>0.33117350611951046</v>
      </c>
      <c r="I107" s="6">
        <v>0.33988999999999997</v>
      </c>
    </row>
    <row r="108">
      <c r="A108" s="6" t="s">
        <v>251</v>
      </c>
      <c r="B108" s="6" t="s">
        <v>260</v>
      </c>
      <c r="C108" s="6" t="str">
        <f t="shared" si="1"/>
        <v>Nov/2008</v>
      </c>
      <c r="D108" s="6">
        <v>0.07375375375375376</v>
      </c>
      <c r="E108" s="6">
        <v>0.1422</v>
      </c>
      <c r="G108" s="44" t="str">
        <f t="shared" si="3"/>
        <v>Nov/2009</v>
      </c>
      <c r="H108" s="38">
        <v>0.33117350611951046</v>
      </c>
      <c r="I108" s="6">
        <v>0.33969</v>
      </c>
    </row>
    <row r="109">
      <c r="A109" s="6" t="s">
        <v>252</v>
      </c>
      <c r="B109" s="6" t="s">
        <v>260</v>
      </c>
      <c r="C109" s="6" t="str">
        <f t="shared" si="1"/>
        <v>Dec/2008</v>
      </c>
      <c r="D109" s="6">
        <v>0.05473873873873874</v>
      </c>
      <c r="E109" s="6">
        <v>0.13699999999999998</v>
      </c>
      <c r="G109" s="44" t="str">
        <f t="shared" si="3"/>
        <v>Dec/2009</v>
      </c>
      <c r="H109" s="38">
        <v>0.33117350611951046</v>
      </c>
      <c r="I109" s="6">
        <v>0.34334</v>
      </c>
    </row>
    <row r="110">
      <c r="A110" s="6" t="s">
        <v>235</v>
      </c>
      <c r="B110" s="6" t="s">
        <v>261</v>
      </c>
      <c r="C110" s="6" t="str">
        <f t="shared" si="1"/>
        <v>Jan/2009</v>
      </c>
      <c r="D110" s="6">
        <v>0.06021771771771773</v>
      </c>
      <c r="E110" s="6">
        <v>0.147</v>
      </c>
      <c r="G110" s="44" t="str">
        <f t="shared" si="3"/>
        <v>Jan/2010</v>
      </c>
      <c r="H110" s="38">
        <v>0.33117350611951046</v>
      </c>
      <c r="I110" s="6">
        <v>0.34106000000000003</v>
      </c>
    </row>
    <row r="111">
      <c r="A111" s="6" t="s">
        <v>240</v>
      </c>
      <c r="B111" s="6" t="s">
        <v>261</v>
      </c>
      <c r="C111" s="6" t="str">
        <f t="shared" si="1"/>
        <v>Feb/2009</v>
      </c>
      <c r="D111" s="6">
        <v>0.06666666666666667</v>
      </c>
      <c r="E111" s="6">
        <v>0.1414</v>
      </c>
      <c r="G111" s="44" t="str">
        <f t="shared" si="3"/>
        <v>Feb/2010</v>
      </c>
      <c r="H111" s="38">
        <v>0.33117350611951046</v>
      </c>
      <c r="I111" s="6">
        <v>0.33396</v>
      </c>
    </row>
    <row r="112">
      <c r="A112" s="6" t="s">
        <v>242</v>
      </c>
      <c r="B112" s="6" t="s">
        <v>261</v>
      </c>
      <c r="C112" s="6" t="str">
        <f t="shared" si="1"/>
        <v>Mar/2009</v>
      </c>
      <c r="D112" s="6">
        <v>0.06575975975975978</v>
      </c>
      <c r="E112" s="6">
        <v>0.1414</v>
      </c>
      <c r="G112" s="44" t="str">
        <f t="shared" si="3"/>
        <v>Mar/2010</v>
      </c>
      <c r="H112" s="38">
        <v>0.33117350611951046</v>
      </c>
      <c r="I112" s="6">
        <v>0.32325</v>
      </c>
    </row>
    <row r="113">
      <c r="A113" s="6" t="s">
        <v>243</v>
      </c>
      <c r="B113" s="6" t="s">
        <v>261</v>
      </c>
      <c r="C113" s="6" t="str">
        <f t="shared" si="1"/>
        <v>Apr/2009</v>
      </c>
      <c r="D113" s="6">
        <v>0.07</v>
      </c>
      <c r="E113" s="6">
        <v>0.1396</v>
      </c>
      <c r="G113" s="44" t="str">
        <f t="shared" si="3"/>
        <v>Apr/2010</v>
      </c>
      <c r="H113" s="38">
        <v>0.33117350611951046</v>
      </c>
      <c r="I113" s="6">
        <v>0.28731</v>
      </c>
    </row>
    <row r="114">
      <c r="A114" s="6" t="s">
        <v>245</v>
      </c>
      <c r="B114" s="6" t="s">
        <v>261</v>
      </c>
      <c r="C114" s="6" t="str">
        <f t="shared" si="1"/>
        <v>May/2009</v>
      </c>
      <c r="D114" s="6">
        <v>0.07462462462462463</v>
      </c>
      <c r="E114" s="6">
        <v>0.1501</v>
      </c>
      <c r="G114" s="44" t="str">
        <f t="shared" si="3"/>
        <v>May/2010</v>
      </c>
      <c r="H114" s="38">
        <v>0.33117350611951046</v>
      </c>
      <c r="I114" s="6">
        <v>0.2189</v>
      </c>
    </row>
    <row r="115">
      <c r="A115" s="6" t="s">
        <v>246</v>
      </c>
      <c r="B115" s="6" t="s">
        <v>261</v>
      </c>
      <c r="C115" s="6" t="str">
        <f t="shared" si="1"/>
        <v>Jun/2009</v>
      </c>
      <c r="D115" s="6">
        <v>0.08777777777777779</v>
      </c>
      <c r="E115" s="6">
        <v>0.1477</v>
      </c>
      <c r="G115" s="44" t="str">
        <f t="shared" si="3"/>
        <v>Jun/2010</v>
      </c>
      <c r="H115" s="38">
        <v>0.33117350611951046</v>
      </c>
      <c r="I115" s="6">
        <v>0.20485</v>
      </c>
    </row>
    <row r="116">
      <c r="A116" s="6" t="s">
        <v>247</v>
      </c>
      <c r="B116" s="6" t="s">
        <v>261</v>
      </c>
      <c r="C116" s="6" t="str">
        <f t="shared" si="1"/>
        <v>Jul/2009</v>
      </c>
      <c r="D116" s="6">
        <v>0.08626126126126127</v>
      </c>
      <c r="E116" s="6">
        <v>0.1566</v>
      </c>
      <c r="G116" s="44" t="str">
        <f t="shared" si="3"/>
        <v>Jul/2010</v>
      </c>
      <c r="H116" s="38">
        <v>0.33117350611951046</v>
      </c>
      <c r="I116" s="6">
        <v>0.25768</v>
      </c>
    </row>
    <row r="117">
      <c r="A117" s="6" t="s">
        <v>248</v>
      </c>
      <c r="B117" s="6" t="s">
        <v>261</v>
      </c>
      <c r="C117" s="6" t="str">
        <f t="shared" si="1"/>
        <v>Aug/2009</v>
      </c>
      <c r="D117" s="6">
        <v>0.0903963963963964</v>
      </c>
      <c r="E117" s="6">
        <v>0.1593</v>
      </c>
      <c r="G117" s="44" t="str">
        <f t="shared" si="3"/>
        <v>Aug/2010</v>
      </c>
      <c r="H117" s="38">
        <v>0.33117350611951046</v>
      </c>
      <c r="I117" s="6">
        <v>0.28637</v>
      </c>
    </row>
    <row r="118">
      <c r="A118" s="6" t="s">
        <v>249</v>
      </c>
      <c r="B118" s="6" t="s">
        <v>261</v>
      </c>
      <c r="C118" s="6" t="str">
        <f t="shared" si="1"/>
        <v>Sep/2009</v>
      </c>
      <c r="D118" s="6">
        <v>0.09376876876876879</v>
      </c>
      <c r="E118" s="6">
        <v>0.1553</v>
      </c>
      <c r="G118" s="44" t="str">
        <f t="shared" si="3"/>
        <v>Sep/2010</v>
      </c>
      <c r="H118" s="38">
        <v>0.33117350611951046</v>
      </c>
      <c r="I118" s="6">
        <v>0.29373</v>
      </c>
    </row>
    <row r="119">
      <c r="A119" s="6" t="s">
        <v>250</v>
      </c>
      <c r="B119" s="6" t="s">
        <v>261</v>
      </c>
      <c r="C119" s="6" t="str">
        <f t="shared" si="1"/>
        <v>Oct/2009</v>
      </c>
      <c r="D119" s="6">
        <v>0.09051801801801801</v>
      </c>
      <c r="E119" s="6">
        <v>0.13849999999999998</v>
      </c>
      <c r="G119" s="44" t="str">
        <f t="shared" si="3"/>
        <v>Oct/2010</v>
      </c>
      <c r="H119" s="38">
        <v>0.33117350611951046</v>
      </c>
      <c r="I119" s="6">
        <v>0.34554</v>
      </c>
    </row>
    <row r="120">
      <c r="A120" s="6" t="s">
        <v>251</v>
      </c>
      <c r="B120" s="6" t="s">
        <v>261</v>
      </c>
      <c r="C120" s="6" t="str">
        <f t="shared" si="1"/>
        <v>Nov/2009</v>
      </c>
      <c r="D120" s="6">
        <v>0.08882882882882882</v>
      </c>
      <c r="E120" s="6">
        <v>0.1356</v>
      </c>
      <c r="G120" s="44" t="str">
        <f t="shared" si="3"/>
        <v>Nov/2010</v>
      </c>
      <c r="H120" s="38">
        <v>0.33117350611951046</v>
      </c>
      <c r="I120" s="6">
        <v>0.32489999999999997</v>
      </c>
    </row>
    <row r="121">
      <c r="A121" s="6" t="s">
        <v>252</v>
      </c>
      <c r="B121" s="6" t="s">
        <v>261</v>
      </c>
      <c r="C121" s="6" t="str">
        <f t="shared" si="1"/>
        <v>Dec/2009</v>
      </c>
      <c r="D121" s="6">
        <v>0.08753753753753754</v>
      </c>
      <c r="E121" s="6">
        <v>0.14730000000000001</v>
      </c>
      <c r="G121" s="44" t="str">
        <f t="shared" si="3"/>
        <v>Dec/2010</v>
      </c>
      <c r="H121" s="38">
        <v>0.33117350611951046</v>
      </c>
      <c r="I121" s="6">
        <v>0.29079</v>
      </c>
    </row>
    <row r="122">
      <c r="A122" s="6" t="s">
        <v>235</v>
      </c>
      <c r="B122" s="6" t="s">
        <v>262</v>
      </c>
      <c r="C122" s="6" t="str">
        <f t="shared" si="1"/>
        <v>Jan/2010</v>
      </c>
      <c r="D122" s="6">
        <v>0.0905930930930931</v>
      </c>
      <c r="E122" s="6">
        <v>0.1518</v>
      </c>
      <c r="G122" s="44" t="str">
        <f t="shared" si="3"/>
        <v>Jan/2011</v>
      </c>
      <c r="H122" s="38">
        <v>0.33117350611951046</v>
      </c>
      <c r="I122" s="6">
        <v>0.27448</v>
      </c>
    </row>
    <row r="123">
      <c r="A123" s="6" t="s">
        <v>240</v>
      </c>
      <c r="B123" s="6" t="s">
        <v>262</v>
      </c>
      <c r="C123" s="6" t="str">
        <f t="shared" si="1"/>
        <v>Feb/2010</v>
      </c>
      <c r="D123" s="6">
        <v>0.08843843843843846</v>
      </c>
      <c r="E123" s="6">
        <v>0.1421</v>
      </c>
      <c r="G123" s="44" t="str">
        <f t="shared" si="3"/>
        <v>Feb/2011</v>
      </c>
      <c r="H123" s="38">
        <v>0.33117350611951046</v>
      </c>
      <c r="I123" s="6">
        <v>0.28278</v>
      </c>
    </row>
    <row r="124">
      <c r="A124" s="6" t="s">
        <v>242</v>
      </c>
      <c r="B124" s="6" t="s">
        <v>262</v>
      </c>
      <c r="C124" s="6" t="str">
        <f t="shared" si="1"/>
        <v>Mar/2010</v>
      </c>
      <c r="D124" s="6">
        <v>0.0917957957957958</v>
      </c>
      <c r="E124" s="6">
        <v>0.1478</v>
      </c>
      <c r="G124" s="44" t="str">
        <f t="shared" si="3"/>
        <v>Mar/2011</v>
      </c>
      <c r="H124" s="38">
        <v>0.33117350611951046</v>
      </c>
      <c r="I124" s="6">
        <v>0.22155000000000002</v>
      </c>
    </row>
    <row r="125">
      <c r="A125" s="6" t="s">
        <v>243</v>
      </c>
      <c r="B125" s="6" t="s">
        <v>262</v>
      </c>
      <c r="C125" s="6" t="str">
        <f t="shared" si="1"/>
        <v>Apr/2010</v>
      </c>
      <c r="D125" s="6">
        <v>0.09280780780780783</v>
      </c>
      <c r="E125" s="6">
        <v>0.1391</v>
      </c>
      <c r="G125" s="44" t="str">
        <f t="shared" si="3"/>
        <v>Apr/2011</v>
      </c>
      <c r="H125" s="38">
        <v>0.33117350611951046</v>
      </c>
      <c r="I125" s="6">
        <v>0.19286</v>
      </c>
    </row>
    <row r="126">
      <c r="A126" s="6" t="s">
        <v>245</v>
      </c>
      <c r="B126" s="6" t="s">
        <v>262</v>
      </c>
      <c r="C126" s="6" t="str">
        <f t="shared" si="1"/>
        <v>May/2010</v>
      </c>
      <c r="D126" s="6">
        <v>0.09278078078078078</v>
      </c>
      <c r="E126" s="6">
        <v>0.149</v>
      </c>
      <c r="G126" s="44" t="str">
        <f t="shared" si="3"/>
        <v>May/2011</v>
      </c>
      <c r="H126" s="38">
        <v>0.33117350611951046</v>
      </c>
      <c r="I126" s="6">
        <v>0.183</v>
      </c>
    </row>
    <row r="127">
      <c r="A127" s="6" t="s">
        <v>246</v>
      </c>
      <c r="B127" s="6" t="s">
        <v>262</v>
      </c>
      <c r="C127" s="6" t="str">
        <f t="shared" si="1"/>
        <v>Jun/2010</v>
      </c>
      <c r="D127" s="6">
        <v>0.0926951951951952</v>
      </c>
      <c r="E127" s="6">
        <v>0.15</v>
      </c>
      <c r="G127" s="44" t="str">
        <f t="shared" si="3"/>
        <v>Jun/2011</v>
      </c>
      <c r="H127" s="38">
        <v>0.33117350611951046</v>
      </c>
      <c r="I127" s="6">
        <v>0.18887</v>
      </c>
    </row>
    <row r="128">
      <c r="A128" s="6" t="s">
        <v>247</v>
      </c>
      <c r="B128" s="6" t="s">
        <v>262</v>
      </c>
      <c r="C128" s="6" t="str">
        <f t="shared" si="1"/>
        <v>Jul/2010</v>
      </c>
      <c r="D128" s="6">
        <v>0.09379879879879881</v>
      </c>
      <c r="E128" s="6">
        <v>0.1503</v>
      </c>
      <c r="G128" s="44" t="str">
        <f t="shared" si="3"/>
        <v>Jul/2011</v>
      </c>
      <c r="H128" s="38">
        <v>0.33117350611951046</v>
      </c>
      <c r="I128" s="6">
        <v>0.23411</v>
      </c>
    </row>
    <row r="129">
      <c r="A129" s="6" t="s">
        <v>248</v>
      </c>
      <c r="B129" s="6" t="s">
        <v>262</v>
      </c>
      <c r="C129" s="6" t="str">
        <f t="shared" si="1"/>
        <v>Aug/2010</v>
      </c>
      <c r="D129" s="6">
        <v>0.0942822822822823</v>
      </c>
      <c r="E129" s="6">
        <v>0.1519</v>
      </c>
      <c r="G129" s="44" t="str">
        <f t="shared" si="3"/>
        <v>Aug/2011</v>
      </c>
      <c r="H129" s="38">
        <v>0.33117350611951046</v>
      </c>
      <c r="I129" s="6">
        <v>0.26727</v>
      </c>
    </row>
    <row r="130">
      <c r="A130" s="6" t="s">
        <v>249</v>
      </c>
      <c r="B130" s="6" t="s">
        <v>262</v>
      </c>
      <c r="C130" s="6" t="str">
        <f t="shared" si="1"/>
        <v>Sep/2010</v>
      </c>
      <c r="D130" s="6">
        <v>0.0906006006006006</v>
      </c>
      <c r="E130" s="6">
        <v>0.1485</v>
      </c>
      <c r="G130" s="44" t="str">
        <f t="shared" si="3"/>
        <v>Sep/2011</v>
      </c>
      <c r="H130" s="38">
        <v>0.33117350611951046</v>
      </c>
      <c r="I130" s="6">
        <v>0.29034</v>
      </c>
    </row>
    <row r="131">
      <c r="A131" s="6" t="s">
        <v>250</v>
      </c>
      <c r="B131" s="6" t="s">
        <v>262</v>
      </c>
      <c r="C131" s="6" t="str">
        <f t="shared" si="1"/>
        <v>Oct/2010</v>
      </c>
      <c r="D131" s="6">
        <v>0.09303303303303304</v>
      </c>
      <c r="E131" s="6">
        <v>0.1411</v>
      </c>
      <c r="G131" s="44" t="str">
        <f t="shared" si="3"/>
        <v>Oct/2011</v>
      </c>
      <c r="H131" s="38">
        <v>0.33117350611951046</v>
      </c>
      <c r="I131" s="6">
        <v>0.27772</v>
      </c>
    </row>
    <row r="132">
      <c r="A132" s="6" t="s">
        <v>251</v>
      </c>
      <c r="B132" s="6" t="s">
        <v>262</v>
      </c>
      <c r="C132" s="6" t="str">
        <f t="shared" si="1"/>
        <v>Nov/2010</v>
      </c>
      <c r="D132" s="6">
        <v>0.0947987987987988</v>
      </c>
      <c r="E132" s="6">
        <v>0.1467</v>
      </c>
      <c r="G132" s="44" t="str">
        <f t="shared" si="3"/>
        <v>Nov/2011</v>
      </c>
      <c r="H132" s="38">
        <v>0.33117350611951046</v>
      </c>
      <c r="I132" s="6">
        <v>0.28179000000000004</v>
      </c>
    </row>
    <row r="133">
      <c r="A133" s="6" t="s">
        <v>252</v>
      </c>
      <c r="B133" s="6" t="s">
        <v>262</v>
      </c>
      <c r="C133" s="6" t="str">
        <f t="shared" si="1"/>
        <v>Dec/2010</v>
      </c>
      <c r="D133" s="6">
        <v>0.0975975975975976</v>
      </c>
      <c r="E133" s="6">
        <v>0.1496</v>
      </c>
      <c r="G133" s="44" t="str">
        <f t="shared" si="3"/>
        <v>Dec/2011</v>
      </c>
      <c r="H133" s="38">
        <v>0.33117350611951046</v>
      </c>
      <c r="I133" s="6">
        <v>0.31403</v>
      </c>
    </row>
    <row r="134">
      <c r="A134" s="6" t="s">
        <v>235</v>
      </c>
      <c r="B134" s="6" t="s">
        <v>263</v>
      </c>
      <c r="C134" s="6" t="str">
        <f t="shared" si="1"/>
        <v>Jan/2011</v>
      </c>
      <c r="D134" s="6">
        <v>0.10036036036036038</v>
      </c>
      <c r="E134" s="6">
        <v>0.1524</v>
      </c>
      <c r="G134" s="44" t="str">
        <f t="shared" si="3"/>
        <v>Jan/2012</v>
      </c>
      <c r="H134" s="38">
        <v>0.33117350611951046</v>
      </c>
      <c r="I134" s="6">
        <v>0.32302</v>
      </c>
    </row>
    <row r="135">
      <c r="A135" s="6" t="s">
        <v>240</v>
      </c>
      <c r="B135" s="6" t="s">
        <v>263</v>
      </c>
      <c r="C135" s="6" t="str">
        <f t="shared" si="1"/>
        <v>Feb/2011</v>
      </c>
      <c r="D135" s="6">
        <v>0.10599099099099099</v>
      </c>
      <c r="E135" s="6">
        <v>0.1438</v>
      </c>
      <c r="G135" s="44" t="str">
        <f t="shared" si="3"/>
        <v>Feb/2012</v>
      </c>
      <c r="H135" s="38">
        <v>0.33117350611951046</v>
      </c>
      <c r="I135" s="6">
        <v>0.34891</v>
      </c>
    </row>
    <row r="136">
      <c r="A136" s="6" t="s">
        <v>242</v>
      </c>
      <c r="B136" s="6" t="s">
        <v>263</v>
      </c>
      <c r="C136" s="6" t="str">
        <f t="shared" si="1"/>
        <v>Mar/2011</v>
      </c>
      <c r="D136" s="6">
        <v>0.11878378378378379</v>
      </c>
      <c r="E136" s="6">
        <v>0.1427</v>
      </c>
      <c r="G136" s="44" t="str">
        <f t="shared" si="3"/>
        <v>Mar/2012</v>
      </c>
      <c r="H136" s="38">
        <v>0.33117350611951046</v>
      </c>
      <c r="I136" s="6">
        <v>0.32556999999999997</v>
      </c>
    </row>
    <row r="137">
      <c r="A137" s="6" t="s">
        <v>243</v>
      </c>
      <c r="B137" s="6" t="s">
        <v>263</v>
      </c>
      <c r="C137" s="6" t="str">
        <f t="shared" si="1"/>
        <v>Apr/2011</v>
      </c>
      <c r="D137" s="6">
        <v>0.12492492492492493</v>
      </c>
      <c r="E137" s="6">
        <v>0.1412</v>
      </c>
      <c r="G137" s="44" t="str">
        <f t="shared" si="3"/>
        <v>Apr/2012</v>
      </c>
      <c r="H137" s="38">
        <v>0.33117350611951046</v>
      </c>
      <c r="I137" s="6">
        <v>0.31026</v>
      </c>
    </row>
    <row r="138">
      <c r="A138" s="6" t="s">
        <v>245</v>
      </c>
      <c r="B138" s="6" t="s">
        <v>263</v>
      </c>
      <c r="C138" s="6" t="str">
        <f t="shared" si="1"/>
        <v>May/2011</v>
      </c>
      <c r="D138" s="6">
        <v>0.1255615615615616</v>
      </c>
      <c r="E138" s="6">
        <v>0.1462</v>
      </c>
      <c r="G138" s="44" t="str">
        <f t="shared" si="3"/>
        <v>May/2012</v>
      </c>
      <c r="H138" s="38">
        <v>0.33117350611951046</v>
      </c>
      <c r="I138" s="6">
        <v>0.28147000000000005</v>
      </c>
    </row>
    <row r="139">
      <c r="A139" s="6" t="s">
        <v>246</v>
      </c>
      <c r="B139" s="6" t="s">
        <v>263</v>
      </c>
      <c r="C139" s="6" t="str">
        <f t="shared" si="1"/>
        <v>Jun/2011</v>
      </c>
      <c r="D139" s="6">
        <v>0.11766516516516518</v>
      </c>
      <c r="E139" s="6">
        <v>0.1481</v>
      </c>
      <c r="G139" s="44" t="str">
        <f t="shared" si="3"/>
        <v>Jun/2012</v>
      </c>
      <c r="H139" s="38">
        <v>0.33117350611951046</v>
      </c>
      <c r="I139" s="6">
        <v>0.29186</v>
      </c>
    </row>
    <row r="140">
      <c r="A140" s="6" t="s">
        <v>247</v>
      </c>
      <c r="B140" s="6" t="s">
        <v>263</v>
      </c>
      <c r="C140" s="6" t="str">
        <f t="shared" si="1"/>
        <v>Jul/2011</v>
      </c>
      <c r="D140" s="6">
        <v>0.11403903903903904</v>
      </c>
      <c r="E140" s="6">
        <v>0.157</v>
      </c>
      <c r="G140" s="44" t="str">
        <f t="shared" si="3"/>
        <v>Jul/2012</v>
      </c>
      <c r="H140" s="38">
        <v>0.33117350611951046</v>
      </c>
      <c r="I140" s="6">
        <v>0.30143000000000003</v>
      </c>
    </row>
    <row r="141">
      <c r="A141" s="6" t="s">
        <v>248</v>
      </c>
      <c r="B141" s="6" t="s">
        <v>263</v>
      </c>
      <c r="C141" s="6" t="str">
        <f t="shared" si="1"/>
        <v>Aug/2011</v>
      </c>
      <c r="D141" s="6">
        <v>0.11342942942942943</v>
      </c>
      <c r="E141" s="6">
        <v>0.1515</v>
      </c>
      <c r="G141" s="44" t="str">
        <f t="shared" si="3"/>
        <v>Aug/2012</v>
      </c>
      <c r="H141" s="38">
        <v>0.33117350611951046</v>
      </c>
      <c r="I141" s="6">
        <v>0.33387</v>
      </c>
    </row>
    <row r="142">
      <c r="A142" s="6" t="s">
        <v>249</v>
      </c>
      <c r="B142" s="6" t="s">
        <v>263</v>
      </c>
      <c r="C142" s="6" t="str">
        <f t="shared" si="1"/>
        <v>Sep/2011</v>
      </c>
      <c r="D142" s="6">
        <v>0.11785285285285287</v>
      </c>
      <c r="E142" s="6">
        <v>0.14800000000000002</v>
      </c>
      <c r="G142" s="44" t="str">
        <f t="shared" si="3"/>
        <v>Sep/2012</v>
      </c>
      <c r="H142" s="38">
        <v>0.33117350611951046</v>
      </c>
      <c r="I142" s="6">
        <v>0.33799</v>
      </c>
    </row>
    <row r="143">
      <c r="A143" s="6" t="s">
        <v>250</v>
      </c>
      <c r="B143" s="6" t="s">
        <v>263</v>
      </c>
      <c r="C143" s="6" t="str">
        <f t="shared" si="1"/>
        <v>Oct/2011</v>
      </c>
      <c r="D143" s="6">
        <v>0.11542342342342343</v>
      </c>
      <c r="E143" s="6">
        <v>0.1416</v>
      </c>
      <c r="G143" s="44" t="str">
        <f t="shared" si="3"/>
        <v>Oct/2012</v>
      </c>
      <c r="H143" s="38">
        <v>0.33117350611951046</v>
      </c>
      <c r="I143" s="6">
        <v>0.34252999999999995</v>
      </c>
    </row>
    <row r="144">
      <c r="A144" s="6" t="s">
        <v>251</v>
      </c>
      <c r="B144" s="6" t="s">
        <v>263</v>
      </c>
      <c r="C144" s="6" t="str">
        <f t="shared" si="1"/>
        <v>Nov/2011</v>
      </c>
      <c r="D144" s="6">
        <v>0.11410660660660661</v>
      </c>
      <c r="E144" s="6">
        <v>0.1487</v>
      </c>
      <c r="G144" s="44" t="str">
        <f t="shared" si="3"/>
        <v>Nov/2012</v>
      </c>
      <c r="H144" s="38">
        <v>0.33117350611951046</v>
      </c>
      <c r="I144" s="6">
        <v>0.34302</v>
      </c>
    </row>
    <row r="145">
      <c r="A145" s="6" t="s">
        <v>252</v>
      </c>
      <c r="B145" s="6" t="s">
        <v>263</v>
      </c>
      <c r="C145" s="6" t="str">
        <f t="shared" si="1"/>
        <v>Dec/2011</v>
      </c>
      <c r="D145" s="6">
        <v>0.1080930930930931</v>
      </c>
      <c r="E145" s="6">
        <v>0.1478</v>
      </c>
      <c r="G145" s="44" t="str">
        <f t="shared" si="3"/>
        <v>Dec/2012</v>
      </c>
      <c r="H145" s="38">
        <v>0.33117350611951046</v>
      </c>
      <c r="I145" s="6">
        <v>0.32377</v>
      </c>
    </row>
    <row r="146">
      <c r="A146" s="6" t="s">
        <v>235</v>
      </c>
      <c r="B146" s="6" t="s">
        <v>276</v>
      </c>
      <c r="C146" s="6" t="str">
        <f t="shared" si="1"/>
        <v>Jan/2012</v>
      </c>
      <c r="D146" s="6">
        <v>0.11109309309309309</v>
      </c>
      <c r="E146" s="6">
        <v>0.15289999999999998</v>
      </c>
      <c r="G146" s="44" t="str">
        <f t="shared" si="3"/>
        <v>Jan/2013</v>
      </c>
      <c r="H146" s="38">
        <v>0.33117350611951046</v>
      </c>
      <c r="I146" s="6">
        <v>0.33338</v>
      </c>
    </row>
    <row r="147">
      <c r="A147" s="6" t="s">
        <v>240</v>
      </c>
      <c r="B147" s="6" t="s">
        <v>276</v>
      </c>
      <c r="C147" s="6" t="str">
        <f t="shared" si="1"/>
        <v>Feb/2012</v>
      </c>
      <c r="D147" s="6">
        <v>0.11951951951951953</v>
      </c>
      <c r="E147" s="6">
        <v>0.1456</v>
      </c>
      <c r="G147" s="44" t="str">
        <f t="shared" si="3"/>
        <v>Feb/2013</v>
      </c>
      <c r="H147" s="38">
        <v>0.33117350611951046</v>
      </c>
      <c r="I147" s="6">
        <v>0.34495</v>
      </c>
    </row>
    <row r="148">
      <c r="A148" s="6" t="s">
        <v>242</v>
      </c>
      <c r="B148" s="6" t="s">
        <v>276</v>
      </c>
      <c r="C148" s="6" t="str">
        <f t="shared" si="1"/>
        <v>Mar/2012</v>
      </c>
      <c r="D148" s="6">
        <v>0.13114114114114114</v>
      </c>
      <c r="E148" s="6">
        <v>0.147</v>
      </c>
      <c r="G148" s="44" t="str">
        <f t="shared" si="3"/>
        <v>Mar/2013</v>
      </c>
      <c r="H148" s="38">
        <v>0.33117350611951046</v>
      </c>
      <c r="I148" s="6">
        <v>0.31805</v>
      </c>
    </row>
    <row r="149">
      <c r="A149" s="6" t="s">
        <v>243</v>
      </c>
      <c r="B149" s="6" t="s">
        <v>276</v>
      </c>
      <c r="C149" s="6" t="str">
        <f t="shared" si="1"/>
        <v>Apr/2012</v>
      </c>
      <c r="D149" s="6">
        <v>0.12748348348348348</v>
      </c>
      <c r="E149" s="6">
        <v>0.1466</v>
      </c>
      <c r="G149" s="44" t="str">
        <f t="shared" si="3"/>
        <v>Apr/2013</v>
      </c>
      <c r="H149" s="38">
        <v>0.33117350611951046</v>
      </c>
      <c r="I149" s="6">
        <v>0.27259</v>
      </c>
    </row>
    <row r="150">
      <c r="A150" s="6" t="s">
        <v>245</v>
      </c>
      <c r="B150" s="6" t="s">
        <v>276</v>
      </c>
      <c r="C150" s="6" t="str">
        <f t="shared" si="1"/>
        <v>May/2012</v>
      </c>
      <c r="D150" s="6">
        <v>0.12933933933933936</v>
      </c>
      <c r="E150" s="6">
        <v>0.1502</v>
      </c>
      <c r="G150" s="44" t="str">
        <f t="shared" si="3"/>
        <v>May/2013</v>
      </c>
      <c r="H150" s="38">
        <v>0.33117350611951046</v>
      </c>
      <c r="I150" s="6">
        <v>0.26515</v>
      </c>
    </row>
    <row r="151">
      <c r="A151" s="6" t="s">
        <v>246</v>
      </c>
      <c r="B151" s="6" t="s">
        <v>276</v>
      </c>
      <c r="C151" s="6" t="str">
        <f t="shared" si="1"/>
        <v>Jun/2012</v>
      </c>
      <c r="D151" s="6">
        <v>0.12267267267267268</v>
      </c>
      <c r="E151" s="6">
        <v>0.1592</v>
      </c>
      <c r="G151" s="44" t="str">
        <f t="shared" si="3"/>
        <v>Jun/2013</v>
      </c>
      <c r="H151" s="38">
        <v>0.33117350611951046</v>
      </c>
      <c r="I151" s="6">
        <v>0.28681</v>
      </c>
    </row>
    <row r="152">
      <c r="A152" s="6" t="s">
        <v>247</v>
      </c>
      <c r="B152" s="6" t="s">
        <v>276</v>
      </c>
      <c r="C152" s="6" t="str">
        <f t="shared" si="1"/>
        <v>Jul/2012</v>
      </c>
      <c r="D152" s="6">
        <v>0.11332732732732734</v>
      </c>
      <c r="E152" s="6">
        <v>0.1522</v>
      </c>
      <c r="G152" s="44" t="str">
        <f t="shared" si="3"/>
        <v>Jul/2013</v>
      </c>
      <c r="H152" s="38">
        <v>0.33117350611951046</v>
      </c>
      <c r="I152" s="6">
        <v>0.30902999999999997</v>
      </c>
    </row>
    <row r="153">
      <c r="A153" s="6" t="s">
        <v>248</v>
      </c>
      <c r="B153" s="6" t="s">
        <v>276</v>
      </c>
      <c r="C153" s="6" t="str">
        <f t="shared" si="1"/>
        <v>Aug/2012</v>
      </c>
      <c r="D153" s="6">
        <v>0.12200450450450452</v>
      </c>
      <c r="E153" s="6">
        <v>0.1646</v>
      </c>
      <c r="G153" s="44" t="str">
        <f t="shared" si="3"/>
        <v>Aug/2013</v>
      </c>
      <c r="H153" s="38">
        <v>0.33117350611951046</v>
      </c>
      <c r="I153" s="6">
        <v>0.31861</v>
      </c>
    </row>
    <row r="154">
      <c r="A154" s="6" t="s">
        <v>249</v>
      </c>
      <c r="B154" s="6" t="s">
        <v>276</v>
      </c>
      <c r="C154" s="6" t="str">
        <f t="shared" si="1"/>
        <v>Sep/2012</v>
      </c>
      <c r="D154" s="6">
        <v>0.1250750750750751</v>
      </c>
      <c r="E154" s="6">
        <v>0.16820000000000002</v>
      </c>
      <c r="G154" s="44" t="str">
        <f t="shared" si="3"/>
        <v>Sep/2013</v>
      </c>
      <c r="H154" s="38">
        <v>0.33117350611951046</v>
      </c>
      <c r="I154" s="6">
        <v>0.33388999999999996</v>
      </c>
    </row>
    <row r="155">
      <c r="A155" s="6" t="s">
        <v>250</v>
      </c>
      <c r="B155" s="6" t="s">
        <v>276</v>
      </c>
      <c r="C155" s="6" t="str">
        <f t="shared" si="1"/>
        <v>Oct/2012</v>
      </c>
      <c r="D155" s="6">
        <v>0.1324864864864865</v>
      </c>
      <c r="E155" s="6">
        <v>0.1422</v>
      </c>
      <c r="G155" s="44" t="str">
        <f t="shared" si="3"/>
        <v>Oct/2013</v>
      </c>
      <c r="H155" s="38">
        <v>0.33117350611951046</v>
      </c>
      <c r="I155" s="6">
        <v>0.33282999999999996</v>
      </c>
    </row>
    <row r="156">
      <c r="A156" s="6" t="s">
        <v>251</v>
      </c>
      <c r="B156" s="6" t="s">
        <v>276</v>
      </c>
      <c r="C156" s="6" t="str">
        <f t="shared" si="1"/>
        <v>Nov/2012</v>
      </c>
      <c r="D156" s="6">
        <v>0.11549549549549551</v>
      </c>
      <c r="E156" s="6">
        <v>0.14880000000000002</v>
      </c>
      <c r="G156" s="44" t="str">
        <f t="shared" si="3"/>
        <v>Nov/2013</v>
      </c>
      <c r="H156" s="38">
        <v>0.33117350611951046</v>
      </c>
      <c r="I156" s="6">
        <v>0.34589</v>
      </c>
    </row>
    <row r="157">
      <c r="A157" s="6" t="s">
        <v>252</v>
      </c>
      <c r="B157" s="6" t="s">
        <v>276</v>
      </c>
      <c r="C157" s="6" t="str">
        <f t="shared" si="1"/>
        <v>Dec/2012</v>
      </c>
      <c r="D157" s="6">
        <v>0.10750750750750751</v>
      </c>
      <c r="E157" s="6">
        <v>0.1549</v>
      </c>
      <c r="G157" s="44" t="str">
        <f t="shared" si="3"/>
        <v>Dec/2013</v>
      </c>
      <c r="H157" s="38">
        <v>0.33117350611951046</v>
      </c>
      <c r="I157" s="6">
        <v>0.35968</v>
      </c>
    </row>
    <row r="158">
      <c r="A158" s="6" t="s">
        <v>235</v>
      </c>
      <c r="B158" s="6" t="s">
        <v>277</v>
      </c>
      <c r="C158" s="6" t="str">
        <f t="shared" si="1"/>
        <v>Jan/2013</v>
      </c>
      <c r="D158" s="6">
        <v>0.10905405405405408</v>
      </c>
      <c r="E158" s="6">
        <v>0.1616</v>
      </c>
      <c r="G158" s="44" t="str">
        <f t="shared" si="3"/>
        <v>Jan/2014</v>
      </c>
      <c r="H158" s="38">
        <v>0.33117350611951046</v>
      </c>
      <c r="I158" s="6">
        <v>0.35002</v>
      </c>
    </row>
    <row r="159">
      <c r="A159" s="6" t="s">
        <v>240</v>
      </c>
      <c r="B159" s="6" t="s">
        <v>277</v>
      </c>
      <c r="C159" s="6" t="str">
        <f t="shared" si="1"/>
        <v>Feb/2013</v>
      </c>
      <c r="D159" s="6">
        <v>0.12246996996997</v>
      </c>
      <c r="E159" s="6">
        <v>0.1531</v>
      </c>
      <c r="G159" s="44" t="str">
        <f t="shared" si="3"/>
        <v>Feb/2014</v>
      </c>
      <c r="H159" s="38">
        <v>0.33117350611951046</v>
      </c>
      <c r="I159" s="6">
        <v>0.35828</v>
      </c>
    </row>
    <row r="160">
      <c r="A160" s="6" t="s">
        <v>242</v>
      </c>
      <c r="B160" s="6" t="s">
        <v>277</v>
      </c>
      <c r="C160" s="6" t="str">
        <f t="shared" si="1"/>
        <v>Mar/2013</v>
      </c>
      <c r="D160" s="6">
        <v>0.12443693693693694</v>
      </c>
      <c r="E160" s="6">
        <v>0.1525</v>
      </c>
      <c r="G160" s="44" t="str">
        <f t="shared" si="3"/>
        <v>Mar/2014</v>
      </c>
      <c r="H160" s="38">
        <v>0.33117350611951046</v>
      </c>
      <c r="I160" s="6">
        <v>0.32125</v>
      </c>
    </row>
    <row r="161">
      <c r="A161" s="6" t="s">
        <v>243</v>
      </c>
      <c r="B161" s="6" t="s">
        <v>277</v>
      </c>
      <c r="C161" s="6" t="str">
        <f t="shared" si="1"/>
        <v>Apr/2013</v>
      </c>
      <c r="D161" s="6">
        <v>0.11962162162162164</v>
      </c>
      <c r="E161" s="6">
        <v>0.1528</v>
      </c>
      <c r="G161" s="44" t="str">
        <f t="shared" si="3"/>
        <v>Apr/2014</v>
      </c>
      <c r="H161" s="38">
        <v>0.33117350611951046</v>
      </c>
      <c r="I161" s="6">
        <v>0.28718</v>
      </c>
    </row>
    <row r="162">
      <c r="A162" s="6" t="s">
        <v>245</v>
      </c>
      <c r="B162" s="6" t="s">
        <v>277</v>
      </c>
      <c r="C162" s="6" t="str">
        <f t="shared" si="1"/>
        <v>May/2013</v>
      </c>
      <c r="D162" s="6">
        <v>0.12027777777777779</v>
      </c>
      <c r="E162" s="6">
        <v>0.1592</v>
      </c>
      <c r="G162" s="44" t="str">
        <f t="shared" si="3"/>
        <v>May/2014</v>
      </c>
      <c r="H162" s="38">
        <v>0.33117350611951046</v>
      </c>
      <c r="I162" s="6">
        <v>0.26596</v>
      </c>
    </row>
    <row r="163">
      <c r="A163" s="6" t="s">
        <v>246</v>
      </c>
      <c r="B163" s="6" t="s">
        <v>277</v>
      </c>
      <c r="C163" s="6" t="str">
        <f t="shared" si="1"/>
        <v>Jun/2013</v>
      </c>
      <c r="D163" s="6">
        <v>0.12019519519519518</v>
      </c>
      <c r="E163" s="6">
        <v>0.17129999999999998</v>
      </c>
      <c r="G163" s="44" t="str">
        <f t="shared" si="3"/>
        <v>Jun/2014</v>
      </c>
      <c r="H163" s="38">
        <v>0.33117350611951046</v>
      </c>
      <c r="I163" s="6">
        <v>0.26185</v>
      </c>
    </row>
    <row r="164">
      <c r="A164" s="6" t="s">
        <v>247</v>
      </c>
      <c r="B164" s="6" t="s">
        <v>277</v>
      </c>
      <c r="C164" s="6" t="str">
        <f t="shared" si="1"/>
        <v>Jul/2013</v>
      </c>
      <c r="D164" s="6">
        <v>0.12036036036036034</v>
      </c>
      <c r="E164" s="6">
        <v>0.16829999999999998</v>
      </c>
      <c r="G164" s="44" t="str">
        <f t="shared" si="3"/>
        <v>Jul/2014</v>
      </c>
      <c r="H164" s="38">
        <v>0.33117350611951046</v>
      </c>
      <c r="I164" s="6">
        <v>0.30256</v>
      </c>
    </row>
    <row r="165">
      <c r="A165" s="6" t="s">
        <v>248</v>
      </c>
      <c r="B165" s="6" t="s">
        <v>277</v>
      </c>
      <c r="C165" s="6" t="str">
        <f t="shared" si="1"/>
        <v>Aug/2013</v>
      </c>
      <c r="D165" s="6">
        <v>0.11623873873873876</v>
      </c>
      <c r="E165" s="6">
        <v>0.1632</v>
      </c>
      <c r="G165" s="44" t="str">
        <f t="shared" si="3"/>
        <v>Aug/2014</v>
      </c>
      <c r="H165" s="38">
        <v>0.33117350611951046</v>
      </c>
      <c r="I165" s="6">
        <v>0.31762999999999997</v>
      </c>
    </row>
    <row r="166">
      <c r="A166" s="6" t="s">
        <v>249</v>
      </c>
      <c r="B166" s="6" t="s">
        <v>277</v>
      </c>
      <c r="C166" s="6" t="str">
        <f t="shared" si="1"/>
        <v>Sep/2013</v>
      </c>
      <c r="D166" s="6">
        <v>0.11837237237237237</v>
      </c>
      <c r="E166" s="6">
        <v>0.1699</v>
      </c>
      <c r="G166" s="44" t="str">
        <f t="shared" si="3"/>
        <v>Sep/2014</v>
      </c>
      <c r="H166" s="38">
        <v>0.33117350611951046</v>
      </c>
      <c r="I166" s="6">
        <v>0.33593</v>
      </c>
    </row>
    <row r="167">
      <c r="A167" s="6" t="s">
        <v>250</v>
      </c>
      <c r="B167" s="6" t="s">
        <v>277</v>
      </c>
      <c r="C167" s="6" t="str">
        <f t="shared" si="1"/>
        <v>Oct/2013</v>
      </c>
      <c r="D167" s="6">
        <v>0.11355105105105107</v>
      </c>
      <c r="E167" s="6">
        <v>0.16190000000000002</v>
      </c>
      <c r="G167" s="44" t="str">
        <f t="shared" si="3"/>
        <v>Oct/2014</v>
      </c>
      <c r="H167" s="38">
        <v>0.33117350611951046</v>
      </c>
      <c r="I167" s="6">
        <v>0.35223000000000004</v>
      </c>
    </row>
    <row r="168">
      <c r="A168" s="6" t="s">
        <v>251</v>
      </c>
      <c r="B168" s="6" t="s">
        <v>277</v>
      </c>
      <c r="C168" s="6" t="str">
        <f t="shared" si="1"/>
        <v>Nov/2013</v>
      </c>
      <c r="D168" s="6">
        <v>0.10792042042042044</v>
      </c>
      <c r="E168" s="6">
        <v>0.1653</v>
      </c>
      <c r="G168" s="44" t="str">
        <f t="shared" si="3"/>
        <v>Nov/2014</v>
      </c>
      <c r="H168" s="38">
        <v>0.33117350611951046</v>
      </c>
      <c r="I168" s="6">
        <v>0.32206</v>
      </c>
    </row>
    <row r="169">
      <c r="A169" s="6" t="s">
        <v>252</v>
      </c>
      <c r="B169" s="6" t="s">
        <v>277</v>
      </c>
      <c r="C169" s="6" t="str">
        <f t="shared" si="1"/>
        <v>Dec/2013</v>
      </c>
      <c r="D169" s="6">
        <v>0.10793393393393394</v>
      </c>
      <c r="E169" s="6">
        <v>0.16219999999999998</v>
      </c>
      <c r="G169" s="44" t="str">
        <f t="shared" si="3"/>
        <v>Dec/2014</v>
      </c>
      <c r="H169" s="38">
        <v>0.33117350611951046</v>
      </c>
      <c r="I169" s="6">
        <v>0.33338999999999996</v>
      </c>
    </row>
    <row r="170">
      <c r="A170" s="6" t="s">
        <v>235</v>
      </c>
      <c r="B170" s="6" t="s">
        <v>278</v>
      </c>
      <c r="C170" s="6" t="str">
        <f t="shared" si="1"/>
        <v>Jan/2014</v>
      </c>
      <c r="D170" s="6">
        <v>0.10865615615615616</v>
      </c>
      <c r="E170" s="6">
        <v>0.16570000000000001</v>
      </c>
      <c r="G170" s="44" t="str">
        <f t="shared" si="3"/>
        <v>Jan/2015</v>
      </c>
      <c r="H170" s="38">
        <v>0.33117350611951046</v>
      </c>
      <c r="I170" s="6">
        <v>0.33842</v>
      </c>
    </row>
    <row r="171">
      <c r="A171" s="6" t="s">
        <v>240</v>
      </c>
      <c r="B171" s="6" t="s">
        <v>278</v>
      </c>
      <c r="C171" s="6" t="str">
        <f t="shared" si="1"/>
        <v>Feb/2014</v>
      </c>
      <c r="D171" s="6">
        <v>0.11042042042042043</v>
      </c>
      <c r="E171" s="6">
        <v>0.1611</v>
      </c>
      <c r="G171" s="44" t="str">
        <f t="shared" si="3"/>
        <v>Feb/2015</v>
      </c>
      <c r="H171" s="38">
        <v>0.33117350611951046</v>
      </c>
      <c r="I171" s="6">
        <v>0.29478</v>
      </c>
    </row>
    <row r="172">
      <c r="A172" s="6" t="s">
        <v>242</v>
      </c>
      <c r="B172" s="6" t="s">
        <v>278</v>
      </c>
      <c r="C172" s="6" t="str">
        <f t="shared" si="1"/>
        <v>Mar/2014</v>
      </c>
      <c r="D172" s="6">
        <v>0.1181741741741742</v>
      </c>
      <c r="E172" s="6">
        <v>0.1586</v>
      </c>
      <c r="G172" s="44" t="str">
        <f t="shared" si="3"/>
        <v>Mar/2015</v>
      </c>
      <c r="H172" s="38">
        <v>0.33117350611951046</v>
      </c>
      <c r="I172" s="6">
        <v>0.29070999999999997</v>
      </c>
    </row>
    <row r="173">
      <c r="A173" s="6" t="s">
        <v>243</v>
      </c>
      <c r="B173" s="6" t="s">
        <v>278</v>
      </c>
      <c r="C173" s="6" t="str">
        <f t="shared" si="1"/>
        <v>Apr/2014</v>
      </c>
      <c r="D173" s="6">
        <v>0.12495495495495496</v>
      </c>
      <c r="E173" s="6">
        <v>0.1012</v>
      </c>
      <c r="G173" s="44" t="str">
        <f t="shared" si="3"/>
        <v>Apr/2015</v>
      </c>
      <c r="H173" s="38">
        <v>0.33117350611951046</v>
      </c>
      <c r="I173" s="6">
        <v>0.27524</v>
      </c>
    </row>
    <row r="174">
      <c r="A174" s="6" t="s">
        <v>245</v>
      </c>
      <c r="B174" s="6" t="s">
        <v>278</v>
      </c>
      <c r="C174" s="6" t="str">
        <f t="shared" si="1"/>
        <v>May/2014</v>
      </c>
      <c r="D174" s="6">
        <v>0.1252627627627628</v>
      </c>
      <c r="E174" s="6">
        <v>0.1646</v>
      </c>
      <c r="G174" s="44" t="str">
        <f t="shared" si="3"/>
        <v>May/2015</v>
      </c>
      <c r="H174" s="38">
        <v>0.33117350611951046</v>
      </c>
      <c r="I174" s="6">
        <v>0.25785</v>
      </c>
    </row>
    <row r="175">
      <c r="A175" s="6" t="s">
        <v>246</v>
      </c>
      <c r="B175" s="6" t="s">
        <v>278</v>
      </c>
      <c r="C175" s="6" t="str">
        <f t="shared" si="1"/>
        <v>Jun/2014</v>
      </c>
      <c r="D175" s="6">
        <v>0.12353753753753756</v>
      </c>
      <c r="E175" s="6">
        <v>0.16899999999999998</v>
      </c>
      <c r="G175" s="44" t="str">
        <f t="shared" si="3"/>
        <v>Jun/2015</v>
      </c>
      <c r="H175" s="38">
        <v>0.33117350611951046</v>
      </c>
      <c r="I175" s="6">
        <v>0.29052999999999995</v>
      </c>
    </row>
    <row r="176">
      <c r="A176" s="6" t="s">
        <v>247</v>
      </c>
      <c r="B176" s="6" t="s">
        <v>278</v>
      </c>
      <c r="C176" s="6" t="str">
        <f t="shared" si="1"/>
        <v>Jul/2014</v>
      </c>
      <c r="D176" s="6">
        <v>0.12194444444444444</v>
      </c>
      <c r="E176" s="6">
        <v>0.17629999999999998</v>
      </c>
      <c r="G176" s="44" t="str">
        <f t="shared" si="3"/>
        <v>Jul/2015</v>
      </c>
      <c r="H176" s="38">
        <v>0.33117350611951046</v>
      </c>
      <c r="I176" s="6">
        <v>0.29992</v>
      </c>
    </row>
    <row r="177">
      <c r="A177" s="6" t="s">
        <v>248</v>
      </c>
      <c r="B177" s="6" t="s">
        <v>278</v>
      </c>
      <c r="C177" s="6" t="str">
        <f t="shared" si="1"/>
        <v>Aug/2014</v>
      </c>
      <c r="D177" s="6">
        <v>0.11747747747747748</v>
      </c>
      <c r="E177" s="6">
        <v>0.1807</v>
      </c>
      <c r="G177" s="44" t="str">
        <f t="shared" si="3"/>
        <v>Aug/2015</v>
      </c>
      <c r="H177" s="38">
        <v>0.33117350611951046</v>
      </c>
      <c r="I177" s="6">
        <v>0.30705</v>
      </c>
    </row>
    <row r="178">
      <c r="A178" s="6" t="s">
        <v>249</v>
      </c>
      <c r="B178" s="6" t="s">
        <v>278</v>
      </c>
      <c r="C178" s="6" t="str">
        <f t="shared" si="1"/>
        <v>Sep/2014</v>
      </c>
      <c r="D178" s="6">
        <v>0.11330930930930933</v>
      </c>
      <c r="E178" s="6">
        <v>0.1797</v>
      </c>
      <c r="G178" s="44" t="str">
        <f t="shared" si="3"/>
        <v>Sep/2015</v>
      </c>
      <c r="H178" s="38">
        <v>0.33117350611951046</v>
      </c>
      <c r="I178" s="6">
        <v>0.33086</v>
      </c>
    </row>
    <row r="179">
      <c r="A179" s="6" t="s">
        <v>250</v>
      </c>
      <c r="B179" s="6" t="s">
        <v>278</v>
      </c>
      <c r="C179" s="6" t="str">
        <f t="shared" si="1"/>
        <v>Oct/2014</v>
      </c>
      <c r="D179" s="6">
        <v>0.1061786786786787</v>
      </c>
      <c r="E179" s="6">
        <v>0.1335</v>
      </c>
      <c r="G179" s="44" t="str">
        <f t="shared" si="3"/>
        <v>Oct/2015</v>
      </c>
      <c r="H179" s="38">
        <v>0.33117350611951046</v>
      </c>
      <c r="I179" s="6">
        <v>0.35131</v>
      </c>
    </row>
    <row r="180">
      <c r="A180" s="6" t="s">
        <v>251</v>
      </c>
      <c r="B180" s="6" t="s">
        <v>278</v>
      </c>
      <c r="C180" s="6" t="str">
        <f t="shared" si="1"/>
        <v>Nov/2014</v>
      </c>
      <c r="D180" s="6">
        <v>0.09564564564564564</v>
      </c>
      <c r="E180" s="6">
        <v>0.17</v>
      </c>
      <c r="G180" s="44" t="str">
        <f t="shared" si="3"/>
        <v>Nov/2015</v>
      </c>
      <c r="H180" s="38">
        <v>0.33117350611951046</v>
      </c>
      <c r="I180" s="6">
        <v>0.32385</v>
      </c>
    </row>
    <row r="181">
      <c r="A181" s="6" t="s">
        <v>252</v>
      </c>
      <c r="B181" s="6" t="s">
        <v>278</v>
      </c>
      <c r="C181" s="6" t="str">
        <f t="shared" si="1"/>
        <v>Dec/2014</v>
      </c>
      <c r="D181" s="6">
        <v>0.0860900900900901</v>
      </c>
      <c r="E181" s="6">
        <v>0.1703</v>
      </c>
      <c r="G181" s="44" t="str">
        <f t="shared" si="3"/>
        <v>Dec/2015</v>
      </c>
      <c r="H181" s="38">
        <v>0.33117350611951046</v>
      </c>
      <c r="I181" s="6">
        <v>0.31985</v>
      </c>
    </row>
    <row r="182">
      <c r="A182" s="6" t="s">
        <v>235</v>
      </c>
      <c r="B182" s="6" t="s">
        <v>279</v>
      </c>
      <c r="C182" s="6" t="str">
        <f t="shared" si="1"/>
        <v>Jan/2015</v>
      </c>
      <c r="D182" s="6">
        <v>0.076493993993994</v>
      </c>
      <c r="E182" s="6">
        <v>0.174</v>
      </c>
      <c r="G182" s="44" t="str">
        <f t="shared" si="3"/>
        <v>Jan/2016</v>
      </c>
      <c r="H182" s="38">
        <v>0.33117350611951046</v>
      </c>
      <c r="I182" s="6">
        <v>0.31798000000000004</v>
      </c>
    </row>
    <row r="183">
      <c r="A183" s="6" t="s">
        <v>240</v>
      </c>
      <c r="B183" s="6" t="s">
        <v>279</v>
      </c>
      <c r="C183" s="6" t="str">
        <f t="shared" si="1"/>
        <v>Feb/2015</v>
      </c>
      <c r="D183" s="6">
        <v>0.08126876876876878</v>
      </c>
      <c r="E183" s="6">
        <v>0.17129999999999998</v>
      </c>
      <c r="G183" s="44" t="str">
        <f t="shared" si="3"/>
        <v>Feb/2016</v>
      </c>
      <c r="H183" s="38">
        <v>0.33117350611951046</v>
      </c>
      <c r="I183" s="6">
        <v>0.28092</v>
      </c>
    </row>
    <row r="184">
      <c r="A184" s="6" t="s">
        <v>242</v>
      </c>
      <c r="B184" s="6" t="s">
        <v>279</v>
      </c>
      <c r="C184" s="6" t="str">
        <f t="shared" si="1"/>
        <v>Mar/2015</v>
      </c>
      <c r="D184" s="6">
        <v>0.10023423423423425</v>
      </c>
      <c r="E184" s="6">
        <v>0.17010000000000003</v>
      </c>
      <c r="G184" s="44" t="str">
        <f t="shared" si="3"/>
        <v>Mar/2016</v>
      </c>
      <c r="H184" s="38">
        <v>0.33117350611951046</v>
      </c>
      <c r="I184" s="6">
        <v>0.21450999999999998</v>
      </c>
    </row>
    <row r="185">
      <c r="A185" s="6" t="s">
        <v>243</v>
      </c>
      <c r="B185" s="6" t="s">
        <v>279</v>
      </c>
      <c r="C185" s="6" t="str">
        <f t="shared" si="1"/>
        <v>Apr/2015</v>
      </c>
      <c r="D185" s="6">
        <v>0.0963963963963964</v>
      </c>
      <c r="E185" s="6">
        <v>0.1245</v>
      </c>
      <c r="G185" s="44" t="str">
        <f t="shared" si="3"/>
        <v>Apr/2016</v>
      </c>
      <c r="H185" s="38">
        <v>0.33117350611951046</v>
      </c>
      <c r="I185" s="6">
        <v>0.20749</v>
      </c>
    </row>
    <row r="186">
      <c r="A186" s="6" t="s">
        <v>245</v>
      </c>
      <c r="B186" s="6" t="s">
        <v>279</v>
      </c>
      <c r="C186" s="6" t="str">
        <f t="shared" si="1"/>
        <v>May/2015</v>
      </c>
      <c r="D186" s="6">
        <v>0.11266516516516517</v>
      </c>
      <c r="E186" s="6">
        <v>0.17309999999999998</v>
      </c>
      <c r="G186" s="44" t="str">
        <f t="shared" si="3"/>
        <v>May/2016</v>
      </c>
      <c r="H186" s="38">
        <v>0.33117350611951046</v>
      </c>
      <c r="I186" s="6">
        <v>0.21030000000000001</v>
      </c>
    </row>
    <row r="187">
      <c r="A187" s="6" t="s">
        <v>246</v>
      </c>
      <c r="B187" s="6" t="s">
        <v>279</v>
      </c>
      <c r="C187" s="6" t="str">
        <f t="shared" si="1"/>
        <v>Jun/2015</v>
      </c>
      <c r="D187" s="6">
        <v>0.10645645645645647</v>
      </c>
      <c r="E187" s="6">
        <v>0.17190000000000003</v>
      </c>
      <c r="G187" s="44" t="str">
        <f t="shared" si="3"/>
        <v>Jun/2016</v>
      </c>
      <c r="H187" s="38">
        <v>0.33117350611951046</v>
      </c>
      <c r="I187" s="6">
        <v>0.24359999999999998</v>
      </c>
    </row>
    <row r="188">
      <c r="A188" s="6" t="s">
        <v>247</v>
      </c>
      <c r="B188" s="6" t="s">
        <v>279</v>
      </c>
      <c r="C188" s="6" t="str">
        <f t="shared" si="1"/>
        <v>Jul/2015</v>
      </c>
      <c r="D188" s="6">
        <v>0.11277027027027027</v>
      </c>
      <c r="E188" s="6">
        <v>0.1796</v>
      </c>
      <c r="G188" s="44" t="str">
        <f t="shared" si="3"/>
        <v>Jul/2016</v>
      </c>
      <c r="H188" s="38">
        <v>0.33117350611951046</v>
      </c>
      <c r="I188" s="6">
        <v>0.25538</v>
      </c>
    </row>
    <row r="189">
      <c r="A189" s="6" t="s">
        <v>248</v>
      </c>
      <c r="B189" s="6" t="s">
        <v>279</v>
      </c>
      <c r="C189" s="6" t="str">
        <f t="shared" si="1"/>
        <v>Aug/2015</v>
      </c>
      <c r="D189" s="6">
        <v>0.10629429429429431</v>
      </c>
      <c r="E189" s="6">
        <v>0.182</v>
      </c>
      <c r="G189" s="44" t="str">
        <f t="shared" si="3"/>
        <v>Aug/2016</v>
      </c>
      <c r="H189" s="38">
        <v>0.33117350611951046</v>
      </c>
      <c r="I189" s="6">
        <v>0.27653</v>
      </c>
    </row>
    <row r="190">
      <c r="A190" s="6" t="s">
        <v>249</v>
      </c>
      <c r="B190" s="6" t="s">
        <v>279</v>
      </c>
      <c r="C190" s="6" t="str">
        <f t="shared" si="1"/>
        <v>Sep/2015</v>
      </c>
      <c r="D190" s="6">
        <v>0.09374624624624624</v>
      </c>
      <c r="E190" s="6">
        <v>0.18350000000000002</v>
      </c>
      <c r="G190" s="44" t="str">
        <f t="shared" si="3"/>
        <v>Sep/2016</v>
      </c>
      <c r="H190" s="38">
        <v>0.33117350611951046</v>
      </c>
      <c r="I190" s="6">
        <v>0.27325</v>
      </c>
    </row>
    <row r="191">
      <c r="A191" s="6" t="s">
        <v>250</v>
      </c>
      <c r="B191" s="6" t="s">
        <v>279</v>
      </c>
      <c r="C191" s="6" t="str">
        <f t="shared" si="1"/>
        <v>Oct/2015</v>
      </c>
      <c r="D191" s="6">
        <v>0.08686936936936937</v>
      </c>
      <c r="E191" s="6">
        <v>0.1496</v>
      </c>
      <c r="G191" s="44" t="str">
        <f t="shared" si="3"/>
        <v>Oct/2016</v>
      </c>
      <c r="H191" s="38">
        <v>0.33117350611951046</v>
      </c>
      <c r="I191" s="6">
        <v>0.28597</v>
      </c>
    </row>
    <row r="192">
      <c r="A192" s="6" t="s">
        <v>251</v>
      </c>
      <c r="B192" s="6" t="s">
        <v>279</v>
      </c>
      <c r="C192" s="6" t="str">
        <f t="shared" si="1"/>
        <v>Nov/2015</v>
      </c>
      <c r="D192" s="6">
        <v>0.08305105105105105</v>
      </c>
      <c r="E192" s="6">
        <v>0.17329999999999998</v>
      </c>
      <c r="G192" s="44" t="str">
        <f t="shared" si="3"/>
        <v>Nov/2016</v>
      </c>
      <c r="H192" s="38">
        <v>0.33117350611951046</v>
      </c>
      <c r="I192" s="6">
        <v>0.27217</v>
      </c>
    </row>
    <row r="193">
      <c r="A193" s="6" t="s">
        <v>252</v>
      </c>
      <c r="B193" s="6" t="s">
        <v>279</v>
      </c>
      <c r="C193" s="6" t="str">
        <f t="shared" si="1"/>
        <v>Dec/2015</v>
      </c>
      <c r="D193" s="6">
        <v>0.0817867867867868</v>
      </c>
      <c r="E193" s="6">
        <v>0.1729</v>
      </c>
      <c r="G193" s="44" t="str">
        <f t="shared" si="3"/>
        <v>Dec/2016</v>
      </c>
      <c r="H193" s="38">
        <v>0.33117350611951046</v>
      </c>
      <c r="I193" s="6">
        <v>0.27592</v>
      </c>
    </row>
    <row r="194">
      <c r="A194" s="6" t="s">
        <v>235</v>
      </c>
      <c r="B194" s="6" t="s">
        <v>280</v>
      </c>
      <c r="C194" s="6" t="str">
        <f t="shared" si="1"/>
        <v>Jan/2016</v>
      </c>
      <c r="D194" s="6">
        <v>0.08312312312312313</v>
      </c>
      <c r="E194" s="6">
        <v>0.1777</v>
      </c>
      <c r="G194" s="44" t="str">
        <f t="shared" si="3"/>
        <v>Jan/2017</v>
      </c>
      <c r="H194" s="38">
        <v>0.33117350611951046</v>
      </c>
      <c r="I194" s="6">
        <v>0.24762</v>
      </c>
    </row>
    <row r="195">
      <c r="A195" s="6" t="s">
        <v>240</v>
      </c>
      <c r="B195" s="6" t="s">
        <v>280</v>
      </c>
      <c r="C195" s="6" t="str">
        <f t="shared" si="1"/>
        <v>Feb/2016</v>
      </c>
      <c r="D195" s="6">
        <v>0.07276876876876878</v>
      </c>
      <c r="E195" s="6">
        <v>0.17679999999999998</v>
      </c>
      <c r="G195" s="44" t="str">
        <f t="shared" si="3"/>
        <v>Feb/2017</v>
      </c>
      <c r="H195" s="38">
        <v>0.33117350611951046</v>
      </c>
      <c r="I195" s="6">
        <v>0.22319999999999998</v>
      </c>
    </row>
    <row r="196">
      <c r="A196" s="6" t="s">
        <v>242</v>
      </c>
      <c r="B196" s="6" t="s">
        <v>280</v>
      </c>
      <c r="C196" s="6" t="str">
        <f t="shared" si="1"/>
        <v>Mar/2016</v>
      </c>
      <c r="D196" s="6">
        <v>0.07882882882882884</v>
      </c>
      <c r="E196" s="6">
        <v>0.1765</v>
      </c>
      <c r="G196" s="44" t="str">
        <f t="shared" si="3"/>
        <v>Mar/2017</v>
      </c>
      <c r="H196" s="38">
        <v>0.33117350611951046</v>
      </c>
      <c r="I196" s="6">
        <v>0.17846</v>
      </c>
    </row>
    <row r="197">
      <c r="A197" s="6" t="s">
        <v>243</v>
      </c>
      <c r="B197" s="6" t="s">
        <v>280</v>
      </c>
      <c r="C197" s="6" t="str">
        <f t="shared" si="1"/>
        <v>Apr/2016</v>
      </c>
      <c r="D197" s="6">
        <v>0.08312312312312314</v>
      </c>
      <c r="E197" s="6">
        <v>0.12390000000000001</v>
      </c>
      <c r="G197" s="44" t="str">
        <f t="shared" si="3"/>
        <v>Apr/2017</v>
      </c>
      <c r="H197" s="38">
        <v>0.33117350611951046</v>
      </c>
      <c r="I197" s="6">
        <v>0.16591</v>
      </c>
    </row>
    <row r="198">
      <c r="A198" s="6" t="s">
        <v>245</v>
      </c>
      <c r="B198" s="6" t="s">
        <v>280</v>
      </c>
      <c r="C198" s="6" t="str">
        <f t="shared" si="1"/>
        <v>May/2016</v>
      </c>
      <c r="D198" s="6">
        <v>0.08408408408408409</v>
      </c>
      <c r="E198" s="6">
        <v>0.1771</v>
      </c>
      <c r="G198" s="44" t="str">
        <f t="shared" si="3"/>
        <v>May/2017</v>
      </c>
      <c r="H198" s="38">
        <v>0.33117350611951046</v>
      </c>
      <c r="I198" s="6">
        <v>0.17555</v>
      </c>
    </row>
    <row r="199">
      <c r="A199" s="6" t="s">
        <v>246</v>
      </c>
      <c r="B199" s="6" t="s">
        <v>280</v>
      </c>
      <c r="C199" s="6" t="str">
        <f t="shared" si="1"/>
        <v>Jun/2016</v>
      </c>
      <c r="D199" s="6">
        <v>0.08632882882882884</v>
      </c>
      <c r="E199" s="6">
        <v>0.1809</v>
      </c>
      <c r="G199" s="44" t="str">
        <f t="shared" si="3"/>
        <v>Jun/2017</v>
      </c>
      <c r="H199" s="38">
        <v>0.33117350611951046</v>
      </c>
      <c r="I199" s="6">
        <v>0.20713</v>
      </c>
    </row>
    <row r="200">
      <c r="A200" s="6" t="s">
        <v>247</v>
      </c>
      <c r="B200" s="6" t="s">
        <v>280</v>
      </c>
      <c r="C200" s="6" t="str">
        <f t="shared" si="1"/>
        <v>Jul/2016</v>
      </c>
      <c r="D200" s="6">
        <v>0.08578078078078079</v>
      </c>
      <c r="E200" s="6">
        <v>0.18469999999999998</v>
      </c>
      <c r="G200" s="44" t="str">
        <f t="shared" si="3"/>
        <v>Jul/2017</v>
      </c>
      <c r="H200" s="38">
        <v>0.33117350611951046</v>
      </c>
      <c r="I200" s="6">
        <v>0.23559</v>
      </c>
    </row>
    <row r="201">
      <c r="A201" s="6" t="s">
        <v>248</v>
      </c>
      <c r="B201" s="6" t="s">
        <v>280</v>
      </c>
      <c r="C201" s="6" t="str">
        <f t="shared" si="1"/>
        <v>Aug/2016</v>
      </c>
      <c r="D201" s="6">
        <v>0.08084084084084084</v>
      </c>
      <c r="E201" s="6">
        <v>0.1887</v>
      </c>
      <c r="G201" s="44" t="str">
        <f t="shared" si="3"/>
        <v>Aug/2017</v>
      </c>
      <c r="H201" s="38">
        <v>0.33117350611951046</v>
      </c>
      <c r="I201" s="6">
        <v>0.25434</v>
      </c>
    </row>
    <row r="202">
      <c r="A202" s="6" t="s">
        <v>249</v>
      </c>
      <c r="B202" s="6" t="s">
        <v>280</v>
      </c>
      <c r="C202" s="6" t="str">
        <f t="shared" si="1"/>
        <v>Sep/2016</v>
      </c>
      <c r="D202" s="6">
        <v>0.08247747747747748</v>
      </c>
      <c r="E202" s="6">
        <v>0.1822</v>
      </c>
      <c r="G202" s="44" t="str">
        <f t="shared" si="3"/>
        <v>Sep/2017</v>
      </c>
      <c r="H202" s="38">
        <v>0.33117350611951046</v>
      </c>
      <c r="I202" s="6">
        <v>0.25178</v>
      </c>
    </row>
    <row r="203">
      <c r="A203" s="6" t="s">
        <v>250</v>
      </c>
      <c r="B203" s="6" t="s">
        <v>280</v>
      </c>
      <c r="C203" s="6" t="str">
        <f t="shared" si="1"/>
        <v>Oct/2016</v>
      </c>
      <c r="D203" s="6">
        <v>0.0842942942942943</v>
      </c>
      <c r="E203" s="6">
        <v>0.1393</v>
      </c>
      <c r="G203" s="44" t="str">
        <f t="shared" si="3"/>
        <v>Oct/2017</v>
      </c>
      <c r="H203" s="38">
        <v>0.33117350611951046</v>
      </c>
      <c r="I203" s="6">
        <v>0.26186000000000004</v>
      </c>
    </row>
    <row r="204">
      <c r="A204" s="6" t="s">
        <v>251</v>
      </c>
      <c r="B204" s="6" t="s">
        <v>280</v>
      </c>
      <c r="C204" s="6" t="str">
        <f t="shared" si="1"/>
        <v>Nov/2016</v>
      </c>
      <c r="D204" s="6">
        <v>0.08202702702702704</v>
      </c>
      <c r="E204" s="6">
        <v>0.1793</v>
      </c>
      <c r="G204" s="44" t="str">
        <f t="shared" si="3"/>
        <v>Nov/2017</v>
      </c>
      <c r="H204" s="38">
        <v>0.33117350611951046</v>
      </c>
      <c r="I204" s="6">
        <v>0.27104</v>
      </c>
    </row>
    <row r="205">
      <c r="A205" s="6" t="s">
        <v>252</v>
      </c>
      <c r="B205" s="6" t="s">
        <v>280</v>
      </c>
      <c r="C205" s="6" t="str">
        <f t="shared" si="1"/>
        <v>Dec/2016</v>
      </c>
      <c r="D205" s="6">
        <v>0.08051051051051052</v>
      </c>
      <c r="E205" s="6">
        <v>0.1816</v>
      </c>
      <c r="G205" s="44" t="str">
        <f t="shared" si="3"/>
        <v>Dec/2017</v>
      </c>
      <c r="H205" s="38">
        <v>0.33117350611951046</v>
      </c>
      <c r="I205" s="6">
        <v>0.28001</v>
      </c>
    </row>
    <row r="206">
      <c r="A206" s="6" t="s">
        <v>235</v>
      </c>
      <c r="B206" s="6" t="s">
        <v>281</v>
      </c>
      <c r="C206" s="6" t="str">
        <f t="shared" si="1"/>
        <v>Jan/2017</v>
      </c>
      <c r="D206" s="6">
        <v>0.08378978978978979</v>
      </c>
      <c r="E206" s="6">
        <v>0.1837</v>
      </c>
      <c r="G206" s="44" t="str">
        <f t="shared" si="3"/>
        <v>Jan/2018</v>
      </c>
      <c r="H206" s="38">
        <v>0.33117350611951046</v>
      </c>
      <c r="I206" s="6">
        <v>0.27308</v>
      </c>
    </row>
    <row r="207">
      <c r="A207" s="6" t="s">
        <v>240</v>
      </c>
      <c r="B207" s="6" t="s">
        <v>281</v>
      </c>
      <c r="C207" s="6" t="str">
        <f t="shared" si="1"/>
        <v>Feb/2017</v>
      </c>
      <c r="D207" s="6">
        <v>0.08673423423423424</v>
      </c>
      <c r="E207" s="6">
        <v>0.19</v>
      </c>
      <c r="G207" s="44" t="str">
        <f t="shared" si="3"/>
        <v>Feb/2018</v>
      </c>
      <c r="H207" s="38">
        <v>0.33117350611951046</v>
      </c>
      <c r="I207" s="6">
        <v>0.26050999999999996</v>
      </c>
    </row>
    <row r="208">
      <c r="A208" s="6" t="s">
        <v>242</v>
      </c>
      <c r="B208" s="6" t="s">
        <v>281</v>
      </c>
      <c r="C208" s="6" t="str">
        <f t="shared" si="1"/>
        <v>Mar/2017</v>
      </c>
      <c r="D208" s="6">
        <v>0.09012012012012013</v>
      </c>
      <c r="E208" s="6">
        <v>0.1918</v>
      </c>
      <c r="G208" s="44" t="str">
        <f t="shared" si="3"/>
        <v>Mar/2018</v>
      </c>
      <c r="H208" s="38">
        <v>0.33117350611951046</v>
      </c>
      <c r="I208" s="6">
        <v>0.24524</v>
      </c>
    </row>
    <row r="209">
      <c r="A209" s="6" t="s">
        <v>243</v>
      </c>
      <c r="B209" s="6" t="s">
        <v>281</v>
      </c>
      <c r="C209" s="6" t="str">
        <f t="shared" si="1"/>
        <v>Apr/2017</v>
      </c>
      <c r="D209" s="6">
        <v>0.09034534534534534</v>
      </c>
      <c r="E209" s="6">
        <v>0.1412</v>
      </c>
      <c r="G209" s="44" t="str">
        <f t="shared" si="3"/>
        <v>Apr/2018</v>
      </c>
      <c r="H209" s="38">
        <v>0.33117350611951046</v>
      </c>
      <c r="I209" s="6">
        <v>0.18328999999999998</v>
      </c>
    </row>
    <row r="210">
      <c r="A210" s="6" t="s">
        <v>245</v>
      </c>
      <c r="B210" s="6" t="s">
        <v>281</v>
      </c>
      <c r="C210" s="6" t="str">
        <f t="shared" si="1"/>
        <v>May/2017</v>
      </c>
      <c r="D210" s="6">
        <v>0.09137537537537538</v>
      </c>
      <c r="E210" s="6">
        <v>0.18059999999999998</v>
      </c>
      <c r="G210" s="44" t="str">
        <f t="shared" si="3"/>
        <v>May/2018</v>
      </c>
      <c r="H210" s="38">
        <v>0.33117350611951046</v>
      </c>
      <c r="I210" s="6">
        <v>0.16305</v>
      </c>
    </row>
    <row r="211">
      <c r="A211" s="6" t="s">
        <v>246</v>
      </c>
      <c r="B211" s="6" t="s">
        <v>281</v>
      </c>
      <c r="C211" s="6" t="str">
        <f t="shared" si="1"/>
        <v>Jun/2017</v>
      </c>
      <c r="D211" s="6">
        <v>0.09077327327327328</v>
      </c>
      <c r="E211" s="6">
        <v>0.1912</v>
      </c>
      <c r="G211" s="44" t="str">
        <f t="shared" si="3"/>
        <v>Jun/2018</v>
      </c>
      <c r="H211" s="38">
        <v>0.33117350611951046</v>
      </c>
      <c r="I211" s="6">
        <v>0.19327</v>
      </c>
    </row>
    <row r="212">
      <c r="A212" s="6" t="s">
        <v>247</v>
      </c>
      <c r="B212" s="6" t="s">
        <v>281</v>
      </c>
      <c r="C212" s="6" t="str">
        <f t="shared" si="1"/>
        <v>Jul/2017</v>
      </c>
      <c r="D212" s="6">
        <v>0.0885945945945946</v>
      </c>
      <c r="E212" s="6">
        <v>0.1852</v>
      </c>
      <c r="G212" s="44" t="str">
        <f t="shared" si="3"/>
        <v>Jul/2018</v>
      </c>
      <c r="H212" s="38">
        <v>0.33117350611951046</v>
      </c>
      <c r="I212" s="6">
        <v>0.25883</v>
      </c>
    </row>
    <row r="213">
      <c r="A213" s="6" t="s">
        <v>248</v>
      </c>
      <c r="B213" s="6" t="s">
        <v>281</v>
      </c>
      <c r="C213" s="6" t="str">
        <f t="shared" si="1"/>
        <v>Aug/2017</v>
      </c>
      <c r="D213" s="6">
        <v>0.0905855855855856</v>
      </c>
      <c r="E213" s="6">
        <v>0.1916</v>
      </c>
      <c r="G213" s="44" t="str">
        <f t="shared" si="3"/>
        <v>Aug/2018</v>
      </c>
      <c r="H213" s="38">
        <v>0.33117350611951046</v>
      </c>
      <c r="I213" s="6">
        <v>0.25367</v>
      </c>
    </row>
    <row r="214">
      <c r="A214" s="6" t="s">
        <v>249</v>
      </c>
      <c r="B214" s="6" t="s">
        <v>281</v>
      </c>
      <c r="C214" s="6" t="str">
        <f t="shared" si="1"/>
        <v>Sep/2017</v>
      </c>
      <c r="D214" s="6">
        <v>0.09501501501501501</v>
      </c>
      <c r="E214" s="6">
        <v>0.19329999999999997</v>
      </c>
      <c r="G214" s="44" t="str">
        <f t="shared" si="3"/>
        <v>Sep/2018</v>
      </c>
      <c r="H214" s="38">
        <v>0.33117350611951046</v>
      </c>
      <c r="I214" s="6">
        <v>0.23925</v>
      </c>
    </row>
    <row r="215">
      <c r="A215" s="6" t="s">
        <v>250</v>
      </c>
      <c r="B215" s="6" t="s">
        <v>281</v>
      </c>
      <c r="C215" s="6" t="str">
        <f t="shared" si="1"/>
        <v>Oct/2017</v>
      </c>
      <c r="D215" s="6">
        <v>0.0924984984984985</v>
      </c>
      <c r="E215" s="6">
        <v>0.157</v>
      </c>
      <c r="G215" s="44" t="str">
        <f t="shared" si="3"/>
        <v>Oct/2018</v>
      </c>
      <c r="H215" s="38">
        <v>0.33117350611951046</v>
      </c>
      <c r="I215" s="6">
        <v>0.2723</v>
      </c>
    </row>
    <row r="216">
      <c r="A216" s="6" t="s">
        <v>251</v>
      </c>
      <c r="B216" s="6" t="s">
        <v>281</v>
      </c>
      <c r="C216" s="6" t="str">
        <f t="shared" si="1"/>
        <v>Nov/2017</v>
      </c>
      <c r="D216" s="6">
        <v>0.09714714714714716</v>
      </c>
      <c r="E216" s="6">
        <v>0.18710000000000002</v>
      </c>
      <c r="G216" s="44" t="str">
        <f t="shared" si="3"/>
        <v>Nov/2018</v>
      </c>
      <c r="H216" s="38">
        <v>0.33117350611951046</v>
      </c>
      <c r="I216" s="6">
        <v>0.28288</v>
      </c>
    </row>
    <row r="217">
      <c r="A217" s="6" t="s">
        <v>252</v>
      </c>
      <c r="B217" s="6" t="s">
        <v>281</v>
      </c>
      <c r="C217" s="6" t="str">
        <f t="shared" si="1"/>
        <v>Dec/2017</v>
      </c>
      <c r="D217" s="6">
        <v>0.09398648648648648</v>
      </c>
      <c r="E217" s="6">
        <v>0.1862</v>
      </c>
      <c r="G217" s="44" t="str">
        <f t="shared" si="3"/>
        <v>Dec/2018</v>
      </c>
      <c r="H217" s="38">
        <v>0.33117350611951046</v>
      </c>
      <c r="I217" s="6">
        <v>0.28832</v>
      </c>
    </row>
    <row r="218">
      <c r="A218" s="6" t="s">
        <v>235</v>
      </c>
      <c r="B218" s="6" t="s">
        <v>282</v>
      </c>
      <c r="C218" s="6" t="str">
        <f t="shared" si="1"/>
        <v>Jan/2018</v>
      </c>
      <c r="D218" s="6">
        <v>0.09638438438438438</v>
      </c>
      <c r="E218" s="6">
        <v>0.191</v>
      </c>
      <c r="G218" s="44" t="str">
        <f t="shared" si="3"/>
        <v>Jan/2019</v>
      </c>
      <c r="H218" s="38">
        <v>0.33117350611951046</v>
      </c>
      <c r="I218" s="6">
        <v>0.278</v>
      </c>
    </row>
    <row r="219">
      <c r="A219" s="6" t="s">
        <v>240</v>
      </c>
      <c r="B219" s="6" t="s">
        <v>282</v>
      </c>
      <c r="C219" s="6" t="str">
        <f t="shared" si="1"/>
        <v>Feb/2018</v>
      </c>
      <c r="D219" s="6">
        <v>0.10087837837837839</v>
      </c>
      <c r="E219" s="6">
        <v>0.191</v>
      </c>
      <c r="G219" s="44" t="str">
        <f t="shared" si="3"/>
        <v>Feb/2019</v>
      </c>
      <c r="H219" s="38">
        <v>0.33117350611951046</v>
      </c>
      <c r="I219" s="6">
        <v>0.25832</v>
      </c>
    </row>
    <row r="220">
      <c r="A220" s="6" t="s">
        <v>242</v>
      </c>
      <c r="B220" s="6" t="s">
        <v>282</v>
      </c>
      <c r="C220" s="6" t="str">
        <f t="shared" si="1"/>
        <v>Mar/2018</v>
      </c>
      <c r="D220" s="6">
        <v>0.1025975975975976</v>
      </c>
      <c r="E220" s="6">
        <v>0.1844</v>
      </c>
      <c r="G220" s="44" t="str">
        <f t="shared" si="3"/>
        <v>Mar/2019</v>
      </c>
      <c r="H220" s="38">
        <v>0.33117350611951046</v>
      </c>
      <c r="I220" s="6">
        <v>0.20108</v>
      </c>
    </row>
    <row r="221">
      <c r="A221" s="6" t="s">
        <v>243</v>
      </c>
      <c r="B221" s="6" t="s">
        <v>282</v>
      </c>
      <c r="C221" s="6" t="str">
        <f t="shared" si="1"/>
        <v>Apr/2018</v>
      </c>
      <c r="D221" s="6">
        <v>0.10685885885885887</v>
      </c>
      <c r="E221" s="6">
        <v>0.1603</v>
      </c>
      <c r="G221" s="44" t="str">
        <f t="shared" si="3"/>
        <v>Apr/2019</v>
      </c>
      <c r="H221" s="38">
        <v>0.33117350611951046</v>
      </c>
      <c r="I221" s="6">
        <v>0.15406</v>
      </c>
    </row>
    <row r="222">
      <c r="A222" s="6" t="s">
        <v>245</v>
      </c>
      <c r="B222" s="6" t="s">
        <v>282</v>
      </c>
      <c r="C222" s="6" t="str">
        <f t="shared" si="1"/>
        <v>May/2018</v>
      </c>
      <c r="D222" s="6">
        <v>0.10874624624624625</v>
      </c>
      <c r="E222" s="6">
        <v>0.1885</v>
      </c>
      <c r="G222" s="44" t="str">
        <f t="shared" si="3"/>
        <v>May/2019</v>
      </c>
      <c r="H222" s="38">
        <v>0.33117350611951046</v>
      </c>
      <c r="I222" s="6">
        <v>0.14001</v>
      </c>
    </row>
    <row r="223">
      <c r="A223" s="6" t="s">
        <v>246</v>
      </c>
      <c r="B223" s="6" t="s">
        <v>282</v>
      </c>
      <c r="C223" s="6" t="str">
        <f t="shared" si="1"/>
        <v>Jun/2018</v>
      </c>
      <c r="D223" s="6">
        <v>0.10813063063063065</v>
      </c>
      <c r="E223" s="6">
        <v>0.1981</v>
      </c>
      <c r="G223" s="44" t="str">
        <f t="shared" si="3"/>
        <v>Jun/2019</v>
      </c>
      <c r="H223" s="38">
        <v>0.33117350611951046</v>
      </c>
      <c r="I223" s="6">
        <v>0.16228</v>
      </c>
    </row>
    <row r="224">
      <c r="A224" s="6" t="s">
        <v>247</v>
      </c>
      <c r="B224" s="6" t="s">
        <v>282</v>
      </c>
      <c r="C224" s="6" t="str">
        <f t="shared" si="1"/>
        <v>Jul/2018</v>
      </c>
      <c r="D224" s="6">
        <v>0.10600600600600601</v>
      </c>
      <c r="E224" s="6">
        <v>0.1959</v>
      </c>
      <c r="G224" s="44" t="str">
        <f t="shared" si="3"/>
        <v>Jul/2019</v>
      </c>
      <c r="H224" s="38">
        <v>0.33117350611951046</v>
      </c>
      <c r="I224" s="6">
        <v>0.20829</v>
      </c>
    </row>
    <row r="225">
      <c r="A225" s="6" t="s">
        <v>248</v>
      </c>
      <c r="B225" s="6" t="s">
        <v>282</v>
      </c>
      <c r="C225" s="6" t="str">
        <f t="shared" si="1"/>
        <v>Aug/2018</v>
      </c>
      <c r="D225" s="6">
        <v>0.10454204204204205</v>
      </c>
      <c r="E225" s="6">
        <v>0.1985</v>
      </c>
      <c r="G225" s="44" t="str">
        <f t="shared" si="3"/>
        <v>Aug/2019</v>
      </c>
      <c r="H225" s="38">
        <v>0.33117350611951046</v>
      </c>
      <c r="I225" s="6">
        <v>0.23123</v>
      </c>
    </row>
    <row r="226">
      <c r="A226" s="6" t="s">
        <v>249</v>
      </c>
      <c r="B226" s="6" t="s">
        <v>282</v>
      </c>
      <c r="C226" s="6" t="str">
        <f t="shared" si="1"/>
        <v>Sep/2018</v>
      </c>
      <c r="D226" s="6">
        <v>0.10554054054054055</v>
      </c>
      <c r="E226" s="6">
        <v>0.1931</v>
      </c>
      <c r="G226" s="44" t="str">
        <f t="shared" si="3"/>
        <v>Sep/2019</v>
      </c>
      <c r="H226" s="38">
        <v>0.33117350611951046</v>
      </c>
      <c r="I226" s="6">
        <v>0.24045</v>
      </c>
    </row>
    <row r="227">
      <c r="A227" s="6" t="s">
        <v>250</v>
      </c>
      <c r="B227" s="6" t="s">
        <v>282</v>
      </c>
      <c r="C227" s="6" t="str">
        <f t="shared" si="1"/>
        <v>Oct/2018</v>
      </c>
      <c r="D227" s="6">
        <v>0.11069669669669668</v>
      </c>
      <c r="E227" s="6">
        <v>0.1566</v>
      </c>
      <c r="G227" s="44" t="str">
        <f t="shared" si="3"/>
        <v>Oct/2019</v>
      </c>
      <c r="H227" s="38">
        <v>0.33117350611951046</v>
      </c>
      <c r="I227" s="6">
        <v>0.26606</v>
      </c>
    </row>
    <row r="228">
      <c r="A228" s="6" t="s">
        <v>251</v>
      </c>
      <c r="B228" s="6" t="s">
        <v>282</v>
      </c>
      <c r="C228" s="6" t="str">
        <f t="shared" si="1"/>
        <v>Nov/2018</v>
      </c>
      <c r="D228" s="6">
        <v>0.10683183183183183</v>
      </c>
      <c r="E228" s="6">
        <v>0.19510000000000002</v>
      </c>
      <c r="G228" s="44" t="str">
        <f t="shared" si="3"/>
        <v>Nov/2019</v>
      </c>
      <c r="H228" s="38">
        <v>0.33117350611951046</v>
      </c>
      <c r="I228" s="6">
        <v>0.30122000000000004</v>
      </c>
    </row>
    <row r="229">
      <c r="A229" s="6" t="s">
        <v>252</v>
      </c>
      <c r="B229" s="6" t="s">
        <v>282</v>
      </c>
      <c r="C229" s="6" t="str">
        <f t="shared" si="1"/>
        <v>Dec/2018</v>
      </c>
      <c r="D229" s="6">
        <v>0.09885885885885888</v>
      </c>
      <c r="E229" s="6">
        <v>0.1945</v>
      </c>
      <c r="G229" s="44" t="str">
        <f t="shared" si="3"/>
        <v>Dec/2019</v>
      </c>
      <c r="H229" s="38">
        <v>0.33117350611951046</v>
      </c>
      <c r="I229" s="6">
        <v>0.29982</v>
      </c>
    </row>
    <row r="230">
      <c r="A230" s="6" t="s">
        <v>235</v>
      </c>
      <c r="B230" s="6" t="s">
        <v>283</v>
      </c>
      <c r="C230" s="6" t="str">
        <f t="shared" si="1"/>
        <v>Jan/2019</v>
      </c>
      <c r="D230" s="6">
        <v>0.09475975975975977</v>
      </c>
      <c r="E230" s="6">
        <v>0.18309999999999998</v>
      </c>
      <c r="G230" s="44" t="str">
        <f t="shared" si="3"/>
        <v>Jan/2020</v>
      </c>
      <c r="H230" s="38">
        <v>0.33117350611951046</v>
      </c>
      <c r="I230" s="6">
        <v>0.25809</v>
      </c>
    </row>
    <row r="231">
      <c r="A231" s="6" t="s">
        <v>240</v>
      </c>
      <c r="B231" s="6" t="s">
        <v>283</v>
      </c>
      <c r="C231" s="6" t="str">
        <f t="shared" si="1"/>
        <v>Feb/2019</v>
      </c>
      <c r="D231" s="6">
        <v>0.09482732732732733</v>
      </c>
      <c r="E231" s="6">
        <v>0.1979</v>
      </c>
      <c r="G231" s="44" t="str">
        <f t="shared" si="3"/>
        <v>Feb/2020</v>
      </c>
      <c r="H231" s="38">
        <v>0.33117350611951046</v>
      </c>
      <c r="I231" s="6">
        <v>0.24406999999999998</v>
      </c>
    </row>
    <row r="232">
      <c r="A232" s="6" t="s">
        <v>242</v>
      </c>
      <c r="B232" s="6" t="s">
        <v>283</v>
      </c>
      <c r="C232" s="6" t="str">
        <f t="shared" si="1"/>
        <v>Mar/2019</v>
      </c>
      <c r="D232" s="6">
        <v>0.09813063063063063</v>
      </c>
      <c r="E232" s="6">
        <v>0.19260000000000002</v>
      </c>
      <c r="G232" s="44" t="str">
        <f t="shared" si="3"/>
        <v>Mar/2020</v>
      </c>
      <c r="H232" s="38">
        <v>0.33117350611951046</v>
      </c>
      <c r="I232" s="6">
        <v>0.24035</v>
      </c>
    </row>
    <row r="233">
      <c r="A233" s="6" t="s">
        <v>243</v>
      </c>
      <c r="B233" s="6" t="s">
        <v>283</v>
      </c>
      <c r="C233" s="6" t="str">
        <f t="shared" si="1"/>
        <v>Apr/2019</v>
      </c>
      <c r="D233" s="6">
        <v>0.11470870870870871</v>
      </c>
      <c r="E233" s="6">
        <v>0.1797</v>
      </c>
      <c r="G233" s="44" t="str">
        <f t="shared" si="3"/>
        <v>Apr/2020</v>
      </c>
      <c r="H233" s="38">
        <v>0.33117350611951046</v>
      </c>
      <c r="I233" s="6">
        <v>0.18585</v>
      </c>
    </row>
    <row r="234">
      <c r="A234" s="6" t="s">
        <v>245</v>
      </c>
      <c r="B234" s="6" t="s">
        <v>283</v>
      </c>
      <c r="C234" s="6" t="str">
        <f t="shared" si="1"/>
        <v>May/2019</v>
      </c>
      <c r="D234" s="6">
        <v>0.11851351351351354</v>
      </c>
      <c r="E234" s="6">
        <v>0.1882</v>
      </c>
      <c r="G234" s="44" t="str">
        <f t="shared" si="3"/>
        <v>May/2020</v>
      </c>
      <c r="H234" s="38">
        <v>0.33117350611951046</v>
      </c>
      <c r="I234" s="6">
        <v>0.16549</v>
      </c>
    </row>
    <row r="235">
      <c r="A235" s="6" t="s">
        <v>246</v>
      </c>
      <c r="B235" s="6" t="s">
        <v>283</v>
      </c>
      <c r="C235" s="6" t="str">
        <f t="shared" si="1"/>
        <v>Jun/2019</v>
      </c>
      <c r="D235" s="6">
        <v>0.11160660660660661</v>
      </c>
      <c r="E235" s="6">
        <v>0.2077</v>
      </c>
      <c r="G235" s="44" t="str">
        <f t="shared" si="3"/>
        <v>Jun/2020</v>
      </c>
      <c r="H235" s="38">
        <v>0.33117350611951046</v>
      </c>
      <c r="I235" s="6">
        <v>0.19538</v>
      </c>
    </row>
    <row r="236">
      <c r="A236" s="6" t="s">
        <v>247</v>
      </c>
      <c r="B236" s="6" t="s">
        <v>283</v>
      </c>
      <c r="C236" s="6" t="str">
        <f t="shared" si="1"/>
        <v>Jul/2019</v>
      </c>
      <c r="D236" s="6">
        <v>0.10794594594594595</v>
      </c>
      <c r="E236" s="6">
        <v>0.19879999999999998</v>
      </c>
      <c r="G236" s="44" t="str">
        <f t="shared" si="3"/>
        <v>Jul/2020</v>
      </c>
      <c r="H236" s="38">
        <v>0.33117350611951046</v>
      </c>
      <c r="I236" s="6">
        <v>0.22948</v>
      </c>
    </row>
    <row r="237">
      <c r="A237" s="6" t="s">
        <v>248</v>
      </c>
      <c r="B237" s="6" t="s">
        <v>283</v>
      </c>
      <c r="C237" s="6" t="str">
        <f t="shared" si="1"/>
        <v>Aug/2019</v>
      </c>
      <c r="D237" s="6">
        <v>0.10455705705705706</v>
      </c>
      <c r="E237" s="6">
        <v>0.1978</v>
      </c>
      <c r="G237" s="44" t="str">
        <f t="shared" si="3"/>
        <v>Aug/2020</v>
      </c>
      <c r="H237" s="38">
        <v>0.33117350611951046</v>
      </c>
      <c r="I237" s="6">
        <v>0.26202</v>
      </c>
    </row>
    <row r="238">
      <c r="A238" s="6" t="s">
        <v>249</v>
      </c>
      <c r="B238" s="6" t="s">
        <v>283</v>
      </c>
      <c r="C238" s="6" t="str">
        <f t="shared" si="1"/>
        <v>Sep/2019</v>
      </c>
      <c r="D238" s="6">
        <v>0.1083903903903904</v>
      </c>
      <c r="E238" s="6">
        <v>0.2065</v>
      </c>
      <c r="G238" s="44" t="str">
        <f t="shared" si="3"/>
        <v>Sep/2020</v>
      </c>
      <c r="H238" s="38">
        <v>0.33117350611951046</v>
      </c>
      <c r="I238" s="6">
        <v>0.27127999999999997</v>
      </c>
    </row>
    <row r="239">
      <c r="A239" s="6" t="s">
        <v>250</v>
      </c>
      <c r="B239" s="6" t="s">
        <v>283</v>
      </c>
      <c r="C239" s="6" t="str">
        <f t="shared" si="1"/>
        <v>Oct/2019</v>
      </c>
      <c r="D239" s="6">
        <v>0.12130630630630633</v>
      </c>
      <c r="E239" s="6">
        <v>0.149</v>
      </c>
      <c r="G239" s="44" t="str">
        <f t="shared" si="3"/>
        <v>Oct/2020</v>
      </c>
      <c r="H239" s="38">
        <v>0.33117350611951046</v>
      </c>
      <c r="I239" s="6">
        <v>0.302</v>
      </c>
    </row>
    <row r="240">
      <c r="A240" s="6" t="s">
        <v>251</v>
      </c>
      <c r="B240" s="6" t="s">
        <v>283</v>
      </c>
      <c r="C240" s="6" t="str">
        <f t="shared" si="1"/>
        <v>Nov/2019</v>
      </c>
      <c r="D240" s="6">
        <v>0.11617117117117118</v>
      </c>
      <c r="E240" s="6">
        <v>0.2011</v>
      </c>
      <c r="G240" s="44" t="str">
        <f t="shared" si="3"/>
        <v>Nov/2020</v>
      </c>
      <c r="H240" s="38">
        <v>0.33117350611951046</v>
      </c>
      <c r="I240" s="6">
        <v>0.28666</v>
      </c>
    </row>
    <row r="241">
      <c r="A241" s="6" t="s">
        <v>252</v>
      </c>
      <c r="B241" s="6" t="s">
        <v>283</v>
      </c>
      <c r="C241" s="6" t="str">
        <f t="shared" si="1"/>
        <v>Dec/2019</v>
      </c>
      <c r="D241" s="6">
        <v>0.10604804804804806</v>
      </c>
      <c r="E241" s="6">
        <v>0.19149999999999998</v>
      </c>
      <c r="G241" s="44" t="str">
        <f t="shared" si="3"/>
        <v>Dec/2020</v>
      </c>
      <c r="H241" s="38">
        <v>0.33117350611951046</v>
      </c>
      <c r="I241" s="6">
        <v>0.30754000000000004</v>
      </c>
    </row>
    <row r="242">
      <c r="A242" s="6" t="s">
        <v>235</v>
      </c>
      <c r="B242" s="6" t="s">
        <v>284</v>
      </c>
      <c r="C242" s="6" t="str">
        <f t="shared" si="1"/>
        <v>Jan/2020</v>
      </c>
      <c r="D242" s="6">
        <v>0.10242492492492493</v>
      </c>
      <c r="E242" s="6">
        <v>0.1991</v>
      </c>
      <c r="G242" s="44" t="str">
        <f t="shared" si="3"/>
        <v>Jan/2021</v>
      </c>
      <c r="H242" s="38">
        <v>0.33117350611951046</v>
      </c>
      <c r="I242" s="6">
        <v>0.27542</v>
      </c>
    </row>
    <row r="243">
      <c r="A243" s="6" t="s">
        <v>240</v>
      </c>
      <c r="B243" s="6" t="s">
        <v>284</v>
      </c>
      <c r="C243" s="6" t="str">
        <f t="shared" si="1"/>
        <v>Feb/2020</v>
      </c>
      <c r="D243" s="6">
        <v>0.10101351351351352</v>
      </c>
      <c r="E243" s="6">
        <v>0.2167</v>
      </c>
      <c r="G243" s="44" t="str">
        <f t="shared" si="3"/>
        <v>Feb/2021</v>
      </c>
      <c r="H243" s="38">
        <v>0.33117350611951046</v>
      </c>
      <c r="I243" s="6">
        <v>0.2532</v>
      </c>
    </row>
    <row r="244">
      <c r="A244" s="6" t="s">
        <v>242</v>
      </c>
      <c r="B244" s="6" t="s">
        <v>284</v>
      </c>
      <c r="C244" s="6" t="str">
        <f t="shared" si="1"/>
        <v>Mar/2020</v>
      </c>
      <c r="D244" s="6">
        <v>0.09560960960960962</v>
      </c>
      <c r="E244" s="6">
        <v>0.20329999999999998</v>
      </c>
      <c r="G244" s="44" t="str">
        <f t="shared" si="3"/>
        <v>Mar/2021</v>
      </c>
      <c r="H244" s="38">
        <v>0.33117350611951046</v>
      </c>
      <c r="I244" s="6">
        <v>0.23578</v>
      </c>
    </row>
    <row r="245">
      <c r="A245" s="6" t="s">
        <v>243</v>
      </c>
      <c r="B245" s="6" t="s">
        <v>284</v>
      </c>
      <c r="C245" s="6" t="str">
        <f t="shared" si="1"/>
        <v>Apr/2020</v>
      </c>
      <c r="D245" s="6">
        <v>0.08239489489489492</v>
      </c>
      <c r="E245" s="6">
        <v>0.2043</v>
      </c>
      <c r="G245" s="44" t="str">
        <f t="shared" si="3"/>
        <v>Apr/2021</v>
      </c>
      <c r="H245" s="38">
        <v>0.33117350611951046</v>
      </c>
      <c r="I245" s="6">
        <v>0.2076</v>
      </c>
    </row>
    <row r="246">
      <c r="A246" s="6" t="s">
        <v>245</v>
      </c>
      <c r="B246" s="6" t="s">
        <v>284</v>
      </c>
      <c r="C246" s="6" t="str">
        <f t="shared" si="1"/>
        <v>May/2020</v>
      </c>
      <c r="D246" s="6">
        <v>0.08062312312312314</v>
      </c>
      <c r="E246" s="6">
        <v>0.1861</v>
      </c>
      <c r="G246" s="44" t="str">
        <f t="shared" si="3"/>
        <v>May/2021</v>
      </c>
      <c r="H246" s="38">
        <v>0.33117350611951046</v>
      </c>
      <c r="I246" s="6">
        <v>0.19511</v>
      </c>
    </row>
    <row r="247">
      <c r="A247" s="6" t="s">
        <v>246</v>
      </c>
      <c r="B247" s="6" t="s">
        <v>284</v>
      </c>
      <c r="C247" s="6" t="str">
        <f t="shared" si="1"/>
        <v>Jun/2020</v>
      </c>
      <c r="D247" s="6">
        <v>0.08676276276276278</v>
      </c>
      <c r="E247" s="6">
        <v>0.1971</v>
      </c>
      <c r="G247" s="44" t="str">
        <f t="shared" si="3"/>
        <v>Jun/2021</v>
      </c>
      <c r="H247" s="38">
        <v>0.33117350611951046</v>
      </c>
      <c r="I247" s="6">
        <v>0.23065</v>
      </c>
    </row>
    <row r="248">
      <c r="A248" s="6" t="s">
        <v>247</v>
      </c>
      <c r="B248" s="6" t="s">
        <v>284</v>
      </c>
      <c r="C248" s="6" t="str">
        <f t="shared" si="1"/>
        <v>Jul/2020</v>
      </c>
      <c r="D248" s="6">
        <v>0.09071321321321323</v>
      </c>
      <c r="E248" s="6">
        <v>0.2003</v>
      </c>
      <c r="G248" s="44" t="str">
        <f t="shared" si="3"/>
        <v>Jul/2021</v>
      </c>
      <c r="H248" s="38">
        <v>0.33117350611951046</v>
      </c>
      <c r="I248" s="6">
        <v>0.26756</v>
      </c>
    </row>
    <row r="249">
      <c r="A249" s="6" t="s">
        <v>248</v>
      </c>
      <c r="B249" s="6" t="s">
        <v>284</v>
      </c>
      <c r="C249" s="6" t="str">
        <f t="shared" si="1"/>
        <v>Aug/2020</v>
      </c>
      <c r="D249" s="6">
        <v>0.09231831831831834</v>
      </c>
      <c r="E249" s="6">
        <v>0.2069</v>
      </c>
      <c r="G249" s="44" t="str">
        <f t="shared" si="3"/>
        <v>Aug/2021</v>
      </c>
      <c r="H249" s="38">
        <v>0.33117350611951046</v>
      </c>
      <c r="I249" s="6">
        <v>0.25880000000000003</v>
      </c>
    </row>
    <row r="250">
      <c r="A250" s="6" t="s">
        <v>249</v>
      </c>
      <c r="B250" s="6" t="s">
        <v>284</v>
      </c>
      <c r="C250" s="6" t="str">
        <f t="shared" si="1"/>
        <v>Sep/2020</v>
      </c>
      <c r="D250" s="6">
        <v>0.09281531531531532</v>
      </c>
      <c r="E250" s="6">
        <v>0.2116</v>
      </c>
      <c r="G250" s="44" t="str">
        <f t="shared" si="3"/>
        <v>Sep/2021</v>
      </c>
      <c r="H250" s="38">
        <v>0.33117350611951046</v>
      </c>
      <c r="I250" s="6">
        <v>0.25255</v>
      </c>
    </row>
    <row r="251">
      <c r="A251" s="6" t="s">
        <v>250</v>
      </c>
      <c r="B251" s="6" t="s">
        <v>284</v>
      </c>
      <c r="C251" s="6" t="str">
        <f t="shared" si="1"/>
        <v>Oct/2020</v>
      </c>
      <c r="D251" s="6">
        <v>0.09165165165165166</v>
      </c>
      <c r="E251" s="6">
        <v>0.2078</v>
      </c>
      <c r="G251" s="44" t="str">
        <f t="shared" si="3"/>
        <v>Oct/2021</v>
      </c>
      <c r="H251" s="38">
        <v>0.33117350611951046</v>
      </c>
      <c r="I251" s="6">
        <v>0.26977999999999996</v>
      </c>
    </row>
    <row r="252">
      <c r="A252" s="6" t="s">
        <v>251</v>
      </c>
      <c r="B252" s="6" t="s">
        <v>284</v>
      </c>
      <c r="C252" s="6" t="str">
        <f t="shared" si="1"/>
        <v>Nov/2020</v>
      </c>
      <c r="D252" s="6">
        <v>0.09096696696696698</v>
      </c>
      <c r="E252" s="6">
        <v>0.222</v>
      </c>
      <c r="G252" s="44" t="str">
        <f t="shared" si="3"/>
        <v>Nov/2021</v>
      </c>
      <c r="H252" s="38">
        <v>0.33117350611951046</v>
      </c>
      <c r="I252" s="6">
        <v>0.27676999999999996</v>
      </c>
    </row>
    <row r="253">
      <c r="A253" s="6" t="s">
        <v>252</v>
      </c>
      <c r="B253" s="6" t="s">
        <v>284</v>
      </c>
      <c r="C253" s="6" t="str">
        <f t="shared" si="1"/>
        <v>Dec/2020</v>
      </c>
      <c r="D253" s="6">
        <v>0.09178678678678678</v>
      </c>
      <c r="E253" s="6">
        <v>0.20420000000000002</v>
      </c>
      <c r="G253" s="44" t="str">
        <f t="shared" si="3"/>
        <v>Dec/2021</v>
      </c>
      <c r="H253" s="38">
        <v>0.33117350611951046</v>
      </c>
      <c r="I253" s="6">
        <v>0.28146</v>
      </c>
    </row>
    <row r="254">
      <c r="A254" s="6" t="s">
        <v>235</v>
      </c>
      <c r="B254" s="6" t="s">
        <v>285</v>
      </c>
      <c r="C254" s="6" t="str">
        <f t="shared" si="1"/>
        <v>Jan/2021</v>
      </c>
      <c r="D254" s="6">
        <v>0.09536786786786787</v>
      </c>
      <c r="E254" s="6">
        <v>0.2145</v>
      </c>
      <c r="G254" s="44" t="str">
        <f t="shared" si="3"/>
        <v>Jan/2022</v>
      </c>
      <c r="H254" s="38">
        <v>0.33117350611951046</v>
      </c>
      <c r="I254" s="6">
        <v>0.25993</v>
      </c>
    </row>
    <row r="255">
      <c r="A255" s="6" t="s">
        <v>240</v>
      </c>
      <c r="B255" s="6" t="s">
        <v>285</v>
      </c>
      <c r="C255" s="6" t="str">
        <f t="shared" si="1"/>
        <v>Feb/2021</v>
      </c>
      <c r="D255" s="6">
        <v>0.10051801801801802</v>
      </c>
      <c r="E255" s="6">
        <v>0.225</v>
      </c>
      <c r="G255" s="44" t="str">
        <f t="shared" si="3"/>
        <v>Feb/2022</v>
      </c>
      <c r="H255" s="38">
        <v>0.33117350611951046</v>
      </c>
      <c r="I255" s="6">
        <v>0.2326</v>
      </c>
    </row>
    <row r="256">
      <c r="A256" s="6" t="s">
        <v>242</v>
      </c>
      <c r="B256" s="6" t="s">
        <v>285</v>
      </c>
      <c r="C256" s="6" t="str">
        <f t="shared" si="1"/>
        <v>Mar/2021</v>
      </c>
      <c r="D256" s="6">
        <v>0.1108828828828829</v>
      </c>
      <c r="E256" s="6">
        <v>0.22039999999999998</v>
      </c>
      <c r="G256" s="44" t="str">
        <f t="shared" si="3"/>
        <v>Mar/2022</v>
      </c>
      <c r="H256" s="38">
        <v>0.33117350611951046</v>
      </c>
      <c r="I256" s="6">
        <v>0.19795</v>
      </c>
    </row>
    <row r="257">
      <c r="A257" s="6" t="s">
        <v>243</v>
      </c>
      <c r="B257" s="6" t="s">
        <v>285</v>
      </c>
      <c r="C257" s="6" t="str">
        <f t="shared" si="1"/>
        <v>Apr/2021</v>
      </c>
      <c r="D257" s="6">
        <v>0.11476726726726728</v>
      </c>
      <c r="E257" s="6">
        <v>0.23370000000000002</v>
      </c>
      <c r="G257" s="44" t="str">
        <f t="shared" si="3"/>
        <v>Apr/2022</v>
      </c>
      <c r="H257" s="38">
        <v>0.33117350611951046</v>
      </c>
      <c r="I257" s="6">
        <v>0.19515000000000002</v>
      </c>
    </row>
    <row r="258">
      <c r="A258" s="6" t="s">
        <v>245</v>
      </c>
      <c r="B258" s="6" t="s">
        <v>285</v>
      </c>
      <c r="C258" s="6" t="str">
        <f t="shared" si="1"/>
        <v>May/2021</v>
      </c>
      <c r="D258" s="6">
        <v>0.11957957957957961</v>
      </c>
      <c r="E258" s="6">
        <v>0.2274</v>
      </c>
      <c r="G258" s="44" t="str">
        <f t="shared" si="3"/>
        <v>May/2022</v>
      </c>
      <c r="H258" s="38">
        <v>0.33117350611951046</v>
      </c>
      <c r="I258" s="6">
        <v>0.16984</v>
      </c>
    </row>
    <row r="259">
      <c r="A259" s="6" t="s">
        <v>246</v>
      </c>
      <c r="B259" s="6" t="s">
        <v>285</v>
      </c>
      <c r="C259" s="6" t="str">
        <f t="shared" si="1"/>
        <v>Jun/2021</v>
      </c>
      <c r="D259" s="6">
        <v>0.12295045045045049</v>
      </c>
      <c r="E259" s="6">
        <v>0.23129999999999998</v>
      </c>
      <c r="G259" s="44" t="str">
        <f t="shared" si="3"/>
        <v>Jun/2022</v>
      </c>
      <c r="H259" s="38">
        <v>0.33117350611951046</v>
      </c>
      <c r="I259" s="6">
        <v>0.2018</v>
      </c>
    </row>
    <row r="260">
      <c r="A260" s="6" t="s">
        <v>247</v>
      </c>
      <c r="B260" s="6" t="s">
        <v>285</v>
      </c>
      <c r="C260" s="6" t="str">
        <f t="shared" si="1"/>
        <v>Jul/2021</v>
      </c>
      <c r="D260" s="6">
        <v>0.1250675675675676</v>
      </c>
      <c r="E260" s="6">
        <v>0.2249</v>
      </c>
      <c r="G260" s="44" t="str">
        <f t="shared" si="3"/>
        <v>Jul/2022</v>
      </c>
      <c r="H260" s="38">
        <v>0.33117350611951046</v>
      </c>
      <c r="I260" s="6">
        <v>0.22763999999999998</v>
      </c>
    </row>
    <row r="261">
      <c r="A261" s="6" t="s">
        <v>248</v>
      </c>
      <c r="B261" s="6" t="s">
        <v>285</v>
      </c>
      <c r="C261" s="6" t="str">
        <f t="shared" si="1"/>
        <v>Aug/2021</v>
      </c>
      <c r="D261" s="6">
        <v>0.1270930930930931</v>
      </c>
      <c r="E261" s="6">
        <v>0.2339</v>
      </c>
      <c r="G261" s="44" t="str">
        <f t="shared" si="3"/>
        <v>Aug/2022</v>
      </c>
      <c r="H261" s="38">
        <v>0.33117350611951046</v>
      </c>
      <c r="I261" s="6">
        <v>0.25639</v>
      </c>
    </row>
    <row r="262">
      <c r="A262" s="6" t="s">
        <v>249</v>
      </c>
      <c r="B262" s="6" t="s">
        <v>285</v>
      </c>
      <c r="C262" s="6" t="str">
        <f t="shared" si="1"/>
        <v>Sep/2021</v>
      </c>
      <c r="D262" s="6">
        <v>0.1267717717717718</v>
      </c>
      <c r="E262" s="6">
        <v>0.2349</v>
      </c>
      <c r="G262" s="44" t="str">
        <f t="shared" si="3"/>
        <v>Sep/2022</v>
      </c>
      <c r="H262" s="38">
        <v>0.33117350611951046</v>
      </c>
      <c r="I262" s="6">
        <v>0.26279</v>
      </c>
    </row>
    <row r="263">
      <c r="A263" s="6" t="s">
        <v>250</v>
      </c>
      <c r="B263" s="6" t="s">
        <v>285</v>
      </c>
      <c r="C263" s="6" t="str">
        <f t="shared" si="1"/>
        <v>Oct/2021</v>
      </c>
      <c r="D263" s="6">
        <v>0.12943693693693695</v>
      </c>
      <c r="E263" s="6">
        <v>0.2202</v>
      </c>
      <c r="G263" s="44" t="str">
        <f t="shared" si="3"/>
        <v>Oct/2022</v>
      </c>
      <c r="H263" s="38">
        <v>0.33117350611951046</v>
      </c>
      <c r="I263" s="6">
        <v>0.27088</v>
      </c>
    </row>
    <row r="264">
      <c r="A264" s="6" t="s">
        <v>251</v>
      </c>
      <c r="B264" s="6" t="s">
        <v>285</v>
      </c>
      <c r="C264" s="6" t="str">
        <f t="shared" si="1"/>
        <v>Nov/2021</v>
      </c>
      <c r="D264" s="6">
        <v>0.13542942942942945</v>
      </c>
      <c r="E264" s="6">
        <v>0.23870000000000002</v>
      </c>
      <c r="G264" s="44" t="str">
        <f t="shared" si="3"/>
        <v>Nov/2022</v>
      </c>
      <c r="H264" s="38">
        <v>0.33117350611951046</v>
      </c>
      <c r="I264" s="6">
        <v>0.28064</v>
      </c>
    </row>
    <row r="265">
      <c r="A265" s="6" t="s">
        <v>252</v>
      </c>
      <c r="B265" s="6" t="s">
        <v>285</v>
      </c>
      <c r="C265" s="6" t="str">
        <f t="shared" si="1"/>
        <v>Dec/2021</v>
      </c>
      <c r="D265" s="6">
        <v>0.13536786786786786</v>
      </c>
      <c r="E265" s="6">
        <v>0.23379999999999998</v>
      </c>
      <c r="G265" s="44" t="str">
        <f t="shared" si="3"/>
        <v>Dec/2022</v>
      </c>
      <c r="H265" s="38">
        <v>0.33117350611951046</v>
      </c>
      <c r="I265" s="6">
        <v>0.28776</v>
      </c>
    </row>
    <row r="266">
      <c r="A266" s="6" t="s">
        <v>235</v>
      </c>
      <c r="B266" s="6" t="s">
        <v>286</v>
      </c>
      <c r="C266" s="6" t="str">
        <f t="shared" si="1"/>
        <v>Jan/2022</v>
      </c>
      <c r="D266" s="6">
        <v>0.134984984984985</v>
      </c>
      <c r="E266" s="6">
        <v>0.23070000000000002</v>
      </c>
      <c r="G266" s="44" t="str">
        <f t="shared" si="3"/>
        <v>Jan/2023</v>
      </c>
      <c r="H266" s="38">
        <v>0.33117350611951046</v>
      </c>
      <c r="I266" s="6">
        <v>0.24903</v>
      </c>
    </row>
    <row r="267">
      <c r="A267" s="6" t="s">
        <v>240</v>
      </c>
      <c r="B267" s="6" t="s">
        <v>286</v>
      </c>
      <c r="C267" s="6" t="str">
        <f t="shared" si="1"/>
        <v>Feb/2022</v>
      </c>
      <c r="D267" s="6">
        <v>0.13717717717717717</v>
      </c>
      <c r="E267" s="6">
        <v>0.2534</v>
      </c>
      <c r="G267" s="44" t="str">
        <f t="shared" si="3"/>
        <v>Feb/2023</v>
      </c>
      <c r="H267" s="38">
        <v>0.33117350611951046</v>
      </c>
      <c r="I267" s="6">
        <v>0.23755</v>
      </c>
    </row>
    <row r="268">
      <c r="A268" s="6" t="s">
        <v>242</v>
      </c>
      <c r="B268" s="6" t="s">
        <v>286</v>
      </c>
      <c r="C268" s="6" t="str">
        <f t="shared" si="1"/>
        <v>Mar/2022</v>
      </c>
      <c r="D268" s="6">
        <v>0.16702702702702704</v>
      </c>
      <c r="E268" s="6">
        <v>0.2637</v>
      </c>
      <c r="G268" s="44" t="str">
        <f t="shared" si="3"/>
        <v>Mar/2023</v>
      </c>
      <c r="H268" s="38">
        <v>0.33117350611951046</v>
      </c>
      <c r="I268" s="6">
        <v>0.2074</v>
      </c>
    </row>
    <row r="269">
      <c r="A269" s="6" t="s">
        <v>243</v>
      </c>
      <c r="B269" s="6" t="s">
        <v>286</v>
      </c>
      <c r="C269" s="6" t="str">
        <f t="shared" si="1"/>
        <v>Apr/2022</v>
      </c>
      <c r="D269" s="6">
        <v>0.1681081081081081</v>
      </c>
      <c r="E269" s="6">
        <v>0.2328</v>
      </c>
      <c r="G269" s="44" t="str">
        <f t="shared" si="3"/>
        <v>Apr/2023</v>
      </c>
      <c r="H269" s="38">
        <v>0.33117350611951046</v>
      </c>
      <c r="I269" s="6">
        <v>0.17092</v>
      </c>
    </row>
    <row r="270">
      <c r="A270" s="6" t="s">
        <v>245</v>
      </c>
      <c r="B270" s="6" t="s">
        <v>286</v>
      </c>
      <c r="C270" s="6" t="str">
        <f t="shared" si="1"/>
        <v>May/2022</v>
      </c>
      <c r="D270" s="6">
        <v>0.17339339339339338</v>
      </c>
      <c r="E270" s="6">
        <v>0.2721</v>
      </c>
      <c r="G270" s="44" t="str">
        <f t="shared" si="3"/>
        <v>May/2023</v>
      </c>
      <c r="H270" s="38">
        <v>0.33117350611951046</v>
      </c>
      <c r="I270" s="6">
        <v>0.13069999999999998</v>
      </c>
    </row>
    <row r="271">
      <c r="A271" s="6" t="s">
        <v>246</v>
      </c>
      <c r="B271" s="6" t="s">
        <v>286</v>
      </c>
      <c r="C271" s="6" t="str">
        <f t="shared" si="1"/>
        <v>Jun/2022</v>
      </c>
      <c r="D271" s="6">
        <v>0.1862087087087087</v>
      </c>
      <c r="E271" s="6">
        <v>0.2816</v>
      </c>
      <c r="G271" s="44" t="str">
        <f t="shared" si="3"/>
        <v>Jun/2023</v>
      </c>
      <c r="H271" s="38">
        <v>0.33117350611951046</v>
      </c>
      <c r="I271" s="6">
        <v>0.14978</v>
      </c>
    </row>
    <row r="272">
      <c r="A272" s="6" t="s">
        <v>247</v>
      </c>
      <c r="B272" s="6" t="s">
        <v>286</v>
      </c>
      <c r="C272" s="6" t="str">
        <f t="shared" si="1"/>
        <v>Jul/2022</v>
      </c>
      <c r="D272" s="6">
        <v>0.17436936936936936</v>
      </c>
      <c r="E272" s="6">
        <v>0.2618</v>
      </c>
      <c r="G272" s="44" t="str">
        <f t="shared" si="3"/>
        <v>Jul/2023</v>
      </c>
      <c r="H272" s="38">
        <v>0.33117350611951046</v>
      </c>
      <c r="I272" s="6">
        <v>0.22925</v>
      </c>
    </row>
    <row r="273">
      <c r="A273" s="6" t="s">
        <v>248</v>
      </c>
      <c r="B273" s="6" t="s">
        <v>286</v>
      </c>
      <c r="C273" s="6" t="str">
        <f t="shared" si="1"/>
        <v>Aug/2022</v>
      </c>
      <c r="D273" s="6">
        <v>0.15732732732732735</v>
      </c>
      <c r="E273" s="6">
        <v>0.26489999999999997</v>
      </c>
      <c r="G273" s="44" t="str">
        <f t="shared" si="3"/>
        <v>Aug/2023</v>
      </c>
      <c r="H273" s="38">
        <v>0.33117350611951046</v>
      </c>
      <c r="I273" s="6">
        <v>0.23604</v>
      </c>
    </row>
    <row r="274">
      <c r="A274" s="6" t="s">
        <v>249</v>
      </c>
      <c r="B274" s="6" t="s">
        <v>286</v>
      </c>
      <c r="C274" s="6" t="str">
        <f t="shared" si="1"/>
        <v>Sep/2022</v>
      </c>
      <c r="D274" s="6">
        <v>0.15832582582582583</v>
      </c>
      <c r="E274" s="6">
        <v>0.2596</v>
      </c>
      <c r="G274" s="44" t="str">
        <f t="shared" si="3"/>
        <v>Sep/2023</v>
      </c>
      <c r="H274" s="38">
        <v>0.33117350611951046</v>
      </c>
      <c r="I274" s="6">
        <v>0.20583</v>
      </c>
    </row>
    <row r="275">
      <c r="A275" s="6" t="s">
        <v>250</v>
      </c>
      <c r="B275" s="6" t="s">
        <v>286</v>
      </c>
      <c r="C275" s="6" t="str">
        <f t="shared" si="1"/>
        <v>Oct/2022</v>
      </c>
      <c r="D275" s="6">
        <v>0.17433633633633636</v>
      </c>
      <c r="E275" s="6">
        <v>0.2576</v>
      </c>
      <c r="G275" s="44" t="str">
        <f t="shared" si="3"/>
        <v>Oct/2023</v>
      </c>
      <c r="H275" s="38">
        <v>0.33117350611951046</v>
      </c>
      <c r="I275" s="6">
        <v>0.24936000000000003</v>
      </c>
    </row>
    <row r="276">
      <c r="A276" s="6" t="s">
        <v>251</v>
      </c>
      <c r="B276" s="6" t="s">
        <v>286</v>
      </c>
      <c r="C276" s="6" t="str">
        <f t="shared" si="1"/>
        <v>Nov/2022</v>
      </c>
      <c r="D276" s="6">
        <v>0.15228978978978977</v>
      </c>
      <c r="E276" s="6">
        <v>0.2552</v>
      </c>
      <c r="G276" s="44" t="str">
        <f t="shared" si="3"/>
        <v>Nov/2023</v>
      </c>
      <c r="H276" s="38">
        <v>0.33117350611951046</v>
      </c>
      <c r="I276" s="6">
        <v>0.25939</v>
      </c>
    </row>
    <row r="277">
      <c r="A277" s="6" t="s">
        <v>252</v>
      </c>
      <c r="B277" s="6" t="s">
        <v>286</v>
      </c>
      <c r="C277" s="6" t="str">
        <f t="shared" si="1"/>
        <v>Dec/2022</v>
      </c>
      <c r="D277" s="6">
        <v>0.12964714714714717</v>
      </c>
      <c r="E277" s="6">
        <v>0.26039999999999996</v>
      </c>
      <c r="G277" s="44" t="str">
        <f t="shared" si="3"/>
        <v>Dec/2023</v>
      </c>
      <c r="H277" s="38">
        <v>0.33117350611951046</v>
      </c>
      <c r="I277" s="6">
        <v>0.27367</v>
      </c>
    </row>
    <row r="278">
      <c r="A278" s="6" t="s">
        <v>235</v>
      </c>
      <c r="B278" s="6" t="s">
        <v>287</v>
      </c>
      <c r="C278" s="6" t="str">
        <f t="shared" si="1"/>
        <v>Jan/2023</v>
      </c>
      <c r="D278" s="6">
        <v>0.1280840840840841</v>
      </c>
      <c r="E278" s="6">
        <v>0.2647</v>
      </c>
      <c r="G278" s="44" t="str">
        <f t="shared" si="3"/>
        <v>Jan/2024</v>
      </c>
      <c r="H278" s="38">
        <v>0.33117350611951046</v>
      </c>
      <c r="I278" s="6">
        <v>0.26922</v>
      </c>
    </row>
    <row r="279">
      <c r="A279" s="6" t="s">
        <v>240</v>
      </c>
      <c r="B279" s="6" t="s">
        <v>287</v>
      </c>
      <c r="C279" s="6" t="str">
        <f t="shared" si="1"/>
        <v>Feb/2023</v>
      </c>
      <c r="D279" s="6">
        <v>0.1347297297297297</v>
      </c>
      <c r="E279" s="6">
        <v>0.2725</v>
      </c>
      <c r="G279" s="44" t="str">
        <f t="shared" si="3"/>
        <v>Feb/2024</v>
      </c>
      <c r="H279" s="38">
        <v>0.33117350611951046</v>
      </c>
      <c r="I279" s="6">
        <v>0.21055000000000001</v>
      </c>
    </row>
    <row r="280">
      <c r="A280" s="6" t="s">
        <v>242</v>
      </c>
      <c r="B280" s="6" t="s">
        <v>287</v>
      </c>
      <c r="C280" s="6" t="str">
        <f t="shared" si="1"/>
        <v>Mar/2023</v>
      </c>
      <c r="D280" s="6">
        <v>0.1405855855855856</v>
      </c>
      <c r="E280" s="6">
        <v>0.3039</v>
      </c>
      <c r="G280" s="44" t="str">
        <f t="shared" si="3"/>
        <v>Mar/2024</v>
      </c>
      <c r="H280" s="38">
        <v>0.33117350611951046</v>
      </c>
      <c r="I280" s="6">
        <v>0.15874000000000002</v>
      </c>
    </row>
    <row r="281">
      <c r="A281" s="6" t="s">
        <v>243</v>
      </c>
      <c r="B281" s="6" t="s">
        <v>287</v>
      </c>
      <c r="C281" s="6" t="str">
        <f t="shared" si="1"/>
        <v>Apr/2023</v>
      </c>
      <c r="D281" s="6">
        <v>0.1405855855855856</v>
      </c>
      <c r="E281" s="6">
        <v>0.297</v>
      </c>
      <c r="G281" s="44" t="str">
        <f t="shared" si="3"/>
        <v>Apr/2024</v>
      </c>
      <c r="H281" s="38">
        <v>0.33117350611951046</v>
      </c>
      <c r="I281" s="6">
        <v>0.14524</v>
      </c>
    </row>
    <row r="282">
      <c r="A282" s="6" t="s">
        <v>245</v>
      </c>
      <c r="B282" s="6" t="s">
        <v>287</v>
      </c>
      <c r="C282" s="6" t="str">
        <f t="shared" si="1"/>
        <v>May/2023</v>
      </c>
      <c r="D282" s="6">
        <v>0.13913513513513515</v>
      </c>
      <c r="E282" s="6">
        <v>0.2982</v>
      </c>
      <c r="G282" s="44" t="str">
        <f t="shared" si="3"/>
        <v>May/2024</v>
      </c>
      <c r="H282" s="38">
        <v>0.33117350611951046</v>
      </c>
      <c r="I282" s="6">
        <v>0.12688</v>
      </c>
    </row>
    <row r="283">
      <c r="A283" s="6" t="s">
        <v>246</v>
      </c>
      <c r="B283" s="6" t="s">
        <v>287</v>
      </c>
      <c r="C283" s="6" t="str">
        <f t="shared" si="1"/>
        <v>Jun/2023</v>
      </c>
      <c r="D283" s="6">
        <v>0.14035285285285287</v>
      </c>
      <c r="E283" s="6">
        <v>0.3124</v>
      </c>
      <c r="G283" s="44" t="str">
        <f t="shared" si="3"/>
        <v>Jun/2024</v>
      </c>
      <c r="H283" s="38">
        <v>0.33117350611951046</v>
      </c>
      <c r="I283" s="6">
        <v>0.15586000000000003</v>
      </c>
    </row>
    <row r="284">
      <c r="A284" s="6" t="s">
        <v>247</v>
      </c>
      <c r="B284" s="6" t="s">
        <v>287</v>
      </c>
      <c r="C284" s="6" t="str">
        <f t="shared" si="1"/>
        <v>Jul/2023</v>
      </c>
      <c r="D284" s="6">
        <v>0.14164564564564566</v>
      </c>
      <c r="E284" s="6">
        <v>0.29460000000000003</v>
      </c>
      <c r="G284" s="44" t="str">
        <f t="shared" si="3"/>
        <v>Jul/2024</v>
      </c>
      <c r="H284" s="38">
        <v>0.33117350611951046</v>
      </c>
      <c r="I284" s="6">
        <v>0.22038</v>
      </c>
    </row>
    <row r="285">
      <c r="A285" s="6" t="s">
        <v>248</v>
      </c>
      <c r="B285" s="6" t="s">
        <v>287</v>
      </c>
      <c r="C285" s="6" t="str">
        <f t="shared" si="1"/>
        <v>Aug/2023</v>
      </c>
      <c r="D285" s="6">
        <v>0.15082582582582585</v>
      </c>
      <c r="E285" s="6">
        <v>0.29969999999999997</v>
      </c>
      <c r="G285" s="44" t="str">
        <f t="shared" si="3"/>
        <v>Aug/2024</v>
      </c>
      <c r="H285" s="38">
        <v>0.33117350611951046</v>
      </c>
      <c r="I285" s="6">
        <v>0.20675</v>
      </c>
    </row>
    <row r="286">
      <c r="A286" s="6" t="s">
        <v>249</v>
      </c>
      <c r="B286" s="6" t="s">
        <v>287</v>
      </c>
      <c r="C286" s="6" t="str">
        <f t="shared" si="1"/>
        <v>Sep/2023</v>
      </c>
      <c r="D286" s="6">
        <v>0.1625225225225225</v>
      </c>
      <c r="E286" s="6">
        <v>0.30010000000000003</v>
      </c>
      <c r="G286" s="44" t="str">
        <f t="shared" si="3"/>
        <v>Sep/2024</v>
      </c>
      <c r="H286" s="38">
        <v>0.33117350611951046</v>
      </c>
      <c r="I286" s="6">
        <v>0.21049</v>
      </c>
    </row>
    <row r="287">
      <c r="A287" s="6" t="s">
        <v>250</v>
      </c>
      <c r="B287" s="6" t="s">
        <v>287</v>
      </c>
      <c r="C287" s="6" t="str">
        <f t="shared" si="1"/>
        <v>Oct/2023</v>
      </c>
      <c r="D287" s="6">
        <v>0.16332132132132132</v>
      </c>
      <c r="E287" s="6">
        <v>0.3178</v>
      </c>
      <c r="G287" s="44" t="str">
        <f t="shared" si="3"/>
        <v>Oct/2024</v>
      </c>
      <c r="H287" s="38">
        <v>0.33117350611951046</v>
      </c>
      <c r="I287" s="6">
        <v>0.22788999999999998</v>
      </c>
    </row>
    <row r="288">
      <c r="A288" s="6" t="s">
        <v>251</v>
      </c>
      <c r="B288" s="6" t="s">
        <v>287</v>
      </c>
      <c r="C288" s="6" t="str">
        <f t="shared" si="1"/>
        <v>Nov/2023</v>
      </c>
      <c r="D288" s="6">
        <v>0.14490990990990993</v>
      </c>
      <c r="E288" s="6">
        <v>0.2954</v>
      </c>
    </row>
    <row r="289">
      <c r="A289" s="6" t="s">
        <v>252</v>
      </c>
      <c r="B289" s="6" t="s">
        <v>287</v>
      </c>
      <c r="C289" s="6" t="str">
        <f t="shared" si="1"/>
        <v>Dec/2023</v>
      </c>
      <c r="D289" s="6">
        <v>0.13350600600600604</v>
      </c>
      <c r="E289" s="6">
        <v>0.2912</v>
      </c>
    </row>
    <row r="290">
      <c r="A290" s="6" t="s">
        <v>235</v>
      </c>
      <c r="B290" s="6" t="s">
        <v>288</v>
      </c>
      <c r="C290" s="6" t="str">
        <f t="shared" si="1"/>
        <v>Jan/2024</v>
      </c>
      <c r="D290" s="6">
        <v>0.13119519519519518</v>
      </c>
      <c r="E290" s="6">
        <v>0.2949</v>
      </c>
    </row>
    <row r="291">
      <c r="A291" s="6" t="s">
        <v>240</v>
      </c>
      <c r="B291" s="6" t="s">
        <v>288</v>
      </c>
      <c r="C291" s="6" t="str">
        <f t="shared" si="1"/>
        <v>Feb/2024</v>
      </c>
      <c r="D291" s="6">
        <v>0.13284534534534537</v>
      </c>
      <c r="E291" s="6">
        <v>0.3124</v>
      </c>
    </row>
    <row r="292">
      <c r="A292" s="6" t="s">
        <v>242</v>
      </c>
      <c r="B292" s="6" t="s">
        <v>288</v>
      </c>
      <c r="C292" s="6" t="str">
        <f t="shared" si="1"/>
        <v>Mar/2024</v>
      </c>
      <c r="D292" s="6">
        <v>0.14173423423423423</v>
      </c>
      <c r="E292" s="6">
        <v>0.3248</v>
      </c>
    </row>
    <row r="293">
      <c r="A293" s="6" t="s">
        <v>243</v>
      </c>
      <c r="B293" s="6" t="s">
        <v>288</v>
      </c>
      <c r="C293" s="6" t="str">
        <f t="shared" si="1"/>
        <v>Apr/2024</v>
      </c>
      <c r="D293" s="6">
        <v>0.15451051051051054</v>
      </c>
      <c r="E293" s="6">
        <v>0.34259999999999996</v>
      </c>
    </row>
    <row r="294">
      <c r="A294" s="6" t="s">
        <v>245</v>
      </c>
      <c r="B294" s="6" t="s">
        <v>288</v>
      </c>
      <c r="C294" s="6" t="str">
        <f t="shared" si="1"/>
        <v>May/2024</v>
      </c>
      <c r="D294" s="6">
        <v>0.15029279279279278</v>
      </c>
      <c r="E294" s="6">
        <v>0.34299999999999997</v>
      </c>
    </row>
    <row r="295">
      <c r="A295" s="6" t="s">
        <v>246</v>
      </c>
      <c r="B295" s="6" t="s">
        <v>288</v>
      </c>
      <c r="C295" s="6" t="str">
        <f t="shared" si="1"/>
        <v>Jun/2024</v>
      </c>
      <c r="D295" s="6">
        <v>0.140015015015015</v>
      </c>
      <c r="E295" s="6">
        <v>0.3299</v>
      </c>
    </row>
    <row r="296">
      <c r="A296" s="6" t="s">
        <v>247</v>
      </c>
      <c r="B296" s="6" t="s">
        <v>288</v>
      </c>
      <c r="C296" s="6" t="str">
        <f t="shared" si="1"/>
        <v>Jul/2024</v>
      </c>
      <c r="D296" s="6">
        <v>0.13425225225225226</v>
      </c>
      <c r="E296" s="6">
        <v>0.32549999999999996</v>
      </c>
    </row>
    <row r="297">
      <c r="A297" s="6" t="s">
        <v>248</v>
      </c>
      <c r="B297" s="6" t="s">
        <v>288</v>
      </c>
      <c r="C297" s="6" t="str">
        <f t="shared" si="1"/>
        <v>Aug/2024</v>
      </c>
      <c r="D297" s="6">
        <v>0.1300900900900901</v>
      </c>
      <c r="E297" s="6">
        <v>0.3105</v>
      </c>
    </row>
    <row r="298">
      <c r="A298" s="6" t="s">
        <v>249</v>
      </c>
      <c r="B298" s="6" t="s">
        <v>288</v>
      </c>
      <c r="C298" s="6" t="str">
        <f t="shared" si="1"/>
        <v>Sep/2024</v>
      </c>
      <c r="D298" s="6">
        <v>0.13377177177177177</v>
      </c>
      <c r="E298" s="6">
        <v>0.3164</v>
      </c>
    </row>
    <row r="299">
      <c r="A299" s="6" t="s">
        <v>250</v>
      </c>
      <c r="B299" s="6" t="s">
        <v>288</v>
      </c>
      <c r="C299" s="6" t="str">
        <f t="shared" si="1"/>
        <v>Oct/2024</v>
      </c>
      <c r="D299" s="6">
        <v>0.1318918918918919</v>
      </c>
      <c r="E299" s="6">
        <v>0.30219999999999997</v>
      </c>
    </row>
    <row r="300">
      <c r="A300" s="6" t="s">
        <v>251</v>
      </c>
      <c r="B300" s="6" t="s">
        <v>288</v>
      </c>
      <c r="C300" s="6" t="str">
        <f t="shared" si="1"/>
        <v>Nov/2024</v>
      </c>
      <c r="D300" s="6">
        <v>0.1271996996996997</v>
      </c>
      <c r="E300" s="6">
        <f t="shared" ref="E300:E302" si="4">E299</f>
        <v>0.3022</v>
      </c>
    </row>
    <row r="301">
      <c r="A301" s="6" t="s">
        <v>252</v>
      </c>
      <c r="B301" s="6" t="s">
        <v>288</v>
      </c>
      <c r="C301" s="6" t="str">
        <f t="shared" si="1"/>
        <v>Dec/2024</v>
      </c>
      <c r="D301" s="6">
        <v>0.12380180180180182</v>
      </c>
      <c r="E301" s="6">
        <f t="shared" si="4"/>
        <v>0.3022</v>
      </c>
    </row>
    <row r="302">
      <c r="A302" s="6" t="s">
        <v>235</v>
      </c>
      <c r="B302" s="6" t="s">
        <v>289</v>
      </c>
      <c r="C302" s="6" t="str">
        <f t="shared" si="1"/>
        <v>Jan/2025</v>
      </c>
      <c r="D302" s="6">
        <v>0.1253953953953954</v>
      </c>
      <c r="E302" s="6">
        <f t="shared" si="4"/>
        <v>0.3022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5"/>
    <col customWidth="1" min="4" max="4" width="50.88"/>
    <col customWidth="1" min="10" max="10" width="21.0"/>
    <col customWidth="1" min="11" max="11" width="25.13"/>
    <col customWidth="1" min="12" max="12" width="28.13"/>
    <col customWidth="1" min="14" max="14" width="15.5"/>
  </cols>
  <sheetData>
    <row r="1">
      <c r="A1" s="1" t="s">
        <v>63</v>
      </c>
      <c r="B1" s="4" t="s">
        <v>8</v>
      </c>
      <c r="D1" s="33" t="s">
        <v>183</v>
      </c>
      <c r="E1" s="34" t="s">
        <v>184</v>
      </c>
      <c r="F1" s="34" t="s">
        <v>185</v>
      </c>
      <c r="G1" s="34" t="s">
        <v>186</v>
      </c>
      <c r="H1" s="34" t="s">
        <v>188</v>
      </c>
      <c r="I1" s="34" t="s">
        <v>190</v>
      </c>
      <c r="J1" s="4" t="s">
        <v>191</v>
      </c>
      <c r="K1" s="4" t="s">
        <v>192</v>
      </c>
      <c r="L1" s="4" t="s">
        <v>193</v>
      </c>
      <c r="M1" s="35" t="s">
        <v>194</v>
      </c>
      <c r="N1" s="4" t="s">
        <v>195</v>
      </c>
      <c r="P1" s="4" t="s">
        <v>48</v>
      </c>
      <c r="Q1" s="6">
        <f>SUMPRODUCT(M2:M7,N2:N7)</f>
        <v>1119.839462</v>
      </c>
    </row>
    <row r="2">
      <c r="A2" s="1" t="s">
        <v>68</v>
      </c>
      <c r="B2" s="15" t="s">
        <v>198</v>
      </c>
      <c r="E2" s="34" t="s">
        <v>199</v>
      </c>
      <c r="F2" s="34" t="s">
        <v>200</v>
      </c>
      <c r="G2" s="34" t="s">
        <v>201</v>
      </c>
      <c r="H2" s="34" t="s">
        <v>202</v>
      </c>
      <c r="I2" s="37">
        <v>145.0</v>
      </c>
      <c r="J2" s="4">
        <v>8046.7</v>
      </c>
      <c r="K2" s="6">
        <f t="shared" ref="K2:K6" si="1"> J2/12</f>
        <v>670.5583333</v>
      </c>
      <c r="L2" s="38">
        <f>K2/2</f>
        <v>335.2791667</v>
      </c>
      <c r="M2" s="39">
        <v>0.413342054</v>
      </c>
      <c r="N2" s="6">
        <f>L2*'Measure conversion'!$C$4</f>
        <v>335.2791667</v>
      </c>
    </row>
    <row r="3">
      <c r="A3" s="1"/>
      <c r="B3" s="36"/>
      <c r="E3" s="34" t="s">
        <v>199</v>
      </c>
      <c r="F3" s="34" t="s">
        <v>200</v>
      </c>
      <c r="G3" s="34" t="s">
        <v>201</v>
      </c>
      <c r="H3" s="34" t="s">
        <v>205</v>
      </c>
      <c r="I3" s="37">
        <v>231.0</v>
      </c>
      <c r="J3" s="4">
        <v>16093.4</v>
      </c>
      <c r="K3" s="6">
        <f t="shared" si="1"/>
        <v>1341.116667</v>
      </c>
      <c r="L3" s="38">
        <f t="shared" ref="L3:L6" si="2">(K3 + K2)/2</f>
        <v>1005.8375</v>
      </c>
      <c r="M3" s="39">
        <v>0.294637018</v>
      </c>
      <c r="N3" s="6">
        <f>L3*'Measure conversion'!$C$4</f>
        <v>1005.8375</v>
      </c>
    </row>
    <row r="4">
      <c r="A4" s="1" t="s">
        <v>85</v>
      </c>
      <c r="B4" s="4" t="s">
        <v>209</v>
      </c>
      <c r="E4" s="34" t="s">
        <v>199</v>
      </c>
      <c r="F4" s="34" t="s">
        <v>200</v>
      </c>
      <c r="G4" s="34" t="s">
        <v>201</v>
      </c>
      <c r="H4" s="35" t="s">
        <v>210</v>
      </c>
      <c r="I4" s="37">
        <v>207.0</v>
      </c>
      <c r="J4" s="4">
        <v>24138.5507</v>
      </c>
      <c r="K4" s="6">
        <f t="shared" si="1"/>
        <v>2011.545892</v>
      </c>
      <c r="L4" s="38">
        <f t="shared" si="2"/>
        <v>1676.331279</v>
      </c>
      <c r="M4" s="39">
        <v>0.184434271</v>
      </c>
      <c r="N4" s="6">
        <f>L4*'Measure conversion'!$C$4</f>
        <v>1676.331279</v>
      </c>
    </row>
    <row r="5">
      <c r="E5" s="34" t="s">
        <v>199</v>
      </c>
      <c r="F5" s="34" t="s">
        <v>200</v>
      </c>
      <c r="G5" s="34" t="s">
        <v>201</v>
      </c>
      <c r="H5" s="34" t="s">
        <v>212</v>
      </c>
      <c r="I5" s="37">
        <v>62.0</v>
      </c>
      <c r="J5" s="4">
        <v>32186.88</v>
      </c>
      <c r="K5" s="6">
        <f t="shared" si="1"/>
        <v>2682.24</v>
      </c>
      <c r="L5" s="38">
        <f t="shared" si="2"/>
        <v>2346.892946</v>
      </c>
      <c r="M5" s="39">
        <v>0.038587312</v>
      </c>
      <c r="N5" s="6">
        <f>L5*'Measure conversion'!$C$4</f>
        <v>2346.892946</v>
      </c>
    </row>
    <row r="6">
      <c r="E6" s="34" t="s">
        <v>199</v>
      </c>
      <c r="F6" s="34" t="s">
        <v>200</v>
      </c>
      <c r="G6" s="34" t="s">
        <v>201</v>
      </c>
      <c r="H6" s="35" t="s">
        <v>213</v>
      </c>
      <c r="I6" s="37">
        <v>31.0</v>
      </c>
      <c r="J6" s="4">
        <v>40231.9907</v>
      </c>
      <c r="K6" s="6">
        <f t="shared" si="1"/>
        <v>3352.665892</v>
      </c>
      <c r="L6" s="38">
        <f t="shared" si="2"/>
        <v>3017.452946</v>
      </c>
      <c r="M6" s="39">
        <v>0.030739045</v>
      </c>
      <c r="N6" s="6">
        <f>L6*'Measure conversion'!$C$4</f>
        <v>3017.452946</v>
      </c>
    </row>
    <row r="7">
      <c r="A7" s="4" t="s">
        <v>214</v>
      </c>
      <c r="B7" s="30" t="s">
        <v>215</v>
      </c>
      <c r="E7" s="34" t="s">
        <v>199</v>
      </c>
      <c r="F7" s="34" t="s">
        <v>200</v>
      </c>
      <c r="G7" s="34" t="s">
        <v>201</v>
      </c>
      <c r="H7" s="34" t="s">
        <v>217</v>
      </c>
      <c r="I7" s="37">
        <v>29.0</v>
      </c>
      <c r="J7" s="4" t="s">
        <v>218</v>
      </c>
      <c r="K7" s="4">
        <v>5028.99</v>
      </c>
      <c r="L7" s="40">
        <v>5028.99</v>
      </c>
      <c r="M7" s="39">
        <v>0.038260301</v>
      </c>
      <c r="N7" s="6">
        <f>L7*'Measure conversion'!$C$4</f>
        <v>5028.99</v>
      </c>
    </row>
    <row r="8">
      <c r="H8" s="4" t="s">
        <v>220</v>
      </c>
      <c r="I8" s="6">
        <f>SUM(I2:I7)</f>
        <v>705</v>
      </c>
      <c r="K8" s="4" t="s">
        <v>221</v>
      </c>
      <c r="L8" s="4" t="s">
        <v>221</v>
      </c>
    </row>
    <row r="9">
      <c r="A9" s="4" t="s">
        <v>222</v>
      </c>
    </row>
    <row r="10">
      <c r="A10" s="4" t="s">
        <v>223</v>
      </c>
      <c r="B10" s="4">
        <v>1.60934</v>
      </c>
    </row>
    <row r="11">
      <c r="G11" s="34" t="s">
        <v>186</v>
      </c>
      <c r="H11" s="34" t="s">
        <v>188</v>
      </c>
      <c r="I11" s="35" t="s">
        <v>194</v>
      </c>
      <c r="J11" s="4" t="s">
        <v>224</v>
      </c>
      <c r="K11" s="4" t="s">
        <v>225</v>
      </c>
    </row>
    <row r="12">
      <c r="G12" s="35" t="s">
        <v>226</v>
      </c>
      <c r="H12" s="34" t="s">
        <v>202</v>
      </c>
      <c r="I12" s="39">
        <v>0.413342054</v>
      </c>
      <c r="J12" s="6">
        <f> ROUND(I12*I18,0)</f>
        <v>1264</v>
      </c>
    </row>
    <row r="13">
      <c r="G13" s="35" t="s">
        <v>226</v>
      </c>
      <c r="H13" s="34" t="s">
        <v>205</v>
      </c>
      <c r="I13" s="39">
        <v>0.294637018</v>
      </c>
      <c r="J13" s="6">
        <f> ROUND(I13*I18,0)</f>
        <v>901</v>
      </c>
    </row>
    <row r="14">
      <c r="G14" s="35" t="s">
        <v>226</v>
      </c>
      <c r="H14" s="35" t="s">
        <v>210</v>
      </c>
      <c r="I14" s="39">
        <v>0.184434271</v>
      </c>
      <c r="J14" s="6">
        <f> ROUND(I14*I18,0)</f>
        <v>564</v>
      </c>
    </row>
    <row r="15">
      <c r="G15" s="35" t="s">
        <v>226</v>
      </c>
      <c r="H15" s="34" t="s">
        <v>212</v>
      </c>
      <c r="I15" s="39">
        <v>0.038587312</v>
      </c>
      <c r="J15" s="6">
        <f> ROUND(I15*I18,0)</f>
        <v>118</v>
      </c>
    </row>
    <row r="16">
      <c r="G16" s="35" t="s">
        <v>226</v>
      </c>
      <c r="H16" s="35" t="s">
        <v>213</v>
      </c>
      <c r="I16" s="39">
        <v>0.030739045</v>
      </c>
      <c r="J16" s="6">
        <f> ROUND(I16*I18,0)</f>
        <v>94</v>
      </c>
    </row>
    <row r="17">
      <c r="G17" s="35" t="s">
        <v>226</v>
      </c>
      <c r="H17" s="34" t="s">
        <v>217</v>
      </c>
      <c r="I17" s="39">
        <v>0.038260301</v>
      </c>
      <c r="J17" s="6">
        <f> ROUND(I17*I18,0)</f>
        <v>117</v>
      </c>
    </row>
    <row r="18">
      <c r="H18" s="4" t="s">
        <v>239</v>
      </c>
      <c r="I18" s="4">
        <v>3058.0</v>
      </c>
      <c r="J18" s="6">
        <f> sum(J12:J17)</f>
        <v>3058</v>
      </c>
    </row>
  </sheetData>
  <hyperlinks>
    <hyperlink r:id="rId1" ref="B2"/>
    <hyperlink r:id="rId2" location="/?f=A&amp;start=2016&amp;end=2022&amp;charted=1-2-3-5-6" ref="B7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55.5"/>
    <col customWidth="1" min="3" max="3" width="27.13"/>
    <col customWidth="1" min="4" max="4" width="28.0"/>
    <col customWidth="1" min="5" max="5" width="24.5"/>
    <col customWidth="1" min="6" max="6" width="54.0"/>
    <col customWidth="1" min="7" max="7" width="47.25"/>
  </cols>
  <sheetData>
    <row r="1">
      <c r="A1" s="1" t="s">
        <v>63</v>
      </c>
      <c r="B1" s="4" t="s">
        <v>8</v>
      </c>
      <c r="C1" s="4" t="s">
        <v>180</v>
      </c>
      <c r="D1" s="4" t="s">
        <v>181</v>
      </c>
      <c r="E1" s="4" t="s">
        <v>182</v>
      </c>
      <c r="F1" s="1" t="str">
        <f>"WTP "&amp;'Measure conversion'!$B$2&amp;" / "&amp;'Measure conversion'!$B$3 &amp; " / km"</f>
        <v>WTP Tenths of thousands dollars (2020) / Tenths of tones CO2 / km</v>
      </c>
      <c r="G1" s="1" t="s">
        <v>187</v>
      </c>
      <c r="I1" s="4" t="s">
        <v>86</v>
      </c>
      <c r="J1" s="1" t="s">
        <v>189</v>
      </c>
      <c r="K1" s="1"/>
      <c r="L1" s="6">
        <f t="shared" ref="L1:L5" si="1">L2-$L$6/5</f>
        <v>0</v>
      </c>
      <c r="M1" s="6">
        <f>COUNTIF($J$2:$J$1000,"&lt;"&amp;L1)</f>
        <v>116</v>
      </c>
      <c r="O1" s="4" t="s">
        <v>196</v>
      </c>
      <c r="P1" s="6">
        <f>AVERAGE(J2:J1000)</f>
        <v>0.000002134230583</v>
      </c>
    </row>
    <row r="2">
      <c r="A2" s="1" t="s">
        <v>68</v>
      </c>
      <c r="B2" s="36" t="s">
        <v>197</v>
      </c>
      <c r="C2" s="4">
        <v>36.7</v>
      </c>
      <c r="D2" s="4">
        <f>C2*B6</f>
        <v>43.673</v>
      </c>
      <c r="E2" s="4">
        <f>D2/B11</f>
        <v>46.64665434</v>
      </c>
      <c r="F2" s="1">
        <f>E2*'Measure conversion'!$C$2/'Measure conversion'!$C$3</f>
        <v>46.64665434</v>
      </c>
      <c r="G2" s="6">
        <f>(F2*($B$18-$B$19-$B$18*$B$19)/($B$17*(1+$B$18)*(1-$B$19)))</f>
        <v>0.000002038433488</v>
      </c>
      <c r="I2" s="4">
        <v>0.001</v>
      </c>
      <c r="J2" s="4">
        <f t="shared" ref="J2:J1000" si="2">MAX(NORMINV(I2,$G$2,$G$5),0)</f>
        <v>0</v>
      </c>
      <c r="L2" s="6">
        <f t="shared" si="1"/>
        <v>0.0000004076866977</v>
      </c>
      <c r="M2" s="6">
        <f t="shared" ref="M2:M20" si="3">COUNTIFS($J$2:$J$1000,"&lt;"&amp;L2,$J$2:J$1000,"&gt;="&amp;L1)</f>
        <v>54</v>
      </c>
      <c r="O2" s="4" t="s">
        <v>203</v>
      </c>
      <c r="P2" s="6">
        <f>STDEV(J2:J1000)</f>
        <v>0.000001536778526</v>
      </c>
    </row>
    <row r="3">
      <c r="A3" s="1" t="s">
        <v>85</v>
      </c>
      <c r="B3" s="4" t="s">
        <v>204</v>
      </c>
      <c r="I3" s="6">
        <f t="shared" ref="I3:I1000" si="4">I2+0.001</f>
        <v>0.002</v>
      </c>
      <c r="J3" s="4">
        <f t="shared" si="2"/>
        <v>0</v>
      </c>
      <c r="L3" s="6">
        <f t="shared" si="1"/>
        <v>0.0000008153733954</v>
      </c>
      <c r="M3" s="6">
        <f t="shared" si="3"/>
        <v>67</v>
      </c>
    </row>
    <row r="4">
      <c r="C4" s="4" t="s">
        <v>206</v>
      </c>
      <c r="D4" s="4" t="s">
        <v>207</v>
      </c>
      <c r="E4" s="4" t="s">
        <v>208</v>
      </c>
      <c r="F4" s="1" t="str">
        <f>"SD "&amp;'Measure conversion'!$B$2&amp;" / "&amp;'Measure conversion'!$B$3</f>
        <v>SD Tenths of thousands dollars (2020) / Tenths of tones CO2</v>
      </c>
      <c r="G4" s="1" t="s">
        <v>211</v>
      </c>
      <c r="I4" s="6">
        <f t="shared" si="4"/>
        <v>0.003</v>
      </c>
      <c r="J4" s="4">
        <f t="shared" si="2"/>
        <v>0</v>
      </c>
      <c r="L4" s="6">
        <f t="shared" si="1"/>
        <v>0.000001223060093</v>
      </c>
      <c r="M4" s="6">
        <f t="shared" si="3"/>
        <v>79</v>
      </c>
    </row>
    <row r="5">
      <c r="C5" s="4">
        <v>30.81</v>
      </c>
      <c r="D5" s="4">
        <f>C5*B6</f>
        <v>36.6639</v>
      </c>
      <c r="E5" s="4">
        <f>D5/B11</f>
        <v>39.16031118</v>
      </c>
      <c r="F5" s="1">
        <f>E5*'Measure conversion'!$C$2/'Measure conversion'!$C$3</f>
        <v>39.16031118</v>
      </c>
      <c r="G5" s="6">
        <f>(F5*($B$18-$B$19-$B$18*$B$19)/($B$17*(1+$B$18)*(1-$B$19)))</f>
        <v>0.000001711284354</v>
      </c>
      <c r="I5" s="6">
        <f t="shared" si="4"/>
        <v>0.004</v>
      </c>
      <c r="J5" s="4">
        <f t="shared" si="2"/>
        <v>0</v>
      </c>
      <c r="L5" s="6">
        <f t="shared" si="1"/>
        <v>0.000001630746791</v>
      </c>
      <c r="M5" s="6">
        <f t="shared" si="3"/>
        <v>89</v>
      </c>
    </row>
    <row r="6">
      <c r="A6" s="4" t="s">
        <v>216</v>
      </c>
      <c r="B6" s="4">
        <v>1.19</v>
      </c>
      <c r="I6" s="6">
        <f t="shared" si="4"/>
        <v>0.005</v>
      </c>
      <c r="J6" s="4">
        <f t="shared" si="2"/>
        <v>0</v>
      </c>
      <c r="L6" s="6">
        <f>$G$2</f>
        <v>0.000002038433488</v>
      </c>
      <c r="M6" s="6">
        <f t="shared" si="3"/>
        <v>94</v>
      </c>
    </row>
    <row r="7">
      <c r="A7" s="4" t="s">
        <v>5</v>
      </c>
      <c r="B7" s="15" t="s">
        <v>219</v>
      </c>
      <c r="I7" s="6">
        <f t="shared" si="4"/>
        <v>0.006</v>
      </c>
      <c r="J7" s="4">
        <f t="shared" si="2"/>
        <v>0</v>
      </c>
      <c r="L7" s="6">
        <f t="shared" ref="L7:L20" si="5">L6+$L$6/5</f>
        <v>0.000002446120186</v>
      </c>
      <c r="M7" s="6">
        <f t="shared" si="3"/>
        <v>95</v>
      </c>
    </row>
    <row r="8">
      <c r="A8" s="4" t="s">
        <v>228</v>
      </c>
      <c r="I8" s="6">
        <f t="shared" si="4"/>
        <v>0.007</v>
      </c>
      <c r="J8" s="4">
        <f t="shared" si="2"/>
        <v>0</v>
      </c>
      <c r="L8" s="6">
        <f t="shared" si="5"/>
        <v>0.000002853806884</v>
      </c>
      <c r="M8" s="6">
        <f t="shared" si="3"/>
        <v>89</v>
      </c>
    </row>
    <row r="9">
      <c r="A9" s="4" t="s">
        <v>231</v>
      </c>
      <c r="I9" s="6">
        <f t="shared" si="4"/>
        <v>0.008</v>
      </c>
      <c r="J9" s="4">
        <f t="shared" si="2"/>
        <v>0</v>
      </c>
      <c r="L9" s="6">
        <f t="shared" si="5"/>
        <v>0.000003261493581</v>
      </c>
      <c r="M9" s="6">
        <f t="shared" si="3"/>
        <v>79</v>
      </c>
    </row>
    <row r="10">
      <c r="I10" s="6">
        <f t="shared" si="4"/>
        <v>0.009</v>
      </c>
      <c r="J10" s="4">
        <f t="shared" si="2"/>
        <v>0</v>
      </c>
      <c r="L10" s="6">
        <f t="shared" si="5"/>
        <v>0.000003669180279</v>
      </c>
      <c r="M10" s="6">
        <f t="shared" si="3"/>
        <v>67</v>
      </c>
    </row>
    <row r="11">
      <c r="A11" s="4" t="s">
        <v>237</v>
      </c>
      <c r="B11" s="4">
        <v>0.936251497850144</v>
      </c>
      <c r="I11" s="6">
        <f t="shared" si="4"/>
        <v>0.01</v>
      </c>
      <c r="J11" s="4">
        <f t="shared" si="2"/>
        <v>0</v>
      </c>
      <c r="L11" s="6">
        <f t="shared" si="5"/>
        <v>0.000004076866977</v>
      </c>
      <c r="M11" s="6">
        <f t="shared" si="3"/>
        <v>54</v>
      </c>
    </row>
    <row r="12">
      <c r="A12" s="4" t="s">
        <v>238</v>
      </c>
      <c r="B12" s="30" t="s">
        <v>69</v>
      </c>
      <c r="I12" s="6">
        <f t="shared" si="4"/>
        <v>0.011</v>
      </c>
      <c r="J12" s="4">
        <f t="shared" si="2"/>
        <v>0</v>
      </c>
      <c r="L12" s="43">
        <f t="shared" si="5"/>
        <v>0.000004484553674</v>
      </c>
      <c r="M12" s="43">
        <f t="shared" si="3"/>
        <v>40</v>
      </c>
    </row>
    <row r="13">
      <c r="I13" s="6">
        <f t="shared" si="4"/>
        <v>0.012</v>
      </c>
      <c r="J13" s="4">
        <f t="shared" si="2"/>
        <v>0</v>
      </c>
      <c r="L13" s="6">
        <f t="shared" si="5"/>
        <v>0.000004892240372</v>
      </c>
      <c r="M13" s="6">
        <f t="shared" si="3"/>
        <v>29</v>
      </c>
    </row>
    <row r="14">
      <c r="A14" s="1" t="s">
        <v>241</v>
      </c>
      <c r="I14" s="6">
        <f t="shared" si="4"/>
        <v>0.013</v>
      </c>
      <c r="J14" s="4">
        <f t="shared" si="2"/>
        <v>0</v>
      </c>
      <c r="L14" s="6">
        <f t="shared" si="5"/>
        <v>0.00000529992707</v>
      </c>
      <c r="M14" s="6">
        <f t="shared" si="3"/>
        <v>19</v>
      </c>
    </row>
    <row r="15">
      <c r="I15" s="6">
        <f t="shared" si="4"/>
        <v>0.014</v>
      </c>
      <c r="J15" s="4">
        <f t="shared" si="2"/>
        <v>0</v>
      </c>
      <c r="L15" s="6">
        <f t="shared" si="5"/>
        <v>0.000005707613768</v>
      </c>
      <c r="M15" s="6">
        <f t="shared" si="3"/>
        <v>12</v>
      </c>
    </row>
    <row r="16">
      <c r="A16" s="4" t="s">
        <v>244</v>
      </c>
      <c r="I16" s="6">
        <f t="shared" si="4"/>
        <v>0.015</v>
      </c>
      <c r="J16" s="4">
        <f t="shared" si="2"/>
        <v>0</v>
      </c>
      <c r="L16" s="6">
        <f t="shared" si="5"/>
        <v>0.000006115300465</v>
      </c>
      <c r="M16" s="6">
        <f t="shared" si="3"/>
        <v>8</v>
      </c>
    </row>
    <row r="17">
      <c r="A17" s="4" t="s">
        <v>48</v>
      </c>
      <c r="B17" s="6">
        <f>VLOOKUP(A17,'Fixed parameters'!B:C,2,FALSE)</f>
        <v>1119.839462</v>
      </c>
      <c r="I17" s="6">
        <f t="shared" si="4"/>
        <v>0.016</v>
      </c>
      <c r="J17" s="4">
        <f t="shared" si="2"/>
        <v>0</v>
      </c>
      <c r="L17" s="6">
        <f t="shared" si="5"/>
        <v>0.000006522987163</v>
      </c>
      <c r="M17" s="6">
        <f t="shared" si="3"/>
        <v>4</v>
      </c>
    </row>
    <row r="18">
      <c r="A18" s="4" t="s">
        <v>45</v>
      </c>
      <c r="B18" s="6">
        <f>VLOOKUP(A18,'Fixed parameters'!B:C,2,FALSE)</f>
        <v>0.001651581302</v>
      </c>
      <c r="I18" s="6">
        <f t="shared" si="4"/>
        <v>0.017</v>
      </c>
      <c r="J18" s="4">
        <f t="shared" si="2"/>
        <v>0</v>
      </c>
      <c r="L18" s="6">
        <f t="shared" si="5"/>
        <v>0.000006930673861</v>
      </c>
      <c r="M18" s="6">
        <f t="shared" si="3"/>
        <v>2</v>
      </c>
    </row>
    <row r="19">
      <c r="A19" s="4" t="s">
        <v>39</v>
      </c>
      <c r="B19" s="6">
        <f>VLOOKUP(A19,'Fixed parameters'!B:C,2,FALSE)</f>
        <v>0.0016</v>
      </c>
      <c r="I19" s="6">
        <f t="shared" si="4"/>
        <v>0.018</v>
      </c>
      <c r="J19" s="4">
        <f t="shared" si="2"/>
        <v>0</v>
      </c>
      <c r="L19" s="6">
        <f t="shared" si="5"/>
        <v>0.000007338360558</v>
      </c>
      <c r="M19" s="6">
        <f t="shared" si="3"/>
        <v>2</v>
      </c>
    </row>
    <row r="20">
      <c r="I20" s="6">
        <f t="shared" si="4"/>
        <v>0.019</v>
      </c>
      <c r="J20" s="4">
        <f t="shared" si="2"/>
        <v>0</v>
      </c>
      <c r="L20" s="6">
        <f t="shared" si="5"/>
        <v>0.000007746047256</v>
      </c>
      <c r="M20" s="6">
        <f t="shared" si="3"/>
        <v>0</v>
      </c>
    </row>
    <row r="21">
      <c r="I21" s="6">
        <f t="shared" si="4"/>
        <v>0.02</v>
      </c>
      <c r="J21" s="4">
        <f t="shared" si="2"/>
        <v>0</v>
      </c>
    </row>
    <row r="22">
      <c r="I22" s="6">
        <f t="shared" si="4"/>
        <v>0.021</v>
      </c>
      <c r="J22" s="4">
        <f t="shared" si="2"/>
        <v>0</v>
      </c>
    </row>
    <row r="23">
      <c r="I23" s="6">
        <f t="shared" si="4"/>
        <v>0.022</v>
      </c>
      <c r="J23" s="4">
        <f t="shared" si="2"/>
        <v>0</v>
      </c>
    </row>
    <row r="24">
      <c r="I24" s="6">
        <f t="shared" si="4"/>
        <v>0.023</v>
      </c>
      <c r="J24" s="4">
        <f t="shared" si="2"/>
        <v>0</v>
      </c>
    </row>
    <row r="25">
      <c r="I25" s="6">
        <f t="shared" si="4"/>
        <v>0.024</v>
      </c>
      <c r="J25" s="4">
        <f t="shared" si="2"/>
        <v>0</v>
      </c>
    </row>
    <row r="26">
      <c r="I26" s="6">
        <f t="shared" si="4"/>
        <v>0.025</v>
      </c>
      <c r="J26" s="4">
        <f t="shared" si="2"/>
        <v>0</v>
      </c>
    </row>
    <row r="27">
      <c r="I27" s="6">
        <f t="shared" si="4"/>
        <v>0.026</v>
      </c>
      <c r="J27" s="4">
        <f t="shared" si="2"/>
        <v>0</v>
      </c>
    </row>
    <row r="28">
      <c r="I28" s="6">
        <f t="shared" si="4"/>
        <v>0.027</v>
      </c>
      <c r="J28" s="4">
        <f t="shared" si="2"/>
        <v>0</v>
      </c>
    </row>
    <row r="29">
      <c r="I29" s="6">
        <f t="shared" si="4"/>
        <v>0.028</v>
      </c>
      <c r="J29" s="4">
        <f t="shared" si="2"/>
        <v>0</v>
      </c>
    </row>
    <row r="30">
      <c r="I30" s="6">
        <f t="shared" si="4"/>
        <v>0.029</v>
      </c>
      <c r="J30" s="4">
        <f t="shared" si="2"/>
        <v>0</v>
      </c>
    </row>
    <row r="31">
      <c r="I31" s="6">
        <f t="shared" si="4"/>
        <v>0.03</v>
      </c>
      <c r="J31" s="4">
        <f t="shared" si="2"/>
        <v>0</v>
      </c>
    </row>
    <row r="32">
      <c r="I32" s="6">
        <f t="shared" si="4"/>
        <v>0.031</v>
      </c>
      <c r="J32" s="4">
        <f t="shared" si="2"/>
        <v>0</v>
      </c>
    </row>
    <row r="33">
      <c r="I33" s="6">
        <f t="shared" si="4"/>
        <v>0.032</v>
      </c>
      <c r="J33" s="4">
        <f t="shared" si="2"/>
        <v>0</v>
      </c>
    </row>
    <row r="34">
      <c r="I34" s="6">
        <f t="shared" si="4"/>
        <v>0.033</v>
      </c>
      <c r="J34" s="4">
        <f t="shared" si="2"/>
        <v>0</v>
      </c>
    </row>
    <row r="35">
      <c r="I35" s="6">
        <f t="shared" si="4"/>
        <v>0.034</v>
      </c>
      <c r="J35" s="4">
        <f t="shared" si="2"/>
        <v>0</v>
      </c>
    </row>
    <row r="36">
      <c r="I36" s="6">
        <f t="shared" si="4"/>
        <v>0.035</v>
      </c>
      <c r="J36" s="4">
        <f t="shared" si="2"/>
        <v>0</v>
      </c>
    </row>
    <row r="37">
      <c r="I37" s="6">
        <f t="shared" si="4"/>
        <v>0.036</v>
      </c>
      <c r="J37" s="4">
        <f t="shared" si="2"/>
        <v>0</v>
      </c>
    </row>
    <row r="38">
      <c r="I38" s="6">
        <f t="shared" si="4"/>
        <v>0.037</v>
      </c>
      <c r="J38" s="4">
        <f t="shared" si="2"/>
        <v>0</v>
      </c>
    </row>
    <row r="39">
      <c r="I39" s="6">
        <f t="shared" si="4"/>
        <v>0.038</v>
      </c>
      <c r="J39" s="4">
        <f t="shared" si="2"/>
        <v>0</v>
      </c>
    </row>
    <row r="40">
      <c r="I40" s="6">
        <f t="shared" si="4"/>
        <v>0.039</v>
      </c>
      <c r="J40" s="4">
        <f t="shared" si="2"/>
        <v>0</v>
      </c>
    </row>
    <row r="41">
      <c r="I41" s="6">
        <f t="shared" si="4"/>
        <v>0.04</v>
      </c>
      <c r="J41" s="4">
        <f t="shared" si="2"/>
        <v>0</v>
      </c>
    </row>
    <row r="42">
      <c r="I42" s="6">
        <f t="shared" si="4"/>
        <v>0.041</v>
      </c>
      <c r="J42" s="4">
        <f t="shared" si="2"/>
        <v>0</v>
      </c>
    </row>
    <row r="43">
      <c r="I43" s="6">
        <f t="shared" si="4"/>
        <v>0.042</v>
      </c>
      <c r="J43" s="4">
        <f t="shared" si="2"/>
        <v>0</v>
      </c>
    </row>
    <row r="44">
      <c r="I44" s="6">
        <f t="shared" si="4"/>
        <v>0.043</v>
      </c>
      <c r="J44" s="4">
        <f t="shared" si="2"/>
        <v>0</v>
      </c>
    </row>
    <row r="45">
      <c r="I45" s="6">
        <f t="shared" si="4"/>
        <v>0.044</v>
      </c>
      <c r="J45" s="4">
        <f t="shared" si="2"/>
        <v>0</v>
      </c>
    </row>
    <row r="46">
      <c r="I46" s="6">
        <f t="shared" si="4"/>
        <v>0.045</v>
      </c>
      <c r="J46" s="4">
        <f t="shared" si="2"/>
        <v>0</v>
      </c>
    </row>
    <row r="47">
      <c r="I47" s="6">
        <f t="shared" si="4"/>
        <v>0.046</v>
      </c>
      <c r="J47" s="4">
        <f t="shared" si="2"/>
        <v>0</v>
      </c>
    </row>
    <row r="48">
      <c r="I48" s="6">
        <f t="shared" si="4"/>
        <v>0.047</v>
      </c>
      <c r="J48" s="4">
        <f t="shared" si="2"/>
        <v>0</v>
      </c>
    </row>
    <row r="49">
      <c r="I49" s="6">
        <f t="shared" si="4"/>
        <v>0.048</v>
      </c>
      <c r="J49" s="4">
        <f t="shared" si="2"/>
        <v>0</v>
      </c>
    </row>
    <row r="50">
      <c r="I50" s="6">
        <f t="shared" si="4"/>
        <v>0.049</v>
      </c>
      <c r="J50" s="4">
        <f t="shared" si="2"/>
        <v>0</v>
      </c>
    </row>
    <row r="51">
      <c r="I51" s="6">
        <f t="shared" si="4"/>
        <v>0.05</v>
      </c>
      <c r="J51" s="4">
        <f t="shared" si="2"/>
        <v>0</v>
      </c>
    </row>
    <row r="52">
      <c r="I52" s="6">
        <f t="shared" si="4"/>
        <v>0.051</v>
      </c>
      <c r="J52" s="4">
        <f t="shared" si="2"/>
        <v>0</v>
      </c>
    </row>
    <row r="53">
      <c r="I53" s="6">
        <f t="shared" si="4"/>
        <v>0.052</v>
      </c>
      <c r="J53" s="4">
        <f t="shared" si="2"/>
        <v>0</v>
      </c>
    </row>
    <row r="54">
      <c r="I54" s="6">
        <f t="shared" si="4"/>
        <v>0.053</v>
      </c>
      <c r="J54" s="4">
        <f t="shared" si="2"/>
        <v>0</v>
      </c>
    </row>
    <row r="55">
      <c r="I55" s="6">
        <f t="shared" si="4"/>
        <v>0.054</v>
      </c>
      <c r="J55" s="4">
        <f t="shared" si="2"/>
        <v>0</v>
      </c>
    </row>
    <row r="56">
      <c r="I56" s="6">
        <f t="shared" si="4"/>
        <v>0.055</v>
      </c>
      <c r="J56" s="4">
        <f t="shared" si="2"/>
        <v>0</v>
      </c>
    </row>
    <row r="57">
      <c r="I57" s="6">
        <f t="shared" si="4"/>
        <v>0.056</v>
      </c>
      <c r="J57" s="4">
        <f t="shared" si="2"/>
        <v>0</v>
      </c>
    </row>
    <row r="58">
      <c r="I58" s="6">
        <f t="shared" si="4"/>
        <v>0.057</v>
      </c>
      <c r="J58" s="4">
        <f t="shared" si="2"/>
        <v>0</v>
      </c>
    </row>
    <row r="59">
      <c r="I59" s="6">
        <f t="shared" si="4"/>
        <v>0.058</v>
      </c>
      <c r="J59" s="4">
        <f t="shared" si="2"/>
        <v>0</v>
      </c>
    </row>
    <row r="60">
      <c r="I60" s="6">
        <f t="shared" si="4"/>
        <v>0.059</v>
      </c>
      <c r="J60" s="4">
        <f t="shared" si="2"/>
        <v>0</v>
      </c>
    </row>
    <row r="61">
      <c r="I61" s="6">
        <f t="shared" si="4"/>
        <v>0.06</v>
      </c>
      <c r="J61" s="4">
        <f t="shared" si="2"/>
        <v>0</v>
      </c>
    </row>
    <row r="62">
      <c r="I62" s="6">
        <f t="shared" si="4"/>
        <v>0.061</v>
      </c>
      <c r="J62" s="4">
        <f t="shared" si="2"/>
        <v>0</v>
      </c>
    </row>
    <row r="63">
      <c r="I63" s="6">
        <f t="shared" si="4"/>
        <v>0.062</v>
      </c>
      <c r="J63" s="4">
        <f t="shared" si="2"/>
        <v>0</v>
      </c>
    </row>
    <row r="64">
      <c r="I64" s="6">
        <f t="shared" si="4"/>
        <v>0.063</v>
      </c>
      <c r="J64" s="4">
        <f t="shared" si="2"/>
        <v>0</v>
      </c>
    </row>
    <row r="65">
      <c r="I65" s="6">
        <f t="shared" si="4"/>
        <v>0.064</v>
      </c>
      <c r="J65" s="4">
        <f t="shared" si="2"/>
        <v>0</v>
      </c>
    </row>
    <row r="66">
      <c r="I66" s="6">
        <f t="shared" si="4"/>
        <v>0.065</v>
      </c>
      <c r="J66" s="4">
        <f t="shared" si="2"/>
        <v>0</v>
      </c>
    </row>
    <row r="67">
      <c r="I67" s="6">
        <f t="shared" si="4"/>
        <v>0.066</v>
      </c>
      <c r="J67" s="4">
        <f t="shared" si="2"/>
        <v>0</v>
      </c>
    </row>
    <row r="68">
      <c r="I68" s="6">
        <f t="shared" si="4"/>
        <v>0.067</v>
      </c>
      <c r="J68" s="4">
        <f t="shared" si="2"/>
        <v>0</v>
      </c>
    </row>
    <row r="69">
      <c r="I69" s="6">
        <f t="shared" si="4"/>
        <v>0.068</v>
      </c>
      <c r="J69" s="4">
        <f t="shared" si="2"/>
        <v>0</v>
      </c>
    </row>
    <row r="70">
      <c r="I70" s="6">
        <f t="shared" si="4"/>
        <v>0.069</v>
      </c>
      <c r="J70" s="4">
        <f t="shared" si="2"/>
        <v>0</v>
      </c>
    </row>
    <row r="71">
      <c r="I71" s="6">
        <f t="shared" si="4"/>
        <v>0.07</v>
      </c>
      <c r="J71" s="4">
        <f t="shared" si="2"/>
        <v>0</v>
      </c>
    </row>
    <row r="72">
      <c r="I72" s="6">
        <f t="shared" si="4"/>
        <v>0.071</v>
      </c>
      <c r="J72" s="4">
        <f t="shared" si="2"/>
        <v>0</v>
      </c>
    </row>
    <row r="73">
      <c r="I73" s="6">
        <f t="shared" si="4"/>
        <v>0.072</v>
      </c>
      <c r="J73" s="4">
        <f t="shared" si="2"/>
        <v>0</v>
      </c>
    </row>
    <row r="74">
      <c r="I74" s="6">
        <f t="shared" si="4"/>
        <v>0.073</v>
      </c>
      <c r="J74" s="4">
        <f t="shared" si="2"/>
        <v>0</v>
      </c>
    </row>
    <row r="75">
      <c r="I75" s="6">
        <f t="shared" si="4"/>
        <v>0.074</v>
      </c>
      <c r="J75" s="4">
        <f t="shared" si="2"/>
        <v>0</v>
      </c>
    </row>
    <row r="76">
      <c r="I76" s="6">
        <f t="shared" si="4"/>
        <v>0.075</v>
      </c>
      <c r="J76" s="4">
        <f t="shared" si="2"/>
        <v>0</v>
      </c>
    </row>
    <row r="77">
      <c r="I77" s="6">
        <f t="shared" si="4"/>
        <v>0.076</v>
      </c>
      <c r="J77" s="4">
        <f t="shared" si="2"/>
        <v>0</v>
      </c>
    </row>
    <row r="78">
      <c r="I78" s="6">
        <f t="shared" si="4"/>
        <v>0.077</v>
      </c>
      <c r="J78" s="4">
        <f t="shared" si="2"/>
        <v>0</v>
      </c>
    </row>
    <row r="79">
      <c r="I79" s="6">
        <f t="shared" si="4"/>
        <v>0.078</v>
      </c>
      <c r="J79" s="4">
        <f t="shared" si="2"/>
        <v>0</v>
      </c>
    </row>
    <row r="80">
      <c r="I80" s="6">
        <f t="shared" si="4"/>
        <v>0.079</v>
      </c>
      <c r="J80" s="4">
        <f t="shared" si="2"/>
        <v>0</v>
      </c>
    </row>
    <row r="81">
      <c r="I81" s="6">
        <f t="shared" si="4"/>
        <v>0.08</v>
      </c>
      <c r="J81" s="4">
        <f t="shared" si="2"/>
        <v>0</v>
      </c>
    </row>
    <row r="82">
      <c r="I82" s="6">
        <f t="shared" si="4"/>
        <v>0.081</v>
      </c>
      <c r="J82" s="4">
        <f t="shared" si="2"/>
        <v>0</v>
      </c>
    </row>
    <row r="83">
      <c r="I83" s="6">
        <f t="shared" si="4"/>
        <v>0.082</v>
      </c>
      <c r="J83" s="4">
        <f t="shared" si="2"/>
        <v>0</v>
      </c>
    </row>
    <row r="84">
      <c r="I84" s="6">
        <f t="shared" si="4"/>
        <v>0.083</v>
      </c>
      <c r="J84" s="4">
        <f t="shared" si="2"/>
        <v>0</v>
      </c>
    </row>
    <row r="85">
      <c r="I85" s="6">
        <f t="shared" si="4"/>
        <v>0.084</v>
      </c>
      <c r="J85" s="4">
        <f t="shared" si="2"/>
        <v>0</v>
      </c>
    </row>
    <row r="86">
      <c r="I86" s="6">
        <f t="shared" si="4"/>
        <v>0.085</v>
      </c>
      <c r="J86" s="4">
        <f t="shared" si="2"/>
        <v>0</v>
      </c>
    </row>
    <row r="87">
      <c r="I87" s="6">
        <f t="shared" si="4"/>
        <v>0.086</v>
      </c>
      <c r="J87" s="4">
        <f t="shared" si="2"/>
        <v>0</v>
      </c>
    </row>
    <row r="88">
      <c r="I88" s="6">
        <f t="shared" si="4"/>
        <v>0.087</v>
      </c>
      <c r="J88" s="4">
        <f t="shared" si="2"/>
        <v>0</v>
      </c>
    </row>
    <row r="89">
      <c r="I89" s="6">
        <f t="shared" si="4"/>
        <v>0.088</v>
      </c>
      <c r="J89" s="4">
        <f t="shared" si="2"/>
        <v>0</v>
      </c>
    </row>
    <row r="90">
      <c r="I90" s="6">
        <f t="shared" si="4"/>
        <v>0.089</v>
      </c>
      <c r="J90" s="4">
        <f t="shared" si="2"/>
        <v>0</v>
      </c>
    </row>
    <row r="91">
      <c r="I91" s="6">
        <f t="shared" si="4"/>
        <v>0.09</v>
      </c>
      <c r="J91" s="4">
        <f t="shared" si="2"/>
        <v>0</v>
      </c>
    </row>
    <row r="92">
      <c r="I92" s="6">
        <f t="shared" si="4"/>
        <v>0.091</v>
      </c>
      <c r="J92" s="4">
        <f t="shared" si="2"/>
        <v>0</v>
      </c>
    </row>
    <row r="93">
      <c r="I93" s="6">
        <f t="shared" si="4"/>
        <v>0.092</v>
      </c>
      <c r="J93" s="4">
        <f t="shared" si="2"/>
        <v>0</v>
      </c>
    </row>
    <row r="94">
      <c r="I94" s="6">
        <f t="shared" si="4"/>
        <v>0.093</v>
      </c>
      <c r="J94" s="4">
        <f t="shared" si="2"/>
        <v>0</v>
      </c>
    </row>
    <row r="95">
      <c r="I95" s="6">
        <f t="shared" si="4"/>
        <v>0.094</v>
      </c>
      <c r="J95" s="4">
        <f t="shared" si="2"/>
        <v>0</v>
      </c>
    </row>
    <row r="96">
      <c r="I96" s="6">
        <f t="shared" si="4"/>
        <v>0.095</v>
      </c>
      <c r="J96" s="4">
        <f t="shared" si="2"/>
        <v>0</v>
      </c>
    </row>
    <row r="97">
      <c r="I97" s="6">
        <f t="shared" si="4"/>
        <v>0.096</v>
      </c>
      <c r="J97" s="4">
        <f t="shared" si="2"/>
        <v>0</v>
      </c>
    </row>
    <row r="98">
      <c r="I98" s="6">
        <f t="shared" si="4"/>
        <v>0.097</v>
      </c>
      <c r="J98" s="4">
        <f t="shared" si="2"/>
        <v>0</v>
      </c>
    </row>
    <row r="99">
      <c r="I99" s="6">
        <f t="shared" si="4"/>
        <v>0.098</v>
      </c>
      <c r="J99" s="4">
        <f t="shared" si="2"/>
        <v>0</v>
      </c>
    </row>
    <row r="100">
      <c r="I100" s="6">
        <f t="shared" si="4"/>
        <v>0.099</v>
      </c>
      <c r="J100" s="4">
        <f t="shared" si="2"/>
        <v>0</v>
      </c>
    </row>
    <row r="101">
      <c r="I101" s="6">
        <f t="shared" si="4"/>
        <v>0.1</v>
      </c>
      <c r="J101" s="4">
        <f t="shared" si="2"/>
        <v>0</v>
      </c>
    </row>
    <row r="102">
      <c r="I102" s="6">
        <f t="shared" si="4"/>
        <v>0.101</v>
      </c>
      <c r="J102" s="4">
        <f t="shared" si="2"/>
        <v>0</v>
      </c>
    </row>
    <row r="103">
      <c r="I103" s="6">
        <f t="shared" si="4"/>
        <v>0.102</v>
      </c>
      <c r="J103" s="4">
        <f t="shared" si="2"/>
        <v>0</v>
      </c>
    </row>
    <row r="104">
      <c r="I104" s="6">
        <f t="shared" si="4"/>
        <v>0.103</v>
      </c>
      <c r="J104" s="4">
        <f t="shared" si="2"/>
        <v>0</v>
      </c>
    </row>
    <row r="105">
      <c r="I105" s="6">
        <f t="shared" si="4"/>
        <v>0.104</v>
      </c>
      <c r="J105" s="4">
        <f t="shared" si="2"/>
        <v>0</v>
      </c>
    </row>
    <row r="106">
      <c r="I106" s="6">
        <f t="shared" si="4"/>
        <v>0.105</v>
      </c>
      <c r="J106" s="4">
        <f t="shared" si="2"/>
        <v>0</v>
      </c>
    </row>
    <row r="107">
      <c r="I107" s="6">
        <f t="shared" si="4"/>
        <v>0.106</v>
      </c>
      <c r="J107" s="4">
        <f t="shared" si="2"/>
        <v>0</v>
      </c>
    </row>
    <row r="108">
      <c r="I108" s="6">
        <f t="shared" si="4"/>
        <v>0.107</v>
      </c>
      <c r="J108" s="4">
        <f t="shared" si="2"/>
        <v>0</v>
      </c>
    </row>
    <row r="109">
      <c r="I109" s="6">
        <f t="shared" si="4"/>
        <v>0.108</v>
      </c>
      <c r="J109" s="4">
        <f t="shared" si="2"/>
        <v>0</v>
      </c>
    </row>
    <row r="110">
      <c r="I110" s="6">
        <f t="shared" si="4"/>
        <v>0.109</v>
      </c>
      <c r="J110" s="4">
        <f t="shared" si="2"/>
        <v>0</v>
      </c>
    </row>
    <row r="111">
      <c r="I111" s="6">
        <f t="shared" si="4"/>
        <v>0.11</v>
      </c>
      <c r="J111" s="4">
        <f t="shared" si="2"/>
        <v>0</v>
      </c>
    </row>
    <row r="112">
      <c r="I112" s="6">
        <f t="shared" si="4"/>
        <v>0.111</v>
      </c>
      <c r="J112" s="4">
        <f t="shared" si="2"/>
        <v>0</v>
      </c>
    </row>
    <row r="113">
      <c r="I113" s="6">
        <f t="shared" si="4"/>
        <v>0.112</v>
      </c>
      <c r="J113" s="4">
        <f t="shared" si="2"/>
        <v>0</v>
      </c>
    </row>
    <row r="114">
      <c r="I114" s="6">
        <f t="shared" si="4"/>
        <v>0.113</v>
      </c>
      <c r="J114" s="4">
        <f t="shared" si="2"/>
        <v>0</v>
      </c>
    </row>
    <row r="115">
      <c r="I115" s="6">
        <f t="shared" si="4"/>
        <v>0.114</v>
      </c>
      <c r="J115" s="4">
        <f t="shared" si="2"/>
        <v>0</v>
      </c>
    </row>
    <row r="116">
      <c r="I116" s="6">
        <f t="shared" si="4"/>
        <v>0.115</v>
      </c>
      <c r="J116" s="4">
        <f t="shared" si="2"/>
        <v>0</v>
      </c>
    </row>
    <row r="117">
      <c r="I117" s="6">
        <f t="shared" si="4"/>
        <v>0.116</v>
      </c>
      <c r="J117" s="4">
        <f t="shared" si="2"/>
        <v>0</v>
      </c>
    </row>
    <row r="118">
      <c r="I118" s="6">
        <f t="shared" si="4"/>
        <v>0.117</v>
      </c>
      <c r="J118" s="4">
        <f t="shared" si="2"/>
        <v>0.000000001803105374</v>
      </c>
    </row>
    <row r="119">
      <c r="I119" s="6">
        <f t="shared" si="4"/>
        <v>0.118</v>
      </c>
      <c r="J119" s="4">
        <f t="shared" si="2"/>
        <v>0.00000001048601484</v>
      </c>
    </row>
    <row r="120">
      <c r="I120" s="6">
        <f t="shared" si="4"/>
        <v>0.119</v>
      </c>
      <c r="J120" s="4">
        <f t="shared" si="2"/>
        <v>0.00000001911702716</v>
      </c>
    </row>
    <row r="121">
      <c r="I121" s="6">
        <f t="shared" si="4"/>
        <v>0.12</v>
      </c>
      <c r="J121" s="4">
        <f t="shared" si="2"/>
        <v>0.00000002769697598</v>
      </c>
    </row>
    <row r="122">
      <c r="I122" s="6">
        <f t="shared" si="4"/>
        <v>0.121</v>
      </c>
      <c r="J122" s="4">
        <f t="shared" si="2"/>
        <v>0.00000003622667514</v>
      </c>
    </row>
    <row r="123">
      <c r="I123" s="6">
        <f t="shared" si="4"/>
        <v>0.122</v>
      </c>
      <c r="J123" s="4">
        <f t="shared" si="2"/>
        <v>0.00000004470691926</v>
      </c>
    </row>
    <row r="124">
      <c r="I124" s="6">
        <f t="shared" si="4"/>
        <v>0.123</v>
      </c>
      <c r="J124" s="4">
        <f t="shared" si="2"/>
        <v>0.00000005313848438</v>
      </c>
    </row>
    <row r="125">
      <c r="I125" s="6">
        <f t="shared" si="4"/>
        <v>0.124</v>
      </c>
      <c r="J125" s="4">
        <f t="shared" si="2"/>
        <v>0.00000006152212854</v>
      </c>
    </row>
    <row r="126">
      <c r="I126" s="6">
        <f t="shared" si="4"/>
        <v>0.125</v>
      </c>
      <c r="J126" s="4">
        <f t="shared" si="2"/>
        <v>0.00000006985859233</v>
      </c>
    </row>
    <row r="127">
      <c r="I127" s="6">
        <f t="shared" si="4"/>
        <v>0.126</v>
      </c>
      <c r="J127" s="4">
        <f t="shared" si="2"/>
        <v>0.00000007814859947</v>
      </c>
    </row>
    <row r="128">
      <c r="I128" s="6">
        <f t="shared" si="4"/>
        <v>0.127</v>
      </c>
      <c r="J128" s="4">
        <f t="shared" si="2"/>
        <v>0.00000008639285725</v>
      </c>
    </row>
    <row r="129">
      <c r="I129" s="6">
        <f t="shared" si="4"/>
        <v>0.128</v>
      </c>
      <c r="J129" s="4">
        <f t="shared" si="2"/>
        <v>0.00000009459205711</v>
      </c>
    </row>
    <row r="130">
      <c r="I130" s="6">
        <f t="shared" si="4"/>
        <v>0.129</v>
      </c>
      <c r="J130" s="4">
        <f t="shared" si="2"/>
        <v>0.0000001027468751</v>
      </c>
    </row>
    <row r="131">
      <c r="I131" s="6">
        <f t="shared" si="4"/>
        <v>0.13</v>
      </c>
      <c r="J131" s="4">
        <f t="shared" si="2"/>
        <v>0.0000001108579723</v>
      </c>
    </row>
    <row r="132">
      <c r="I132" s="6">
        <f t="shared" si="4"/>
        <v>0.131</v>
      </c>
      <c r="J132" s="4">
        <f t="shared" si="2"/>
        <v>0.0000001189259953</v>
      </c>
    </row>
    <row r="133">
      <c r="I133" s="6">
        <f t="shared" si="4"/>
        <v>0.132</v>
      </c>
      <c r="J133" s="4">
        <f t="shared" si="2"/>
        <v>0.0000001269515766</v>
      </c>
    </row>
    <row r="134">
      <c r="I134" s="6">
        <f t="shared" si="4"/>
        <v>0.133</v>
      </c>
      <c r="J134" s="4">
        <f t="shared" si="2"/>
        <v>0.0000001349353351</v>
      </c>
    </row>
    <row r="135">
      <c r="I135" s="6">
        <f t="shared" si="4"/>
        <v>0.134</v>
      </c>
      <c r="J135" s="4">
        <f t="shared" si="2"/>
        <v>0.0000001428778765</v>
      </c>
    </row>
    <row r="136">
      <c r="I136" s="6">
        <f t="shared" si="4"/>
        <v>0.135</v>
      </c>
      <c r="J136" s="4">
        <f t="shared" si="2"/>
        <v>0.0000001507797934</v>
      </c>
    </row>
    <row r="137">
      <c r="I137" s="6">
        <f t="shared" si="4"/>
        <v>0.136</v>
      </c>
      <c r="J137" s="4">
        <f t="shared" si="2"/>
        <v>0.0000001586416662</v>
      </c>
    </row>
    <row r="138">
      <c r="I138" s="6">
        <f t="shared" si="4"/>
        <v>0.137</v>
      </c>
      <c r="J138" s="4">
        <f t="shared" si="2"/>
        <v>0.0000001664640628</v>
      </c>
    </row>
    <row r="139">
      <c r="I139" s="6">
        <f t="shared" si="4"/>
        <v>0.138</v>
      </c>
      <c r="J139" s="4">
        <f t="shared" si="2"/>
        <v>0.0000001742475396</v>
      </c>
    </row>
    <row r="140">
      <c r="I140" s="6">
        <f t="shared" si="4"/>
        <v>0.139</v>
      </c>
      <c r="J140" s="4">
        <f t="shared" si="2"/>
        <v>0.0000001819926413</v>
      </c>
    </row>
    <row r="141">
      <c r="I141" s="6">
        <f t="shared" si="4"/>
        <v>0.14</v>
      </c>
      <c r="J141" s="4">
        <f t="shared" si="2"/>
        <v>0.0000001896999017</v>
      </c>
    </row>
    <row r="142">
      <c r="I142" s="6">
        <f t="shared" si="4"/>
        <v>0.141</v>
      </c>
      <c r="J142" s="4">
        <f t="shared" si="2"/>
        <v>0.0000001973698435</v>
      </c>
    </row>
    <row r="143">
      <c r="I143" s="6">
        <f t="shared" si="4"/>
        <v>0.142</v>
      </c>
      <c r="J143" s="4">
        <f t="shared" si="2"/>
        <v>0.000000205002979</v>
      </c>
    </row>
    <row r="144">
      <c r="I144" s="6">
        <f t="shared" si="4"/>
        <v>0.143</v>
      </c>
      <c r="J144" s="4">
        <f t="shared" si="2"/>
        <v>0.0000002125998102</v>
      </c>
    </row>
    <row r="145">
      <c r="I145" s="6">
        <f t="shared" si="4"/>
        <v>0.144</v>
      </c>
      <c r="J145" s="4">
        <f t="shared" si="2"/>
        <v>0.000000220160829</v>
      </c>
    </row>
    <row r="146">
      <c r="I146" s="6">
        <f t="shared" si="4"/>
        <v>0.145</v>
      </c>
      <c r="J146" s="4">
        <f t="shared" si="2"/>
        <v>0.0000002276865178</v>
      </c>
    </row>
    <row r="147">
      <c r="I147" s="6">
        <f t="shared" si="4"/>
        <v>0.146</v>
      </c>
      <c r="J147" s="4">
        <f t="shared" si="2"/>
        <v>0.0000002351773494</v>
      </c>
    </row>
    <row r="148">
      <c r="I148" s="6">
        <f t="shared" si="4"/>
        <v>0.147</v>
      </c>
      <c r="J148" s="4">
        <f t="shared" si="2"/>
        <v>0.0000002426337875</v>
      </c>
    </row>
    <row r="149">
      <c r="I149" s="6">
        <f t="shared" si="4"/>
        <v>0.148</v>
      </c>
      <c r="J149" s="4">
        <f t="shared" si="2"/>
        <v>0.0000002500562866</v>
      </c>
    </row>
    <row r="150">
      <c r="I150" s="6">
        <f t="shared" si="4"/>
        <v>0.149</v>
      </c>
      <c r="J150" s="4">
        <f t="shared" si="2"/>
        <v>0.0000002574452928</v>
      </c>
    </row>
    <row r="151">
      <c r="I151" s="6">
        <f t="shared" si="4"/>
        <v>0.15</v>
      </c>
      <c r="J151" s="4">
        <f t="shared" si="2"/>
        <v>0.0000002648012434</v>
      </c>
    </row>
    <row r="152">
      <c r="I152" s="6">
        <f t="shared" si="4"/>
        <v>0.151</v>
      </c>
      <c r="J152" s="4">
        <f t="shared" si="2"/>
        <v>0.0000002721245677</v>
      </c>
    </row>
    <row r="153">
      <c r="I153" s="6">
        <f t="shared" si="4"/>
        <v>0.152</v>
      </c>
      <c r="J153" s="4">
        <f t="shared" si="2"/>
        <v>0.0000002794156866</v>
      </c>
    </row>
    <row r="154">
      <c r="I154" s="6">
        <f t="shared" si="4"/>
        <v>0.153</v>
      </c>
      <c r="J154" s="4">
        <f t="shared" si="2"/>
        <v>0.0000002866750135</v>
      </c>
    </row>
    <row r="155">
      <c r="I155" s="6">
        <f t="shared" si="4"/>
        <v>0.154</v>
      </c>
      <c r="J155" s="4">
        <f t="shared" si="2"/>
        <v>0.0000002939029538</v>
      </c>
    </row>
    <row r="156">
      <c r="I156" s="6">
        <f t="shared" si="4"/>
        <v>0.155</v>
      </c>
      <c r="J156" s="4">
        <f t="shared" si="2"/>
        <v>0.0000003010999057</v>
      </c>
    </row>
    <row r="157">
      <c r="I157" s="6">
        <f t="shared" si="4"/>
        <v>0.156</v>
      </c>
      <c r="J157" s="4">
        <f t="shared" si="2"/>
        <v>0.0000003082662599</v>
      </c>
    </row>
    <row r="158">
      <c r="I158" s="6">
        <f t="shared" si="4"/>
        <v>0.157</v>
      </c>
      <c r="J158" s="4">
        <f t="shared" si="2"/>
        <v>0.0000003154024002</v>
      </c>
    </row>
    <row r="159">
      <c r="I159" s="6">
        <f t="shared" si="4"/>
        <v>0.158</v>
      </c>
      <c r="J159" s="4">
        <f t="shared" si="2"/>
        <v>0.0000003225087032</v>
      </c>
    </row>
    <row r="160">
      <c r="I160" s="6">
        <f t="shared" si="4"/>
        <v>0.159</v>
      </c>
      <c r="J160" s="4">
        <f t="shared" si="2"/>
        <v>0.000000329585539</v>
      </c>
    </row>
    <row r="161">
      <c r="I161" s="6">
        <f t="shared" si="4"/>
        <v>0.16</v>
      </c>
      <c r="J161" s="4">
        <f t="shared" si="2"/>
        <v>0.000000336633271</v>
      </c>
    </row>
    <row r="162">
      <c r="I162" s="6">
        <f t="shared" si="4"/>
        <v>0.161</v>
      </c>
      <c r="J162" s="4">
        <f t="shared" si="2"/>
        <v>0.0000003436522562</v>
      </c>
    </row>
    <row r="163">
      <c r="I163" s="6">
        <f t="shared" si="4"/>
        <v>0.162</v>
      </c>
      <c r="J163" s="4">
        <f t="shared" si="2"/>
        <v>0.0000003506428452</v>
      </c>
    </row>
    <row r="164">
      <c r="I164" s="6">
        <f t="shared" si="4"/>
        <v>0.163</v>
      </c>
      <c r="J164" s="4">
        <f t="shared" si="2"/>
        <v>0.0000003576053825</v>
      </c>
    </row>
    <row r="165">
      <c r="I165" s="6">
        <f t="shared" si="4"/>
        <v>0.164</v>
      </c>
      <c r="J165" s="4">
        <f t="shared" si="2"/>
        <v>0.0000003645402069</v>
      </c>
    </row>
    <row r="166">
      <c r="I166" s="6">
        <f t="shared" si="4"/>
        <v>0.165</v>
      </c>
      <c r="J166" s="4">
        <f t="shared" si="2"/>
        <v>0.0000003714476509</v>
      </c>
    </row>
    <row r="167">
      <c r="I167" s="6">
        <f t="shared" si="4"/>
        <v>0.166</v>
      </c>
      <c r="J167" s="4">
        <f t="shared" si="2"/>
        <v>0.0000003783280416</v>
      </c>
    </row>
    <row r="168">
      <c r="I168" s="6">
        <f t="shared" si="4"/>
        <v>0.167</v>
      </c>
      <c r="J168" s="4">
        <f t="shared" si="2"/>
        <v>0.0000003851817004</v>
      </c>
    </row>
    <row r="169">
      <c r="I169" s="6">
        <f t="shared" si="4"/>
        <v>0.168</v>
      </c>
      <c r="J169" s="4">
        <f t="shared" si="2"/>
        <v>0.0000003920089434</v>
      </c>
    </row>
    <row r="170">
      <c r="I170" s="6">
        <f t="shared" si="4"/>
        <v>0.169</v>
      </c>
      <c r="J170" s="4">
        <f t="shared" si="2"/>
        <v>0.0000003988100812</v>
      </c>
    </row>
    <row r="171">
      <c r="I171" s="6">
        <f t="shared" si="4"/>
        <v>0.17</v>
      </c>
      <c r="J171" s="4">
        <f t="shared" si="2"/>
        <v>0.0000004055854193</v>
      </c>
    </row>
    <row r="172">
      <c r="I172" s="6">
        <f t="shared" si="4"/>
        <v>0.171</v>
      </c>
      <c r="J172" s="4">
        <f t="shared" si="2"/>
        <v>0.0000004123352581</v>
      </c>
    </row>
    <row r="173">
      <c r="I173" s="6">
        <f t="shared" si="4"/>
        <v>0.172</v>
      </c>
      <c r="J173" s="4">
        <f t="shared" si="2"/>
        <v>0.0000004190598931</v>
      </c>
    </row>
    <row r="174">
      <c r="I174" s="6">
        <f t="shared" si="4"/>
        <v>0.173</v>
      </c>
      <c r="J174" s="4">
        <f t="shared" si="2"/>
        <v>0.0000004257596148</v>
      </c>
    </row>
    <row r="175">
      <c r="I175" s="6">
        <f t="shared" si="4"/>
        <v>0.174</v>
      </c>
      <c r="J175" s="4">
        <f t="shared" si="2"/>
        <v>0.0000004324347092</v>
      </c>
    </row>
    <row r="176">
      <c r="I176" s="6">
        <f t="shared" si="4"/>
        <v>0.175</v>
      </c>
      <c r="J176" s="4">
        <f t="shared" si="2"/>
        <v>0.0000004390854574</v>
      </c>
    </row>
    <row r="177">
      <c r="I177" s="6">
        <f t="shared" si="4"/>
        <v>0.176</v>
      </c>
      <c r="J177" s="4">
        <f t="shared" si="2"/>
        <v>0.000000445712136</v>
      </c>
    </row>
    <row r="178">
      <c r="I178" s="6">
        <f t="shared" si="4"/>
        <v>0.177</v>
      </c>
      <c r="J178" s="4">
        <f t="shared" si="2"/>
        <v>0.0000004523150174</v>
      </c>
    </row>
    <row r="179">
      <c r="I179" s="6">
        <f t="shared" si="4"/>
        <v>0.178</v>
      </c>
      <c r="J179" s="4">
        <f t="shared" si="2"/>
        <v>0.0000004588943695</v>
      </c>
    </row>
    <row r="180">
      <c r="I180" s="6">
        <f t="shared" si="4"/>
        <v>0.179</v>
      </c>
      <c r="J180" s="4">
        <f t="shared" si="2"/>
        <v>0.0000004654504558</v>
      </c>
    </row>
    <row r="181">
      <c r="I181" s="6">
        <f t="shared" si="4"/>
        <v>0.18</v>
      </c>
      <c r="J181" s="4">
        <f t="shared" si="2"/>
        <v>0.000000471983536</v>
      </c>
    </row>
    <row r="182">
      <c r="I182" s="6">
        <f t="shared" si="4"/>
        <v>0.181</v>
      </c>
      <c r="J182" s="4">
        <f t="shared" si="2"/>
        <v>0.0000004784938655</v>
      </c>
    </row>
    <row r="183">
      <c r="I183" s="6">
        <f t="shared" si="4"/>
        <v>0.182</v>
      </c>
      <c r="J183" s="4">
        <f t="shared" si="2"/>
        <v>0.0000004849816957</v>
      </c>
    </row>
    <row r="184">
      <c r="I184" s="6">
        <f t="shared" si="4"/>
        <v>0.183</v>
      </c>
      <c r="J184" s="4">
        <f t="shared" si="2"/>
        <v>0.0000004914472743</v>
      </c>
    </row>
    <row r="185">
      <c r="I185" s="6">
        <f t="shared" si="4"/>
        <v>0.184</v>
      </c>
      <c r="J185" s="4">
        <f t="shared" si="2"/>
        <v>0.0000004978908449</v>
      </c>
    </row>
    <row r="186">
      <c r="I186" s="6">
        <f t="shared" si="4"/>
        <v>0.185</v>
      </c>
      <c r="J186" s="4">
        <f t="shared" si="2"/>
        <v>0.0000005043126478</v>
      </c>
    </row>
    <row r="187">
      <c r="I187" s="6">
        <f t="shared" si="4"/>
        <v>0.186</v>
      </c>
      <c r="J187" s="4">
        <f t="shared" si="2"/>
        <v>0.0000005107129193</v>
      </c>
    </row>
    <row r="188">
      <c r="I188" s="6">
        <f t="shared" si="4"/>
        <v>0.187</v>
      </c>
      <c r="J188" s="4">
        <f t="shared" si="2"/>
        <v>0.0000005170918922</v>
      </c>
    </row>
    <row r="189">
      <c r="I189" s="6">
        <f t="shared" si="4"/>
        <v>0.188</v>
      </c>
      <c r="J189" s="4">
        <f t="shared" si="2"/>
        <v>0.0000005234497958</v>
      </c>
    </row>
    <row r="190">
      <c r="I190" s="6">
        <f t="shared" si="4"/>
        <v>0.189</v>
      </c>
      <c r="J190" s="4">
        <f t="shared" si="2"/>
        <v>0.0000005297868561</v>
      </c>
    </row>
    <row r="191">
      <c r="I191" s="6">
        <f t="shared" si="4"/>
        <v>0.19</v>
      </c>
      <c r="J191" s="4">
        <f t="shared" si="2"/>
        <v>0.0000005361032956</v>
      </c>
    </row>
    <row r="192">
      <c r="I192" s="6">
        <f t="shared" si="4"/>
        <v>0.191</v>
      </c>
      <c r="J192" s="4">
        <f t="shared" si="2"/>
        <v>0.0000005423993336</v>
      </c>
    </row>
    <row r="193">
      <c r="I193" s="6">
        <f t="shared" si="4"/>
        <v>0.192</v>
      </c>
      <c r="J193" s="4">
        <f t="shared" si="2"/>
        <v>0.0000005486751861</v>
      </c>
    </row>
    <row r="194">
      <c r="I194" s="6">
        <f t="shared" si="4"/>
        <v>0.193</v>
      </c>
      <c r="J194" s="4">
        <f t="shared" si="2"/>
        <v>0.000000554931066</v>
      </c>
    </row>
    <row r="195">
      <c r="I195" s="6">
        <f t="shared" si="4"/>
        <v>0.194</v>
      </c>
      <c r="J195" s="4">
        <f t="shared" si="2"/>
        <v>0.0000005611671831</v>
      </c>
    </row>
    <row r="196">
      <c r="I196" s="6">
        <f t="shared" si="4"/>
        <v>0.195</v>
      </c>
      <c r="J196" s="4">
        <f t="shared" si="2"/>
        <v>0.0000005673837441</v>
      </c>
    </row>
    <row r="197">
      <c r="I197" s="6">
        <f t="shared" si="4"/>
        <v>0.196</v>
      </c>
      <c r="J197" s="4">
        <f t="shared" si="2"/>
        <v>0.000000573580953</v>
      </c>
    </row>
    <row r="198">
      <c r="I198" s="6">
        <f t="shared" si="4"/>
        <v>0.197</v>
      </c>
      <c r="J198" s="4">
        <f t="shared" si="2"/>
        <v>0.0000005797590105</v>
      </c>
    </row>
    <row r="199">
      <c r="I199" s="6">
        <f t="shared" si="4"/>
        <v>0.198</v>
      </c>
      <c r="J199" s="4">
        <f t="shared" si="2"/>
        <v>0.0000005859181146</v>
      </c>
    </row>
    <row r="200">
      <c r="I200" s="6">
        <f t="shared" si="4"/>
        <v>0.199</v>
      </c>
      <c r="J200" s="4">
        <f t="shared" si="2"/>
        <v>0.0000005920584607</v>
      </c>
    </row>
    <row r="201">
      <c r="I201" s="6">
        <f t="shared" si="4"/>
        <v>0.2</v>
      </c>
      <c r="J201" s="4">
        <f t="shared" si="2"/>
        <v>0.0000005981802412</v>
      </c>
    </row>
    <row r="202">
      <c r="I202" s="6">
        <f t="shared" si="4"/>
        <v>0.201</v>
      </c>
      <c r="J202" s="4">
        <f t="shared" si="2"/>
        <v>0.0000006042836458</v>
      </c>
    </row>
    <row r="203">
      <c r="I203" s="6">
        <f t="shared" si="4"/>
        <v>0.202</v>
      </c>
      <c r="J203" s="4">
        <f t="shared" si="2"/>
        <v>0.0000006103688619</v>
      </c>
    </row>
    <row r="204">
      <c r="I204" s="6">
        <f t="shared" si="4"/>
        <v>0.203</v>
      </c>
      <c r="J204" s="4">
        <f t="shared" si="2"/>
        <v>0.0000006164360739</v>
      </c>
    </row>
    <row r="205">
      <c r="I205" s="6">
        <f t="shared" si="4"/>
        <v>0.204</v>
      </c>
      <c r="J205" s="4">
        <f t="shared" si="2"/>
        <v>0.0000006224854638</v>
      </c>
    </row>
    <row r="206">
      <c r="I206" s="6">
        <f t="shared" si="4"/>
        <v>0.205</v>
      </c>
      <c r="J206" s="4">
        <f t="shared" si="2"/>
        <v>0.0000006285172113</v>
      </c>
    </row>
    <row r="207">
      <c r="I207" s="6">
        <f t="shared" si="4"/>
        <v>0.206</v>
      </c>
      <c r="J207" s="4">
        <f t="shared" si="2"/>
        <v>0.0000006345314934</v>
      </c>
    </row>
    <row r="208">
      <c r="I208" s="6">
        <f t="shared" si="4"/>
        <v>0.207</v>
      </c>
      <c r="J208" s="4">
        <f t="shared" si="2"/>
        <v>0.0000006405284849</v>
      </c>
    </row>
    <row r="209">
      <c r="I209" s="6">
        <f t="shared" si="4"/>
        <v>0.208</v>
      </c>
      <c r="J209" s="4">
        <f t="shared" si="2"/>
        <v>0.0000006465083581</v>
      </c>
    </row>
    <row r="210">
      <c r="I210" s="6">
        <f t="shared" si="4"/>
        <v>0.209</v>
      </c>
      <c r="J210" s="4">
        <f t="shared" si="2"/>
        <v>0.000000652471283</v>
      </c>
    </row>
    <row r="211">
      <c r="I211" s="6">
        <f t="shared" si="4"/>
        <v>0.21</v>
      </c>
      <c r="J211" s="4">
        <f t="shared" si="2"/>
        <v>0.0000006584174275</v>
      </c>
    </row>
    <row r="212">
      <c r="I212" s="6">
        <f t="shared" si="4"/>
        <v>0.211</v>
      </c>
      <c r="J212" s="4">
        <f t="shared" si="2"/>
        <v>0.0000006643469571</v>
      </c>
    </row>
    <row r="213">
      <c r="I213" s="6">
        <f t="shared" si="4"/>
        <v>0.212</v>
      </c>
      <c r="J213" s="4">
        <f t="shared" si="2"/>
        <v>0.0000006702600353</v>
      </c>
    </row>
    <row r="214">
      <c r="I214" s="6">
        <f t="shared" si="4"/>
        <v>0.213</v>
      </c>
      <c r="J214" s="4">
        <f t="shared" si="2"/>
        <v>0.0000006761568231</v>
      </c>
    </row>
    <row r="215">
      <c r="I215" s="6">
        <f t="shared" si="4"/>
        <v>0.214</v>
      </c>
      <c r="J215" s="4">
        <f t="shared" si="2"/>
        <v>0.0000006820374799</v>
      </c>
    </row>
    <row r="216">
      <c r="I216" s="6">
        <f t="shared" si="4"/>
        <v>0.215</v>
      </c>
      <c r="J216" s="4">
        <f t="shared" si="2"/>
        <v>0.0000006879021627</v>
      </c>
    </row>
    <row r="217">
      <c r="I217" s="6">
        <f t="shared" si="4"/>
        <v>0.216</v>
      </c>
      <c r="J217" s="4">
        <f t="shared" si="2"/>
        <v>0.0000006937510265</v>
      </c>
    </row>
    <row r="218">
      <c r="I218" s="6">
        <f t="shared" si="4"/>
        <v>0.217</v>
      </c>
      <c r="J218" s="4">
        <f t="shared" si="2"/>
        <v>0.0000006995842244</v>
      </c>
    </row>
    <row r="219">
      <c r="I219" s="6">
        <f t="shared" si="4"/>
        <v>0.218</v>
      </c>
      <c r="J219" s="4">
        <f t="shared" si="2"/>
        <v>0.0000007054019076</v>
      </c>
    </row>
    <row r="220">
      <c r="I220" s="6">
        <f t="shared" si="4"/>
        <v>0.219</v>
      </c>
      <c r="J220" s="4">
        <f t="shared" si="2"/>
        <v>0.0000007112042251</v>
      </c>
    </row>
    <row r="221">
      <c r="I221" s="6">
        <f t="shared" si="4"/>
        <v>0.22</v>
      </c>
      <c r="J221" s="4">
        <f t="shared" si="2"/>
        <v>0.0000007169913244</v>
      </c>
    </row>
    <row r="222">
      <c r="I222" s="6">
        <f t="shared" si="4"/>
        <v>0.221</v>
      </c>
      <c r="J222" s="4">
        <f t="shared" si="2"/>
        <v>0.0000007227633508</v>
      </c>
    </row>
    <row r="223">
      <c r="I223" s="6">
        <f t="shared" si="4"/>
        <v>0.222</v>
      </c>
      <c r="J223" s="4">
        <f t="shared" si="2"/>
        <v>0.0000007285204481</v>
      </c>
    </row>
    <row r="224">
      <c r="I224" s="6">
        <f t="shared" si="4"/>
        <v>0.223</v>
      </c>
      <c r="J224" s="4">
        <f t="shared" si="2"/>
        <v>0.000000734262758</v>
      </c>
    </row>
    <row r="225">
      <c r="I225" s="6">
        <f t="shared" si="4"/>
        <v>0.224</v>
      </c>
      <c r="J225" s="4">
        <f t="shared" si="2"/>
        <v>0.0000007399904207</v>
      </c>
    </row>
    <row r="226">
      <c r="I226" s="6">
        <f t="shared" si="4"/>
        <v>0.225</v>
      </c>
      <c r="J226" s="4">
        <f t="shared" si="2"/>
        <v>0.0000007457035745</v>
      </c>
    </row>
    <row r="227">
      <c r="I227" s="6">
        <f t="shared" si="4"/>
        <v>0.226</v>
      </c>
      <c r="J227" s="4">
        <f t="shared" si="2"/>
        <v>0.0000007514023561</v>
      </c>
    </row>
    <row r="228">
      <c r="I228" s="6">
        <f t="shared" si="4"/>
        <v>0.227</v>
      </c>
      <c r="J228" s="4">
        <f t="shared" si="2"/>
        <v>0.0000007570869006</v>
      </c>
    </row>
    <row r="229">
      <c r="I229" s="6">
        <f t="shared" si="4"/>
        <v>0.228</v>
      </c>
      <c r="J229" s="4">
        <f t="shared" si="2"/>
        <v>0.0000007627573413</v>
      </c>
    </row>
    <row r="230">
      <c r="I230" s="6">
        <f t="shared" si="4"/>
        <v>0.229</v>
      </c>
      <c r="J230" s="4">
        <f t="shared" si="2"/>
        <v>0.0000007684138099</v>
      </c>
    </row>
    <row r="231">
      <c r="I231" s="6">
        <f t="shared" si="4"/>
        <v>0.23</v>
      </c>
      <c r="J231" s="4">
        <f t="shared" si="2"/>
        <v>0.0000007740564366</v>
      </c>
    </row>
    <row r="232">
      <c r="I232" s="6">
        <f t="shared" si="4"/>
        <v>0.231</v>
      </c>
      <c r="J232" s="4">
        <f t="shared" si="2"/>
        <v>0.0000007796853502</v>
      </c>
    </row>
    <row r="233">
      <c r="I233" s="6">
        <f t="shared" si="4"/>
        <v>0.232</v>
      </c>
      <c r="J233" s="4">
        <f t="shared" si="2"/>
        <v>0.0000007853006776</v>
      </c>
    </row>
    <row r="234">
      <c r="I234" s="6">
        <f t="shared" si="4"/>
        <v>0.233</v>
      </c>
      <c r="J234" s="4">
        <f t="shared" si="2"/>
        <v>0.0000007909025445</v>
      </c>
    </row>
    <row r="235">
      <c r="I235" s="6">
        <f t="shared" si="4"/>
        <v>0.234</v>
      </c>
      <c r="J235" s="4">
        <f t="shared" si="2"/>
        <v>0.000000796491075</v>
      </c>
    </row>
    <row r="236">
      <c r="I236" s="6">
        <f t="shared" si="4"/>
        <v>0.235</v>
      </c>
      <c r="J236" s="4">
        <f t="shared" si="2"/>
        <v>0.0000008020663918</v>
      </c>
    </row>
    <row r="237">
      <c r="I237" s="6">
        <f t="shared" si="4"/>
        <v>0.236</v>
      </c>
      <c r="J237" s="4">
        <f t="shared" si="2"/>
        <v>0.000000807628616</v>
      </c>
    </row>
    <row r="238">
      <c r="I238" s="6">
        <f t="shared" si="4"/>
        <v>0.237</v>
      </c>
      <c r="J238" s="4">
        <f t="shared" si="2"/>
        <v>0.0000008131778676</v>
      </c>
    </row>
    <row r="239">
      <c r="I239" s="6">
        <f t="shared" si="4"/>
        <v>0.238</v>
      </c>
      <c r="J239" s="4">
        <f t="shared" si="2"/>
        <v>0.000000818714265</v>
      </c>
    </row>
    <row r="240">
      <c r="I240" s="6">
        <f t="shared" si="4"/>
        <v>0.239</v>
      </c>
      <c r="J240" s="4">
        <f t="shared" si="2"/>
        <v>0.0000008242379253</v>
      </c>
    </row>
    <row r="241">
      <c r="I241" s="6">
        <f t="shared" si="4"/>
        <v>0.24</v>
      </c>
      <c r="J241" s="4">
        <f t="shared" si="2"/>
        <v>0.0000008297489642</v>
      </c>
    </row>
    <row r="242">
      <c r="I242" s="6">
        <f t="shared" si="4"/>
        <v>0.241</v>
      </c>
      <c r="J242" s="4">
        <f t="shared" si="2"/>
        <v>0.0000008352474962</v>
      </c>
    </row>
    <row r="243">
      <c r="I243" s="6">
        <f t="shared" si="4"/>
        <v>0.242</v>
      </c>
      <c r="J243" s="4">
        <f t="shared" si="2"/>
        <v>0.0000008407336344</v>
      </c>
    </row>
    <row r="244">
      <c r="I244" s="6">
        <f t="shared" si="4"/>
        <v>0.243</v>
      </c>
      <c r="J244" s="4">
        <f t="shared" si="2"/>
        <v>0.0000008462074907</v>
      </c>
    </row>
    <row r="245">
      <c r="I245" s="6">
        <f t="shared" si="4"/>
        <v>0.244</v>
      </c>
      <c r="J245" s="4">
        <f t="shared" si="2"/>
        <v>0.0000008516691758</v>
      </c>
    </row>
    <row r="246">
      <c r="I246" s="6">
        <f t="shared" si="4"/>
        <v>0.245</v>
      </c>
      <c r="J246" s="4">
        <f t="shared" si="2"/>
        <v>0.000000857118799</v>
      </c>
    </row>
    <row r="247">
      <c r="I247" s="6">
        <f t="shared" si="4"/>
        <v>0.246</v>
      </c>
      <c r="J247" s="4">
        <f t="shared" si="2"/>
        <v>0.0000008625564686</v>
      </c>
    </row>
    <row r="248">
      <c r="I248" s="6">
        <f t="shared" si="4"/>
        <v>0.247</v>
      </c>
      <c r="J248" s="4">
        <f t="shared" si="2"/>
        <v>0.0000008679822914</v>
      </c>
    </row>
    <row r="249">
      <c r="I249" s="6">
        <f t="shared" si="4"/>
        <v>0.248</v>
      </c>
      <c r="J249" s="4">
        <f t="shared" si="2"/>
        <v>0.0000008733963734</v>
      </c>
    </row>
    <row r="250">
      <c r="I250" s="6">
        <f t="shared" si="4"/>
        <v>0.249</v>
      </c>
      <c r="J250" s="4">
        <f t="shared" si="2"/>
        <v>0.0000008787988191</v>
      </c>
    </row>
    <row r="251">
      <c r="I251" s="6">
        <f t="shared" si="4"/>
        <v>0.25</v>
      </c>
      <c r="J251" s="4">
        <f t="shared" si="2"/>
        <v>0.0000008841897322</v>
      </c>
    </row>
    <row r="252">
      <c r="I252" s="6">
        <f t="shared" si="4"/>
        <v>0.251</v>
      </c>
      <c r="J252" s="4">
        <f t="shared" si="2"/>
        <v>0.0000008895692149</v>
      </c>
    </row>
    <row r="253">
      <c r="I253" s="6">
        <f t="shared" si="4"/>
        <v>0.252</v>
      </c>
      <c r="J253" s="4">
        <f t="shared" si="2"/>
        <v>0.0000008949373687</v>
      </c>
    </row>
    <row r="254">
      <c r="I254" s="6">
        <f t="shared" si="4"/>
        <v>0.253</v>
      </c>
      <c r="J254" s="4">
        <f t="shared" si="2"/>
        <v>0.0000009002942937</v>
      </c>
    </row>
    <row r="255">
      <c r="I255" s="6">
        <f t="shared" si="4"/>
        <v>0.254</v>
      </c>
      <c r="J255" s="4">
        <f t="shared" si="2"/>
        <v>0.0000009056400891</v>
      </c>
    </row>
    <row r="256">
      <c r="I256" s="6">
        <f t="shared" si="4"/>
        <v>0.255</v>
      </c>
      <c r="J256" s="4">
        <f t="shared" si="2"/>
        <v>0.000000910974853</v>
      </c>
    </row>
    <row r="257">
      <c r="I257" s="6">
        <f t="shared" si="4"/>
        <v>0.256</v>
      </c>
      <c r="J257" s="4">
        <f t="shared" si="2"/>
        <v>0.0000009162986824</v>
      </c>
    </row>
    <row r="258">
      <c r="I258" s="6">
        <f t="shared" si="4"/>
        <v>0.257</v>
      </c>
      <c r="J258" s="4">
        <f t="shared" si="2"/>
        <v>0.0000009216116734</v>
      </c>
    </row>
    <row r="259">
      <c r="I259" s="6">
        <f t="shared" si="4"/>
        <v>0.258</v>
      </c>
      <c r="J259" s="4">
        <f t="shared" si="2"/>
        <v>0.0000009269139211</v>
      </c>
    </row>
    <row r="260">
      <c r="I260" s="6">
        <f t="shared" si="4"/>
        <v>0.259</v>
      </c>
      <c r="J260" s="4">
        <f t="shared" si="2"/>
        <v>0.0000009322055195</v>
      </c>
    </row>
    <row r="261">
      <c r="I261" s="6">
        <f t="shared" si="4"/>
        <v>0.26</v>
      </c>
      <c r="J261" s="4">
        <f t="shared" si="2"/>
        <v>0.0000009374865617</v>
      </c>
    </row>
    <row r="262">
      <c r="I262" s="6">
        <f t="shared" si="4"/>
        <v>0.261</v>
      </c>
      <c r="J262" s="4">
        <f t="shared" si="2"/>
        <v>0.0000009427571398</v>
      </c>
    </row>
    <row r="263">
      <c r="I263" s="6">
        <f t="shared" si="4"/>
        <v>0.262</v>
      </c>
      <c r="J263" s="4">
        <f t="shared" si="2"/>
        <v>0.000000948017345</v>
      </c>
    </row>
    <row r="264">
      <c r="I264" s="6">
        <f t="shared" si="4"/>
        <v>0.263</v>
      </c>
      <c r="J264" s="4">
        <f t="shared" si="2"/>
        <v>0.0000009532672676</v>
      </c>
    </row>
    <row r="265">
      <c r="I265" s="6">
        <f t="shared" si="4"/>
        <v>0.264</v>
      </c>
      <c r="J265" s="4">
        <f t="shared" si="2"/>
        <v>0.0000009585069968</v>
      </c>
    </row>
    <row r="266">
      <c r="I266" s="6">
        <f t="shared" si="4"/>
        <v>0.265</v>
      </c>
      <c r="J266" s="4">
        <f t="shared" si="2"/>
        <v>0.0000009637366212</v>
      </c>
    </row>
    <row r="267">
      <c r="I267" s="6">
        <f t="shared" si="4"/>
        <v>0.266</v>
      </c>
      <c r="J267" s="4">
        <f t="shared" si="2"/>
        <v>0.0000009689562283</v>
      </c>
    </row>
    <row r="268">
      <c r="I268" s="6">
        <f t="shared" si="4"/>
        <v>0.267</v>
      </c>
      <c r="J268" s="4">
        <f t="shared" si="2"/>
        <v>0.0000009741659048</v>
      </c>
    </row>
    <row r="269">
      <c r="I269" s="6">
        <f t="shared" si="4"/>
        <v>0.268</v>
      </c>
      <c r="J269" s="4">
        <f t="shared" si="2"/>
        <v>0.0000009793657365</v>
      </c>
    </row>
    <row r="270">
      <c r="I270" s="6">
        <f t="shared" si="4"/>
        <v>0.269</v>
      </c>
      <c r="J270" s="4">
        <f t="shared" si="2"/>
        <v>0.0000009845558083</v>
      </c>
    </row>
    <row r="271">
      <c r="I271" s="6">
        <f t="shared" si="4"/>
        <v>0.27</v>
      </c>
      <c r="J271" s="4">
        <f t="shared" si="2"/>
        <v>0.0000009897362043</v>
      </c>
    </row>
    <row r="272">
      <c r="I272" s="6">
        <f t="shared" si="4"/>
        <v>0.271</v>
      </c>
      <c r="J272" s="4">
        <f t="shared" si="2"/>
        <v>0.000000994907008</v>
      </c>
    </row>
    <row r="273">
      <c r="I273" s="6">
        <f t="shared" si="4"/>
        <v>0.272</v>
      </c>
      <c r="J273" s="4">
        <f t="shared" si="2"/>
        <v>0.000001000068302</v>
      </c>
    </row>
    <row r="274">
      <c r="I274" s="6">
        <f t="shared" si="4"/>
        <v>0.273</v>
      </c>
      <c r="J274" s="4">
        <f t="shared" si="2"/>
        <v>0.000001005220167</v>
      </c>
    </row>
    <row r="275">
      <c r="I275" s="6">
        <f t="shared" si="4"/>
        <v>0.274</v>
      </c>
      <c r="J275" s="4">
        <f t="shared" si="2"/>
        <v>0.000001010362686</v>
      </c>
    </row>
    <row r="276">
      <c r="I276" s="6">
        <f t="shared" si="4"/>
        <v>0.275</v>
      </c>
      <c r="J276" s="4">
        <f t="shared" si="2"/>
        <v>0.000001015495937</v>
      </c>
    </row>
    <row r="277">
      <c r="I277" s="6">
        <f t="shared" si="4"/>
        <v>0.276</v>
      </c>
      <c r="J277" s="4">
        <f t="shared" si="2"/>
        <v>0.00000102062</v>
      </c>
    </row>
    <row r="278">
      <c r="I278" s="6">
        <f t="shared" si="4"/>
        <v>0.277</v>
      </c>
      <c r="J278" s="4">
        <f t="shared" si="2"/>
        <v>0.000001025734954</v>
      </c>
    </row>
    <row r="279">
      <c r="I279" s="6">
        <f t="shared" si="4"/>
        <v>0.278</v>
      </c>
      <c r="J279" s="4">
        <f t="shared" si="2"/>
        <v>0.000001030840876</v>
      </c>
    </row>
    <row r="280">
      <c r="I280" s="6">
        <f t="shared" si="4"/>
        <v>0.279</v>
      </c>
      <c r="J280" s="4">
        <f t="shared" si="2"/>
        <v>0.000001035937845</v>
      </c>
    </row>
    <row r="281">
      <c r="I281" s="6">
        <f t="shared" si="4"/>
        <v>0.28</v>
      </c>
      <c r="J281" s="4">
        <f t="shared" si="2"/>
        <v>0.000001041025935</v>
      </c>
    </row>
    <row r="282">
      <c r="I282" s="6">
        <f t="shared" si="4"/>
        <v>0.281</v>
      </c>
      <c r="J282" s="4">
        <f t="shared" si="2"/>
        <v>0.000001046105224</v>
      </c>
    </row>
    <row r="283">
      <c r="I283" s="6">
        <f t="shared" si="4"/>
        <v>0.282</v>
      </c>
      <c r="J283" s="4">
        <f t="shared" si="2"/>
        <v>0.000001051175785</v>
      </c>
    </row>
    <row r="284">
      <c r="I284" s="6">
        <f t="shared" si="4"/>
        <v>0.283</v>
      </c>
      <c r="J284" s="4">
        <f t="shared" si="2"/>
        <v>0.000001056237694</v>
      </c>
    </row>
    <row r="285">
      <c r="I285" s="6">
        <f t="shared" si="4"/>
        <v>0.284</v>
      </c>
      <c r="J285" s="4">
        <f t="shared" si="2"/>
        <v>0.000001061291023</v>
      </c>
    </row>
    <row r="286">
      <c r="I286" s="6">
        <f t="shared" si="4"/>
        <v>0.285</v>
      </c>
      <c r="J286" s="4">
        <f t="shared" si="2"/>
        <v>0.000001066335846</v>
      </c>
    </row>
    <row r="287">
      <c r="I287" s="6">
        <f t="shared" si="4"/>
        <v>0.286</v>
      </c>
      <c r="J287" s="4">
        <f t="shared" si="2"/>
        <v>0.000001071372235</v>
      </c>
    </row>
    <row r="288">
      <c r="I288" s="6">
        <f t="shared" si="4"/>
        <v>0.287</v>
      </c>
      <c r="J288" s="4">
        <f t="shared" si="2"/>
        <v>0.000001076400262</v>
      </c>
    </row>
    <row r="289">
      <c r="I289" s="6">
        <f t="shared" si="4"/>
        <v>0.288</v>
      </c>
      <c r="J289" s="4">
        <f t="shared" si="2"/>
        <v>0.000001081419998</v>
      </c>
    </row>
    <row r="290">
      <c r="I290" s="6">
        <f t="shared" si="4"/>
        <v>0.289</v>
      </c>
      <c r="J290" s="4">
        <f t="shared" si="2"/>
        <v>0.000001086431512</v>
      </c>
    </row>
    <row r="291">
      <c r="I291" s="6">
        <f t="shared" si="4"/>
        <v>0.29</v>
      </c>
      <c r="J291" s="4">
        <f t="shared" si="2"/>
        <v>0.000001091434875</v>
      </c>
    </row>
    <row r="292">
      <c r="I292" s="6">
        <f t="shared" si="4"/>
        <v>0.291</v>
      </c>
      <c r="J292" s="4">
        <f t="shared" si="2"/>
        <v>0.000001096430156</v>
      </c>
    </row>
    <row r="293">
      <c r="I293" s="6">
        <f t="shared" si="4"/>
        <v>0.292</v>
      </c>
      <c r="J293" s="4">
        <f t="shared" si="2"/>
        <v>0.000001101417424</v>
      </c>
    </row>
    <row r="294">
      <c r="I294" s="6">
        <f t="shared" si="4"/>
        <v>0.293</v>
      </c>
      <c r="J294" s="4">
        <f t="shared" si="2"/>
        <v>0.000001106396745</v>
      </c>
    </row>
    <row r="295">
      <c r="I295" s="6">
        <f t="shared" si="4"/>
        <v>0.294</v>
      </c>
      <c r="J295" s="4">
        <f t="shared" si="2"/>
        <v>0.000001111368188</v>
      </c>
    </row>
    <row r="296">
      <c r="I296" s="6">
        <f t="shared" si="4"/>
        <v>0.295</v>
      </c>
      <c r="J296" s="4">
        <f t="shared" si="2"/>
        <v>0.00000111633182</v>
      </c>
    </row>
    <row r="297">
      <c r="I297" s="6">
        <f t="shared" si="4"/>
        <v>0.296</v>
      </c>
      <c r="J297" s="4">
        <f t="shared" si="2"/>
        <v>0.000001121287705</v>
      </c>
    </row>
    <row r="298">
      <c r="I298" s="6">
        <f t="shared" si="4"/>
        <v>0.297</v>
      </c>
      <c r="J298" s="4">
        <f t="shared" si="2"/>
        <v>0.000001126235911</v>
      </c>
    </row>
    <row r="299">
      <c r="I299" s="6">
        <f t="shared" si="4"/>
        <v>0.298</v>
      </c>
      <c r="J299" s="4">
        <f t="shared" si="2"/>
        <v>0.000001131176502</v>
      </c>
    </row>
    <row r="300">
      <c r="I300" s="6">
        <f t="shared" si="4"/>
        <v>0.299</v>
      </c>
      <c r="J300" s="4">
        <f t="shared" si="2"/>
        <v>0.000001136109542</v>
      </c>
    </row>
    <row r="301">
      <c r="I301" s="6">
        <f t="shared" si="4"/>
        <v>0.3</v>
      </c>
      <c r="J301" s="4">
        <f t="shared" si="2"/>
        <v>0.000001141035095</v>
      </c>
    </row>
    <row r="302">
      <c r="I302" s="6">
        <f t="shared" si="4"/>
        <v>0.301</v>
      </c>
      <c r="J302" s="4">
        <f t="shared" si="2"/>
        <v>0.000001145953225</v>
      </c>
    </row>
    <row r="303">
      <c r="I303" s="6">
        <f t="shared" si="4"/>
        <v>0.302</v>
      </c>
      <c r="J303" s="4">
        <f t="shared" si="2"/>
        <v>0.000001150863995</v>
      </c>
    </row>
    <row r="304">
      <c r="I304" s="6">
        <f t="shared" si="4"/>
        <v>0.303</v>
      </c>
      <c r="J304" s="4">
        <f t="shared" si="2"/>
        <v>0.000001155767466</v>
      </c>
    </row>
    <row r="305">
      <c r="I305" s="6">
        <f t="shared" si="4"/>
        <v>0.304</v>
      </c>
      <c r="J305" s="4">
        <f t="shared" si="2"/>
        <v>0.000001160663701</v>
      </c>
    </row>
    <row r="306">
      <c r="I306" s="6">
        <f t="shared" si="4"/>
        <v>0.305</v>
      </c>
      <c r="J306" s="4">
        <f t="shared" si="2"/>
        <v>0.000001165552761</v>
      </c>
    </row>
    <row r="307">
      <c r="I307" s="6">
        <f t="shared" si="4"/>
        <v>0.306</v>
      </c>
      <c r="J307" s="4">
        <f t="shared" si="2"/>
        <v>0.000001170434707</v>
      </c>
    </row>
    <row r="308">
      <c r="I308" s="6">
        <f t="shared" si="4"/>
        <v>0.307</v>
      </c>
      <c r="J308" s="4">
        <f t="shared" si="2"/>
        <v>0.000001175309599</v>
      </c>
    </row>
    <row r="309">
      <c r="I309" s="6">
        <f t="shared" si="4"/>
        <v>0.308</v>
      </c>
      <c r="J309" s="4">
        <f t="shared" si="2"/>
        <v>0.000001180177497</v>
      </c>
    </row>
    <row r="310">
      <c r="I310" s="6">
        <f t="shared" si="4"/>
        <v>0.309</v>
      </c>
      <c r="J310" s="4">
        <f t="shared" si="2"/>
        <v>0.00000118503846</v>
      </c>
    </row>
    <row r="311">
      <c r="I311" s="6">
        <f t="shared" si="4"/>
        <v>0.31</v>
      </c>
      <c r="J311" s="4">
        <f t="shared" si="2"/>
        <v>0.000001189892546</v>
      </c>
    </row>
    <row r="312">
      <c r="I312" s="6">
        <f t="shared" si="4"/>
        <v>0.311</v>
      </c>
      <c r="J312" s="4">
        <f t="shared" si="2"/>
        <v>0.000001194739816</v>
      </c>
    </row>
    <row r="313">
      <c r="I313" s="6">
        <f t="shared" si="4"/>
        <v>0.312</v>
      </c>
      <c r="J313" s="4">
        <f t="shared" si="2"/>
        <v>0.000001199580325</v>
      </c>
    </row>
    <row r="314">
      <c r="I314" s="6">
        <f t="shared" si="4"/>
        <v>0.313</v>
      </c>
      <c r="J314" s="4">
        <f t="shared" si="2"/>
        <v>0.000001204414132</v>
      </c>
    </row>
    <row r="315">
      <c r="I315" s="6">
        <f t="shared" si="4"/>
        <v>0.314</v>
      </c>
      <c r="J315" s="4">
        <f t="shared" si="2"/>
        <v>0.000001209241294</v>
      </c>
    </row>
    <row r="316">
      <c r="I316" s="6">
        <f t="shared" si="4"/>
        <v>0.315</v>
      </c>
      <c r="J316" s="4">
        <f t="shared" si="2"/>
        <v>0.000001214061867</v>
      </c>
    </row>
    <row r="317">
      <c r="I317" s="6">
        <f t="shared" si="4"/>
        <v>0.316</v>
      </c>
      <c r="J317" s="4">
        <f t="shared" si="2"/>
        <v>0.000001218875908</v>
      </c>
    </row>
    <row r="318">
      <c r="I318" s="6">
        <f t="shared" si="4"/>
        <v>0.317</v>
      </c>
      <c r="J318" s="4">
        <f t="shared" si="2"/>
        <v>0.000001223683471</v>
      </c>
    </row>
    <row r="319">
      <c r="I319" s="6">
        <f t="shared" si="4"/>
        <v>0.318</v>
      </c>
      <c r="J319" s="4">
        <f t="shared" si="2"/>
        <v>0.000001228484613</v>
      </c>
    </row>
    <row r="320">
      <c r="I320" s="6">
        <f t="shared" si="4"/>
        <v>0.319</v>
      </c>
      <c r="J320" s="4">
        <f t="shared" si="2"/>
        <v>0.000001233279388</v>
      </c>
    </row>
    <row r="321">
      <c r="I321" s="6">
        <f t="shared" si="4"/>
        <v>0.32</v>
      </c>
      <c r="J321" s="4">
        <f t="shared" si="2"/>
        <v>0.000001238067851</v>
      </c>
    </row>
    <row r="322">
      <c r="I322" s="6">
        <f t="shared" si="4"/>
        <v>0.321</v>
      </c>
      <c r="J322" s="4">
        <f t="shared" si="2"/>
        <v>0.000001242850055</v>
      </c>
    </row>
    <row r="323">
      <c r="I323" s="6">
        <f t="shared" si="4"/>
        <v>0.322</v>
      </c>
      <c r="J323" s="4">
        <f t="shared" si="2"/>
        <v>0.000001247626054</v>
      </c>
    </row>
    <row r="324">
      <c r="I324" s="6">
        <f t="shared" si="4"/>
        <v>0.323</v>
      </c>
      <c r="J324" s="4">
        <f t="shared" si="2"/>
        <v>0.000001252395901</v>
      </c>
    </row>
    <row r="325">
      <c r="I325" s="6">
        <f t="shared" si="4"/>
        <v>0.324</v>
      </c>
      <c r="J325" s="4">
        <f t="shared" si="2"/>
        <v>0.00000125715965</v>
      </c>
    </row>
    <row r="326">
      <c r="I326" s="6">
        <f t="shared" si="4"/>
        <v>0.325</v>
      </c>
      <c r="J326" s="4">
        <f t="shared" si="2"/>
        <v>0.000001261917352</v>
      </c>
    </row>
    <row r="327">
      <c r="I327" s="6">
        <f t="shared" si="4"/>
        <v>0.326</v>
      </c>
      <c r="J327" s="4">
        <f t="shared" si="2"/>
        <v>0.000001266669059</v>
      </c>
    </row>
    <row r="328">
      <c r="I328" s="6">
        <f t="shared" si="4"/>
        <v>0.327</v>
      </c>
      <c r="J328" s="4">
        <f t="shared" si="2"/>
        <v>0.000001271414824</v>
      </c>
    </row>
    <row r="329">
      <c r="I329" s="6">
        <f t="shared" si="4"/>
        <v>0.328</v>
      </c>
      <c r="J329" s="4">
        <f t="shared" si="2"/>
        <v>0.000001276154697</v>
      </c>
    </row>
    <row r="330">
      <c r="I330" s="6">
        <f t="shared" si="4"/>
        <v>0.329</v>
      </c>
      <c r="J330" s="4">
        <f t="shared" si="2"/>
        <v>0.000001280888729</v>
      </c>
    </row>
    <row r="331">
      <c r="I331" s="6">
        <f t="shared" si="4"/>
        <v>0.33</v>
      </c>
      <c r="J331" s="4">
        <f t="shared" si="2"/>
        <v>0.000001285616971</v>
      </c>
    </row>
    <row r="332">
      <c r="I332" s="6">
        <f t="shared" si="4"/>
        <v>0.331</v>
      </c>
      <c r="J332" s="4">
        <f t="shared" si="2"/>
        <v>0.000001290339473</v>
      </c>
    </row>
    <row r="333">
      <c r="I333" s="6">
        <f t="shared" si="4"/>
        <v>0.332</v>
      </c>
      <c r="J333" s="4">
        <f t="shared" si="2"/>
        <v>0.000001295056284</v>
      </c>
    </row>
    <row r="334">
      <c r="I334" s="6">
        <f t="shared" si="4"/>
        <v>0.333</v>
      </c>
      <c r="J334" s="4">
        <f t="shared" si="2"/>
        <v>0.000001299767455</v>
      </c>
    </row>
    <row r="335">
      <c r="I335" s="6">
        <f t="shared" si="4"/>
        <v>0.334</v>
      </c>
      <c r="J335" s="4">
        <f t="shared" si="2"/>
        <v>0.000001304473034</v>
      </c>
    </row>
    <row r="336">
      <c r="I336" s="6">
        <f t="shared" si="4"/>
        <v>0.335</v>
      </c>
      <c r="J336" s="4">
        <f t="shared" si="2"/>
        <v>0.00000130917307</v>
      </c>
    </row>
    <row r="337">
      <c r="I337" s="6">
        <f t="shared" si="4"/>
        <v>0.336</v>
      </c>
      <c r="J337" s="4">
        <f t="shared" si="2"/>
        <v>0.000001313867612</v>
      </c>
    </row>
    <row r="338">
      <c r="I338" s="6">
        <f t="shared" si="4"/>
        <v>0.337</v>
      </c>
      <c r="J338" s="4">
        <f t="shared" si="2"/>
        <v>0.000001318556707</v>
      </c>
    </row>
    <row r="339">
      <c r="I339" s="6">
        <f t="shared" si="4"/>
        <v>0.338</v>
      </c>
      <c r="J339" s="4">
        <f t="shared" si="2"/>
        <v>0.000001323240403</v>
      </c>
    </row>
    <row r="340">
      <c r="I340" s="6">
        <f t="shared" si="4"/>
        <v>0.339</v>
      </c>
      <c r="J340" s="4">
        <f t="shared" si="2"/>
        <v>0.000001327918748</v>
      </c>
    </row>
    <row r="341">
      <c r="I341" s="6">
        <f t="shared" si="4"/>
        <v>0.34</v>
      </c>
      <c r="J341" s="4">
        <f t="shared" si="2"/>
        <v>0.000001332591789</v>
      </c>
    </row>
    <row r="342">
      <c r="I342" s="6">
        <f t="shared" si="4"/>
        <v>0.341</v>
      </c>
      <c r="J342" s="4">
        <f t="shared" si="2"/>
        <v>0.000001337259572</v>
      </c>
    </row>
    <row r="343">
      <c r="I343" s="6">
        <f t="shared" si="4"/>
        <v>0.342</v>
      </c>
      <c r="J343" s="4">
        <f t="shared" si="2"/>
        <v>0.000001341922144</v>
      </c>
    </row>
    <row r="344">
      <c r="I344" s="6">
        <f t="shared" si="4"/>
        <v>0.343</v>
      </c>
      <c r="J344" s="4">
        <f t="shared" si="2"/>
        <v>0.000001346579552</v>
      </c>
    </row>
    <row r="345">
      <c r="I345" s="6">
        <f t="shared" si="4"/>
        <v>0.344</v>
      </c>
      <c r="J345" s="4">
        <f t="shared" si="2"/>
        <v>0.00000135123184</v>
      </c>
    </row>
    <row r="346">
      <c r="I346" s="6">
        <f t="shared" si="4"/>
        <v>0.345</v>
      </c>
      <c r="J346" s="4">
        <f t="shared" si="2"/>
        <v>0.000001355879055</v>
      </c>
    </row>
    <row r="347">
      <c r="I347" s="6">
        <f t="shared" si="4"/>
        <v>0.346</v>
      </c>
      <c r="J347" s="4">
        <f t="shared" si="2"/>
        <v>0.000001360521242</v>
      </c>
    </row>
    <row r="348">
      <c r="I348" s="6">
        <f t="shared" si="4"/>
        <v>0.347</v>
      </c>
      <c r="J348" s="4">
        <f t="shared" si="2"/>
        <v>0.000001365158446</v>
      </c>
    </row>
    <row r="349">
      <c r="I349" s="6">
        <f t="shared" si="4"/>
        <v>0.348</v>
      </c>
      <c r="J349" s="4">
        <f t="shared" si="2"/>
        <v>0.000001369790711</v>
      </c>
    </row>
    <row r="350">
      <c r="I350" s="6">
        <f t="shared" si="4"/>
        <v>0.349</v>
      </c>
      <c r="J350" s="4">
        <f t="shared" si="2"/>
        <v>0.000001374418082</v>
      </c>
    </row>
    <row r="351">
      <c r="I351" s="6">
        <f t="shared" si="4"/>
        <v>0.35</v>
      </c>
      <c r="J351" s="4">
        <f t="shared" si="2"/>
        <v>0.000001379040603</v>
      </c>
    </row>
    <row r="352">
      <c r="I352" s="6">
        <f t="shared" si="4"/>
        <v>0.351</v>
      </c>
      <c r="J352" s="4">
        <f t="shared" si="2"/>
        <v>0.000001383658318</v>
      </c>
    </row>
    <row r="353">
      <c r="I353" s="6">
        <f t="shared" si="4"/>
        <v>0.352</v>
      </c>
      <c r="J353" s="4">
        <f t="shared" si="2"/>
        <v>0.00000138827127</v>
      </c>
    </row>
    <row r="354">
      <c r="I354" s="6">
        <f t="shared" si="4"/>
        <v>0.353</v>
      </c>
      <c r="J354" s="4">
        <f t="shared" si="2"/>
        <v>0.000001392879503</v>
      </c>
    </row>
    <row r="355">
      <c r="I355" s="6">
        <f t="shared" si="4"/>
        <v>0.354</v>
      </c>
      <c r="J355" s="4">
        <f t="shared" si="2"/>
        <v>0.000001397483059</v>
      </c>
    </row>
    <row r="356">
      <c r="I356" s="6">
        <f t="shared" si="4"/>
        <v>0.355</v>
      </c>
      <c r="J356" s="4">
        <f t="shared" si="2"/>
        <v>0.000001402081981</v>
      </c>
    </row>
    <row r="357">
      <c r="I357" s="6">
        <f t="shared" si="4"/>
        <v>0.356</v>
      </c>
      <c r="J357" s="4">
        <f t="shared" si="2"/>
        <v>0.000001406676312</v>
      </c>
    </row>
    <row r="358">
      <c r="I358" s="6">
        <f t="shared" si="4"/>
        <v>0.357</v>
      </c>
      <c r="J358" s="4">
        <f t="shared" si="2"/>
        <v>0.000001411266094</v>
      </c>
    </row>
    <row r="359">
      <c r="I359" s="6">
        <f t="shared" si="4"/>
        <v>0.358</v>
      </c>
      <c r="J359" s="4">
        <f t="shared" si="2"/>
        <v>0.000001415851369</v>
      </c>
    </row>
    <row r="360">
      <c r="I360" s="6">
        <f t="shared" si="4"/>
        <v>0.359</v>
      </c>
      <c r="J360" s="4">
        <f t="shared" si="2"/>
        <v>0.000001420432179</v>
      </c>
    </row>
    <row r="361">
      <c r="I361" s="6">
        <f t="shared" si="4"/>
        <v>0.36</v>
      </c>
      <c r="J361" s="4">
        <f t="shared" si="2"/>
        <v>0.000001425008565</v>
      </c>
    </row>
    <row r="362">
      <c r="I362" s="6">
        <f t="shared" si="4"/>
        <v>0.361</v>
      </c>
      <c r="J362" s="4">
        <f t="shared" si="2"/>
        <v>0.000001429580567</v>
      </c>
    </row>
    <row r="363">
      <c r="I363" s="6">
        <f t="shared" si="4"/>
        <v>0.362</v>
      </c>
      <c r="J363" s="4">
        <f t="shared" si="2"/>
        <v>0.000001434148228</v>
      </c>
    </row>
    <row r="364">
      <c r="I364" s="6">
        <f t="shared" si="4"/>
        <v>0.363</v>
      </c>
      <c r="J364" s="4">
        <f t="shared" si="2"/>
        <v>0.000001438711588</v>
      </c>
    </row>
    <row r="365">
      <c r="I365" s="6">
        <f t="shared" si="4"/>
        <v>0.364</v>
      </c>
      <c r="J365" s="4">
        <f t="shared" si="2"/>
        <v>0.000001443270688</v>
      </c>
    </row>
    <row r="366">
      <c r="I366" s="6">
        <f t="shared" si="4"/>
        <v>0.365</v>
      </c>
      <c r="J366" s="4">
        <f t="shared" si="2"/>
        <v>0.000001447825567</v>
      </c>
    </row>
    <row r="367">
      <c r="I367" s="6">
        <f t="shared" si="4"/>
        <v>0.366</v>
      </c>
      <c r="J367" s="4">
        <f t="shared" si="2"/>
        <v>0.000001452376266</v>
      </c>
    </row>
    <row r="368">
      <c r="I368" s="6">
        <f t="shared" si="4"/>
        <v>0.367</v>
      </c>
      <c r="J368" s="4">
        <f t="shared" si="2"/>
        <v>0.000001456922824</v>
      </c>
    </row>
    <row r="369">
      <c r="I369" s="6">
        <f t="shared" si="4"/>
        <v>0.368</v>
      </c>
      <c r="J369" s="4">
        <f t="shared" si="2"/>
        <v>0.000001461465281</v>
      </c>
    </row>
    <row r="370">
      <c r="I370" s="6">
        <f t="shared" si="4"/>
        <v>0.369</v>
      </c>
      <c r="J370" s="4">
        <f t="shared" si="2"/>
        <v>0.000001466003676</v>
      </c>
    </row>
    <row r="371">
      <c r="I371" s="6">
        <f t="shared" si="4"/>
        <v>0.37</v>
      </c>
      <c r="J371" s="4">
        <f t="shared" si="2"/>
        <v>0.000001470538049</v>
      </c>
    </row>
    <row r="372">
      <c r="I372" s="6">
        <f t="shared" si="4"/>
        <v>0.371</v>
      </c>
      <c r="J372" s="4">
        <f t="shared" si="2"/>
        <v>0.000001475068439</v>
      </c>
    </row>
    <row r="373">
      <c r="I373" s="6">
        <f t="shared" si="4"/>
        <v>0.372</v>
      </c>
      <c r="J373" s="4">
        <f t="shared" si="2"/>
        <v>0.000001479594883</v>
      </c>
    </row>
    <row r="374">
      <c r="I374" s="6">
        <f t="shared" si="4"/>
        <v>0.373</v>
      </c>
      <c r="J374" s="4">
        <f t="shared" si="2"/>
        <v>0.000001484117421</v>
      </c>
    </row>
    <row r="375">
      <c r="I375" s="6">
        <f t="shared" si="4"/>
        <v>0.374</v>
      </c>
      <c r="J375" s="4">
        <f t="shared" si="2"/>
        <v>0.000001488636091</v>
      </c>
    </row>
    <row r="376">
      <c r="I376" s="6">
        <f t="shared" si="4"/>
        <v>0.375</v>
      </c>
      <c r="J376" s="4">
        <f t="shared" si="2"/>
        <v>0.000001493150931</v>
      </c>
    </row>
    <row r="377">
      <c r="I377" s="6">
        <f t="shared" si="4"/>
        <v>0.376</v>
      </c>
      <c r="J377" s="4">
        <f t="shared" si="2"/>
        <v>0.000001497661978</v>
      </c>
    </row>
    <row r="378">
      <c r="I378" s="6">
        <f t="shared" si="4"/>
        <v>0.377</v>
      </c>
      <c r="J378" s="4">
        <f t="shared" si="2"/>
        <v>0.000001502169271</v>
      </c>
    </row>
    <row r="379">
      <c r="I379" s="6">
        <f t="shared" si="4"/>
        <v>0.378</v>
      </c>
      <c r="J379" s="4">
        <f t="shared" si="2"/>
        <v>0.000001506672847</v>
      </c>
    </row>
    <row r="380">
      <c r="I380" s="6">
        <f t="shared" si="4"/>
        <v>0.379</v>
      </c>
      <c r="J380" s="4">
        <f t="shared" si="2"/>
        <v>0.000001511172743</v>
      </c>
    </row>
    <row r="381">
      <c r="I381" s="6">
        <f t="shared" si="4"/>
        <v>0.38</v>
      </c>
      <c r="J381" s="4">
        <f t="shared" si="2"/>
        <v>0.000001515668996</v>
      </c>
    </row>
    <row r="382">
      <c r="I382" s="6">
        <f t="shared" si="4"/>
        <v>0.381</v>
      </c>
      <c r="J382" s="4">
        <f t="shared" si="2"/>
        <v>0.000001520161643</v>
      </c>
    </row>
    <row r="383">
      <c r="I383" s="6">
        <f t="shared" si="4"/>
        <v>0.382</v>
      </c>
      <c r="J383" s="4">
        <f t="shared" si="2"/>
        <v>0.000001524650721</v>
      </c>
    </row>
    <row r="384">
      <c r="I384" s="6">
        <f t="shared" si="4"/>
        <v>0.383</v>
      </c>
      <c r="J384" s="4">
        <f t="shared" si="2"/>
        <v>0.000001529136266</v>
      </c>
    </row>
    <row r="385">
      <c r="I385" s="6">
        <f t="shared" si="4"/>
        <v>0.384</v>
      </c>
      <c r="J385" s="4">
        <f t="shared" si="2"/>
        <v>0.000001533618315</v>
      </c>
    </row>
    <row r="386">
      <c r="I386" s="6">
        <f t="shared" si="4"/>
        <v>0.385</v>
      </c>
      <c r="J386" s="4">
        <f t="shared" si="2"/>
        <v>0.000001538096904</v>
      </c>
    </row>
    <row r="387">
      <c r="I387" s="6">
        <f t="shared" si="4"/>
        <v>0.386</v>
      </c>
      <c r="J387" s="4">
        <f t="shared" si="2"/>
        <v>0.000001542572068</v>
      </c>
    </row>
    <row r="388">
      <c r="I388" s="6">
        <f t="shared" si="4"/>
        <v>0.387</v>
      </c>
      <c r="J388" s="4">
        <f t="shared" si="2"/>
        <v>0.000001547043844</v>
      </c>
    </row>
    <row r="389">
      <c r="I389" s="6">
        <f t="shared" si="4"/>
        <v>0.388</v>
      </c>
      <c r="J389" s="4">
        <f t="shared" si="2"/>
        <v>0.000001551512267</v>
      </c>
    </row>
    <row r="390">
      <c r="I390" s="6">
        <f t="shared" si="4"/>
        <v>0.389</v>
      </c>
      <c r="J390" s="4">
        <f t="shared" si="2"/>
        <v>0.000001555977372</v>
      </c>
    </row>
    <row r="391">
      <c r="I391" s="6">
        <f t="shared" si="4"/>
        <v>0.39</v>
      </c>
      <c r="J391" s="4">
        <f t="shared" si="2"/>
        <v>0.000001560439196</v>
      </c>
    </row>
    <row r="392">
      <c r="I392" s="6">
        <f t="shared" si="4"/>
        <v>0.391</v>
      </c>
      <c r="J392" s="4">
        <f t="shared" si="2"/>
        <v>0.000001564897772</v>
      </c>
    </row>
    <row r="393">
      <c r="I393" s="6">
        <f t="shared" si="4"/>
        <v>0.392</v>
      </c>
      <c r="J393" s="4">
        <f t="shared" si="2"/>
        <v>0.000001569353136</v>
      </c>
    </row>
    <row r="394">
      <c r="I394" s="6">
        <f t="shared" si="4"/>
        <v>0.393</v>
      </c>
      <c r="J394" s="4">
        <f t="shared" si="2"/>
        <v>0.000001573805323</v>
      </c>
    </row>
    <row r="395">
      <c r="I395" s="6">
        <f t="shared" si="4"/>
        <v>0.394</v>
      </c>
      <c r="J395" s="4">
        <f t="shared" si="2"/>
        <v>0.000001578254367</v>
      </c>
    </row>
    <row r="396">
      <c r="I396" s="6">
        <f t="shared" si="4"/>
        <v>0.395</v>
      </c>
      <c r="J396" s="4">
        <f t="shared" si="2"/>
        <v>0.000001582700303</v>
      </c>
    </row>
    <row r="397">
      <c r="I397" s="6">
        <f t="shared" si="4"/>
        <v>0.396</v>
      </c>
      <c r="J397" s="4">
        <f t="shared" si="2"/>
        <v>0.000001587143165</v>
      </c>
    </row>
    <row r="398">
      <c r="I398" s="6">
        <f t="shared" si="4"/>
        <v>0.397</v>
      </c>
      <c r="J398" s="4">
        <f t="shared" si="2"/>
        <v>0.000001591582988</v>
      </c>
    </row>
    <row r="399">
      <c r="I399" s="6">
        <f t="shared" si="4"/>
        <v>0.398</v>
      </c>
      <c r="J399" s="4">
        <f t="shared" si="2"/>
        <v>0.000001596019804</v>
      </c>
    </row>
    <row r="400">
      <c r="I400" s="6">
        <f t="shared" si="4"/>
        <v>0.399</v>
      </c>
      <c r="J400" s="4">
        <f t="shared" si="2"/>
        <v>0.000001600453649</v>
      </c>
    </row>
    <row r="401">
      <c r="I401" s="6">
        <f t="shared" si="4"/>
        <v>0.4</v>
      </c>
      <c r="J401" s="4">
        <f t="shared" si="2"/>
        <v>0.000001604884555</v>
      </c>
    </row>
    <row r="402">
      <c r="I402" s="6">
        <f t="shared" si="4"/>
        <v>0.401</v>
      </c>
      <c r="J402" s="4">
        <f t="shared" si="2"/>
        <v>0.000001609312557</v>
      </c>
    </row>
    <row r="403">
      <c r="I403" s="6">
        <f t="shared" si="4"/>
        <v>0.402</v>
      </c>
      <c r="J403" s="4">
        <f t="shared" si="2"/>
        <v>0.000001613737687</v>
      </c>
    </row>
    <row r="404">
      <c r="I404" s="6">
        <f t="shared" si="4"/>
        <v>0.403</v>
      </c>
      <c r="J404" s="4">
        <f t="shared" si="2"/>
        <v>0.00000161815998</v>
      </c>
    </row>
    <row r="405">
      <c r="I405" s="6">
        <f t="shared" si="4"/>
        <v>0.404</v>
      </c>
      <c r="J405" s="4">
        <f t="shared" si="2"/>
        <v>0.000001622579468</v>
      </c>
    </row>
    <row r="406">
      <c r="I406" s="6">
        <f t="shared" si="4"/>
        <v>0.405</v>
      </c>
      <c r="J406" s="4">
        <f t="shared" si="2"/>
        <v>0.000001626996184</v>
      </c>
    </row>
    <row r="407">
      <c r="I407" s="6">
        <f t="shared" si="4"/>
        <v>0.406</v>
      </c>
      <c r="J407" s="4">
        <f t="shared" si="2"/>
        <v>0.00000163141016</v>
      </c>
    </row>
    <row r="408">
      <c r="I408" s="6">
        <f t="shared" si="4"/>
        <v>0.407</v>
      </c>
      <c r="J408" s="4">
        <f t="shared" si="2"/>
        <v>0.000001635821431</v>
      </c>
    </row>
    <row r="409">
      <c r="I409" s="6">
        <f t="shared" si="4"/>
        <v>0.408</v>
      </c>
      <c r="J409" s="4">
        <f t="shared" si="2"/>
        <v>0.000001640230028</v>
      </c>
    </row>
    <row r="410">
      <c r="I410" s="6">
        <f t="shared" si="4"/>
        <v>0.409</v>
      </c>
      <c r="J410" s="4">
        <f t="shared" si="2"/>
        <v>0.000001644635984</v>
      </c>
    </row>
    <row r="411">
      <c r="I411" s="6">
        <f t="shared" si="4"/>
        <v>0.41</v>
      </c>
      <c r="J411" s="4">
        <f t="shared" si="2"/>
        <v>0.000001649039331</v>
      </c>
    </row>
    <row r="412">
      <c r="I412" s="6">
        <f t="shared" si="4"/>
        <v>0.411</v>
      </c>
      <c r="J412" s="4">
        <f t="shared" si="2"/>
        <v>0.000001653440101</v>
      </c>
    </row>
    <row r="413">
      <c r="I413" s="6">
        <f t="shared" si="4"/>
        <v>0.412</v>
      </c>
      <c r="J413" s="4">
        <f t="shared" si="2"/>
        <v>0.000001657838326</v>
      </c>
    </row>
    <row r="414">
      <c r="I414" s="6">
        <f t="shared" si="4"/>
        <v>0.413</v>
      </c>
      <c r="J414" s="4">
        <f t="shared" si="2"/>
        <v>0.000001662234039</v>
      </c>
    </row>
    <row r="415">
      <c r="I415" s="6">
        <f t="shared" si="4"/>
        <v>0.414</v>
      </c>
      <c r="J415" s="4">
        <f t="shared" si="2"/>
        <v>0.000001666627272</v>
      </c>
    </row>
    <row r="416">
      <c r="I416" s="6">
        <f t="shared" si="4"/>
        <v>0.415</v>
      </c>
      <c r="J416" s="4">
        <f t="shared" si="2"/>
        <v>0.000001671018055</v>
      </c>
    </row>
    <row r="417">
      <c r="I417" s="6">
        <f t="shared" si="4"/>
        <v>0.416</v>
      </c>
      <c r="J417" s="4">
        <f t="shared" si="2"/>
        <v>0.00000167540642</v>
      </c>
    </row>
    <row r="418">
      <c r="I418" s="6">
        <f t="shared" si="4"/>
        <v>0.417</v>
      </c>
      <c r="J418" s="4">
        <f t="shared" si="2"/>
        <v>0.0000016797924</v>
      </c>
    </row>
    <row r="419">
      <c r="I419" s="6">
        <f t="shared" si="4"/>
        <v>0.418</v>
      </c>
      <c r="J419" s="4">
        <f t="shared" si="2"/>
        <v>0.000001684176025</v>
      </c>
    </row>
    <row r="420">
      <c r="I420" s="6">
        <f t="shared" si="4"/>
        <v>0.419</v>
      </c>
      <c r="J420" s="4">
        <f t="shared" si="2"/>
        <v>0.000001688557327</v>
      </c>
    </row>
    <row r="421">
      <c r="I421" s="6">
        <f t="shared" si="4"/>
        <v>0.42</v>
      </c>
      <c r="J421" s="4">
        <f t="shared" si="2"/>
        <v>0.000001692936337</v>
      </c>
    </row>
    <row r="422">
      <c r="I422" s="6">
        <f t="shared" si="4"/>
        <v>0.421</v>
      </c>
      <c r="J422" s="4">
        <f t="shared" si="2"/>
        <v>0.000001697313085</v>
      </c>
    </row>
    <row r="423">
      <c r="I423" s="6">
        <f t="shared" si="4"/>
        <v>0.422</v>
      </c>
      <c r="J423" s="4">
        <f t="shared" si="2"/>
        <v>0.000001701687603</v>
      </c>
    </row>
    <row r="424">
      <c r="I424" s="6">
        <f t="shared" si="4"/>
        <v>0.423</v>
      </c>
      <c r="J424" s="4">
        <f t="shared" si="2"/>
        <v>0.000001706059922</v>
      </c>
    </row>
    <row r="425">
      <c r="I425" s="6">
        <f t="shared" si="4"/>
        <v>0.424</v>
      </c>
      <c r="J425" s="4">
        <f t="shared" si="2"/>
        <v>0.000001710430073</v>
      </c>
    </row>
    <row r="426">
      <c r="I426" s="6">
        <f t="shared" si="4"/>
        <v>0.425</v>
      </c>
      <c r="J426" s="4">
        <f t="shared" si="2"/>
        <v>0.000001714798085</v>
      </c>
    </row>
    <row r="427">
      <c r="I427" s="6">
        <f t="shared" si="4"/>
        <v>0.426</v>
      </c>
      <c r="J427" s="4">
        <f t="shared" si="2"/>
        <v>0.000001719163989</v>
      </c>
    </row>
    <row r="428">
      <c r="I428" s="6">
        <f t="shared" si="4"/>
        <v>0.427</v>
      </c>
      <c r="J428" s="4">
        <f t="shared" si="2"/>
        <v>0.000001723527817</v>
      </c>
    </row>
    <row r="429">
      <c r="I429" s="6">
        <f t="shared" si="4"/>
        <v>0.428</v>
      </c>
      <c r="J429" s="4">
        <f t="shared" si="2"/>
        <v>0.000001727889598</v>
      </c>
    </row>
    <row r="430">
      <c r="I430" s="6">
        <f t="shared" si="4"/>
        <v>0.429</v>
      </c>
      <c r="J430" s="4">
        <f t="shared" si="2"/>
        <v>0.000001732249362</v>
      </c>
    </row>
    <row r="431">
      <c r="I431" s="6">
        <f t="shared" si="4"/>
        <v>0.43</v>
      </c>
      <c r="J431" s="4">
        <f t="shared" si="2"/>
        <v>0.00000173660714</v>
      </c>
    </row>
    <row r="432">
      <c r="I432" s="6">
        <f t="shared" si="4"/>
        <v>0.431</v>
      </c>
      <c r="J432" s="4">
        <f t="shared" si="2"/>
        <v>0.000001740962961</v>
      </c>
    </row>
    <row r="433">
      <c r="I433" s="6">
        <f t="shared" si="4"/>
        <v>0.432</v>
      </c>
      <c r="J433" s="4">
        <f t="shared" si="2"/>
        <v>0.000001745316857</v>
      </c>
    </row>
    <row r="434">
      <c r="I434" s="6">
        <f t="shared" si="4"/>
        <v>0.433</v>
      </c>
      <c r="J434" s="4">
        <f t="shared" si="2"/>
        <v>0.000001749668855</v>
      </c>
    </row>
    <row r="435">
      <c r="I435" s="6">
        <f t="shared" si="4"/>
        <v>0.434</v>
      </c>
      <c r="J435" s="4">
        <f t="shared" si="2"/>
        <v>0.000001754018987</v>
      </c>
    </row>
    <row r="436">
      <c r="I436" s="6">
        <f t="shared" si="4"/>
        <v>0.435</v>
      </c>
      <c r="J436" s="4">
        <f t="shared" si="2"/>
        <v>0.000001758367282</v>
      </c>
    </row>
    <row r="437">
      <c r="I437" s="6">
        <f t="shared" si="4"/>
        <v>0.436</v>
      </c>
      <c r="J437" s="4">
        <f t="shared" si="2"/>
        <v>0.000001762713769</v>
      </c>
    </row>
    <row r="438">
      <c r="I438" s="6">
        <f t="shared" si="4"/>
        <v>0.437</v>
      </c>
      <c r="J438" s="4">
        <f t="shared" si="2"/>
        <v>0.000001767058478</v>
      </c>
    </row>
    <row r="439">
      <c r="I439" s="6">
        <f t="shared" si="4"/>
        <v>0.438</v>
      </c>
      <c r="J439" s="4">
        <f t="shared" si="2"/>
        <v>0.000001771401439</v>
      </c>
    </row>
    <row r="440">
      <c r="I440" s="6">
        <f t="shared" si="4"/>
        <v>0.439</v>
      </c>
      <c r="J440" s="4">
        <f t="shared" si="2"/>
        <v>0.00000177574268</v>
      </c>
    </row>
    <row r="441">
      <c r="I441" s="6">
        <f t="shared" si="4"/>
        <v>0.44</v>
      </c>
      <c r="J441" s="4">
        <f t="shared" si="2"/>
        <v>0.000001780082232</v>
      </c>
    </row>
    <row r="442">
      <c r="I442" s="6">
        <f t="shared" si="4"/>
        <v>0.441</v>
      </c>
      <c r="J442" s="4">
        <f t="shared" si="2"/>
        <v>0.000001784420123</v>
      </c>
    </row>
    <row r="443">
      <c r="I443" s="6">
        <f t="shared" si="4"/>
        <v>0.442</v>
      </c>
      <c r="J443" s="4">
        <f t="shared" si="2"/>
        <v>0.000001788756382</v>
      </c>
    </row>
    <row r="444">
      <c r="I444" s="6">
        <f t="shared" si="4"/>
        <v>0.443</v>
      </c>
      <c r="J444" s="4">
        <f t="shared" si="2"/>
        <v>0.000001793091039</v>
      </c>
    </row>
    <row r="445">
      <c r="I445" s="6">
        <f t="shared" si="4"/>
        <v>0.444</v>
      </c>
      <c r="J445" s="4">
        <f t="shared" si="2"/>
        <v>0.000001797424123</v>
      </c>
    </row>
    <row r="446">
      <c r="I446" s="6">
        <f t="shared" si="4"/>
        <v>0.445</v>
      </c>
      <c r="J446" s="4">
        <f t="shared" si="2"/>
        <v>0.000001801755661</v>
      </c>
    </row>
    <row r="447">
      <c r="I447" s="6">
        <f t="shared" si="4"/>
        <v>0.446</v>
      </c>
      <c r="J447" s="4">
        <f t="shared" si="2"/>
        <v>0.000001806085684</v>
      </c>
    </row>
    <row r="448">
      <c r="I448" s="6">
        <f t="shared" si="4"/>
        <v>0.447</v>
      </c>
      <c r="J448" s="4">
        <f t="shared" si="2"/>
        <v>0.00000181041422</v>
      </c>
    </row>
    <row r="449">
      <c r="I449" s="6">
        <f t="shared" si="4"/>
        <v>0.448</v>
      </c>
      <c r="J449" s="4">
        <f t="shared" si="2"/>
        <v>0.000001814741297</v>
      </c>
    </row>
    <row r="450">
      <c r="I450" s="6">
        <f t="shared" si="4"/>
        <v>0.449</v>
      </c>
      <c r="J450" s="4">
        <f t="shared" si="2"/>
        <v>0.000001819066945</v>
      </c>
    </row>
    <row r="451">
      <c r="I451" s="6">
        <f t="shared" si="4"/>
        <v>0.45</v>
      </c>
      <c r="J451" s="4">
        <f t="shared" si="2"/>
        <v>0.000001823391192</v>
      </c>
    </row>
    <row r="452">
      <c r="I452" s="6">
        <f t="shared" si="4"/>
        <v>0.451</v>
      </c>
      <c r="J452" s="4">
        <f t="shared" si="2"/>
        <v>0.000001827714066</v>
      </c>
    </row>
    <row r="453">
      <c r="I453" s="6">
        <f t="shared" si="4"/>
        <v>0.452</v>
      </c>
      <c r="J453" s="4">
        <f t="shared" si="2"/>
        <v>0.000001832035595</v>
      </c>
    </row>
    <row r="454">
      <c r="I454" s="6">
        <f t="shared" si="4"/>
        <v>0.453</v>
      </c>
      <c r="J454" s="4">
        <f t="shared" si="2"/>
        <v>0.000001836355809</v>
      </c>
    </row>
    <row r="455">
      <c r="I455" s="6">
        <f t="shared" si="4"/>
        <v>0.454</v>
      </c>
      <c r="J455" s="4">
        <f t="shared" si="2"/>
        <v>0.000001840674735</v>
      </c>
    </row>
    <row r="456">
      <c r="I456" s="6">
        <f t="shared" si="4"/>
        <v>0.455</v>
      </c>
      <c r="J456" s="4">
        <f t="shared" si="2"/>
        <v>0.000001844992402</v>
      </c>
    </row>
    <row r="457">
      <c r="I457" s="6">
        <f t="shared" si="4"/>
        <v>0.456</v>
      </c>
      <c r="J457" s="4">
        <f t="shared" si="2"/>
        <v>0.000001849308838</v>
      </c>
    </row>
    <row r="458">
      <c r="I458" s="6">
        <f t="shared" si="4"/>
        <v>0.457</v>
      </c>
      <c r="J458" s="4">
        <f t="shared" si="2"/>
        <v>0.000001853624071</v>
      </c>
    </row>
    <row r="459">
      <c r="I459" s="6">
        <f t="shared" si="4"/>
        <v>0.458</v>
      </c>
      <c r="J459" s="4">
        <f t="shared" si="2"/>
        <v>0.00000185793813</v>
      </c>
    </row>
    <row r="460">
      <c r="I460" s="6">
        <f t="shared" si="4"/>
        <v>0.459</v>
      </c>
      <c r="J460" s="4">
        <f t="shared" si="2"/>
        <v>0.000001862251041</v>
      </c>
    </row>
    <row r="461">
      <c r="I461" s="6">
        <f t="shared" si="4"/>
        <v>0.46</v>
      </c>
      <c r="J461" s="4">
        <f t="shared" si="2"/>
        <v>0.000001866562834</v>
      </c>
    </row>
    <row r="462">
      <c r="I462" s="6">
        <f t="shared" si="4"/>
        <v>0.461</v>
      </c>
      <c r="J462" s="4">
        <f t="shared" si="2"/>
        <v>0.000001870873536</v>
      </c>
    </row>
    <row r="463">
      <c r="I463" s="6">
        <f t="shared" si="4"/>
        <v>0.462</v>
      </c>
      <c r="J463" s="4">
        <f t="shared" si="2"/>
        <v>0.000001875183175</v>
      </c>
    </row>
    <row r="464">
      <c r="I464" s="6">
        <f t="shared" si="4"/>
        <v>0.463</v>
      </c>
      <c r="J464" s="4">
        <f t="shared" si="2"/>
        <v>0.000001879491778</v>
      </c>
    </row>
    <row r="465">
      <c r="I465" s="6">
        <f t="shared" si="4"/>
        <v>0.464</v>
      </c>
      <c r="J465" s="4">
        <f t="shared" si="2"/>
        <v>0.000001883799375</v>
      </c>
    </row>
    <row r="466">
      <c r="I466" s="6">
        <f t="shared" si="4"/>
        <v>0.465</v>
      </c>
      <c r="J466" s="4">
        <f t="shared" si="2"/>
        <v>0.000001888105992</v>
      </c>
    </row>
    <row r="467">
      <c r="I467" s="6">
        <f t="shared" si="4"/>
        <v>0.466</v>
      </c>
      <c r="J467" s="4">
        <f t="shared" si="2"/>
        <v>0.000001892411657</v>
      </c>
    </row>
    <row r="468">
      <c r="I468" s="6">
        <f t="shared" si="4"/>
        <v>0.467</v>
      </c>
      <c r="J468" s="4">
        <f t="shared" si="2"/>
        <v>0.000001896716398</v>
      </c>
    </row>
    <row r="469">
      <c r="I469" s="6">
        <f t="shared" si="4"/>
        <v>0.468</v>
      </c>
      <c r="J469" s="4">
        <f t="shared" si="2"/>
        <v>0.000001901020242</v>
      </c>
    </row>
    <row r="470">
      <c r="I470" s="6">
        <f t="shared" si="4"/>
        <v>0.469</v>
      </c>
      <c r="J470" s="4">
        <f t="shared" si="2"/>
        <v>0.000001905323217</v>
      </c>
    </row>
    <row r="471">
      <c r="I471" s="6">
        <f t="shared" si="4"/>
        <v>0.47</v>
      </c>
      <c r="J471" s="4">
        <f t="shared" si="2"/>
        <v>0.000001909625351</v>
      </c>
    </row>
    <row r="472">
      <c r="I472" s="6">
        <f t="shared" si="4"/>
        <v>0.471</v>
      </c>
      <c r="J472" s="4">
        <f t="shared" si="2"/>
        <v>0.000001913926671</v>
      </c>
    </row>
    <row r="473">
      <c r="I473" s="6">
        <f t="shared" si="4"/>
        <v>0.472</v>
      </c>
      <c r="J473" s="4">
        <f t="shared" si="2"/>
        <v>0.000001918227204</v>
      </c>
    </row>
    <row r="474">
      <c r="I474" s="6">
        <f t="shared" si="4"/>
        <v>0.473</v>
      </c>
      <c r="J474" s="4">
        <f t="shared" si="2"/>
        <v>0.000001922526979</v>
      </c>
    </row>
    <row r="475">
      <c r="I475" s="6">
        <f t="shared" si="4"/>
        <v>0.474</v>
      </c>
      <c r="J475" s="4">
        <f t="shared" si="2"/>
        <v>0.000001926826022</v>
      </c>
    </row>
    <row r="476">
      <c r="I476" s="6">
        <f t="shared" si="4"/>
        <v>0.475</v>
      </c>
      <c r="J476" s="4">
        <f t="shared" si="2"/>
        <v>0.00000193112436</v>
      </c>
    </row>
    <row r="477">
      <c r="I477" s="6">
        <f t="shared" si="4"/>
        <v>0.476</v>
      </c>
      <c r="J477" s="4">
        <f t="shared" si="2"/>
        <v>0.000001935422022</v>
      </c>
    </row>
    <row r="478">
      <c r="I478" s="6">
        <f t="shared" si="4"/>
        <v>0.477</v>
      </c>
      <c r="J478" s="4">
        <f t="shared" si="2"/>
        <v>0.000001939719034</v>
      </c>
    </row>
    <row r="479">
      <c r="I479" s="6">
        <f t="shared" si="4"/>
        <v>0.478</v>
      </c>
      <c r="J479" s="4">
        <f t="shared" si="2"/>
        <v>0.000001944015424</v>
      </c>
    </row>
    <row r="480">
      <c r="I480" s="6">
        <f t="shared" si="4"/>
        <v>0.479</v>
      </c>
      <c r="J480" s="4">
        <f t="shared" si="2"/>
        <v>0.000001948311219</v>
      </c>
    </row>
    <row r="481">
      <c r="I481" s="6">
        <f t="shared" si="4"/>
        <v>0.48</v>
      </c>
      <c r="J481" s="4">
        <f t="shared" si="2"/>
        <v>0.000001952606446</v>
      </c>
    </row>
    <row r="482">
      <c r="I482" s="6">
        <f t="shared" si="4"/>
        <v>0.481</v>
      </c>
      <c r="J482" s="4">
        <f t="shared" si="2"/>
        <v>0.000001956901132</v>
      </c>
    </row>
    <row r="483">
      <c r="I483" s="6">
        <f t="shared" si="4"/>
        <v>0.482</v>
      </c>
      <c r="J483" s="4">
        <f t="shared" si="2"/>
        <v>0.000001961195305</v>
      </c>
    </row>
    <row r="484">
      <c r="I484" s="6">
        <f t="shared" si="4"/>
        <v>0.483</v>
      </c>
      <c r="J484" s="4">
        <f t="shared" si="2"/>
        <v>0.000001965488991</v>
      </c>
    </row>
    <row r="485">
      <c r="I485" s="6">
        <f t="shared" si="4"/>
        <v>0.484</v>
      </c>
      <c r="J485" s="4">
        <f t="shared" si="2"/>
        <v>0.000001969782219</v>
      </c>
    </row>
    <row r="486">
      <c r="I486" s="6">
        <f t="shared" si="4"/>
        <v>0.485</v>
      </c>
      <c r="J486" s="4">
        <f t="shared" si="2"/>
        <v>0.000001974075014</v>
      </c>
    </row>
    <row r="487">
      <c r="I487" s="6">
        <f t="shared" si="4"/>
        <v>0.486</v>
      </c>
      <c r="J487" s="4">
        <f t="shared" si="2"/>
        <v>0.000001978367404</v>
      </c>
    </row>
    <row r="488">
      <c r="I488" s="6">
        <f t="shared" si="4"/>
        <v>0.487</v>
      </c>
      <c r="J488" s="4">
        <f t="shared" si="2"/>
        <v>0.000001982659417</v>
      </c>
    </row>
    <row r="489">
      <c r="I489" s="6">
        <f t="shared" si="4"/>
        <v>0.488</v>
      </c>
      <c r="J489" s="4">
        <f t="shared" si="2"/>
        <v>0.000001986951079</v>
      </c>
    </row>
    <row r="490">
      <c r="I490" s="6">
        <f t="shared" si="4"/>
        <v>0.489</v>
      </c>
      <c r="J490" s="4">
        <f t="shared" si="2"/>
        <v>0.000001991242417</v>
      </c>
    </row>
    <row r="491">
      <c r="I491" s="6">
        <f t="shared" si="4"/>
        <v>0.49</v>
      </c>
      <c r="J491" s="4">
        <f t="shared" si="2"/>
        <v>0.000001995533458</v>
      </c>
    </row>
    <row r="492">
      <c r="I492" s="6">
        <f t="shared" si="4"/>
        <v>0.491</v>
      </c>
      <c r="J492" s="4">
        <f t="shared" si="2"/>
        <v>0.000001999824229</v>
      </c>
    </row>
    <row r="493">
      <c r="I493" s="6">
        <f t="shared" si="4"/>
        <v>0.492</v>
      </c>
      <c r="J493" s="4">
        <f t="shared" si="2"/>
        <v>0.000002004114758</v>
      </c>
    </row>
    <row r="494">
      <c r="I494" s="6">
        <f t="shared" si="4"/>
        <v>0.493</v>
      </c>
      <c r="J494" s="4">
        <f t="shared" si="2"/>
        <v>0.000002008405071</v>
      </c>
    </row>
    <row r="495">
      <c r="I495" s="6">
        <f t="shared" si="4"/>
        <v>0.494</v>
      </c>
      <c r="J495" s="4">
        <f t="shared" si="2"/>
        <v>0.000002012695196</v>
      </c>
    </row>
    <row r="496">
      <c r="I496" s="6">
        <f t="shared" si="4"/>
        <v>0.495</v>
      </c>
      <c r="J496" s="4">
        <f t="shared" si="2"/>
        <v>0.000002016985158</v>
      </c>
    </row>
    <row r="497">
      <c r="I497" s="6">
        <f t="shared" si="4"/>
        <v>0.496</v>
      </c>
      <c r="J497" s="4">
        <f t="shared" si="2"/>
        <v>0.000002021274986</v>
      </c>
    </row>
    <row r="498">
      <c r="I498" s="6">
        <f t="shared" si="4"/>
        <v>0.497</v>
      </c>
      <c r="J498" s="4">
        <f t="shared" si="2"/>
        <v>0.000002025564706</v>
      </c>
    </row>
    <row r="499">
      <c r="I499" s="6">
        <f t="shared" si="4"/>
        <v>0.498</v>
      </c>
      <c r="J499" s="4">
        <f t="shared" si="2"/>
        <v>0.000002029854345</v>
      </c>
    </row>
    <row r="500">
      <c r="I500" s="6">
        <f t="shared" si="4"/>
        <v>0.499</v>
      </c>
      <c r="J500" s="4">
        <f t="shared" si="2"/>
        <v>0.00000203414393</v>
      </c>
    </row>
    <row r="501">
      <c r="I501" s="6">
        <f t="shared" si="4"/>
        <v>0.5</v>
      </c>
      <c r="J501" s="4">
        <f t="shared" si="2"/>
        <v>0.000002038433488</v>
      </c>
    </row>
    <row r="502">
      <c r="I502" s="6">
        <f t="shared" si="4"/>
        <v>0.501</v>
      </c>
      <c r="J502" s="4">
        <f t="shared" si="2"/>
        <v>0.000002042723047</v>
      </c>
    </row>
    <row r="503">
      <c r="I503" s="6">
        <f t="shared" si="4"/>
        <v>0.502</v>
      </c>
      <c r="J503" s="4">
        <f t="shared" si="2"/>
        <v>0.000002047012632</v>
      </c>
    </row>
    <row r="504">
      <c r="I504" s="6">
        <f t="shared" si="4"/>
        <v>0.503</v>
      </c>
      <c r="J504" s="4">
        <f t="shared" si="2"/>
        <v>0.000002051302271</v>
      </c>
    </row>
    <row r="505">
      <c r="I505" s="6">
        <f t="shared" si="4"/>
        <v>0.504</v>
      </c>
      <c r="J505" s="4">
        <f t="shared" si="2"/>
        <v>0.000002055591991</v>
      </c>
    </row>
    <row r="506">
      <c r="I506" s="6">
        <f t="shared" si="4"/>
        <v>0.505</v>
      </c>
      <c r="J506" s="4">
        <f t="shared" si="2"/>
        <v>0.000002059881819</v>
      </c>
    </row>
    <row r="507">
      <c r="I507" s="6">
        <f t="shared" si="4"/>
        <v>0.506</v>
      </c>
      <c r="J507" s="4">
        <f t="shared" si="2"/>
        <v>0.000002064171781</v>
      </c>
    </row>
    <row r="508">
      <c r="I508" s="6">
        <f t="shared" si="4"/>
        <v>0.507</v>
      </c>
      <c r="J508" s="4">
        <f t="shared" si="2"/>
        <v>0.000002068461906</v>
      </c>
    </row>
    <row r="509">
      <c r="I509" s="6">
        <f t="shared" si="4"/>
        <v>0.508</v>
      </c>
      <c r="J509" s="4">
        <f t="shared" si="2"/>
        <v>0.000002072752219</v>
      </c>
    </row>
    <row r="510">
      <c r="I510" s="6">
        <f t="shared" si="4"/>
        <v>0.509</v>
      </c>
      <c r="J510" s="4">
        <f t="shared" si="2"/>
        <v>0.000002077042747</v>
      </c>
    </row>
    <row r="511">
      <c r="I511" s="6">
        <f t="shared" si="4"/>
        <v>0.51</v>
      </c>
      <c r="J511" s="4">
        <f t="shared" si="2"/>
        <v>0.000002081333519</v>
      </c>
    </row>
    <row r="512">
      <c r="I512" s="6">
        <f t="shared" si="4"/>
        <v>0.511</v>
      </c>
      <c r="J512" s="4">
        <f t="shared" si="2"/>
        <v>0.00000208562456</v>
      </c>
    </row>
    <row r="513">
      <c r="I513" s="6">
        <f t="shared" si="4"/>
        <v>0.512</v>
      </c>
      <c r="J513" s="4">
        <f t="shared" si="2"/>
        <v>0.000002089915898</v>
      </c>
    </row>
    <row r="514">
      <c r="I514" s="6">
        <f t="shared" si="4"/>
        <v>0.513</v>
      </c>
      <c r="J514" s="4">
        <f t="shared" si="2"/>
        <v>0.00000209420756</v>
      </c>
    </row>
    <row r="515">
      <c r="I515" s="6">
        <f t="shared" si="4"/>
        <v>0.514</v>
      </c>
      <c r="J515" s="4">
        <f t="shared" si="2"/>
        <v>0.000002098499572</v>
      </c>
    </row>
    <row r="516">
      <c r="I516" s="6">
        <f t="shared" si="4"/>
        <v>0.515</v>
      </c>
      <c r="J516" s="4">
        <f t="shared" si="2"/>
        <v>0.000002102791963</v>
      </c>
    </row>
    <row r="517">
      <c r="I517" s="6">
        <f t="shared" si="4"/>
        <v>0.516</v>
      </c>
      <c r="J517" s="4">
        <f t="shared" si="2"/>
        <v>0.000002107084758</v>
      </c>
    </row>
    <row r="518">
      <c r="I518" s="6">
        <f t="shared" si="4"/>
        <v>0.517</v>
      </c>
      <c r="J518" s="4">
        <f t="shared" si="2"/>
        <v>0.000002111377985</v>
      </c>
    </row>
    <row r="519">
      <c r="I519" s="6">
        <f t="shared" si="4"/>
        <v>0.518</v>
      </c>
      <c r="J519" s="4">
        <f t="shared" si="2"/>
        <v>0.000002115671672</v>
      </c>
    </row>
    <row r="520">
      <c r="I520" s="6">
        <f t="shared" si="4"/>
        <v>0.519</v>
      </c>
      <c r="J520" s="4">
        <f t="shared" si="2"/>
        <v>0.000002119965845</v>
      </c>
    </row>
    <row r="521">
      <c r="I521" s="6">
        <f t="shared" si="4"/>
        <v>0.52</v>
      </c>
      <c r="J521" s="4">
        <f t="shared" si="2"/>
        <v>0.000002124260531</v>
      </c>
    </row>
    <row r="522">
      <c r="I522" s="6">
        <f t="shared" si="4"/>
        <v>0.521</v>
      </c>
      <c r="J522" s="4">
        <f t="shared" si="2"/>
        <v>0.000002128555758</v>
      </c>
    </row>
    <row r="523">
      <c r="I523" s="6">
        <f t="shared" si="4"/>
        <v>0.522</v>
      </c>
      <c r="J523" s="4">
        <f t="shared" si="2"/>
        <v>0.000002132851553</v>
      </c>
    </row>
    <row r="524">
      <c r="I524" s="6">
        <f t="shared" si="4"/>
        <v>0.523</v>
      </c>
      <c r="J524" s="4">
        <f t="shared" si="2"/>
        <v>0.000002137147943</v>
      </c>
    </row>
    <row r="525">
      <c r="I525" s="6">
        <f t="shared" si="4"/>
        <v>0.524</v>
      </c>
      <c r="J525" s="4">
        <f t="shared" si="2"/>
        <v>0.000002141444955</v>
      </c>
    </row>
    <row r="526">
      <c r="I526" s="6">
        <f t="shared" si="4"/>
        <v>0.525</v>
      </c>
      <c r="J526" s="4">
        <f t="shared" si="2"/>
        <v>0.000002145742616</v>
      </c>
    </row>
    <row r="527">
      <c r="I527" s="6">
        <f t="shared" si="4"/>
        <v>0.526</v>
      </c>
      <c r="J527" s="4">
        <f t="shared" si="2"/>
        <v>0.000002150040955</v>
      </c>
    </row>
    <row r="528">
      <c r="I528" s="6">
        <f t="shared" si="4"/>
        <v>0.527</v>
      </c>
      <c r="J528" s="4">
        <f t="shared" si="2"/>
        <v>0.000002154339998</v>
      </c>
    </row>
    <row r="529">
      <c r="I529" s="6">
        <f t="shared" si="4"/>
        <v>0.528</v>
      </c>
      <c r="J529" s="4">
        <f t="shared" si="2"/>
        <v>0.000002158639772</v>
      </c>
    </row>
    <row r="530">
      <c r="I530" s="6">
        <f t="shared" si="4"/>
        <v>0.529</v>
      </c>
      <c r="J530" s="4">
        <f t="shared" si="2"/>
        <v>0.000002162940306</v>
      </c>
    </row>
    <row r="531">
      <c r="I531" s="6">
        <f t="shared" si="4"/>
        <v>0.53</v>
      </c>
      <c r="J531" s="4">
        <f t="shared" si="2"/>
        <v>0.000002167241626</v>
      </c>
    </row>
    <row r="532">
      <c r="I532" s="6">
        <f t="shared" si="4"/>
        <v>0.531</v>
      </c>
      <c r="J532" s="4">
        <f t="shared" si="2"/>
        <v>0.00000217154376</v>
      </c>
    </row>
    <row r="533">
      <c r="I533" s="6">
        <f t="shared" si="4"/>
        <v>0.532</v>
      </c>
      <c r="J533" s="4">
        <f t="shared" si="2"/>
        <v>0.000002175846735</v>
      </c>
    </row>
    <row r="534">
      <c r="I534" s="6">
        <f t="shared" si="4"/>
        <v>0.533</v>
      </c>
      <c r="J534" s="4">
        <f t="shared" si="2"/>
        <v>0.000002180150579</v>
      </c>
    </row>
    <row r="535">
      <c r="I535" s="6">
        <f t="shared" si="4"/>
        <v>0.534</v>
      </c>
      <c r="J535" s="4">
        <f t="shared" si="2"/>
        <v>0.00000218445532</v>
      </c>
    </row>
    <row r="536">
      <c r="I536" s="6">
        <f t="shared" si="4"/>
        <v>0.535</v>
      </c>
      <c r="J536" s="4">
        <f t="shared" si="2"/>
        <v>0.000002188760985</v>
      </c>
    </row>
    <row r="537">
      <c r="I537" s="6">
        <f t="shared" si="4"/>
        <v>0.536</v>
      </c>
      <c r="J537" s="4">
        <f t="shared" si="2"/>
        <v>0.000002193067602</v>
      </c>
    </row>
    <row r="538">
      <c r="I538" s="6">
        <f t="shared" si="4"/>
        <v>0.537</v>
      </c>
      <c r="J538" s="4">
        <f t="shared" si="2"/>
        <v>0.000002197375198</v>
      </c>
    </row>
    <row r="539">
      <c r="I539" s="6">
        <f t="shared" si="4"/>
        <v>0.538</v>
      </c>
      <c r="J539" s="4">
        <f t="shared" si="2"/>
        <v>0.000002201683802</v>
      </c>
    </row>
    <row r="540">
      <c r="I540" s="6">
        <f t="shared" si="4"/>
        <v>0.539</v>
      </c>
      <c r="J540" s="4">
        <f t="shared" si="2"/>
        <v>0.000002205993441</v>
      </c>
    </row>
    <row r="541">
      <c r="I541" s="6">
        <f t="shared" si="4"/>
        <v>0.54</v>
      </c>
      <c r="J541" s="4">
        <f t="shared" si="2"/>
        <v>0.000002210304143</v>
      </c>
    </row>
    <row r="542">
      <c r="I542" s="6">
        <f t="shared" si="4"/>
        <v>0.541</v>
      </c>
      <c r="J542" s="4">
        <f t="shared" si="2"/>
        <v>0.000002214615936</v>
      </c>
    </row>
    <row r="543">
      <c r="I543" s="6">
        <f t="shared" si="4"/>
        <v>0.542</v>
      </c>
      <c r="J543" s="4">
        <f t="shared" si="2"/>
        <v>0.000002218928847</v>
      </c>
    </row>
    <row r="544">
      <c r="I544" s="6">
        <f t="shared" si="4"/>
        <v>0.543</v>
      </c>
      <c r="J544" s="4">
        <f t="shared" si="2"/>
        <v>0.000002223242905</v>
      </c>
    </row>
    <row r="545">
      <c r="I545" s="6">
        <f t="shared" si="4"/>
        <v>0.544</v>
      </c>
      <c r="J545" s="4">
        <f t="shared" si="2"/>
        <v>0.000002227558138</v>
      </c>
    </row>
    <row r="546">
      <c r="I546" s="6">
        <f t="shared" si="4"/>
        <v>0.545</v>
      </c>
      <c r="J546" s="4">
        <f t="shared" si="2"/>
        <v>0.000002231874574</v>
      </c>
    </row>
    <row r="547">
      <c r="I547" s="6">
        <f t="shared" si="4"/>
        <v>0.546</v>
      </c>
      <c r="J547" s="4">
        <f t="shared" si="2"/>
        <v>0.000002236192241</v>
      </c>
    </row>
    <row r="548">
      <c r="I548" s="6">
        <f t="shared" si="4"/>
        <v>0.547</v>
      </c>
      <c r="J548" s="4">
        <f t="shared" si="2"/>
        <v>0.000002240511168</v>
      </c>
    </row>
    <row r="549">
      <c r="I549" s="6">
        <f t="shared" si="4"/>
        <v>0.548</v>
      </c>
      <c r="J549" s="4">
        <f t="shared" si="2"/>
        <v>0.000002244831382</v>
      </c>
    </row>
    <row r="550">
      <c r="I550" s="6">
        <f t="shared" si="4"/>
        <v>0.549</v>
      </c>
      <c r="J550" s="4">
        <f t="shared" si="2"/>
        <v>0.000002249152911</v>
      </c>
    </row>
    <row r="551">
      <c r="I551" s="6">
        <f t="shared" si="4"/>
        <v>0.55</v>
      </c>
      <c r="J551" s="4">
        <f t="shared" si="2"/>
        <v>0.000002253475785</v>
      </c>
    </row>
    <row r="552">
      <c r="I552" s="6">
        <f t="shared" si="4"/>
        <v>0.551</v>
      </c>
      <c r="J552" s="4">
        <f t="shared" si="2"/>
        <v>0.000002257800032</v>
      </c>
    </row>
    <row r="553">
      <c r="I553" s="6">
        <f t="shared" si="4"/>
        <v>0.552</v>
      </c>
      <c r="J553" s="4">
        <f t="shared" si="2"/>
        <v>0.000002262125679</v>
      </c>
    </row>
    <row r="554">
      <c r="I554" s="6">
        <f t="shared" si="4"/>
        <v>0.553</v>
      </c>
      <c r="J554" s="4">
        <f t="shared" si="2"/>
        <v>0.000002266452757</v>
      </c>
    </row>
    <row r="555">
      <c r="I555" s="6">
        <f t="shared" si="4"/>
        <v>0.554</v>
      </c>
      <c r="J555" s="4">
        <f t="shared" si="2"/>
        <v>0.000002270781293</v>
      </c>
    </row>
    <row r="556">
      <c r="I556" s="6">
        <f t="shared" si="4"/>
        <v>0.555</v>
      </c>
      <c r="J556" s="4">
        <f t="shared" si="2"/>
        <v>0.000002275111316</v>
      </c>
    </row>
    <row r="557">
      <c r="I557" s="6">
        <f t="shared" si="4"/>
        <v>0.556</v>
      </c>
      <c r="J557" s="4">
        <f t="shared" si="2"/>
        <v>0.000002279442854</v>
      </c>
    </row>
    <row r="558">
      <c r="I558" s="6">
        <f t="shared" si="4"/>
        <v>0.557</v>
      </c>
      <c r="J558" s="4">
        <f t="shared" si="2"/>
        <v>0.000002283775937</v>
      </c>
    </row>
    <row r="559">
      <c r="I559" s="6">
        <f t="shared" si="4"/>
        <v>0.558</v>
      </c>
      <c r="J559" s="4">
        <f t="shared" si="2"/>
        <v>0.000002288110594</v>
      </c>
    </row>
    <row r="560">
      <c r="I560" s="6">
        <f t="shared" si="4"/>
        <v>0.559</v>
      </c>
      <c r="J560" s="4">
        <f t="shared" si="2"/>
        <v>0.000002292446854</v>
      </c>
    </row>
    <row r="561">
      <c r="I561" s="6">
        <f t="shared" si="4"/>
        <v>0.56</v>
      </c>
      <c r="J561" s="4">
        <f t="shared" si="2"/>
        <v>0.000002296784745</v>
      </c>
    </row>
    <row r="562">
      <c r="I562" s="6">
        <f t="shared" si="4"/>
        <v>0.561</v>
      </c>
      <c r="J562" s="4">
        <f t="shared" si="2"/>
        <v>0.000002301124296</v>
      </c>
    </row>
    <row r="563">
      <c r="I563" s="6">
        <f t="shared" si="4"/>
        <v>0.562</v>
      </c>
      <c r="J563" s="4">
        <f t="shared" si="2"/>
        <v>0.000002305465538</v>
      </c>
    </row>
    <row r="564">
      <c r="I564" s="6">
        <f t="shared" si="4"/>
        <v>0.563</v>
      </c>
      <c r="J564" s="4">
        <f t="shared" si="2"/>
        <v>0.000002309808499</v>
      </c>
    </row>
    <row r="565">
      <c r="I565" s="6">
        <f t="shared" si="4"/>
        <v>0.564</v>
      </c>
      <c r="J565" s="4">
        <f t="shared" si="2"/>
        <v>0.000002314153208</v>
      </c>
    </row>
    <row r="566">
      <c r="I566" s="6">
        <f t="shared" si="4"/>
        <v>0.565</v>
      </c>
      <c r="J566" s="4">
        <f t="shared" si="2"/>
        <v>0.000002318499695</v>
      </c>
    </row>
    <row r="567">
      <c r="I567" s="6">
        <f t="shared" si="4"/>
        <v>0.566</v>
      </c>
      <c r="J567" s="4">
        <f t="shared" si="2"/>
        <v>0.00000232284799</v>
      </c>
    </row>
    <row r="568">
      <c r="I568" s="6">
        <f t="shared" si="4"/>
        <v>0.567</v>
      </c>
      <c r="J568" s="4">
        <f t="shared" si="2"/>
        <v>0.000002327198122</v>
      </c>
    </row>
    <row r="569">
      <c r="I569" s="6">
        <f t="shared" si="4"/>
        <v>0.568</v>
      </c>
      <c r="J569" s="4">
        <f t="shared" si="2"/>
        <v>0.00000233155012</v>
      </c>
    </row>
    <row r="570">
      <c r="I570" s="6">
        <f t="shared" si="4"/>
        <v>0.569</v>
      </c>
      <c r="J570" s="4">
        <f t="shared" si="2"/>
        <v>0.000002335904015</v>
      </c>
    </row>
    <row r="571">
      <c r="I571" s="6">
        <f t="shared" si="4"/>
        <v>0.57</v>
      </c>
      <c r="J571" s="4">
        <f t="shared" si="2"/>
        <v>0.000002340259837</v>
      </c>
    </row>
    <row r="572">
      <c r="I572" s="6">
        <f t="shared" si="4"/>
        <v>0.571</v>
      </c>
      <c r="J572" s="4">
        <f t="shared" si="2"/>
        <v>0.000002344617615</v>
      </c>
    </row>
    <row r="573">
      <c r="I573" s="6">
        <f t="shared" si="4"/>
        <v>0.572</v>
      </c>
      <c r="J573" s="4">
        <f t="shared" si="2"/>
        <v>0.000002348977379</v>
      </c>
    </row>
    <row r="574">
      <c r="I574" s="6">
        <f t="shared" si="4"/>
        <v>0.573</v>
      </c>
      <c r="J574" s="4">
        <f t="shared" si="2"/>
        <v>0.00000235333916</v>
      </c>
    </row>
    <row r="575">
      <c r="I575" s="6">
        <f t="shared" si="4"/>
        <v>0.574</v>
      </c>
      <c r="J575" s="4">
        <f t="shared" si="2"/>
        <v>0.000002357702987</v>
      </c>
    </row>
    <row r="576">
      <c r="I576" s="6">
        <f t="shared" si="4"/>
        <v>0.575</v>
      </c>
      <c r="J576" s="4">
        <f t="shared" si="2"/>
        <v>0.000002362068892</v>
      </c>
    </row>
    <row r="577">
      <c r="I577" s="6">
        <f t="shared" si="4"/>
        <v>0.576</v>
      </c>
      <c r="J577" s="4">
        <f t="shared" si="2"/>
        <v>0.000002366436904</v>
      </c>
    </row>
    <row r="578">
      <c r="I578" s="6">
        <f t="shared" si="4"/>
        <v>0.577</v>
      </c>
      <c r="J578" s="4">
        <f t="shared" si="2"/>
        <v>0.000002370807054</v>
      </c>
    </row>
    <row r="579">
      <c r="I579" s="6">
        <f t="shared" si="4"/>
        <v>0.578</v>
      </c>
      <c r="J579" s="4">
        <f t="shared" si="2"/>
        <v>0.000002375179373</v>
      </c>
    </row>
    <row r="580">
      <c r="I580" s="6">
        <f t="shared" si="4"/>
        <v>0.579</v>
      </c>
      <c r="J580" s="4">
        <f t="shared" si="2"/>
        <v>0.000002379553892</v>
      </c>
    </row>
    <row r="581">
      <c r="I581" s="6">
        <f t="shared" si="4"/>
        <v>0.58</v>
      </c>
      <c r="J581" s="4">
        <f t="shared" si="2"/>
        <v>0.00000238393064</v>
      </c>
    </row>
    <row r="582">
      <c r="I582" s="6">
        <f t="shared" si="4"/>
        <v>0.581</v>
      </c>
      <c r="J582" s="4">
        <f t="shared" si="2"/>
        <v>0.00000238830965</v>
      </c>
    </row>
    <row r="583">
      <c r="I583" s="6">
        <f t="shared" si="4"/>
        <v>0.582</v>
      </c>
      <c r="J583" s="4">
        <f t="shared" si="2"/>
        <v>0.000002392690952</v>
      </c>
    </row>
    <row r="584">
      <c r="I584" s="6">
        <f t="shared" si="4"/>
        <v>0.583</v>
      </c>
      <c r="J584" s="4">
        <f t="shared" si="2"/>
        <v>0.000002397074577</v>
      </c>
    </row>
    <row r="585">
      <c r="I585" s="6">
        <f t="shared" si="4"/>
        <v>0.584</v>
      </c>
      <c r="J585" s="4">
        <f t="shared" si="2"/>
        <v>0.000002401460556</v>
      </c>
    </row>
    <row r="586">
      <c r="I586" s="6">
        <f t="shared" si="4"/>
        <v>0.585</v>
      </c>
      <c r="J586" s="4">
        <f t="shared" si="2"/>
        <v>0.000002405848922</v>
      </c>
    </row>
    <row r="587">
      <c r="I587" s="6">
        <f t="shared" si="4"/>
        <v>0.586</v>
      </c>
      <c r="J587" s="4">
        <f t="shared" si="2"/>
        <v>0.000002410239705</v>
      </c>
    </row>
    <row r="588">
      <c r="I588" s="6">
        <f t="shared" si="4"/>
        <v>0.587</v>
      </c>
      <c r="J588" s="4">
        <f t="shared" si="2"/>
        <v>0.000002414632937</v>
      </c>
    </row>
    <row r="589">
      <c r="I589" s="6">
        <f t="shared" si="4"/>
        <v>0.588</v>
      </c>
      <c r="J589" s="4">
        <f t="shared" si="2"/>
        <v>0.00000241902865</v>
      </c>
    </row>
    <row r="590">
      <c r="I590" s="6">
        <f t="shared" si="4"/>
        <v>0.589</v>
      </c>
      <c r="J590" s="4">
        <f t="shared" si="2"/>
        <v>0.000002423426876</v>
      </c>
    </row>
    <row r="591">
      <c r="I591" s="6">
        <f t="shared" si="4"/>
        <v>0.59</v>
      </c>
      <c r="J591" s="4">
        <f t="shared" si="2"/>
        <v>0.000002427827646</v>
      </c>
    </row>
    <row r="592">
      <c r="I592" s="6">
        <f t="shared" si="4"/>
        <v>0.591</v>
      </c>
      <c r="J592" s="4">
        <f t="shared" si="2"/>
        <v>0.000002432230993</v>
      </c>
    </row>
    <row r="593">
      <c r="I593" s="6">
        <f t="shared" si="4"/>
        <v>0.592</v>
      </c>
      <c r="J593" s="4">
        <f t="shared" si="2"/>
        <v>0.000002436636949</v>
      </c>
    </row>
    <row r="594">
      <c r="I594" s="6">
        <f t="shared" si="4"/>
        <v>0.593</v>
      </c>
      <c r="J594" s="4">
        <f t="shared" si="2"/>
        <v>0.000002441045546</v>
      </c>
    </row>
    <row r="595">
      <c r="I595" s="6">
        <f t="shared" si="4"/>
        <v>0.594</v>
      </c>
      <c r="J595" s="4">
        <f t="shared" si="2"/>
        <v>0.000002445456816</v>
      </c>
    </row>
    <row r="596">
      <c r="I596" s="6">
        <f t="shared" si="4"/>
        <v>0.595</v>
      </c>
      <c r="J596" s="4">
        <f t="shared" si="2"/>
        <v>0.000002449870793</v>
      </c>
    </row>
    <row r="597">
      <c r="I597" s="6">
        <f t="shared" si="4"/>
        <v>0.596</v>
      </c>
      <c r="J597" s="4">
        <f t="shared" si="2"/>
        <v>0.000002454287509</v>
      </c>
    </row>
    <row r="598">
      <c r="I598" s="6">
        <f t="shared" si="4"/>
        <v>0.597</v>
      </c>
      <c r="J598" s="4">
        <f t="shared" si="2"/>
        <v>0.000002458706997</v>
      </c>
    </row>
    <row r="599">
      <c r="I599" s="6">
        <f t="shared" si="4"/>
        <v>0.598</v>
      </c>
      <c r="J599" s="4">
        <f t="shared" si="2"/>
        <v>0.000002463129289</v>
      </c>
    </row>
    <row r="600">
      <c r="I600" s="6">
        <f t="shared" si="4"/>
        <v>0.599</v>
      </c>
      <c r="J600" s="4">
        <f t="shared" si="2"/>
        <v>0.00000246755442</v>
      </c>
    </row>
    <row r="601">
      <c r="I601" s="6">
        <f t="shared" si="4"/>
        <v>0.6</v>
      </c>
      <c r="J601" s="4">
        <f t="shared" si="2"/>
        <v>0.000002471982422</v>
      </c>
    </row>
    <row r="602">
      <c r="I602" s="6">
        <f t="shared" si="4"/>
        <v>0.601</v>
      </c>
      <c r="J602" s="4">
        <f t="shared" si="2"/>
        <v>0.000002476413328</v>
      </c>
    </row>
    <row r="603">
      <c r="I603" s="6">
        <f t="shared" si="4"/>
        <v>0.602</v>
      </c>
      <c r="J603" s="4">
        <f t="shared" si="2"/>
        <v>0.000002480847173</v>
      </c>
    </row>
    <row r="604">
      <c r="I604" s="6">
        <f t="shared" si="4"/>
        <v>0.603</v>
      </c>
      <c r="J604" s="4">
        <f t="shared" si="2"/>
        <v>0.000002485283989</v>
      </c>
    </row>
    <row r="605">
      <c r="I605" s="6">
        <f t="shared" si="4"/>
        <v>0.604</v>
      </c>
      <c r="J605" s="4">
        <f t="shared" si="2"/>
        <v>0.000002489723811</v>
      </c>
    </row>
    <row r="606">
      <c r="I606" s="6">
        <f t="shared" si="4"/>
        <v>0.605</v>
      </c>
      <c r="J606" s="4">
        <f t="shared" si="2"/>
        <v>0.000002494166673</v>
      </c>
    </row>
    <row r="607">
      <c r="I607" s="6">
        <f t="shared" si="4"/>
        <v>0.606</v>
      </c>
      <c r="J607" s="4">
        <f t="shared" si="2"/>
        <v>0.000002498612609</v>
      </c>
    </row>
    <row r="608">
      <c r="I608" s="6">
        <f t="shared" si="4"/>
        <v>0.607</v>
      </c>
      <c r="J608" s="4">
        <f t="shared" si="2"/>
        <v>0.000002503061654</v>
      </c>
    </row>
    <row r="609">
      <c r="I609" s="6">
        <f t="shared" si="4"/>
        <v>0.608</v>
      </c>
      <c r="J609" s="4">
        <f t="shared" si="2"/>
        <v>0.000002507513841</v>
      </c>
    </row>
    <row r="610">
      <c r="I610" s="6">
        <f t="shared" si="4"/>
        <v>0.609</v>
      </c>
      <c r="J610" s="4">
        <f t="shared" si="2"/>
        <v>0.000002511969205</v>
      </c>
    </row>
    <row r="611">
      <c r="I611" s="6">
        <f t="shared" si="4"/>
        <v>0.61</v>
      </c>
      <c r="J611" s="4">
        <f t="shared" si="2"/>
        <v>0.000002516427781</v>
      </c>
    </row>
    <row r="612">
      <c r="I612" s="6">
        <f t="shared" si="4"/>
        <v>0.611</v>
      </c>
      <c r="J612" s="4">
        <f t="shared" si="2"/>
        <v>0.000002520889605</v>
      </c>
    </row>
    <row r="613">
      <c r="I613" s="6">
        <f t="shared" si="4"/>
        <v>0.612</v>
      </c>
      <c r="J613" s="4">
        <f t="shared" si="2"/>
        <v>0.00000252535471</v>
      </c>
    </row>
    <row r="614">
      <c r="I614" s="6">
        <f t="shared" si="4"/>
        <v>0.613</v>
      </c>
      <c r="J614" s="4">
        <f t="shared" si="2"/>
        <v>0.000002529823133</v>
      </c>
    </row>
    <row r="615">
      <c r="I615" s="6">
        <f t="shared" si="4"/>
        <v>0.614</v>
      </c>
      <c r="J615" s="4">
        <f t="shared" si="2"/>
        <v>0.000002534294909</v>
      </c>
    </row>
    <row r="616">
      <c r="I616" s="6">
        <f t="shared" si="4"/>
        <v>0.615</v>
      </c>
      <c r="J616" s="4">
        <f t="shared" si="2"/>
        <v>0.000002538770073</v>
      </c>
    </row>
    <row r="617">
      <c r="I617" s="6">
        <f t="shared" si="4"/>
        <v>0.616</v>
      </c>
      <c r="J617" s="4">
        <f t="shared" si="2"/>
        <v>0.000002543248662</v>
      </c>
    </row>
    <row r="618">
      <c r="I618" s="6">
        <f t="shared" si="4"/>
        <v>0.617</v>
      </c>
      <c r="J618" s="4">
        <f t="shared" si="2"/>
        <v>0.000002547730711</v>
      </c>
    </row>
    <row r="619">
      <c r="I619" s="6">
        <f t="shared" si="4"/>
        <v>0.618</v>
      </c>
      <c r="J619" s="4">
        <f t="shared" si="2"/>
        <v>0.000002552216256</v>
      </c>
    </row>
    <row r="620">
      <c r="I620" s="6">
        <f t="shared" si="4"/>
        <v>0.619</v>
      </c>
      <c r="J620" s="4">
        <f t="shared" si="2"/>
        <v>0.000002556705334</v>
      </c>
    </row>
    <row r="621">
      <c r="I621" s="6">
        <f t="shared" si="4"/>
        <v>0.62</v>
      </c>
      <c r="J621" s="4">
        <f t="shared" si="2"/>
        <v>0.000002561197981</v>
      </c>
    </row>
    <row r="622">
      <c r="I622" s="6">
        <f t="shared" si="4"/>
        <v>0.621</v>
      </c>
      <c r="J622" s="4">
        <f t="shared" si="2"/>
        <v>0.000002565694234</v>
      </c>
    </row>
    <row r="623">
      <c r="I623" s="6">
        <f t="shared" si="4"/>
        <v>0.622</v>
      </c>
      <c r="J623" s="4">
        <f t="shared" si="2"/>
        <v>0.00000257019413</v>
      </c>
    </row>
    <row r="624">
      <c r="I624" s="6">
        <f t="shared" si="4"/>
        <v>0.623</v>
      </c>
      <c r="J624" s="4">
        <f t="shared" si="2"/>
        <v>0.000002574697706</v>
      </c>
    </row>
    <row r="625">
      <c r="I625" s="6">
        <f t="shared" si="4"/>
        <v>0.624</v>
      </c>
      <c r="J625" s="4">
        <f t="shared" si="2"/>
        <v>0.000002579204998</v>
      </c>
    </row>
    <row r="626">
      <c r="I626" s="6">
        <f t="shared" si="4"/>
        <v>0.625</v>
      </c>
      <c r="J626" s="4">
        <f t="shared" si="2"/>
        <v>0.000002583716046</v>
      </c>
    </row>
    <row r="627">
      <c r="I627" s="6">
        <f t="shared" si="4"/>
        <v>0.626</v>
      </c>
      <c r="J627" s="4">
        <f t="shared" si="2"/>
        <v>0.000002588230886</v>
      </c>
    </row>
    <row r="628">
      <c r="I628" s="6">
        <f t="shared" si="4"/>
        <v>0.627</v>
      </c>
      <c r="J628" s="4">
        <f t="shared" si="2"/>
        <v>0.000002592749555</v>
      </c>
    </row>
    <row r="629">
      <c r="I629" s="6">
        <f t="shared" si="4"/>
        <v>0.628</v>
      </c>
      <c r="J629" s="4">
        <f t="shared" si="2"/>
        <v>0.000002597272093</v>
      </c>
    </row>
    <row r="630">
      <c r="I630" s="6">
        <f t="shared" si="4"/>
        <v>0.629</v>
      </c>
      <c r="J630" s="4">
        <f t="shared" si="2"/>
        <v>0.000002601798538</v>
      </c>
    </row>
    <row r="631">
      <c r="I631" s="6">
        <f t="shared" si="4"/>
        <v>0.63</v>
      </c>
      <c r="J631" s="4">
        <f t="shared" si="2"/>
        <v>0.000002606328927</v>
      </c>
    </row>
    <row r="632">
      <c r="I632" s="6">
        <f t="shared" si="4"/>
        <v>0.631</v>
      </c>
      <c r="J632" s="4">
        <f t="shared" si="2"/>
        <v>0.0000026108633</v>
      </c>
    </row>
    <row r="633">
      <c r="I633" s="6">
        <f t="shared" si="4"/>
        <v>0.632</v>
      </c>
      <c r="J633" s="4">
        <f t="shared" si="2"/>
        <v>0.000002615401696</v>
      </c>
    </row>
    <row r="634">
      <c r="I634" s="6">
        <f t="shared" si="4"/>
        <v>0.633</v>
      </c>
      <c r="J634" s="4">
        <f t="shared" si="2"/>
        <v>0.000002619944153</v>
      </c>
    </row>
    <row r="635">
      <c r="I635" s="6">
        <f t="shared" si="4"/>
        <v>0.634</v>
      </c>
      <c r="J635" s="4">
        <f t="shared" si="2"/>
        <v>0.000002624490711</v>
      </c>
    </row>
    <row r="636">
      <c r="I636" s="6">
        <f t="shared" si="4"/>
        <v>0.635</v>
      </c>
      <c r="J636" s="4">
        <f t="shared" si="2"/>
        <v>0.00000262904141</v>
      </c>
    </row>
    <row r="637">
      <c r="I637" s="6">
        <f t="shared" si="4"/>
        <v>0.636</v>
      </c>
      <c r="J637" s="4">
        <f t="shared" si="2"/>
        <v>0.000002633596289</v>
      </c>
    </row>
    <row r="638">
      <c r="I638" s="6">
        <f t="shared" si="4"/>
        <v>0.637</v>
      </c>
      <c r="J638" s="4">
        <f t="shared" si="2"/>
        <v>0.000002638155388</v>
      </c>
    </row>
    <row r="639">
      <c r="I639" s="6">
        <f t="shared" si="4"/>
        <v>0.638</v>
      </c>
      <c r="J639" s="4">
        <f t="shared" si="2"/>
        <v>0.000002642718748</v>
      </c>
    </row>
    <row r="640">
      <c r="I640" s="6">
        <f t="shared" si="4"/>
        <v>0.639</v>
      </c>
      <c r="J640" s="4">
        <f t="shared" si="2"/>
        <v>0.000002647286409</v>
      </c>
    </row>
    <row r="641">
      <c r="I641" s="6">
        <f t="shared" si="4"/>
        <v>0.64</v>
      </c>
      <c r="J641" s="4">
        <f t="shared" si="2"/>
        <v>0.000002651858412</v>
      </c>
    </row>
    <row r="642">
      <c r="I642" s="6">
        <f t="shared" si="4"/>
        <v>0.641</v>
      </c>
      <c r="J642" s="4">
        <f t="shared" si="2"/>
        <v>0.000002656434798</v>
      </c>
    </row>
    <row r="643">
      <c r="I643" s="6">
        <f t="shared" si="4"/>
        <v>0.642</v>
      </c>
      <c r="J643" s="4">
        <f t="shared" si="2"/>
        <v>0.000002661015607</v>
      </c>
    </row>
    <row r="644">
      <c r="I644" s="6">
        <f t="shared" si="4"/>
        <v>0.643</v>
      </c>
      <c r="J644" s="4">
        <f t="shared" si="2"/>
        <v>0.000002665600882</v>
      </c>
    </row>
    <row r="645">
      <c r="I645" s="6">
        <f t="shared" si="4"/>
        <v>0.644</v>
      </c>
      <c r="J645" s="4">
        <f t="shared" si="2"/>
        <v>0.000002670190665</v>
      </c>
    </row>
    <row r="646">
      <c r="I646" s="6">
        <f t="shared" si="4"/>
        <v>0.645</v>
      </c>
      <c r="J646" s="4">
        <f t="shared" si="2"/>
        <v>0.000002674784996</v>
      </c>
    </row>
    <row r="647">
      <c r="I647" s="6">
        <f t="shared" si="4"/>
        <v>0.646</v>
      </c>
      <c r="J647" s="4">
        <f t="shared" si="2"/>
        <v>0.000002679383918</v>
      </c>
    </row>
    <row r="648">
      <c r="I648" s="6">
        <f t="shared" si="4"/>
        <v>0.647</v>
      </c>
      <c r="J648" s="4">
        <f t="shared" si="2"/>
        <v>0.000002683987474</v>
      </c>
    </row>
    <row r="649">
      <c r="I649" s="6">
        <f t="shared" si="4"/>
        <v>0.648</v>
      </c>
      <c r="J649" s="4">
        <f t="shared" si="2"/>
        <v>0.000002688595707</v>
      </c>
    </row>
    <row r="650">
      <c r="I650" s="6">
        <f t="shared" si="4"/>
        <v>0.649</v>
      </c>
      <c r="J650" s="4">
        <f t="shared" si="2"/>
        <v>0.000002693208659</v>
      </c>
    </row>
    <row r="651">
      <c r="I651" s="6">
        <f t="shared" si="4"/>
        <v>0.65</v>
      </c>
      <c r="J651" s="4">
        <f t="shared" si="2"/>
        <v>0.000002697826373</v>
      </c>
    </row>
    <row r="652">
      <c r="I652" s="6">
        <f t="shared" si="4"/>
        <v>0.651</v>
      </c>
      <c r="J652" s="4">
        <f t="shared" si="2"/>
        <v>0.000002702448894</v>
      </c>
    </row>
    <row r="653">
      <c r="I653" s="6">
        <f t="shared" si="4"/>
        <v>0.652</v>
      </c>
      <c r="J653" s="4">
        <f t="shared" si="2"/>
        <v>0.000002707076266</v>
      </c>
    </row>
    <row r="654">
      <c r="I654" s="6">
        <f t="shared" si="4"/>
        <v>0.653</v>
      </c>
      <c r="J654" s="4">
        <f t="shared" si="2"/>
        <v>0.000002711708531</v>
      </c>
    </row>
    <row r="655">
      <c r="I655" s="6">
        <f t="shared" si="4"/>
        <v>0.654</v>
      </c>
      <c r="J655" s="4">
        <f t="shared" si="2"/>
        <v>0.000002716345734</v>
      </c>
    </row>
    <row r="656">
      <c r="I656" s="6">
        <f t="shared" si="4"/>
        <v>0.655</v>
      </c>
      <c r="J656" s="4">
        <f t="shared" si="2"/>
        <v>0.000002720987921</v>
      </c>
    </row>
    <row r="657">
      <c r="I657" s="6">
        <f t="shared" si="4"/>
        <v>0.656</v>
      </c>
      <c r="J657" s="4">
        <f t="shared" si="2"/>
        <v>0.000002725635137</v>
      </c>
    </row>
    <row r="658">
      <c r="I658" s="6">
        <f t="shared" si="4"/>
        <v>0.657</v>
      </c>
      <c r="J658" s="4">
        <f t="shared" si="2"/>
        <v>0.000002730287425</v>
      </c>
    </row>
    <row r="659">
      <c r="I659" s="6">
        <f t="shared" si="4"/>
        <v>0.658</v>
      </c>
      <c r="J659" s="4">
        <f t="shared" si="2"/>
        <v>0.000002734944833</v>
      </c>
    </row>
    <row r="660">
      <c r="I660" s="6">
        <f t="shared" si="4"/>
        <v>0.659</v>
      </c>
      <c r="J660" s="4">
        <f t="shared" si="2"/>
        <v>0.000002739607405</v>
      </c>
    </row>
    <row r="661">
      <c r="I661" s="6">
        <f t="shared" si="4"/>
        <v>0.66</v>
      </c>
      <c r="J661" s="4">
        <f t="shared" si="2"/>
        <v>0.000002744275188</v>
      </c>
    </row>
    <row r="662">
      <c r="I662" s="6">
        <f t="shared" si="4"/>
        <v>0.661</v>
      </c>
      <c r="J662" s="4">
        <f t="shared" si="2"/>
        <v>0.000002748948229</v>
      </c>
    </row>
    <row r="663">
      <c r="I663" s="6">
        <f t="shared" si="4"/>
        <v>0.662</v>
      </c>
      <c r="J663" s="4">
        <f t="shared" si="2"/>
        <v>0.000002753626574</v>
      </c>
    </row>
    <row r="664">
      <c r="I664" s="6">
        <f t="shared" si="4"/>
        <v>0.663</v>
      </c>
      <c r="J664" s="4">
        <f t="shared" si="2"/>
        <v>0.00000275831027</v>
      </c>
    </row>
    <row r="665">
      <c r="I665" s="6">
        <f t="shared" si="4"/>
        <v>0.664</v>
      </c>
      <c r="J665" s="4">
        <f t="shared" si="2"/>
        <v>0.000002762999365</v>
      </c>
    </row>
    <row r="666">
      <c r="I666" s="6">
        <f t="shared" si="4"/>
        <v>0.665</v>
      </c>
      <c r="J666" s="4">
        <f t="shared" si="2"/>
        <v>0.000002767693907</v>
      </c>
    </row>
    <row r="667">
      <c r="I667" s="6">
        <f t="shared" si="4"/>
        <v>0.666</v>
      </c>
      <c r="J667" s="4">
        <f t="shared" si="2"/>
        <v>0.000002772393943</v>
      </c>
    </row>
    <row r="668">
      <c r="I668" s="6">
        <f t="shared" si="4"/>
        <v>0.667</v>
      </c>
      <c r="J668" s="4">
        <f t="shared" si="2"/>
        <v>0.000002777099522</v>
      </c>
    </row>
    <row r="669">
      <c r="I669" s="6">
        <f t="shared" si="4"/>
        <v>0.668</v>
      </c>
      <c r="J669" s="4">
        <f t="shared" si="2"/>
        <v>0.000002781810693</v>
      </c>
    </row>
    <row r="670">
      <c r="I670" s="6">
        <f t="shared" si="4"/>
        <v>0.669</v>
      </c>
      <c r="J670" s="4">
        <f t="shared" si="2"/>
        <v>0.000002786527504</v>
      </c>
    </row>
    <row r="671">
      <c r="I671" s="6">
        <f t="shared" si="4"/>
        <v>0.67</v>
      </c>
      <c r="J671" s="4">
        <f t="shared" si="2"/>
        <v>0.000002791250006</v>
      </c>
    </row>
    <row r="672">
      <c r="I672" s="6">
        <f t="shared" si="4"/>
        <v>0.671</v>
      </c>
      <c r="J672" s="4">
        <f t="shared" si="2"/>
        <v>0.000002795978248</v>
      </c>
    </row>
    <row r="673">
      <c r="I673" s="6">
        <f t="shared" si="4"/>
        <v>0.672</v>
      </c>
      <c r="J673" s="4">
        <f t="shared" si="2"/>
        <v>0.00000280071228</v>
      </c>
    </row>
    <row r="674">
      <c r="I674" s="6">
        <f t="shared" si="4"/>
        <v>0.673</v>
      </c>
      <c r="J674" s="4">
        <f t="shared" si="2"/>
        <v>0.000002805452153</v>
      </c>
    </row>
    <row r="675">
      <c r="I675" s="6">
        <f t="shared" si="4"/>
        <v>0.674</v>
      </c>
      <c r="J675" s="4">
        <f t="shared" si="2"/>
        <v>0.000002810197918</v>
      </c>
    </row>
    <row r="676">
      <c r="I676" s="6">
        <f t="shared" si="4"/>
        <v>0.675</v>
      </c>
      <c r="J676" s="4">
        <f t="shared" si="2"/>
        <v>0.000002814949625</v>
      </c>
    </row>
    <row r="677">
      <c r="I677" s="6">
        <f t="shared" si="4"/>
        <v>0.676</v>
      </c>
      <c r="J677" s="4">
        <f t="shared" si="2"/>
        <v>0.000002819707327</v>
      </c>
    </row>
    <row r="678">
      <c r="I678" s="6">
        <f t="shared" si="4"/>
        <v>0.677</v>
      </c>
      <c r="J678" s="4">
        <f t="shared" si="2"/>
        <v>0.000002824471076</v>
      </c>
    </row>
    <row r="679">
      <c r="I679" s="6">
        <f t="shared" si="4"/>
        <v>0.678</v>
      </c>
      <c r="J679" s="4">
        <f t="shared" si="2"/>
        <v>0.000002829240923</v>
      </c>
    </row>
    <row r="680">
      <c r="I680" s="6">
        <f t="shared" si="4"/>
        <v>0.679</v>
      </c>
      <c r="J680" s="4">
        <f t="shared" si="2"/>
        <v>0.000002834016922</v>
      </c>
    </row>
    <row r="681">
      <c r="I681" s="6">
        <f t="shared" si="4"/>
        <v>0.68</v>
      </c>
      <c r="J681" s="4">
        <f t="shared" si="2"/>
        <v>0.000002838799126</v>
      </c>
    </row>
    <row r="682">
      <c r="I682" s="6">
        <f t="shared" si="4"/>
        <v>0.681</v>
      </c>
      <c r="J682" s="4">
        <f t="shared" si="2"/>
        <v>0.000002843587589</v>
      </c>
    </row>
    <row r="683">
      <c r="I683" s="6">
        <f t="shared" si="4"/>
        <v>0.682</v>
      </c>
      <c r="J683" s="4">
        <f t="shared" si="2"/>
        <v>0.000002848382364</v>
      </c>
    </row>
    <row r="684">
      <c r="I684" s="6">
        <f t="shared" si="4"/>
        <v>0.683</v>
      </c>
      <c r="J684" s="4">
        <f t="shared" si="2"/>
        <v>0.000002853183505</v>
      </c>
    </row>
    <row r="685">
      <c r="I685" s="6">
        <f t="shared" si="4"/>
        <v>0.684</v>
      </c>
      <c r="J685" s="4">
        <f t="shared" si="2"/>
        <v>0.000002857991069</v>
      </c>
    </row>
    <row r="686">
      <c r="I686" s="6">
        <f t="shared" si="4"/>
        <v>0.685</v>
      </c>
      <c r="J686" s="4">
        <f t="shared" si="2"/>
        <v>0.000002862805109</v>
      </c>
    </row>
    <row r="687">
      <c r="I687" s="6">
        <f t="shared" si="4"/>
        <v>0.686</v>
      </c>
      <c r="J687" s="4">
        <f t="shared" si="2"/>
        <v>0.000002867625683</v>
      </c>
    </row>
    <row r="688">
      <c r="I688" s="6">
        <f t="shared" si="4"/>
        <v>0.687</v>
      </c>
      <c r="J688" s="4">
        <f t="shared" si="2"/>
        <v>0.000002872452845</v>
      </c>
    </row>
    <row r="689">
      <c r="I689" s="6">
        <f t="shared" si="4"/>
        <v>0.688</v>
      </c>
      <c r="J689" s="4">
        <f t="shared" si="2"/>
        <v>0.000002877286652</v>
      </c>
    </row>
    <row r="690">
      <c r="I690" s="6">
        <f t="shared" si="4"/>
        <v>0.689</v>
      </c>
      <c r="J690" s="4">
        <f t="shared" si="2"/>
        <v>0.000002882127161</v>
      </c>
    </row>
    <row r="691">
      <c r="I691" s="6">
        <f t="shared" si="4"/>
        <v>0.69</v>
      </c>
      <c r="J691" s="4">
        <f t="shared" si="2"/>
        <v>0.00000288697443</v>
      </c>
    </row>
    <row r="692">
      <c r="I692" s="6">
        <f t="shared" si="4"/>
        <v>0.691</v>
      </c>
      <c r="J692" s="4">
        <f t="shared" si="2"/>
        <v>0.000002891828517</v>
      </c>
    </row>
    <row r="693">
      <c r="I693" s="6">
        <f t="shared" si="4"/>
        <v>0.692</v>
      </c>
      <c r="J693" s="4">
        <f t="shared" si="2"/>
        <v>0.00000289668948</v>
      </c>
    </row>
    <row r="694">
      <c r="I694" s="6">
        <f t="shared" si="4"/>
        <v>0.693</v>
      </c>
      <c r="J694" s="4">
        <f t="shared" si="2"/>
        <v>0.000002901557378</v>
      </c>
    </row>
    <row r="695">
      <c r="I695" s="6">
        <f t="shared" si="4"/>
        <v>0.694</v>
      </c>
      <c r="J695" s="4">
        <f t="shared" si="2"/>
        <v>0.00000290643227</v>
      </c>
    </row>
    <row r="696">
      <c r="I696" s="6">
        <f t="shared" si="4"/>
        <v>0.695</v>
      </c>
      <c r="J696" s="4">
        <f t="shared" si="2"/>
        <v>0.000002911314215</v>
      </c>
    </row>
    <row r="697">
      <c r="I697" s="6">
        <f t="shared" si="4"/>
        <v>0.696</v>
      </c>
      <c r="J697" s="4">
        <f t="shared" si="2"/>
        <v>0.000002916203275</v>
      </c>
    </row>
    <row r="698">
      <c r="I698" s="6">
        <f t="shared" si="4"/>
        <v>0.697</v>
      </c>
      <c r="J698" s="4">
        <f t="shared" si="2"/>
        <v>0.000002921099511</v>
      </c>
    </row>
    <row r="699">
      <c r="I699" s="6">
        <f t="shared" si="4"/>
        <v>0.698</v>
      </c>
      <c r="J699" s="4">
        <f t="shared" si="2"/>
        <v>0.000002926002982</v>
      </c>
    </row>
    <row r="700">
      <c r="I700" s="6">
        <f t="shared" si="4"/>
        <v>0.699</v>
      </c>
      <c r="J700" s="4">
        <f t="shared" si="2"/>
        <v>0.000002930913752</v>
      </c>
    </row>
    <row r="701">
      <c r="I701" s="6">
        <f t="shared" si="4"/>
        <v>0.7</v>
      </c>
      <c r="J701" s="4">
        <f t="shared" si="2"/>
        <v>0.000002935831882</v>
      </c>
    </row>
    <row r="702">
      <c r="I702" s="6">
        <f t="shared" si="4"/>
        <v>0.701</v>
      </c>
      <c r="J702" s="4">
        <f t="shared" si="2"/>
        <v>0.000002940757435</v>
      </c>
    </row>
    <row r="703">
      <c r="I703" s="6">
        <f t="shared" si="4"/>
        <v>0.702</v>
      </c>
      <c r="J703" s="4">
        <f t="shared" si="2"/>
        <v>0.000002945690475</v>
      </c>
    </row>
    <row r="704">
      <c r="I704" s="6">
        <f t="shared" si="4"/>
        <v>0.703</v>
      </c>
      <c r="J704" s="4">
        <f t="shared" si="2"/>
        <v>0.000002950631066</v>
      </c>
    </row>
    <row r="705">
      <c r="I705" s="6">
        <f t="shared" si="4"/>
        <v>0.704</v>
      </c>
      <c r="J705" s="4">
        <f t="shared" si="2"/>
        <v>0.000002955579271</v>
      </c>
    </row>
    <row r="706">
      <c r="I706" s="6">
        <f t="shared" si="4"/>
        <v>0.705</v>
      </c>
      <c r="J706" s="4">
        <f t="shared" si="2"/>
        <v>0.000002960535157</v>
      </c>
    </row>
    <row r="707">
      <c r="I707" s="6">
        <f t="shared" si="4"/>
        <v>0.706</v>
      </c>
      <c r="J707" s="4">
        <f t="shared" si="2"/>
        <v>0.000002965498789</v>
      </c>
    </row>
    <row r="708">
      <c r="I708" s="6">
        <f t="shared" si="4"/>
        <v>0.707</v>
      </c>
      <c r="J708" s="4">
        <f t="shared" si="2"/>
        <v>0.000002970470232</v>
      </c>
    </row>
    <row r="709">
      <c r="I709" s="6">
        <f t="shared" si="4"/>
        <v>0.708</v>
      </c>
      <c r="J709" s="4">
        <f t="shared" si="2"/>
        <v>0.000002975449553</v>
      </c>
    </row>
    <row r="710">
      <c r="I710" s="6">
        <f t="shared" si="4"/>
        <v>0.709</v>
      </c>
      <c r="J710" s="4">
        <f t="shared" si="2"/>
        <v>0.000002980436821</v>
      </c>
    </row>
    <row r="711">
      <c r="I711" s="6">
        <f t="shared" si="4"/>
        <v>0.71</v>
      </c>
      <c r="J711" s="4">
        <f t="shared" si="2"/>
        <v>0.000002985432102</v>
      </c>
    </row>
    <row r="712">
      <c r="I712" s="6">
        <f t="shared" si="4"/>
        <v>0.711</v>
      </c>
      <c r="J712" s="4">
        <f t="shared" si="2"/>
        <v>0.000002990435465</v>
      </c>
    </row>
    <row r="713">
      <c r="I713" s="6">
        <f t="shared" si="4"/>
        <v>0.712</v>
      </c>
      <c r="J713" s="4">
        <f t="shared" si="2"/>
        <v>0.000002995446979</v>
      </c>
    </row>
    <row r="714">
      <c r="I714" s="6">
        <f t="shared" si="4"/>
        <v>0.713</v>
      </c>
      <c r="J714" s="4">
        <f t="shared" si="2"/>
        <v>0.000003000466715</v>
      </c>
    </row>
    <row r="715">
      <c r="I715" s="6">
        <f t="shared" si="4"/>
        <v>0.714</v>
      </c>
      <c r="J715" s="4">
        <f t="shared" si="2"/>
        <v>0.000003005494741</v>
      </c>
    </row>
    <row r="716">
      <c r="I716" s="6">
        <f t="shared" si="4"/>
        <v>0.715</v>
      </c>
      <c r="J716" s="4">
        <f t="shared" si="2"/>
        <v>0.000003010531131</v>
      </c>
    </row>
    <row r="717">
      <c r="I717" s="6">
        <f t="shared" si="4"/>
        <v>0.716</v>
      </c>
      <c r="J717" s="4">
        <f t="shared" si="2"/>
        <v>0.000003015575954</v>
      </c>
    </row>
    <row r="718">
      <c r="I718" s="6">
        <f t="shared" si="4"/>
        <v>0.717</v>
      </c>
      <c r="J718" s="4">
        <f t="shared" si="2"/>
        <v>0.000003020629283</v>
      </c>
    </row>
    <row r="719">
      <c r="I719" s="6">
        <f t="shared" si="4"/>
        <v>0.718</v>
      </c>
      <c r="J719" s="4">
        <f t="shared" si="2"/>
        <v>0.000003025691192</v>
      </c>
    </row>
    <row r="720">
      <c r="I720" s="6">
        <f t="shared" si="4"/>
        <v>0.719</v>
      </c>
      <c r="J720" s="4">
        <f t="shared" si="2"/>
        <v>0.000003030761753</v>
      </c>
    </row>
    <row r="721">
      <c r="I721" s="6">
        <f t="shared" si="4"/>
        <v>0.72</v>
      </c>
      <c r="J721" s="4">
        <f t="shared" si="2"/>
        <v>0.000003035841041</v>
      </c>
    </row>
    <row r="722">
      <c r="I722" s="6">
        <f t="shared" si="4"/>
        <v>0.721</v>
      </c>
      <c r="J722" s="4">
        <f t="shared" si="2"/>
        <v>0.000003040929132</v>
      </c>
    </row>
    <row r="723">
      <c r="I723" s="6">
        <f t="shared" si="4"/>
        <v>0.722</v>
      </c>
      <c r="J723" s="4">
        <f t="shared" si="2"/>
        <v>0.0000030460261</v>
      </c>
    </row>
    <row r="724">
      <c r="I724" s="6">
        <f t="shared" si="4"/>
        <v>0.723</v>
      </c>
      <c r="J724" s="4">
        <f t="shared" si="2"/>
        <v>0.000003051132023</v>
      </c>
    </row>
    <row r="725">
      <c r="I725" s="6">
        <f t="shared" si="4"/>
        <v>0.724</v>
      </c>
      <c r="J725" s="4">
        <f t="shared" si="2"/>
        <v>0.000003056246977</v>
      </c>
    </row>
    <row r="726">
      <c r="I726" s="6">
        <f t="shared" si="4"/>
        <v>0.725</v>
      </c>
      <c r="J726" s="4">
        <f t="shared" si="2"/>
        <v>0.00000306137104</v>
      </c>
    </row>
    <row r="727">
      <c r="I727" s="6">
        <f t="shared" si="4"/>
        <v>0.726</v>
      </c>
      <c r="J727" s="4">
        <f t="shared" si="2"/>
        <v>0.000003066504291</v>
      </c>
    </row>
    <row r="728">
      <c r="I728" s="6">
        <f t="shared" si="4"/>
        <v>0.727</v>
      </c>
      <c r="J728" s="4">
        <f t="shared" si="2"/>
        <v>0.000003071646809</v>
      </c>
    </row>
    <row r="729">
      <c r="I729" s="6">
        <f t="shared" si="4"/>
        <v>0.728</v>
      </c>
      <c r="J729" s="4">
        <f t="shared" si="2"/>
        <v>0.000003076798675</v>
      </c>
    </row>
    <row r="730">
      <c r="I730" s="6">
        <f t="shared" si="4"/>
        <v>0.729</v>
      </c>
      <c r="J730" s="4">
        <f t="shared" si="2"/>
        <v>0.000003081959969</v>
      </c>
    </row>
    <row r="731">
      <c r="I731" s="6">
        <f t="shared" si="4"/>
        <v>0.73</v>
      </c>
      <c r="J731" s="4">
        <f t="shared" si="2"/>
        <v>0.000003087130772</v>
      </c>
    </row>
    <row r="732">
      <c r="I732" s="6">
        <f t="shared" si="4"/>
        <v>0.731</v>
      </c>
      <c r="J732" s="4">
        <f t="shared" si="2"/>
        <v>0.000003092311169</v>
      </c>
    </row>
    <row r="733">
      <c r="I733" s="6">
        <f t="shared" si="4"/>
        <v>0.732</v>
      </c>
      <c r="J733" s="4">
        <f t="shared" si="2"/>
        <v>0.00000309750124</v>
      </c>
    </row>
    <row r="734">
      <c r="I734" s="6">
        <f t="shared" si="4"/>
        <v>0.733</v>
      </c>
      <c r="J734" s="4">
        <f t="shared" si="2"/>
        <v>0.000003102701072</v>
      </c>
    </row>
    <row r="735">
      <c r="I735" s="6">
        <f t="shared" si="4"/>
        <v>0.734</v>
      </c>
      <c r="J735" s="4">
        <f t="shared" si="2"/>
        <v>0.000003107910748</v>
      </c>
    </row>
    <row r="736">
      <c r="I736" s="6">
        <f t="shared" si="4"/>
        <v>0.735</v>
      </c>
      <c r="J736" s="4">
        <f t="shared" si="2"/>
        <v>0.000003113130356</v>
      </c>
    </row>
    <row r="737">
      <c r="I737" s="6">
        <f t="shared" si="4"/>
        <v>0.736</v>
      </c>
      <c r="J737" s="4">
        <f t="shared" si="2"/>
        <v>0.00000311835998</v>
      </c>
    </row>
    <row r="738">
      <c r="I738" s="6">
        <f t="shared" si="4"/>
        <v>0.737</v>
      </c>
      <c r="J738" s="4">
        <f t="shared" si="2"/>
        <v>0.000003123599709</v>
      </c>
    </row>
    <row r="739">
      <c r="I739" s="6">
        <f t="shared" si="4"/>
        <v>0.738</v>
      </c>
      <c r="J739" s="4">
        <f t="shared" si="2"/>
        <v>0.000003128849632</v>
      </c>
    </row>
    <row r="740">
      <c r="I740" s="6">
        <f t="shared" si="4"/>
        <v>0.739</v>
      </c>
      <c r="J740" s="4">
        <f t="shared" si="2"/>
        <v>0.000003134109837</v>
      </c>
    </row>
    <row r="741">
      <c r="I741" s="6">
        <f t="shared" si="4"/>
        <v>0.74</v>
      </c>
      <c r="J741" s="4">
        <f t="shared" si="2"/>
        <v>0.000003139380415</v>
      </c>
    </row>
    <row r="742">
      <c r="I742" s="6">
        <f t="shared" si="4"/>
        <v>0.741</v>
      </c>
      <c r="J742" s="4">
        <f t="shared" si="2"/>
        <v>0.000003144661457</v>
      </c>
    </row>
    <row r="743">
      <c r="I743" s="6">
        <f t="shared" si="4"/>
        <v>0.742</v>
      </c>
      <c r="J743" s="4">
        <f t="shared" si="2"/>
        <v>0.000003149953056</v>
      </c>
    </row>
    <row r="744">
      <c r="I744" s="6">
        <f t="shared" si="4"/>
        <v>0.743</v>
      </c>
      <c r="J744" s="4">
        <f t="shared" si="2"/>
        <v>0.000003155255303</v>
      </c>
    </row>
    <row r="745">
      <c r="I745" s="6">
        <f t="shared" si="4"/>
        <v>0.744</v>
      </c>
      <c r="J745" s="4">
        <f t="shared" si="2"/>
        <v>0.000003160568294</v>
      </c>
    </row>
    <row r="746">
      <c r="I746" s="6">
        <f t="shared" si="4"/>
        <v>0.745</v>
      </c>
      <c r="J746" s="4">
        <f t="shared" si="2"/>
        <v>0.000003165892124</v>
      </c>
    </row>
    <row r="747">
      <c r="I747" s="6">
        <f t="shared" si="4"/>
        <v>0.746</v>
      </c>
      <c r="J747" s="4">
        <f t="shared" si="2"/>
        <v>0.000003171226888</v>
      </c>
    </row>
    <row r="748">
      <c r="I748" s="6">
        <f t="shared" si="4"/>
        <v>0.747</v>
      </c>
      <c r="J748" s="4">
        <f t="shared" si="2"/>
        <v>0.000003176572683</v>
      </c>
    </row>
    <row r="749">
      <c r="I749" s="6">
        <f t="shared" si="4"/>
        <v>0.748</v>
      </c>
      <c r="J749" s="4">
        <f t="shared" si="2"/>
        <v>0.000003181929608</v>
      </c>
    </row>
    <row r="750">
      <c r="I750" s="6">
        <f t="shared" si="4"/>
        <v>0.749</v>
      </c>
      <c r="J750" s="4">
        <f t="shared" si="2"/>
        <v>0.000003187297762</v>
      </c>
    </row>
    <row r="751">
      <c r="I751" s="6">
        <f t="shared" si="4"/>
        <v>0.75</v>
      </c>
      <c r="J751" s="4">
        <f t="shared" si="2"/>
        <v>0.000003192677245</v>
      </c>
    </row>
    <row r="752">
      <c r="I752" s="6">
        <f t="shared" si="4"/>
        <v>0.751</v>
      </c>
      <c r="J752" s="4">
        <f t="shared" si="2"/>
        <v>0.000003198068158</v>
      </c>
    </row>
    <row r="753">
      <c r="I753" s="6">
        <f t="shared" si="4"/>
        <v>0.752</v>
      </c>
      <c r="J753" s="4">
        <f t="shared" si="2"/>
        <v>0.000003203470603</v>
      </c>
    </row>
    <row r="754">
      <c r="I754" s="6">
        <f t="shared" si="4"/>
        <v>0.753</v>
      </c>
      <c r="J754" s="4">
        <f t="shared" si="2"/>
        <v>0.000003208884685</v>
      </c>
    </row>
    <row r="755">
      <c r="I755" s="6">
        <f t="shared" si="4"/>
        <v>0.754</v>
      </c>
      <c r="J755" s="4">
        <f t="shared" si="2"/>
        <v>0.000003214310508</v>
      </c>
    </row>
    <row r="756">
      <c r="I756" s="6">
        <f t="shared" si="4"/>
        <v>0.755</v>
      </c>
      <c r="J756" s="4">
        <f t="shared" si="2"/>
        <v>0.000003219748178</v>
      </c>
    </row>
    <row r="757">
      <c r="I757" s="6">
        <f t="shared" si="4"/>
        <v>0.756</v>
      </c>
      <c r="J757" s="4">
        <f t="shared" si="2"/>
        <v>0.000003225197801</v>
      </c>
    </row>
    <row r="758">
      <c r="I758" s="6">
        <f t="shared" si="4"/>
        <v>0.757</v>
      </c>
      <c r="J758" s="4">
        <f t="shared" si="2"/>
        <v>0.000003230659486</v>
      </c>
    </row>
    <row r="759">
      <c r="I759" s="6">
        <f t="shared" si="4"/>
        <v>0.758</v>
      </c>
      <c r="J759" s="4">
        <f t="shared" si="2"/>
        <v>0.000003236133342</v>
      </c>
    </row>
    <row r="760">
      <c r="I760" s="6">
        <f t="shared" si="4"/>
        <v>0.759</v>
      </c>
      <c r="J760" s="4">
        <f t="shared" si="2"/>
        <v>0.000003241619481</v>
      </c>
    </row>
    <row r="761">
      <c r="I761" s="6">
        <f t="shared" si="4"/>
        <v>0.76</v>
      </c>
      <c r="J761" s="4">
        <f t="shared" si="2"/>
        <v>0.000003247118013</v>
      </c>
    </row>
    <row r="762">
      <c r="I762" s="6">
        <f t="shared" si="4"/>
        <v>0.761</v>
      </c>
      <c r="J762" s="4">
        <f t="shared" si="2"/>
        <v>0.000003252629052</v>
      </c>
    </row>
    <row r="763">
      <c r="I763" s="6">
        <f t="shared" si="4"/>
        <v>0.762</v>
      </c>
      <c r="J763" s="4">
        <f t="shared" si="2"/>
        <v>0.000003258152712</v>
      </c>
    </row>
    <row r="764">
      <c r="I764" s="6">
        <f t="shared" si="4"/>
        <v>0.763</v>
      </c>
      <c r="J764" s="4">
        <f t="shared" si="2"/>
        <v>0.000003263689109</v>
      </c>
    </row>
    <row r="765">
      <c r="I765" s="6">
        <f t="shared" si="4"/>
        <v>0.764</v>
      </c>
      <c r="J765" s="4">
        <f t="shared" si="2"/>
        <v>0.000003269238361</v>
      </c>
    </row>
    <row r="766">
      <c r="I766" s="6">
        <f t="shared" si="4"/>
        <v>0.765</v>
      </c>
      <c r="J766" s="4">
        <f t="shared" si="2"/>
        <v>0.000003274800585</v>
      </c>
    </row>
    <row r="767">
      <c r="I767" s="6">
        <f t="shared" si="4"/>
        <v>0.766</v>
      </c>
      <c r="J767" s="4">
        <f t="shared" si="2"/>
        <v>0.000003280375902</v>
      </c>
    </row>
    <row r="768">
      <c r="I768" s="6">
        <f t="shared" si="4"/>
        <v>0.767</v>
      </c>
      <c r="J768" s="4">
        <f t="shared" si="2"/>
        <v>0.000003285964432</v>
      </c>
    </row>
    <row r="769">
      <c r="I769" s="6">
        <f t="shared" si="4"/>
        <v>0.768</v>
      </c>
      <c r="J769" s="4">
        <f t="shared" si="2"/>
        <v>0.000003291566299</v>
      </c>
    </row>
    <row r="770">
      <c r="I770" s="6">
        <f t="shared" si="4"/>
        <v>0.769</v>
      </c>
      <c r="J770" s="4">
        <f t="shared" si="2"/>
        <v>0.000003297181627</v>
      </c>
    </row>
    <row r="771">
      <c r="I771" s="6">
        <f t="shared" si="4"/>
        <v>0.77</v>
      </c>
      <c r="J771" s="4">
        <f t="shared" si="2"/>
        <v>0.00000330281054</v>
      </c>
    </row>
    <row r="772">
      <c r="I772" s="6">
        <f t="shared" si="4"/>
        <v>0.771</v>
      </c>
      <c r="J772" s="4">
        <f t="shared" si="2"/>
        <v>0.000003308453167</v>
      </c>
    </row>
    <row r="773">
      <c r="I773" s="6">
        <f t="shared" si="4"/>
        <v>0.772</v>
      </c>
      <c r="J773" s="4">
        <f t="shared" si="2"/>
        <v>0.000003314109636</v>
      </c>
    </row>
    <row r="774">
      <c r="I774" s="6">
        <f t="shared" si="4"/>
        <v>0.773</v>
      </c>
      <c r="J774" s="4">
        <f t="shared" si="2"/>
        <v>0.000003319780076</v>
      </c>
    </row>
    <row r="775">
      <c r="I775" s="6">
        <f t="shared" si="4"/>
        <v>0.774</v>
      </c>
      <c r="J775" s="4">
        <f t="shared" si="2"/>
        <v>0.000003325464621</v>
      </c>
    </row>
    <row r="776">
      <c r="I776" s="6">
        <f t="shared" si="4"/>
        <v>0.775</v>
      </c>
      <c r="J776" s="4">
        <f t="shared" si="2"/>
        <v>0.000003331163402</v>
      </c>
    </row>
    <row r="777">
      <c r="I777" s="6">
        <f t="shared" si="4"/>
        <v>0.776</v>
      </c>
      <c r="J777" s="4">
        <f t="shared" si="2"/>
        <v>0.000003336876556</v>
      </c>
    </row>
    <row r="778">
      <c r="I778" s="6">
        <f t="shared" si="4"/>
        <v>0.777</v>
      </c>
      <c r="J778" s="4">
        <f t="shared" si="2"/>
        <v>0.000003342604219</v>
      </c>
    </row>
    <row r="779">
      <c r="I779" s="6">
        <f t="shared" si="4"/>
        <v>0.778</v>
      </c>
      <c r="J779" s="4">
        <f t="shared" si="2"/>
        <v>0.000003348346529</v>
      </c>
    </row>
    <row r="780">
      <c r="I780" s="6">
        <f t="shared" si="4"/>
        <v>0.779</v>
      </c>
      <c r="J780" s="4">
        <f t="shared" si="2"/>
        <v>0.000003354103626</v>
      </c>
    </row>
    <row r="781">
      <c r="I781" s="6">
        <f t="shared" si="4"/>
        <v>0.78</v>
      </c>
      <c r="J781" s="4">
        <f t="shared" si="2"/>
        <v>0.000003359875652</v>
      </c>
    </row>
    <row r="782">
      <c r="I782" s="6">
        <f t="shared" si="4"/>
        <v>0.781</v>
      </c>
      <c r="J782" s="4">
        <f t="shared" si="2"/>
        <v>0.000003365662752</v>
      </c>
    </row>
    <row r="783">
      <c r="I783" s="6">
        <f t="shared" si="4"/>
        <v>0.782</v>
      </c>
      <c r="J783" s="4">
        <f t="shared" si="2"/>
        <v>0.000003371465069</v>
      </c>
    </row>
    <row r="784">
      <c r="I784" s="6">
        <f t="shared" si="4"/>
        <v>0.783</v>
      </c>
      <c r="J784" s="4">
        <f t="shared" si="2"/>
        <v>0.000003377282752</v>
      </c>
    </row>
    <row r="785">
      <c r="I785" s="6">
        <f t="shared" si="4"/>
        <v>0.784</v>
      </c>
      <c r="J785" s="4">
        <f t="shared" si="2"/>
        <v>0.00000338311595</v>
      </c>
    </row>
    <row r="786">
      <c r="I786" s="6">
        <f t="shared" si="4"/>
        <v>0.785</v>
      </c>
      <c r="J786" s="4">
        <f t="shared" si="2"/>
        <v>0.000003388964814</v>
      </c>
    </row>
    <row r="787">
      <c r="I787" s="6">
        <f t="shared" si="4"/>
        <v>0.786</v>
      </c>
      <c r="J787" s="4">
        <f t="shared" si="2"/>
        <v>0.000003394829497</v>
      </c>
    </row>
    <row r="788">
      <c r="I788" s="6">
        <f t="shared" si="4"/>
        <v>0.787</v>
      </c>
      <c r="J788" s="4">
        <f t="shared" si="2"/>
        <v>0.000003400710154</v>
      </c>
    </row>
    <row r="789">
      <c r="I789" s="6">
        <f t="shared" si="4"/>
        <v>0.788</v>
      </c>
      <c r="J789" s="4">
        <f t="shared" si="2"/>
        <v>0.000003406606942</v>
      </c>
    </row>
    <row r="790">
      <c r="I790" s="6">
        <f t="shared" si="4"/>
        <v>0.789</v>
      </c>
      <c r="J790" s="4">
        <f t="shared" si="2"/>
        <v>0.00000341252002</v>
      </c>
    </row>
    <row r="791">
      <c r="I791" s="6">
        <f t="shared" si="4"/>
        <v>0.79</v>
      </c>
      <c r="J791" s="4">
        <f t="shared" si="2"/>
        <v>0.000003418449549</v>
      </c>
    </row>
    <row r="792">
      <c r="I792" s="6">
        <f t="shared" si="4"/>
        <v>0.791</v>
      </c>
      <c r="J792" s="4">
        <f t="shared" si="2"/>
        <v>0.000003424395694</v>
      </c>
    </row>
    <row r="793">
      <c r="I793" s="6">
        <f t="shared" si="4"/>
        <v>0.792</v>
      </c>
      <c r="J793" s="4">
        <f t="shared" si="2"/>
        <v>0.000003430358619</v>
      </c>
    </row>
    <row r="794">
      <c r="I794" s="6">
        <f t="shared" si="4"/>
        <v>0.793</v>
      </c>
      <c r="J794" s="4">
        <f t="shared" si="2"/>
        <v>0.000003436338492</v>
      </c>
    </row>
    <row r="795">
      <c r="I795" s="6">
        <f t="shared" si="4"/>
        <v>0.794</v>
      </c>
      <c r="J795" s="4">
        <f t="shared" si="2"/>
        <v>0.000003442335483</v>
      </c>
    </row>
    <row r="796">
      <c r="I796" s="6">
        <f t="shared" si="4"/>
        <v>0.795</v>
      </c>
      <c r="J796" s="4">
        <f t="shared" si="2"/>
        <v>0.000003448349765</v>
      </c>
    </row>
    <row r="797">
      <c r="I797" s="6">
        <f t="shared" si="4"/>
        <v>0.796</v>
      </c>
      <c r="J797" s="4">
        <f t="shared" si="2"/>
        <v>0.000003454381513</v>
      </c>
    </row>
    <row r="798">
      <c r="I798" s="6">
        <f t="shared" si="4"/>
        <v>0.797</v>
      </c>
      <c r="J798" s="4">
        <f t="shared" si="2"/>
        <v>0.000003460430903</v>
      </c>
    </row>
    <row r="799">
      <c r="I799" s="6">
        <f t="shared" si="4"/>
        <v>0.798</v>
      </c>
      <c r="J799" s="4">
        <f t="shared" si="2"/>
        <v>0.000003466498115</v>
      </c>
    </row>
    <row r="800">
      <c r="I800" s="6">
        <f t="shared" si="4"/>
        <v>0.799</v>
      </c>
      <c r="J800" s="4">
        <f t="shared" si="2"/>
        <v>0.000003472583331</v>
      </c>
    </row>
    <row r="801">
      <c r="I801" s="6">
        <f t="shared" si="4"/>
        <v>0.8</v>
      </c>
      <c r="J801" s="4">
        <f t="shared" si="2"/>
        <v>0.000003478686736</v>
      </c>
    </row>
    <row r="802">
      <c r="I802" s="6">
        <f t="shared" si="4"/>
        <v>0.801</v>
      </c>
      <c r="J802" s="4">
        <f t="shared" si="2"/>
        <v>0.000003484808516</v>
      </c>
    </row>
    <row r="803">
      <c r="I803" s="6">
        <f t="shared" si="4"/>
        <v>0.802</v>
      </c>
      <c r="J803" s="4">
        <f t="shared" si="2"/>
        <v>0.000003490948862</v>
      </c>
    </row>
    <row r="804">
      <c r="I804" s="6">
        <f t="shared" si="4"/>
        <v>0.803</v>
      </c>
      <c r="J804" s="4">
        <f t="shared" si="2"/>
        <v>0.000003497107966</v>
      </c>
    </row>
    <row r="805">
      <c r="I805" s="6">
        <f t="shared" si="4"/>
        <v>0.804</v>
      </c>
      <c r="J805" s="4">
        <f t="shared" si="2"/>
        <v>0.000003503286024</v>
      </c>
    </row>
    <row r="806">
      <c r="I806" s="6">
        <f t="shared" si="4"/>
        <v>0.805</v>
      </c>
      <c r="J806" s="4">
        <f t="shared" si="2"/>
        <v>0.000003509483233</v>
      </c>
    </row>
    <row r="807">
      <c r="I807" s="6">
        <f t="shared" si="4"/>
        <v>0.806</v>
      </c>
      <c r="J807" s="4">
        <f t="shared" si="2"/>
        <v>0.000003515699794</v>
      </c>
    </row>
    <row r="808">
      <c r="I808" s="6">
        <f t="shared" si="4"/>
        <v>0.807</v>
      </c>
      <c r="J808" s="4">
        <f t="shared" si="2"/>
        <v>0.000003521935911</v>
      </c>
    </row>
    <row r="809">
      <c r="I809" s="6">
        <f t="shared" si="4"/>
        <v>0.808</v>
      </c>
      <c r="J809" s="4">
        <f t="shared" si="2"/>
        <v>0.000003528191791</v>
      </c>
    </row>
    <row r="810">
      <c r="I810" s="6">
        <f t="shared" si="4"/>
        <v>0.809</v>
      </c>
      <c r="J810" s="4">
        <f t="shared" si="2"/>
        <v>0.000003534467643</v>
      </c>
    </row>
    <row r="811">
      <c r="I811" s="6">
        <f t="shared" si="4"/>
        <v>0.81</v>
      </c>
      <c r="J811" s="4">
        <f t="shared" si="2"/>
        <v>0.000003540763681</v>
      </c>
    </row>
    <row r="812">
      <c r="I812" s="6">
        <f t="shared" si="4"/>
        <v>0.811</v>
      </c>
      <c r="J812" s="4">
        <f t="shared" si="2"/>
        <v>0.000003547080121</v>
      </c>
    </row>
    <row r="813">
      <c r="I813" s="6">
        <f t="shared" si="4"/>
        <v>0.812</v>
      </c>
      <c r="J813" s="4">
        <f t="shared" si="2"/>
        <v>0.000003553417181</v>
      </c>
    </row>
    <row r="814">
      <c r="I814" s="6">
        <f t="shared" si="4"/>
        <v>0.813</v>
      </c>
      <c r="J814" s="4">
        <f t="shared" si="2"/>
        <v>0.000003559775085</v>
      </c>
    </row>
    <row r="815">
      <c r="I815" s="6">
        <f t="shared" si="4"/>
        <v>0.814</v>
      </c>
      <c r="J815" s="4">
        <f t="shared" si="2"/>
        <v>0.000003566154058</v>
      </c>
    </row>
    <row r="816">
      <c r="I816" s="6">
        <f t="shared" si="4"/>
        <v>0.815</v>
      </c>
      <c r="J816" s="4">
        <f t="shared" si="2"/>
        <v>0.000003572554329</v>
      </c>
    </row>
    <row r="817">
      <c r="I817" s="6">
        <f t="shared" si="4"/>
        <v>0.816</v>
      </c>
      <c r="J817" s="4">
        <f t="shared" si="2"/>
        <v>0.000003578976132</v>
      </c>
    </row>
    <row r="818">
      <c r="I818" s="6">
        <f t="shared" si="4"/>
        <v>0.817</v>
      </c>
      <c r="J818" s="4">
        <f t="shared" si="2"/>
        <v>0.000003585419703</v>
      </c>
    </row>
    <row r="819">
      <c r="I819" s="6">
        <f t="shared" si="4"/>
        <v>0.818</v>
      </c>
      <c r="J819" s="4">
        <f t="shared" si="2"/>
        <v>0.000003591885281</v>
      </c>
    </row>
    <row r="820">
      <c r="I820" s="6">
        <f t="shared" si="4"/>
        <v>0.819</v>
      </c>
      <c r="J820" s="4">
        <f t="shared" si="2"/>
        <v>0.000003598373111</v>
      </c>
    </row>
    <row r="821">
      <c r="I821" s="6">
        <f t="shared" si="4"/>
        <v>0.82</v>
      </c>
      <c r="J821" s="4">
        <f t="shared" si="2"/>
        <v>0.000003604883441</v>
      </c>
    </row>
    <row r="822">
      <c r="I822" s="6">
        <f t="shared" si="4"/>
        <v>0.821</v>
      </c>
      <c r="J822" s="4">
        <f t="shared" si="2"/>
        <v>0.000003611416521</v>
      </c>
    </row>
    <row r="823">
      <c r="I823" s="6">
        <f t="shared" si="4"/>
        <v>0.822</v>
      </c>
      <c r="J823" s="4">
        <f t="shared" si="2"/>
        <v>0.000003617972607</v>
      </c>
    </row>
    <row r="824">
      <c r="I824" s="6">
        <f t="shared" si="4"/>
        <v>0.823</v>
      </c>
      <c r="J824" s="4">
        <f t="shared" si="2"/>
        <v>0.000003624551959</v>
      </c>
    </row>
    <row r="825">
      <c r="I825" s="6">
        <f t="shared" si="4"/>
        <v>0.824</v>
      </c>
      <c r="J825" s="4">
        <f t="shared" si="2"/>
        <v>0.000003631154841</v>
      </c>
    </row>
    <row r="826">
      <c r="I826" s="6">
        <f t="shared" si="4"/>
        <v>0.825</v>
      </c>
      <c r="J826" s="4">
        <f t="shared" si="2"/>
        <v>0.000003637781519</v>
      </c>
    </row>
    <row r="827">
      <c r="I827" s="6">
        <f t="shared" si="4"/>
        <v>0.826</v>
      </c>
      <c r="J827" s="4">
        <f t="shared" si="2"/>
        <v>0.000003644432268</v>
      </c>
    </row>
    <row r="828">
      <c r="I828" s="6">
        <f t="shared" si="4"/>
        <v>0.827</v>
      </c>
      <c r="J828" s="4">
        <f t="shared" si="2"/>
        <v>0.000003651107362</v>
      </c>
    </row>
    <row r="829">
      <c r="I829" s="6">
        <f t="shared" si="4"/>
        <v>0.828</v>
      </c>
      <c r="J829" s="4">
        <f t="shared" si="2"/>
        <v>0.000003657807084</v>
      </c>
    </row>
    <row r="830">
      <c r="I830" s="6">
        <f t="shared" si="4"/>
        <v>0.829</v>
      </c>
      <c r="J830" s="4">
        <f t="shared" si="2"/>
        <v>0.000003664531719</v>
      </c>
    </row>
    <row r="831">
      <c r="I831" s="6">
        <f t="shared" si="4"/>
        <v>0.83</v>
      </c>
      <c r="J831" s="4">
        <f t="shared" si="2"/>
        <v>0.000003671281558</v>
      </c>
    </row>
    <row r="832">
      <c r="I832" s="6">
        <f t="shared" si="4"/>
        <v>0.831</v>
      </c>
      <c r="J832" s="4">
        <f t="shared" si="2"/>
        <v>0.000003678056896</v>
      </c>
    </row>
    <row r="833">
      <c r="I833" s="6">
        <f t="shared" si="4"/>
        <v>0.832</v>
      </c>
      <c r="J833" s="4">
        <f t="shared" si="2"/>
        <v>0.000003684858033</v>
      </c>
    </row>
    <row r="834">
      <c r="I834" s="6">
        <f t="shared" si="4"/>
        <v>0.833</v>
      </c>
      <c r="J834" s="4">
        <f t="shared" si="2"/>
        <v>0.000003691685276</v>
      </c>
    </row>
    <row r="835">
      <c r="I835" s="6">
        <f t="shared" si="4"/>
        <v>0.834</v>
      </c>
      <c r="J835" s="4">
        <f t="shared" si="2"/>
        <v>0.000003698538935</v>
      </c>
    </row>
    <row r="836">
      <c r="I836" s="6">
        <f t="shared" si="4"/>
        <v>0.835</v>
      </c>
      <c r="J836" s="4">
        <f t="shared" si="2"/>
        <v>0.000003705419326</v>
      </c>
    </row>
    <row r="837">
      <c r="I837" s="6">
        <f t="shared" si="4"/>
        <v>0.836</v>
      </c>
      <c r="J837" s="4">
        <f t="shared" si="2"/>
        <v>0.00000371232677</v>
      </c>
    </row>
    <row r="838">
      <c r="I838" s="6">
        <f t="shared" si="4"/>
        <v>0.837</v>
      </c>
      <c r="J838" s="4">
        <f t="shared" si="2"/>
        <v>0.000003719261594</v>
      </c>
    </row>
    <row r="839">
      <c r="I839" s="6">
        <f t="shared" si="4"/>
        <v>0.838</v>
      </c>
      <c r="J839" s="4">
        <f t="shared" si="2"/>
        <v>0.000003726224132</v>
      </c>
    </row>
    <row r="840">
      <c r="I840" s="6">
        <f t="shared" si="4"/>
        <v>0.839</v>
      </c>
      <c r="J840" s="4">
        <f t="shared" si="2"/>
        <v>0.000003733214721</v>
      </c>
    </row>
    <row r="841">
      <c r="I841" s="6">
        <f t="shared" si="4"/>
        <v>0.84</v>
      </c>
      <c r="J841" s="4">
        <f t="shared" si="2"/>
        <v>0.000003740233706</v>
      </c>
    </row>
    <row r="842">
      <c r="I842" s="6">
        <f t="shared" si="4"/>
        <v>0.841</v>
      </c>
      <c r="J842" s="4">
        <f t="shared" si="2"/>
        <v>0.000003747281438</v>
      </c>
    </row>
    <row r="843">
      <c r="I843" s="6">
        <f t="shared" si="4"/>
        <v>0.842</v>
      </c>
      <c r="J843" s="4">
        <f t="shared" si="2"/>
        <v>0.000003754358274</v>
      </c>
    </row>
    <row r="844">
      <c r="I844" s="6">
        <f t="shared" si="4"/>
        <v>0.843</v>
      </c>
      <c r="J844" s="4">
        <f t="shared" si="2"/>
        <v>0.000003761464577</v>
      </c>
    </row>
    <row r="845">
      <c r="I845" s="6">
        <f t="shared" si="4"/>
        <v>0.844</v>
      </c>
      <c r="J845" s="4">
        <f t="shared" si="2"/>
        <v>0.000003768600717</v>
      </c>
    </row>
    <row r="846">
      <c r="I846" s="6">
        <f t="shared" si="4"/>
        <v>0.845</v>
      </c>
      <c r="J846" s="4">
        <f t="shared" si="2"/>
        <v>0.000003775767071</v>
      </c>
    </row>
    <row r="847">
      <c r="I847" s="6">
        <f t="shared" si="4"/>
        <v>0.846</v>
      </c>
      <c r="J847" s="4">
        <f t="shared" si="2"/>
        <v>0.000003782964023</v>
      </c>
    </row>
    <row r="848">
      <c r="I848" s="6">
        <f t="shared" si="4"/>
        <v>0.847</v>
      </c>
      <c r="J848" s="4">
        <f t="shared" si="2"/>
        <v>0.000003790191963</v>
      </c>
    </row>
    <row r="849">
      <c r="I849" s="6">
        <f t="shared" si="4"/>
        <v>0.848</v>
      </c>
      <c r="J849" s="4">
        <f t="shared" si="2"/>
        <v>0.00000379745129</v>
      </c>
    </row>
    <row r="850">
      <c r="I850" s="6">
        <f t="shared" si="4"/>
        <v>0.849</v>
      </c>
      <c r="J850" s="4">
        <f t="shared" si="2"/>
        <v>0.000003804742409</v>
      </c>
    </row>
    <row r="851">
      <c r="I851" s="6">
        <f t="shared" si="4"/>
        <v>0.85</v>
      </c>
      <c r="J851" s="4">
        <f t="shared" si="2"/>
        <v>0.000003812065733</v>
      </c>
    </row>
    <row r="852">
      <c r="I852" s="6">
        <f t="shared" si="4"/>
        <v>0.851</v>
      </c>
      <c r="J852" s="4">
        <f t="shared" si="2"/>
        <v>0.000003819421684</v>
      </c>
    </row>
    <row r="853">
      <c r="I853" s="6">
        <f t="shared" si="4"/>
        <v>0.852</v>
      </c>
      <c r="J853" s="4">
        <f t="shared" si="2"/>
        <v>0.00000382681069</v>
      </c>
    </row>
    <row r="854">
      <c r="I854" s="6">
        <f t="shared" si="4"/>
        <v>0.853</v>
      </c>
      <c r="J854" s="4">
        <f t="shared" si="2"/>
        <v>0.000003834233189</v>
      </c>
    </row>
    <row r="855">
      <c r="I855" s="6">
        <f t="shared" si="4"/>
        <v>0.854</v>
      </c>
      <c r="J855" s="4">
        <f t="shared" si="2"/>
        <v>0.000003841689627</v>
      </c>
    </row>
    <row r="856">
      <c r="I856" s="6">
        <f t="shared" si="4"/>
        <v>0.855</v>
      </c>
      <c r="J856" s="4">
        <f t="shared" si="2"/>
        <v>0.000003849180459</v>
      </c>
    </row>
    <row r="857">
      <c r="I857" s="6">
        <f t="shared" si="4"/>
        <v>0.856</v>
      </c>
      <c r="J857" s="4">
        <f t="shared" si="2"/>
        <v>0.000003856706148</v>
      </c>
    </row>
    <row r="858">
      <c r="I858" s="6">
        <f t="shared" si="4"/>
        <v>0.857</v>
      </c>
      <c r="J858" s="4">
        <f t="shared" si="2"/>
        <v>0.000003864267167</v>
      </c>
    </row>
    <row r="859">
      <c r="I859" s="6">
        <f t="shared" si="4"/>
        <v>0.858</v>
      </c>
      <c r="J859" s="4">
        <f t="shared" si="2"/>
        <v>0.000003871863998</v>
      </c>
    </row>
    <row r="860">
      <c r="I860" s="6">
        <f t="shared" si="4"/>
        <v>0.859</v>
      </c>
      <c r="J860" s="4">
        <f t="shared" si="2"/>
        <v>0.000003879497133</v>
      </c>
    </row>
    <row r="861">
      <c r="I861" s="6">
        <f t="shared" si="4"/>
        <v>0.86</v>
      </c>
      <c r="J861" s="4">
        <f t="shared" si="2"/>
        <v>0.000003887167075</v>
      </c>
    </row>
    <row r="862">
      <c r="I862" s="6">
        <f t="shared" si="4"/>
        <v>0.861</v>
      </c>
      <c r="J862" s="4">
        <f t="shared" si="2"/>
        <v>0.000003894874335</v>
      </c>
    </row>
    <row r="863">
      <c r="I863" s="6">
        <f t="shared" si="4"/>
        <v>0.862</v>
      </c>
      <c r="J863" s="4">
        <f t="shared" si="2"/>
        <v>0.000003902619437</v>
      </c>
    </row>
    <row r="864">
      <c r="I864" s="6">
        <f t="shared" si="4"/>
        <v>0.863</v>
      </c>
      <c r="J864" s="4">
        <f t="shared" si="2"/>
        <v>0.000003910402914</v>
      </c>
    </row>
    <row r="865">
      <c r="I865" s="6">
        <f t="shared" si="4"/>
        <v>0.864</v>
      </c>
      <c r="J865" s="4">
        <f t="shared" si="2"/>
        <v>0.000003918225311</v>
      </c>
    </row>
    <row r="866">
      <c r="I866" s="6">
        <f t="shared" si="4"/>
        <v>0.865</v>
      </c>
      <c r="J866" s="4">
        <f t="shared" si="2"/>
        <v>0.000003926087183</v>
      </c>
    </row>
    <row r="867">
      <c r="I867" s="6">
        <f t="shared" si="4"/>
        <v>0.866</v>
      </c>
      <c r="J867" s="4">
        <f t="shared" si="2"/>
        <v>0.0000039339891</v>
      </c>
    </row>
    <row r="868">
      <c r="I868" s="6">
        <f t="shared" si="4"/>
        <v>0.867</v>
      </c>
      <c r="J868" s="4">
        <f t="shared" si="2"/>
        <v>0.000003941931642</v>
      </c>
    </row>
    <row r="869">
      <c r="I869" s="6">
        <f t="shared" si="4"/>
        <v>0.868</v>
      </c>
      <c r="J869" s="4">
        <f t="shared" si="2"/>
        <v>0.0000039499154</v>
      </c>
    </row>
    <row r="870">
      <c r="I870" s="6">
        <f t="shared" si="4"/>
        <v>0.869</v>
      </c>
      <c r="J870" s="4">
        <f t="shared" si="2"/>
        <v>0.000003957940982</v>
      </c>
    </row>
    <row r="871">
      <c r="I871" s="6">
        <f t="shared" si="4"/>
        <v>0.87</v>
      </c>
      <c r="J871" s="4">
        <f t="shared" si="2"/>
        <v>0.000003966009005</v>
      </c>
    </row>
    <row r="872">
      <c r="I872" s="6">
        <f t="shared" si="4"/>
        <v>0.871</v>
      </c>
      <c r="J872" s="4">
        <f t="shared" si="2"/>
        <v>0.000003974120102</v>
      </c>
    </row>
    <row r="873">
      <c r="I873" s="6">
        <f t="shared" si="4"/>
        <v>0.872</v>
      </c>
      <c r="J873" s="4">
        <f t="shared" si="2"/>
        <v>0.00000398227492</v>
      </c>
    </row>
    <row r="874">
      <c r="I874" s="6">
        <f t="shared" si="4"/>
        <v>0.873</v>
      </c>
      <c r="J874" s="4">
        <f t="shared" si="2"/>
        <v>0.00000399047412</v>
      </c>
    </row>
    <row r="875">
      <c r="I875" s="6">
        <f t="shared" si="4"/>
        <v>0.874</v>
      </c>
      <c r="J875" s="4">
        <f t="shared" si="2"/>
        <v>0.000003998718377</v>
      </c>
    </row>
    <row r="876">
      <c r="I876" s="6">
        <f t="shared" si="4"/>
        <v>0.875</v>
      </c>
      <c r="J876" s="4">
        <f t="shared" si="2"/>
        <v>0.000004007008384</v>
      </c>
    </row>
    <row r="877">
      <c r="I877" s="6">
        <f t="shared" si="4"/>
        <v>0.876</v>
      </c>
      <c r="J877" s="4">
        <f t="shared" si="2"/>
        <v>0.000004015344848</v>
      </c>
    </row>
    <row r="878">
      <c r="I878" s="6">
        <f t="shared" si="4"/>
        <v>0.877</v>
      </c>
      <c r="J878" s="4">
        <f t="shared" si="2"/>
        <v>0.000004023728492</v>
      </c>
    </row>
    <row r="879">
      <c r="I879" s="6">
        <f t="shared" si="4"/>
        <v>0.878</v>
      </c>
      <c r="J879" s="4">
        <f t="shared" si="2"/>
        <v>0.000004032160058</v>
      </c>
    </row>
    <row r="880">
      <c r="I880" s="6">
        <f t="shared" si="4"/>
        <v>0.879</v>
      </c>
      <c r="J880" s="4">
        <f t="shared" si="2"/>
        <v>0.000004040640302</v>
      </c>
    </row>
    <row r="881">
      <c r="I881" s="6">
        <f t="shared" si="4"/>
        <v>0.88</v>
      </c>
      <c r="J881" s="4">
        <f t="shared" si="2"/>
        <v>0.000004049170001</v>
      </c>
    </row>
    <row r="882">
      <c r="I882" s="6">
        <f t="shared" si="4"/>
        <v>0.881</v>
      </c>
      <c r="J882" s="4">
        <f t="shared" si="2"/>
        <v>0.00000405774995</v>
      </c>
    </row>
    <row r="883">
      <c r="I883" s="6">
        <f t="shared" si="4"/>
        <v>0.882</v>
      </c>
      <c r="J883" s="4">
        <f t="shared" si="2"/>
        <v>0.000004066380962</v>
      </c>
    </row>
    <row r="884">
      <c r="I884" s="6">
        <f t="shared" si="4"/>
        <v>0.883</v>
      </c>
      <c r="J884" s="4">
        <f t="shared" si="2"/>
        <v>0.000004075063871</v>
      </c>
    </row>
    <row r="885">
      <c r="I885" s="6">
        <f t="shared" si="4"/>
        <v>0.884</v>
      </c>
      <c r="J885" s="4">
        <f t="shared" si="2"/>
        <v>0.000004083799532</v>
      </c>
    </row>
    <row r="886">
      <c r="I886" s="6">
        <f t="shared" si="4"/>
        <v>0.885</v>
      </c>
      <c r="J886" s="4">
        <f t="shared" si="2"/>
        <v>0.00000409258882</v>
      </c>
    </row>
    <row r="887">
      <c r="I887" s="6">
        <f t="shared" si="4"/>
        <v>0.886</v>
      </c>
      <c r="J887" s="4">
        <f t="shared" si="2"/>
        <v>0.000004101432631</v>
      </c>
    </row>
    <row r="888">
      <c r="I888" s="6">
        <f t="shared" si="4"/>
        <v>0.887</v>
      </c>
      <c r="J888" s="4">
        <f t="shared" si="2"/>
        <v>0.000004110331886</v>
      </c>
    </row>
    <row r="889">
      <c r="I889" s="6">
        <f t="shared" si="4"/>
        <v>0.888</v>
      </c>
      <c r="J889" s="4">
        <f t="shared" si="2"/>
        <v>0.000004119287528</v>
      </c>
    </row>
    <row r="890">
      <c r="I890" s="6">
        <f t="shared" si="4"/>
        <v>0.889</v>
      </c>
      <c r="J890" s="4">
        <f t="shared" si="2"/>
        <v>0.000004128300524</v>
      </c>
    </row>
    <row r="891">
      <c r="I891" s="6">
        <f t="shared" si="4"/>
        <v>0.89</v>
      </c>
      <c r="J891" s="4">
        <f t="shared" si="2"/>
        <v>0.000004137371867</v>
      </c>
    </row>
    <row r="892">
      <c r="I892" s="6">
        <f t="shared" si="4"/>
        <v>0.891</v>
      </c>
      <c r="J892" s="4">
        <f t="shared" si="2"/>
        <v>0.000004146502577</v>
      </c>
    </row>
    <row r="893">
      <c r="I893" s="6">
        <f t="shared" si="4"/>
        <v>0.892</v>
      </c>
      <c r="J893" s="4">
        <f t="shared" si="2"/>
        <v>0.000004155693698</v>
      </c>
    </row>
    <row r="894">
      <c r="I894" s="6">
        <f t="shared" si="4"/>
        <v>0.893</v>
      </c>
      <c r="J894" s="4">
        <f t="shared" si="2"/>
        <v>0.000004164946303</v>
      </c>
    </row>
    <row r="895">
      <c r="I895" s="6">
        <f t="shared" si="4"/>
        <v>0.894</v>
      </c>
      <c r="J895" s="4">
        <f t="shared" si="2"/>
        <v>0.000004174261495</v>
      </c>
    </row>
    <row r="896">
      <c r="I896" s="6">
        <f t="shared" si="4"/>
        <v>0.895</v>
      </c>
      <c r="J896" s="4">
        <f t="shared" si="2"/>
        <v>0.000004183640407</v>
      </c>
    </row>
    <row r="897">
      <c r="I897" s="6">
        <f t="shared" si="4"/>
        <v>0.896</v>
      </c>
      <c r="J897" s="4">
        <f t="shared" si="2"/>
        <v>0.000004193084202</v>
      </c>
    </row>
    <row r="898">
      <c r="I898" s="6">
        <f t="shared" si="4"/>
        <v>0.897</v>
      </c>
      <c r="J898" s="4">
        <f t="shared" si="2"/>
        <v>0.000004202594074</v>
      </c>
    </row>
    <row r="899">
      <c r="I899" s="6">
        <f t="shared" si="4"/>
        <v>0.898</v>
      </c>
      <c r="J899" s="4">
        <f t="shared" si="2"/>
        <v>0.000004212171255</v>
      </c>
    </row>
    <row r="900">
      <c r="I900" s="6">
        <f t="shared" si="4"/>
        <v>0.899</v>
      </c>
      <c r="J900" s="4">
        <f t="shared" si="2"/>
        <v>0.000004221817006</v>
      </c>
    </row>
    <row r="901">
      <c r="I901" s="6">
        <f t="shared" si="4"/>
        <v>0.9</v>
      </c>
      <c r="J901" s="4">
        <f t="shared" si="2"/>
        <v>0.000004231532628</v>
      </c>
    </row>
    <row r="902">
      <c r="I902" s="6">
        <f t="shared" si="4"/>
        <v>0.901</v>
      </c>
      <c r="J902" s="4">
        <f t="shared" si="2"/>
        <v>0.00000424131946</v>
      </c>
    </row>
    <row r="903">
      <c r="I903" s="6">
        <f t="shared" si="4"/>
        <v>0.902</v>
      </c>
      <c r="J903" s="4">
        <f t="shared" si="2"/>
        <v>0.000004251178876</v>
      </c>
    </row>
    <row r="904">
      <c r="I904" s="6">
        <f t="shared" si="4"/>
        <v>0.903</v>
      </c>
      <c r="J904" s="4">
        <f t="shared" si="2"/>
        <v>0.000004261112294</v>
      </c>
    </row>
    <row r="905">
      <c r="I905" s="6">
        <f t="shared" si="4"/>
        <v>0.904</v>
      </c>
      <c r="J905" s="4">
        <f t="shared" si="2"/>
        <v>0.000004271121172</v>
      </c>
    </row>
    <row r="906">
      <c r="I906" s="6">
        <f t="shared" si="4"/>
        <v>0.905</v>
      </c>
      <c r="J906" s="4">
        <f t="shared" si="2"/>
        <v>0.000004281207015</v>
      </c>
    </row>
    <row r="907">
      <c r="I907" s="6">
        <f t="shared" si="4"/>
        <v>0.906</v>
      </c>
      <c r="J907" s="4">
        <f t="shared" si="2"/>
        <v>0.000004291371371</v>
      </c>
    </row>
    <row r="908">
      <c r="I908" s="6">
        <f t="shared" si="4"/>
        <v>0.907</v>
      </c>
      <c r="J908" s="4">
        <f t="shared" si="2"/>
        <v>0.000004301615835</v>
      </c>
    </row>
    <row r="909">
      <c r="I909" s="6">
        <f t="shared" si="4"/>
        <v>0.908</v>
      </c>
      <c r="J909" s="4">
        <f t="shared" si="2"/>
        <v>0.000004311942054</v>
      </c>
    </row>
    <row r="910">
      <c r="I910" s="6">
        <f t="shared" si="4"/>
        <v>0.909</v>
      </c>
      <c r="J910" s="4">
        <f t="shared" si="2"/>
        <v>0.000004322351724</v>
      </c>
    </row>
    <row r="911">
      <c r="I911" s="6">
        <f t="shared" si="4"/>
        <v>0.91</v>
      </c>
      <c r="J911" s="4">
        <f t="shared" si="2"/>
        <v>0.000004332846599</v>
      </c>
    </row>
    <row r="912">
      <c r="I912" s="6">
        <f t="shared" si="4"/>
        <v>0.911</v>
      </c>
      <c r="J912" s="4">
        <f t="shared" si="2"/>
        <v>0.000004343428484</v>
      </c>
    </row>
    <row r="913">
      <c r="I913" s="6">
        <f t="shared" si="4"/>
        <v>0.912</v>
      </c>
      <c r="J913" s="4">
        <f t="shared" si="2"/>
        <v>0.000004354099246</v>
      </c>
    </row>
    <row r="914">
      <c r="I914" s="6">
        <f t="shared" si="4"/>
        <v>0.913</v>
      </c>
      <c r="J914" s="4">
        <f t="shared" si="2"/>
        <v>0.000004364860814</v>
      </c>
    </row>
    <row r="915">
      <c r="I915" s="6">
        <f t="shared" si="4"/>
        <v>0.914</v>
      </c>
      <c r="J915" s="4">
        <f t="shared" si="2"/>
        <v>0.000004375715178</v>
      </c>
    </row>
    <row r="916">
      <c r="I916" s="6">
        <f t="shared" si="4"/>
        <v>0.915</v>
      </c>
      <c r="J916" s="4">
        <f t="shared" si="2"/>
        <v>0.000004386664397</v>
      </c>
    </row>
    <row r="917">
      <c r="I917" s="6">
        <f t="shared" si="4"/>
        <v>0.916</v>
      </c>
      <c r="J917" s="4">
        <f t="shared" si="2"/>
        <v>0.0000043977106</v>
      </c>
    </row>
    <row r="918">
      <c r="I918" s="6">
        <f t="shared" si="4"/>
        <v>0.917</v>
      </c>
      <c r="J918" s="4">
        <f t="shared" si="2"/>
        <v>0.000004408855989</v>
      </c>
    </row>
    <row r="919">
      <c r="I919" s="6">
        <f t="shared" si="4"/>
        <v>0.918</v>
      </c>
      <c r="J919" s="4">
        <f t="shared" si="2"/>
        <v>0.000004420102843</v>
      </c>
    </row>
    <row r="920">
      <c r="I920" s="6">
        <f t="shared" si="4"/>
        <v>0.919</v>
      </c>
      <c r="J920" s="4">
        <f t="shared" si="2"/>
        <v>0.000004431453521</v>
      </c>
    </row>
    <row r="921">
      <c r="I921" s="6">
        <f t="shared" si="4"/>
        <v>0.92</v>
      </c>
      <c r="J921" s="4">
        <f t="shared" si="2"/>
        <v>0.000004442910467</v>
      </c>
    </row>
    <row r="922">
      <c r="I922" s="6">
        <f t="shared" si="4"/>
        <v>0.921</v>
      </c>
      <c r="J922" s="4">
        <f t="shared" si="2"/>
        <v>0.000004454476212</v>
      </c>
    </row>
    <row r="923">
      <c r="I923" s="6">
        <f t="shared" si="4"/>
        <v>0.922</v>
      </c>
      <c r="J923" s="4">
        <f t="shared" si="2"/>
        <v>0.000004466153381</v>
      </c>
    </row>
    <row r="924">
      <c r="I924" s="6">
        <f t="shared" si="4"/>
        <v>0.923</v>
      </c>
      <c r="J924" s="4">
        <f t="shared" si="2"/>
        <v>0.000004477944697</v>
      </c>
    </row>
    <row r="925">
      <c r="I925" s="6">
        <f t="shared" si="4"/>
        <v>0.924</v>
      </c>
      <c r="J925" s="4">
        <f t="shared" si="2"/>
        <v>0.000004489852983</v>
      </c>
    </row>
    <row r="926">
      <c r="I926" s="6">
        <f t="shared" si="4"/>
        <v>0.925</v>
      </c>
      <c r="J926" s="4">
        <f t="shared" si="2"/>
        <v>0.000004501881174</v>
      </c>
    </row>
    <row r="927">
      <c r="I927" s="6">
        <f t="shared" si="4"/>
        <v>0.926</v>
      </c>
      <c r="J927" s="4">
        <f t="shared" si="2"/>
        <v>0.000004514032313</v>
      </c>
    </row>
    <row r="928">
      <c r="I928" s="6">
        <f t="shared" si="4"/>
        <v>0.927</v>
      </c>
      <c r="J928" s="4">
        <f t="shared" si="2"/>
        <v>0.000004526309566</v>
      </c>
    </row>
    <row r="929">
      <c r="I929" s="6">
        <f t="shared" si="4"/>
        <v>0.928</v>
      </c>
      <c r="J929" s="4">
        <f t="shared" si="2"/>
        <v>0.000004538716224</v>
      </c>
    </row>
    <row r="930">
      <c r="I930" s="6">
        <f t="shared" si="4"/>
        <v>0.929</v>
      </c>
      <c r="J930" s="4">
        <f t="shared" si="2"/>
        <v>0.00000455125571</v>
      </c>
    </row>
    <row r="931">
      <c r="I931" s="6">
        <f t="shared" si="4"/>
        <v>0.93</v>
      </c>
      <c r="J931" s="4">
        <f t="shared" si="2"/>
        <v>0.000004563931587</v>
      </c>
    </row>
    <row r="932">
      <c r="I932" s="6">
        <f t="shared" si="4"/>
        <v>0.931</v>
      </c>
      <c r="J932" s="4">
        <f t="shared" si="2"/>
        <v>0.000004576747565</v>
      </c>
    </row>
    <row r="933">
      <c r="I933" s="6">
        <f t="shared" si="4"/>
        <v>0.932</v>
      </c>
      <c r="J933" s="4">
        <f t="shared" si="2"/>
        <v>0.000004589707511</v>
      </c>
    </row>
    <row r="934">
      <c r="I934" s="6">
        <f t="shared" si="4"/>
        <v>0.933</v>
      </c>
      <c r="J934" s="4">
        <f t="shared" si="2"/>
        <v>0.000004602815458</v>
      </c>
    </row>
    <row r="935">
      <c r="I935" s="6">
        <f t="shared" si="4"/>
        <v>0.934</v>
      </c>
      <c r="J935" s="4">
        <f t="shared" si="2"/>
        <v>0.00000461607561</v>
      </c>
    </row>
    <row r="936">
      <c r="I936" s="6">
        <f t="shared" si="4"/>
        <v>0.935</v>
      </c>
      <c r="J936" s="4">
        <f t="shared" si="2"/>
        <v>0.00000462949236</v>
      </c>
    </row>
    <row r="937">
      <c r="I937" s="6">
        <f t="shared" si="4"/>
        <v>0.936</v>
      </c>
      <c r="J937" s="4">
        <f t="shared" si="2"/>
        <v>0.000004643070296</v>
      </c>
    </row>
    <row r="938">
      <c r="I938" s="6">
        <f t="shared" si="4"/>
        <v>0.937</v>
      </c>
      <c r="J938" s="4">
        <f t="shared" si="2"/>
        <v>0.000004656814213</v>
      </c>
    </row>
    <row r="939">
      <c r="I939" s="6">
        <f t="shared" si="4"/>
        <v>0.938</v>
      </c>
      <c r="J939" s="4">
        <f t="shared" si="2"/>
        <v>0.000004670729129</v>
      </c>
    </row>
    <row r="940">
      <c r="I940" s="6">
        <f t="shared" si="4"/>
        <v>0.939</v>
      </c>
      <c r="J940" s="4">
        <f t="shared" si="2"/>
        <v>0.000004684820295</v>
      </c>
    </row>
    <row r="941">
      <c r="I941" s="6">
        <f t="shared" si="4"/>
        <v>0.94</v>
      </c>
      <c r="J941" s="4">
        <f t="shared" si="2"/>
        <v>0.000004699093214</v>
      </c>
    </row>
    <row r="942">
      <c r="I942" s="6">
        <f t="shared" si="4"/>
        <v>0.941</v>
      </c>
      <c r="J942" s="4">
        <f t="shared" si="2"/>
        <v>0.000004713553656</v>
      </c>
    </row>
    <row r="943">
      <c r="I943" s="6">
        <f t="shared" si="4"/>
        <v>0.942</v>
      </c>
      <c r="J943" s="4">
        <f t="shared" si="2"/>
        <v>0.000004728207674</v>
      </c>
    </row>
    <row r="944">
      <c r="I944" s="6">
        <f t="shared" si="4"/>
        <v>0.943</v>
      </c>
      <c r="J944" s="4">
        <f t="shared" si="2"/>
        <v>0.000004743061625</v>
      </c>
    </row>
    <row r="945">
      <c r="I945" s="6">
        <f t="shared" si="4"/>
        <v>0.944</v>
      </c>
      <c r="J945" s="4">
        <f t="shared" si="2"/>
        <v>0.000004758122191</v>
      </c>
    </row>
    <row r="946">
      <c r="I946" s="6">
        <f t="shared" si="4"/>
        <v>0.945</v>
      </c>
      <c r="J946" s="4">
        <f t="shared" si="2"/>
        <v>0.0000047733964</v>
      </c>
    </row>
    <row r="947">
      <c r="I947" s="6">
        <f t="shared" si="4"/>
        <v>0.946</v>
      </c>
      <c r="J947" s="4">
        <f t="shared" si="2"/>
        <v>0.000004788891656</v>
      </c>
    </row>
    <row r="948">
      <c r="I948" s="6">
        <f t="shared" si="4"/>
        <v>0.947</v>
      </c>
      <c r="J948" s="4">
        <f t="shared" si="2"/>
        <v>0.000004804615756</v>
      </c>
    </row>
    <row r="949">
      <c r="I949" s="6">
        <f t="shared" si="4"/>
        <v>0.948</v>
      </c>
      <c r="J949" s="4">
        <f t="shared" si="2"/>
        <v>0.000004820576931</v>
      </c>
    </row>
    <row r="950">
      <c r="I950" s="6">
        <f t="shared" si="4"/>
        <v>0.949</v>
      </c>
      <c r="J950" s="4">
        <f t="shared" si="2"/>
        <v>0.00000483678387</v>
      </c>
    </row>
    <row r="951">
      <c r="I951" s="6">
        <f t="shared" si="4"/>
        <v>0.95</v>
      </c>
      <c r="J951" s="4">
        <f t="shared" si="2"/>
        <v>0.000004853245761</v>
      </c>
    </row>
    <row r="952">
      <c r="I952" s="6">
        <f t="shared" si="4"/>
        <v>0.951</v>
      </c>
      <c r="J952" s="4">
        <f t="shared" si="2"/>
        <v>0.000004869972326</v>
      </c>
    </row>
    <row r="953">
      <c r="I953" s="6">
        <f t="shared" si="4"/>
        <v>0.952</v>
      </c>
      <c r="J953" s="4">
        <f t="shared" si="2"/>
        <v>0.000004886973866</v>
      </c>
    </row>
    <row r="954">
      <c r="I954" s="6">
        <f t="shared" si="4"/>
        <v>0.953</v>
      </c>
      <c r="J954" s="4">
        <f t="shared" si="2"/>
        <v>0.000004904261308</v>
      </c>
    </row>
    <row r="955">
      <c r="I955" s="6">
        <f t="shared" si="4"/>
        <v>0.954</v>
      </c>
      <c r="J955" s="4">
        <f t="shared" si="2"/>
        <v>0.00000492184626</v>
      </c>
    </row>
    <row r="956">
      <c r="I956" s="6">
        <f t="shared" si="4"/>
        <v>0.955</v>
      </c>
      <c r="J956" s="4">
        <f t="shared" si="2"/>
        <v>0.000004939741062</v>
      </c>
    </row>
    <row r="957">
      <c r="I957" s="6">
        <f t="shared" si="4"/>
        <v>0.956</v>
      </c>
      <c r="J957" s="4">
        <f t="shared" si="2"/>
        <v>0.00000495795886</v>
      </c>
    </row>
    <row r="958">
      <c r="I958" s="6">
        <f t="shared" si="4"/>
        <v>0.957</v>
      </c>
      <c r="J958" s="4">
        <f t="shared" si="2"/>
        <v>0.000004976513669</v>
      </c>
    </row>
    <row r="959">
      <c r="I959" s="6">
        <f t="shared" si="4"/>
        <v>0.958</v>
      </c>
      <c r="J959" s="4">
        <f t="shared" si="2"/>
        <v>0.00000499542046</v>
      </c>
    </row>
    <row r="960">
      <c r="I960" s="6">
        <f t="shared" si="4"/>
        <v>0.959</v>
      </c>
      <c r="J960" s="4">
        <f t="shared" si="2"/>
        <v>0.000005014695243</v>
      </c>
    </row>
    <row r="961">
      <c r="I961" s="6">
        <f t="shared" si="4"/>
        <v>0.96</v>
      </c>
      <c r="J961" s="4">
        <f t="shared" si="2"/>
        <v>0.000005034355173</v>
      </c>
    </row>
    <row r="962">
      <c r="I962" s="6">
        <f t="shared" si="4"/>
        <v>0.961</v>
      </c>
      <c r="J962" s="4">
        <f t="shared" si="2"/>
        <v>0.000005054418659</v>
      </c>
    </row>
    <row r="963">
      <c r="I963" s="6">
        <f t="shared" si="4"/>
        <v>0.962</v>
      </c>
      <c r="J963" s="4">
        <f t="shared" si="2"/>
        <v>0.000005074905492</v>
      </c>
    </row>
    <row r="964">
      <c r="I964" s="6">
        <f t="shared" si="4"/>
        <v>0.963</v>
      </c>
      <c r="J964" s="4">
        <f t="shared" si="2"/>
        <v>0.00000509583699</v>
      </c>
    </row>
    <row r="965">
      <c r="I965" s="6">
        <f t="shared" si="4"/>
        <v>0.964</v>
      </c>
      <c r="J965" s="4">
        <f t="shared" si="2"/>
        <v>0.000005117236158</v>
      </c>
    </row>
    <row r="966">
      <c r="I966" s="6">
        <f t="shared" si="4"/>
        <v>0.965</v>
      </c>
      <c r="J966" s="4">
        <f t="shared" si="2"/>
        <v>0.000005139127875</v>
      </c>
    </row>
    <row r="967">
      <c r="I967" s="6">
        <f t="shared" si="4"/>
        <v>0.966</v>
      </c>
      <c r="J967" s="4">
        <f t="shared" si="2"/>
        <v>0.000005161539108</v>
      </c>
    </row>
    <row r="968">
      <c r="I968" s="6">
        <f t="shared" si="4"/>
        <v>0.967</v>
      </c>
      <c r="J968" s="4">
        <f t="shared" si="2"/>
        <v>0.000005184499148</v>
      </c>
    </row>
    <row r="969">
      <c r="I969" s="6">
        <f t="shared" si="4"/>
        <v>0.968</v>
      </c>
      <c r="J969" s="4">
        <f t="shared" si="2"/>
        <v>0.000005208039899</v>
      </c>
    </row>
    <row r="970">
      <c r="I970" s="6">
        <f t="shared" si="4"/>
        <v>0.969</v>
      </c>
      <c r="J970" s="4">
        <f t="shared" si="2"/>
        <v>0.00000523219619</v>
      </c>
    </row>
    <row r="971">
      <c r="I971" s="6">
        <f t="shared" si="4"/>
        <v>0.97</v>
      </c>
      <c r="J971" s="4">
        <f t="shared" si="2"/>
        <v>0.000005257006159</v>
      </c>
    </row>
    <row r="972">
      <c r="I972" s="6">
        <f t="shared" si="4"/>
        <v>0.971</v>
      </c>
      <c r="J972" s="4">
        <f t="shared" si="2"/>
        <v>0.000005282511682</v>
      </c>
    </row>
    <row r="973">
      <c r="I973" s="6">
        <f t="shared" si="4"/>
        <v>0.972</v>
      </c>
      <c r="J973" s="4">
        <f t="shared" si="2"/>
        <v>0.00000530875889</v>
      </c>
    </row>
    <row r="974">
      <c r="I974" s="6">
        <f t="shared" si="4"/>
        <v>0.973</v>
      </c>
      <c r="J974" s="4">
        <f t="shared" si="2"/>
        <v>0.000005335798769</v>
      </c>
    </row>
    <row r="975">
      <c r="I975" s="6">
        <f t="shared" si="4"/>
        <v>0.974</v>
      </c>
      <c r="J975" s="4">
        <f t="shared" si="2"/>
        <v>0.000005363687877</v>
      </c>
    </row>
    <row r="976">
      <c r="I976" s="6">
        <f t="shared" si="4"/>
        <v>0.975</v>
      </c>
      <c r="J976" s="4">
        <f t="shared" si="2"/>
        <v>0.000005392489191</v>
      </c>
    </row>
    <row r="977">
      <c r="I977" s="6">
        <f t="shared" si="4"/>
        <v>0.976</v>
      </c>
      <c r="J977" s="4">
        <f t="shared" si="2"/>
        <v>0.000005422273144</v>
      </c>
    </row>
    <row r="978">
      <c r="I978" s="6">
        <f t="shared" si="4"/>
        <v>0.977</v>
      </c>
      <c r="J978" s="4">
        <f t="shared" si="2"/>
        <v>0.000005453118841</v>
      </c>
    </row>
    <row r="979">
      <c r="I979" s="6">
        <f t="shared" si="4"/>
        <v>0.978</v>
      </c>
      <c r="J979" s="4">
        <f t="shared" si="2"/>
        <v>0.000005485115581</v>
      </c>
    </row>
    <row r="980">
      <c r="I980" s="6">
        <f t="shared" si="4"/>
        <v>0.979</v>
      </c>
      <c r="J980" s="4">
        <f t="shared" si="2"/>
        <v>0.000005518364701</v>
      </c>
    </row>
    <row r="981">
      <c r="I981" s="6">
        <f t="shared" si="4"/>
        <v>0.98</v>
      </c>
      <c r="J981" s="4">
        <f t="shared" si="2"/>
        <v>0.000005552981863</v>
      </c>
    </row>
    <row r="982">
      <c r="I982" s="6">
        <f t="shared" si="4"/>
        <v>0.981</v>
      </c>
      <c r="J982" s="4">
        <f t="shared" si="2"/>
        <v>0.000005589099928</v>
      </c>
    </row>
    <row r="983">
      <c r="I983" s="6">
        <f t="shared" si="4"/>
        <v>0.982</v>
      </c>
      <c r="J983" s="4">
        <f t="shared" si="2"/>
        <v>0.000005626872585</v>
      </c>
    </row>
    <row r="984">
      <c r="I984" s="6">
        <f t="shared" si="4"/>
        <v>0.983</v>
      </c>
      <c r="J984" s="4">
        <f t="shared" si="2"/>
        <v>0.000005666478996</v>
      </c>
    </row>
    <row r="985">
      <c r="I985" s="6">
        <f t="shared" si="4"/>
        <v>0.984</v>
      </c>
      <c r="J985" s="4">
        <f t="shared" si="2"/>
        <v>0.000005708129828</v>
      </c>
    </row>
    <row r="986">
      <c r="I986" s="6">
        <f t="shared" si="4"/>
        <v>0.985</v>
      </c>
      <c r="J986" s="4">
        <f t="shared" si="2"/>
        <v>0.000005752075194</v>
      </c>
    </row>
    <row r="987">
      <c r="I987" s="6">
        <f t="shared" si="4"/>
        <v>0.986</v>
      </c>
      <c r="J987" s="4">
        <f t="shared" si="2"/>
        <v>0.000005798615282</v>
      </c>
    </row>
    <row r="988">
      <c r="I988" s="6">
        <f t="shared" si="4"/>
        <v>0.987</v>
      </c>
      <c r="J988" s="4">
        <f t="shared" si="2"/>
        <v>0.000005848114855</v>
      </c>
    </row>
    <row r="989">
      <c r="I989" s="6">
        <f t="shared" si="4"/>
        <v>0.988</v>
      </c>
      <c r="J989" s="4">
        <f t="shared" si="2"/>
        <v>0.000005901023447</v>
      </c>
    </row>
    <row r="990">
      <c r="I990" s="6">
        <f t="shared" si="4"/>
        <v>0.989</v>
      </c>
      <c r="J990" s="4">
        <f t="shared" si="2"/>
        <v>0.000005957904201</v>
      </c>
    </row>
    <row r="991">
      <c r="I991" s="6">
        <f t="shared" si="4"/>
        <v>0.99</v>
      </c>
      <c r="J991" s="4">
        <f t="shared" si="2"/>
        <v>0.000006019476207</v>
      </c>
    </row>
    <row r="992">
      <c r="I992" s="6">
        <f t="shared" si="4"/>
        <v>0.991</v>
      </c>
      <c r="J992" s="4">
        <f t="shared" si="2"/>
        <v>0.000006086678777</v>
      </c>
    </row>
    <row r="993">
      <c r="I993" s="6">
        <f t="shared" si="4"/>
        <v>0.992</v>
      </c>
      <c r="J993" s="4">
        <f t="shared" si="2"/>
        <v>0.000006160772974</v>
      </c>
    </row>
    <row r="994">
      <c r="I994" s="6">
        <f t="shared" si="4"/>
        <v>0.993</v>
      </c>
      <c r="J994" s="4">
        <f t="shared" si="2"/>
        <v>0.000006243509885</v>
      </c>
    </row>
    <row r="995">
      <c r="I995" s="6">
        <f t="shared" si="4"/>
        <v>0.994</v>
      </c>
      <c r="J995" s="4">
        <f t="shared" si="2"/>
        <v>0.000006337426775</v>
      </c>
    </row>
    <row r="996">
      <c r="I996" s="6">
        <f t="shared" si="4"/>
        <v>0.995</v>
      </c>
      <c r="J996" s="4">
        <f t="shared" si="2"/>
        <v>0.000006446409878</v>
      </c>
    </row>
    <row r="997">
      <c r="I997" s="6">
        <f t="shared" si="4"/>
        <v>0.996</v>
      </c>
      <c r="J997" s="4">
        <f t="shared" si="2"/>
        <v>0.00000657687906</v>
      </c>
    </row>
    <row r="998">
      <c r="I998" s="6">
        <f t="shared" si="4"/>
        <v>0.997</v>
      </c>
      <c r="J998" s="4">
        <f t="shared" si="2"/>
        <v>0.000006740668784</v>
      </c>
    </row>
    <row r="999">
      <c r="I999" s="6">
        <f t="shared" si="4"/>
        <v>0.998</v>
      </c>
      <c r="J999" s="4">
        <f t="shared" si="2"/>
        <v>0.000006963786641</v>
      </c>
    </row>
    <row r="1000">
      <c r="I1000" s="6">
        <f t="shared" si="4"/>
        <v>0.999</v>
      </c>
      <c r="J1000" s="4">
        <f t="shared" si="2"/>
        <v>0.00000732669968</v>
      </c>
    </row>
    <row r="1002">
      <c r="J1002" s="4"/>
    </row>
    <row r="1003">
      <c r="J1003" s="4"/>
    </row>
    <row r="1004">
      <c r="J1004" s="4"/>
    </row>
    <row r="1005">
      <c r="J1005" s="4"/>
    </row>
    <row r="1006">
      <c r="J1006" s="4"/>
    </row>
    <row r="1007">
      <c r="J1007" s="4"/>
    </row>
    <row r="1008">
      <c r="J1008" s="4"/>
    </row>
    <row r="1009">
      <c r="J1009" s="4"/>
    </row>
    <row r="1010">
      <c r="J1010" s="4"/>
    </row>
    <row r="1011">
      <c r="J1011" s="4"/>
    </row>
    <row r="1012">
      <c r="J1012" s="4"/>
    </row>
    <row r="1013">
      <c r="J1013" s="4"/>
    </row>
    <row r="1014">
      <c r="J1014" s="4"/>
    </row>
    <row r="1015">
      <c r="J1015" s="4"/>
    </row>
    <row r="1016">
      <c r="J1016" s="4"/>
    </row>
    <row r="1017">
      <c r="J1017" s="4"/>
    </row>
    <row r="1018">
      <c r="J1018" s="4"/>
    </row>
    <row r="1019">
      <c r="J1019" s="4"/>
    </row>
    <row r="1020">
      <c r="J1020" s="4"/>
    </row>
    <row r="1021">
      <c r="J1021" s="4"/>
    </row>
    <row r="1022">
      <c r="J1022" s="4"/>
    </row>
    <row r="1023">
      <c r="J1023" s="4"/>
    </row>
    <row r="1024">
      <c r="J1024" s="4"/>
    </row>
    <row r="1025">
      <c r="J1025" s="4"/>
    </row>
    <row r="1026">
      <c r="J1026" s="4"/>
    </row>
    <row r="1027">
      <c r="J1027" s="4"/>
    </row>
    <row r="1028">
      <c r="J1028" s="4"/>
    </row>
    <row r="1029">
      <c r="J1029" s="4"/>
    </row>
    <row r="1030">
      <c r="J1030" s="4"/>
    </row>
    <row r="1031">
      <c r="J1031" s="4"/>
    </row>
    <row r="1032">
      <c r="J1032" s="4"/>
    </row>
    <row r="1033">
      <c r="J1033" s="4"/>
    </row>
    <row r="1034">
      <c r="J1034" s="4"/>
    </row>
    <row r="1035">
      <c r="J1035" s="4"/>
    </row>
    <row r="1036">
      <c r="J1036" s="4"/>
    </row>
    <row r="1037">
      <c r="J1037" s="4"/>
    </row>
    <row r="1038">
      <c r="J1038" s="4"/>
    </row>
    <row r="1039">
      <c r="J1039" s="4"/>
    </row>
    <row r="1040">
      <c r="J1040" s="4"/>
    </row>
    <row r="1041">
      <c r="J1041" s="4"/>
    </row>
    <row r="1042">
      <c r="J1042" s="4"/>
    </row>
    <row r="1043">
      <c r="J1043" s="4"/>
    </row>
    <row r="1044">
      <c r="J1044" s="4"/>
    </row>
    <row r="1045">
      <c r="J1045" s="4"/>
    </row>
    <row r="1046">
      <c r="J1046" s="4"/>
    </row>
    <row r="1047">
      <c r="J1047" s="4"/>
    </row>
    <row r="1048">
      <c r="J1048" s="4"/>
    </row>
    <row r="1049">
      <c r="J1049" s="4"/>
    </row>
    <row r="1050">
      <c r="J1050" s="4"/>
    </row>
    <row r="1051">
      <c r="J1051" s="4"/>
    </row>
    <row r="1052">
      <c r="J1052" s="4"/>
    </row>
    <row r="1053">
      <c r="J1053" s="4"/>
    </row>
    <row r="1054">
      <c r="J1054" s="4"/>
    </row>
    <row r="1055">
      <c r="J1055" s="4"/>
    </row>
    <row r="1056">
      <c r="J1056" s="4"/>
    </row>
    <row r="1057">
      <c r="J1057" s="4"/>
    </row>
    <row r="1058">
      <c r="J1058" s="4"/>
    </row>
    <row r="1059">
      <c r="J1059" s="4"/>
    </row>
    <row r="1060">
      <c r="J1060" s="4"/>
    </row>
    <row r="1061">
      <c r="J1061" s="4"/>
    </row>
    <row r="1062">
      <c r="J1062" s="4"/>
    </row>
    <row r="1063">
      <c r="J1063" s="4"/>
    </row>
    <row r="1064">
      <c r="J1064" s="4"/>
    </row>
    <row r="1065">
      <c r="J1065" s="4"/>
    </row>
    <row r="1066">
      <c r="J1066" s="4"/>
    </row>
    <row r="1067">
      <c r="J1067" s="4"/>
    </row>
    <row r="1068">
      <c r="J1068" s="4"/>
    </row>
    <row r="1069">
      <c r="J1069" s="4"/>
    </row>
    <row r="1070">
      <c r="J1070" s="4"/>
    </row>
    <row r="1071">
      <c r="J1071" s="4"/>
    </row>
    <row r="1072">
      <c r="J1072" s="4"/>
    </row>
    <row r="1073">
      <c r="J1073" s="4"/>
    </row>
    <row r="1074">
      <c r="J1074" s="4"/>
    </row>
    <row r="1075">
      <c r="J1075" s="4"/>
    </row>
    <row r="1076">
      <c r="J1076" s="4"/>
    </row>
    <row r="1077">
      <c r="J1077" s="4"/>
    </row>
    <row r="1078">
      <c r="J1078" s="4"/>
    </row>
    <row r="1079">
      <c r="J1079" s="4"/>
    </row>
    <row r="1080">
      <c r="J1080" s="4"/>
    </row>
    <row r="1081">
      <c r="J1081" s="4"/>
    </row>
    <row r="1082">
      <c r="J1082" s="4"/>
    </row>
    <row r="1083">
      <c r="J1083" s="4"/>
    </row>
    <row r="1084">
      <c r="J1084" s="4"/>
    </row>
    <row r="1085">
      <c r="J1085" s="4"/>
    </row>
    <row r="1086">
      <c r="J1086" s="4"/>
    </row>
    <row r="1087">
      <c r="J1087" s="4"/>
    </row>
    <row r="1088">
      <c r="J1088" s="4"/>
    </row>
    <row r="1089">
      <c r="J1089" s="4"/>
    </row>
    <row r="1090">
      <c r="J1090" s="4"/>
    </row>
    <row r="1091">
      <c r="J1091" s="4"/>
    </row>
    <row r="1092">
      <c r="J1092" s="4"/>
    </row>
    <row r="1093">
      <c r="J1093" s="4"/>
    </row>
    <row r="1094">
      <c r="J1094" s="4"/>
    </row>
    <row r="1095">
      <c r="J1095" s="4"/>
    </row>
    <row r="1096">
      <c r="J1096" s="4"/>
    </row>
    <row r="1097">
      <c r="J1097" s="4"/>
    </row>
    <row r="1098">
      <c r="J1098" s="4"/>
    </row>
    <row r="1099">
      <c r="J1099" s="4"/>
    </row>
    <row r="1100">
      <c r="J1100" s="4"/>
    </row>
    <row r="1101">
      <c r="J1101" s="4"/>
    </row>
    <row r="1102">
      <c r="J1102" s="4"/>
    </row>
    <row r="1103">
      <c r="J1103" s="4"/>
    </row>
    <row r="1104">
      <c r="J1104" s="4"/>
    </row>
    <row r="1105">
      <c r="J1105" s="4"/>
    </row>
    <row r="1106">
      <c r="J1106" s="4"/>
    </row>
    <row r="1107">
      <c r="J1107" s="4"/>
    </row>
    <row r="1108">
      <c r="J1108" s="4"/>
    </row>
    <row r="1109">
      <c r="J1109" s="4"/>
    </row>
    <row r="1110">
      <c r="J1110" s="4"/>
    </row>
    <row r="1111">
      <c r="J1111" s="4"/>
    </row>
    <row r="1112">
      <c r="J1112" s="4"/>
    </row>
    <row r="1113">
      <c r="J1113" s="4"/>
    </row>
    <row r="1114">
      <c r="J1114" s="4"/>
    </row>
    <row r="1115">
      <c r="J1115" s="4"/>
    </row>
    <row r="1116">
      <c r="J1116" s="4"/>
    </row>
    <row r="1117">
      <c r="J1117" s="4"/>
    </row>
    <row r="1118">
      <c r="J1118" s="4"/>
    </row>
    <row r="1119">
      <c r="J1119" s="4"/>
    </row>
    <row r="1120">
      <c r="J1120" s="4"/>
    </row>
    <row r="1121">
      <c r="J1121" s="4"/>
    </row>
    <row r="1122">
      <c r="J1122" s="4"/>
    </row>
    <row r="1123">
      <c r="J1123" s="4"/>
    </row>
    <row r="1124">
      <c r="J1124" s="4"/>
    </row>
    <row r="1125">
      <c r="J1125" s="4"/>
    </row>
    <row r="1126">
      <c r="J1126" s="4"/>
    </row>
    <row r="1127">
      <c r="J1127" s="4"/>
    </row>
    <row r="1128">
      <c r="J1128" s="4"/>
    </row>
    <row r="1129">
      <c r="J1129" s="4"/>
    </row>
    <row r="1130">
      <c r="J1130" s="4"/>
    </row>
    <row r="1131">
      <c r="J1131" s="4"/>
    </row>
    <row r="1132">
      <c r="J1132" s="4"/>
    </row>
    <row r="1133">
      <c r="J1133" s="4"/>
    </row>
    <row r="1134">
      <c r="J1134" s="4"/>
    </row>
    <row r="1135">
      <c r="J1135" s="4"/>
    </row>
    <row r="1136">
      <c r="J1136" s="4"/>
    </row>
    <row r="1137">
      <c r="J1137" s="4"/>
    </row>
    <row r="1138">
      <c r="J1138" s="4"/>
    </row>
    <row r="1139">
      <c r="J1139" s="4"/>
    </row>
    <row r="1140">
      <c r="J1140" s="4"/>
    </row>
    <row r="1141">
      <c r="J1141" s="4"/>
    </row>
    <row r="1142">
      <c r="J1142" s="4"/>
    </row>
    <row r="1143">
      <c r="J1143" s="4"/>
    </row>
    <row r="1144">
      <c r="J1144" s="4"/>
    </row>
    <row r="1145">
      <c r="J1145" s="4"/>
    </row>
    <row r="1146">
      <c r="J1146" s="4"/>
    </row>
    <row r="1147">
      <c r="J1147" s="4"/>
    </row>
    <row r="1148">
      <c r="J1148" s="4"/>
    </row>
    <row r="1149">
      <c r="J1149" s="4"/>
    </row>
    <row r="1150">
      <c r="J1150" s="4"/>
    </row>
    <row r="1151">
      <c r="J1151" s="4"/>
    </row>
    <row r="1152">
      <c r="J1152" s="4"/>
    </row>
    <row r="1153">
      <c r="J1153" s="4"/>
    </row>
    <row r="1154">
      <c r="J1154" s="4"/>
    </row>
    <row r="1155">
      <c r="J1155" s="4"/>
    </row>
    <row r="1156">
      <c r="J1156" s="4"/>
    </row>
    <row r="1157">
      <c r="J1157" s="4"/>
    </row>
    <row r="1158">
      <c r="J1158" s="4"/>
    </row>
    <row r="1159">
      <c r="J1159" s="4"/>
    </row>
    <row r="1160">
      <c r="J1160" s="4"/>
    </row>
    <row r="1161">
      <c r="J1161" s="4"/>
    </row>
    <row r="1162">
      <c r="J1162" s="4"/>
    </row>
    <row r="1163">
      <c r="J1163" s="4"/>
    </row>
    <row r="1164">
      <c r="J1164" s="4"/>
    </row>
    <row r="1165">
      <c r="J1165" s="4"/>
    </row>
    <row r="1166">
      <c r="J1166" s="4"/>
    </row>
    <row r="1167">
      <c r="J1167" s="4"/>
    </row>
    <row r="1168">
      <c r="J1168" s="4"/>
    </row>
    <row r="1169">
      <c r="J1169" s="4"/>
    </row>
    <row r="1170">
      <c r="J1170" s="4"/>
    </row>
    <row r="1171">
      <c r="J1171" s="4"/>
    </row>
    <row r="1172">
      <c r="J1172" s="4"/>
    </row>
    <row r="1173">
      <c r="J1173" s="4"/>
    </row>
    <row r="1174">
      <c r="J1174" s="4"/>
    </row>
    <row r="1175">
      <c r="J1175" s="4"/>
    </row>
    <row r="1176">
      <c r="J1176" s="4"/>
    </row>
    <row r="1177">
      <c r="J1177" s="4"/>
    </row>
    <row r="1178">
      <c r="J1178" s="4"/>
    </row>
    <row r="1179">
      <c r="J1179" s="4"/>
    </row>
    <row r="1180">
      <c r="J1180" s="4"/>
    </row>
    <row r="1181">
      <c r="J1181" s="4"/>
    </row>
    <row r="1182">
      <c r="J1182" s="4"/>
    </row>
    <row r="1183">
      <c r="J1183" s="4"/>
    </row>
    <row r="1184">
      <c r="J1184" s="4"/>
    </row>
    <row r="1185">
      <c r="J1185" s="4"/>
    </row>
    <row r="1186">
      <c r="J1186" s="4"/>
    </row>
    <row r="1187">
      <c r="J1187" s="4"/>
    </row>
    <row r="1188">
      <c r="J1188" s="4"/>
    </row>
    <row r="1189">
      <c r="J1189" s="4"/>
    </row>
    <row r="1190">
      <c r="J1190" s="4"/>
    </row>
    <row r="1191">
      <c r="J1191" s="4"/>
    </row>
    <row r="1192">
      <c r="J1192" s="4"/>
    </row>
    <row r="1193">
      <c r="J1193" s="4"/>
    </row>
    <row r="1194">
      <c r="J1194" s="4"/>
    </row>
    <row r="1195">
      <c r="J1195" s="4"/>
    </row>
    <row r="1196">
      <c r="J1196" s="4"/>
    </row>
    <row r="1197">
      <c r="J1197" s="4"/>
    </row>
    <row r="1198">
      <c r="J1198" s="4"/>
    </row>
    <row r="1199">
      <c r="J1199" s="4"/>
    </row>
    <row r="1200">
      <c r="J1200" s="4"/>
    </row>
    <row r="1201">
      <c r="J1201" s="4"/>
    </row>
    <row r="1202">
      <c r="J1202" s="4"/>
    </row>
    <row r="1203">
      <c r="J1203" s="4"/>
    </row>
    <row r="1204">
      <c r="J1204" s="4"/>
    </row>
    <row r="1205">
      <c r="J1205" s="4"/>
    </row>
    <row r="1206">
      <c r="J1206" s="4"/>
    </row>
    <row r="1207">
      <c r="J1207" s="4"/>
    </row>
    <row r="1208">
      <c r="J1208" s="4"/>
    </row>
    <row r="1209">
      <c r="J1209" s="4"/>
    </row>
    <row r="1210">
      <c r="J1210" s="4"/>
    </row>
    <row r="1211">
      <c r="J1211" s="4"/>
    </row>
    <row r="1212">
      <c r="J1212" s="4"/>
    </row>
    <row r="1213">
      <c r="J1213" s="4"/>
    </row>
    <row r="1214">
      <c r="J1214" s="4"/>
    </row>
    <row r="1215">
      <c r="J1215" s="4"/>
    </row>
    <row r="1216">
      <c r="J1216" s="4"/>
    </row>
    <row r="1217">
      <c r="J1217" s="4"/>
    </row>
    <row r="1218">
      <c r="J1218" s="4"/>
    </row>
    <row r="1219">
      <c r="J1219" s="4"/>
    </row>
    <row r="1220">
      <c r="J1220" s="4"/>
    </row>
    <row r="1221">
      <c r="J1221" s="4"/>
    </row>
    <row r="1222">
      <c r="J1222" s="4"/>
    </row>
    <row r="1223">
      <c r="J1223" s="4"/>
    </row>
    <row r="1224">
      <c r="J1224" s="4"/>
    </row>
    <row r="1225">
      <c r="J1225" s="4"/>
    </row>
    <row r="1226">
      <c r="J1226" s="4"/>
    </row>
    <row r="1227">
      <c r="J1227" s="4"/>
    </row>
    <row r="1228">
      <c r="J1228" s="4"/>
    </row>
    <row r="1229">
      <c r="J1229" s="4"/>
    </row>
    <row r="1230">
      <c r="J1230" s="4"/>
    </row>
    <row r="1231">
      <c r="J1231" s="4"/>
    </row>
    <row r="1232">
      <c r="J1232" s="4"/>
    </row>
    <row r="1233">
      <c r="J1233" s="4"/>
    </row>
    <row r="1234">
      <c r="J1234" s="4"/>
    </row>
    <row r="1235">
      <c r="J1235" s="4"/>
    </row>
    <row r="1236">
      <c r="J1236" s="4"/>
    </row>
    <row r="1237">
      <c r="J1237" s="4"/>
    </row>
    <row r="1238">
      <c r="J1238" s="4"/>
    </row>
    <row r="1239">
      <c r="J1239" s="4"/>
    </row>
    <row r="1240">
      <c r="J1240" s="4"/>
    </row>
    <row r="1241">
      <c r="J1241" s="4"/>
    </row>
    <row r="1242">
      <c r="J1242" s="4"/>
    </row>
    <row r="1243">
      <c r="J1243" s="4"/>
    </row>
    <row r="1244">
      <c r="J1244" s="4"/>
    </row>
    <row r="1245">
      <c r="J1245" s="4"/>
    </row>
    <row r="1246">
      <c r="J1246" s="4"/>
    </row>
    <row r="1247">
      <c r="J1247" s="4"/>
    </row>
    <row r="1248">
      <c r="J1248" s="4"/>
    </row>
    <row r="1249">
      <c r="J1249" s="4"/>
    </row>
    <row r="1250">
      <c r="J1250" s="4"/>
    </row>
    <row r="1251">
      <c r="J1251" s="4"/>
    </row>
    <row r="1252">
      <c r="J1252" s="4"/>
    </row>
    <row r="1253">
      <c r="J1253" s="4"/>
    </row>
    <row r="1254">
      <c r="J1254" s="4"/>
    </row>
    <row r="1255">
      <c r="J1255" s="4"/>
    </row>
    <row r="1256">
      <c r="J1256" s="4"/>
    </row>
    <row r="1257">
      <c r="J1257" s="4"/>
    </row>
    <row r="1258">
      <c r="J1258" s="4"/>
    </row>
    <row r="1259">
      <c r="J1259" s="4"/>
    </row>
    <row r="1260">
      <c r="J1260" s="4"/>
    </row>
    <row r="1261">
      <c r="J1261" s="4"/>
    </row>
    <row r="1262">
      <c r="J1262" s="4"/>
    </row>
    <row r="1263">
      <c r="J1263" s="4"/>
    </row>
    <row r="1264">
      <c r="J1264" s="4"/>
    </row>
    <row r="1265">
      <c r="J1265" s="4"/>
    </row>
    <row r="1266">
      <c r="J1266" s="4"/>
    </row>
    <row r="1267">
      <c r="J1267" s="4"/>
    </row>
    <row r="1268">
      <c r="J1268" s="4"/>
    </row>
    <row r="1269">
      <c r="J1269" s="4"/>
    </row>
    <row r="1270">
      <c r="J1270" s="4"/>
    </row>
    <row r="1271">
      <c r="J1271" s="4"/>
    </row>
    <row r="1272">
      <c r="J1272" s="4"/>
    </row>
    <row r="1273">
      <c r="J1273" s="4"/>
    </row>
    <row r="1274">
      <c r="J1274" s="4"/>
    </row>
    <row r="1275">
      <c r="J1275" s="4"/>
    </row>
    <row r="1276">
      <c r="J1276" s="4"/>
    </row>
    <row r="1277">
      <c r="J1277" s="4"/>
    </row>
    <row r="1278">
      <c r="J1278" s="4"/>
    </row>
    <row r="1279">
      <c r="J1279" s="4"/>
    </row>
    <row r="1280">
      <c r="J1280" s="4"/>
    </row>
    <row r="1281">
      <c r="J1281" s="4"/>
    </row>
    <row r="1282">
      <c r="J1282" s="4"/>
    </row>
    <row r="1283">
      <c r="J1283" s="4"/>
    </row>
    <row r="1284">
      <c r="J1284" s="4"/>
    </row>
    <row r="1285">
      <c r="J1285" s="4"/>
    </row>
    <row r="1286">
      <c r="J1286" s="4"/>
    </row>
    <row r="1287">
      <c r="J1287" s="4"/>
    </row>
    <row r="1288">
      <c r="J1288" s="4"/>
    </row>
    <row r="1289">
      <c r="J1289" s="4"/>
    </row>
    <row r="1290">
      <c r="J1290" s="4"/>
    </row>
    <row r="1291">
      <c r="J1291" s="4"/>
    </row>
    <row r="1292">
      <c r="J1292" s="4"/>
    </row>
    <row r="1293">
      <c r="J1293" s="4"/>
    </row>
    <row r="1294">
      <c r="J1294" s="4"/>
    </row>
    <row r="1295">
      <c r="J1295" s="4"/>
    </row>
    <row r="1296">
      <c r="J1296" s="4"/>
    </row>
    <row r="1297">
      <c r="J1297" s="4"/>
    </row>
    <row r="1298">
      <c r="J1298" s="4"/>
    </row>
    <row r="1299">
      <c r="J1299" s="4"/>
    </row>
    <row r="1300">
      <c r="J1300" s="4"/>
    </row>
    <row r="1301">
      <c r="J1301" s="4"/>
    </row>
    <row r="1302">
      <c r="J1302" s="4"/>
    </row>
    <row r="1303">
      <c r="J1303" s="4"/>
    </row>
    <row r="1304">
      <c r="J1304" s="4"/>
    </row>
    <row r="1305">
      <c r="J1305" s="4"/>
    </row>
    <row r="1306">
      <c r="J1306" s="4"/>
    </row>
    <row r="1307">
      <c r="J1307" s="4"/>
    </row>
    <row r="1308">
      <c r="J1308" s="4"/>
    </row>
    <row r="1309">
      <c r="J1309" s="4"/>
    </row>
    <row r="1310">
      <c r="J1310" s="4"/>
    </row>
    <row r="1311">
      <c r="J1311" s="4"/>
    </row>
    <row r="1312">
      <c r="J1312" s="4"/>
    </row>
    <row r="1313">
      <c r="J1313" s="4"/>
    </row>
    <row r="1314">
      <c r="J1314" s="4"/>
    </row>
    <row r="1315">
      <c r="J1315" s="4"/>
    </row>
    <row r="1316">
      <c r="J1316" s="4"/>
    </row>
    <row r="1317">
      <c r="J1317" s="4"/>
    </row>
    <row r="1318">
      <c r="J1318" s="4"/>
    </row>
    <row r="1319">
      <c r="J1319" s="4"/>
    </row>
    <row r="1320">
      <c r="J1320" s="4"/>
    </row>
    <row r="1321">
      <c r="J1321" s="4"/>
    </row>
    <row r="1322">
      <c r="J1322" s="4"/>
    </row>
    <row r="1323">
      <c r="J1323" s="4"/>
    </row>
    <row r="1324">
      <c r="J1324" s="4"/>
    </row>
    <row r="1325">
      <c r="J1325" s="4"/>
    </row>
    <row r="1326">
      <c r="J1326" s="4"/>
    </row>
    <row r="1327">
      <c r="J1327" s="4"/>
    </row>
    <row r="1328">
      <c r="J1328" s="4"/>
    </row>
    <row r="1329">
      <c r="J1329" s="4"/>
    </row>
    <row r="1330">
      <c r="J1330" s="4"/>
    </row>
    <row r="1331">
      <c r="J1331" s="4"/>
    </row>
    <row r="1332">
      <c r="J1332" s="4"/>
    </row>
    <row r="1333">
      <c r="J1333" s="4"/>
    </row>
    <row r="1334">
      <c r="J1334" s="4"/>
    </row>
    <row r="1335">
      <c r="J1335" s="4"/>
    </row>
    <row r="1336">
      <c r="J1336" s="4"/>
    </row>
    <row r="1337">
      <c r="J1337" s="4"/>
    </row>
    <row r="1338">
      <c r="J1338" s="4"/>
    </row>
    <row r="1339">
      <c r="J1339" s="4"/>
    </row>
    <row r="1340">
      <c r="J1340" s="4"/>
    </row>
    <row r="1341">
      <c r="J1341" s="4"/>
    </row>
    <row r="1342">
      <c r="J1342" s="4"/>
    </row>
    <row r="1343">
      <c r="J1343" s="4"/>
    </row>
    <row r="1344">
      <c r="J1344" s="4"/>
    </row>
    <row r="1345">
      <c r="J1345" s="4"/>
    </row>
    <row r="1346">
      <c r="J1346" s="4"/>
    </row>
    <row r="1347">
      <c r="J1347" s="4"/>
    </row>
    <row r="1348">
      <c r="J1348" s="4"/>
    </row>
    <row r="1349">
      <c r="J1349" s="4"/>
    </row>
    <row r="1350">
      <c r="J1350" s="4"/>
    </row>
    <row r="1351">
      <c r="J1351" s="4"/>
    </row>
    <row r="1352">
      <c r="J1352" s="4"/>
    </row>
    <row r="1353">
      <c r="J1353" s="4"/>
    </row>
    <row r="1354">
      <c r="J1354" s="4"/>
    </row>
    <row r="1355">
      <c r="J1355" s="4"/>
    </row>
    <row r="1356">
      <c r="J1356" s="4"/>
    </row>
    <row r="1357">
      <c r="J1357" s="4"/>
    </row>
    <row r="1358">
      <c r="J1358" s="4"/>
    </row>
    <row r="1359">
      <c r="J1359" s="4"/>
    </row>
    <row r="1360">
      <c r="J1360" s="4"/>
    </row>
    <row r="1361">
      <c r="J1361" s="4"/>
    </row>
    <row r="1362">
      <c r="J1362" s="4"/>
    </row>
    <row r="1363">
      <c r="J1363" s="4"/>
    </row>
    <row r="1364">
      <c r="J1364" s="4"/>
    </row>
    <row r="1365">
      <c r="J1365" s="4"/>
    </row>
    <row r="1366">
      <c r="J1366" s="4"/>
    </row>
    <row r="1367">
      <c r="J1367" s="4"/>
    </row>
    <row r="1368">
      <c r="J1368" s="4"/>
    </row>
    <row r="1369">
      <c r="J1369" s="4"/>
    </row>
    <row r="1370">
      <c r="J1370" s="4"/>
    </row>
    <row r="1371">
      <c r="J1371" s="4"/>
    </row>
    <row r="1372">
      <c r="J1372" s="4"/>
    </row>
    <row r="1373">
      <c r="J1373" s="4"/>
    </row>
    <row r="1374">
      <c r="J1374" s="4"/>
    </row>
    <row r="1375">
      <c r="J1375" s="4"/>
    </row>
    <row r="1376">
      <c r="J1376" s="4"/>
    </row>
    <row r="1377">
      <c r="J1377" s="4"/>
    </row>
    <row r="1378">
      <c r="J1378" s="4"/>
    </row>
    <row r="1379">
      <c r="J1379" s="4"/>
    </row>
    <row r="1380">
      <c r="J1380" s="4"/>
    </row>
    <row r="1381">
      <c r="J1381" s="4"/>
    </row>
    <row r="1382">
      <c r="J1382" s="4"/>
    </row>
    <row r="1383">
      <c r="J1383" s="4"/>
    </row>
    <row r="1384">
      <c r="J1384" s="4"/>
    </row>
    <row r="1385">
      <c r="J1385" s="4"/>
    </row>
    <row r="1386">
      <c r="J1386" s="4"/>
    </row>
    <row r="1387">
      <c r="J1387" s="4"/>
    </row>
    <row r="1388">
      <c r="J1388" s="4"/>
    </row>
    <row r="1389">
      <c r="J1389" s="4"/>
    </row>
    <row r="1390">
      <c r="J1390" s="4"/>
    </row>
    <row r="1391">
      <c r="J1391" s="4"/>
    </row>
    <row r="1392">
      <c r="J1392" s="4"/>
    </row>
    <row r="1393">
      <c r="J1393" s="4"/>
    </row>
    <row r="1394">
      <c r="J1394" s="4"/>
    </row>
    <row r="1395">
      <c r="J1395" s="4"/>
    </row>
    <row r="1396">
      <c r="J1396" s="4"/>
    </row>
    <row r="1397">
      <c r="J1397" s="4"/>
    </row>
    <row r="1398">
      <c r="J1398" s="4"/>
    </row>
    <row r="1399">
      <c r="J1399" s="4"/>
    </row>
    <row r="1400">
      <c r="J1400" s="4"/>
    </row>
    <row r="1401">
      <c r="J1401" s="4"/>
    </row>
    <row r="1402">
      <c r="J1402" s="4"/>
    </row>
    <row r="1403">
      <c r="J1403" s="4"/>
    </row>
    <row r="1404">
      <c r="J1404" s="4"/>
    </row>
    <row r="1405">
      <c r="J1405" s="4"/>
    </row>
    <row r="1406">
      <c r="J1406" s="4"/>
    </row>
    <row r="1407">
      <c r="J1407" s="4"/>
    </row>
    <row r="1408">
      <c r="J1408" s="4"/>
    </row>
    <row r="1409">
      <c r="J1409" s="4"/>
    </row>
    <row r="1410">
      <c r="J1410" s="4"/>
    </row>
    <row r="1411">
      <c r="J1411" s="4"/>
    </row>
    <row r="1412">
      <c r="J1412" s="4"/>
    </row>
    <row r="1413">
      <c r="J1413" s="4"/>
    </row>
    <row r="1414">
      <c r="J1414" s="4"/>
    </row>
    <row r="1415">
      <c r="J1415" s="4"/>
    </row>
    <row r="1416">
      <c r="J1416" s="4"/>
    </row>
    <row r="1417">
      <c r="J1417" s="4"/>
    </row>
    <row r="1418">
      <c r="J1418" s="4"/>
    </row>
    <row r="1419">
      <c r="J1419" s="4"/>
    </row>
    <row r="1420">
      <c r="J1420" s="4"/>
    </row>
    <row r="1421">
      <c r="J1421" s="4"/>
    </row>
    <row r="1422">
      <c r="J1422" s="4"/>
    </row>
    <row r="1423">
      <c r="J1423" s="4"/>
    </row>
    <row r="1424">
      <c r="J1424" s="4"/>
    </row>
    <row r="1425">
      <c r="J1425" s="4"/>
    </row>
    <row r="1426">
      <c r="J1426" s="4"/>
    </row>
    <row r="1427">
      <c r="J1427" s="4"/>
    </row>
    <row r="1428">
      <c r="J1428" s="4"/>
    </row>
    <row r="1429">
      <c r="J1429" s="4"/>
    </row>
    <row r="1430">
      <c r="J1430" s="4"/>
    </row>
    <row r="1431">
      <c r="J1431" s="4"/>
    </row>
    <row r="1432">
      <c r="J1432" s="4"/>
    </row>
    <row r="1433">
      <c r="J1433" s="4"/>
    </row>
    <row r="1434">
      <c r="J1434" s="4"/>
    </row>
    <row r="1435">
      <c r="J1435" s="4"/>
    </row>
    <row r="1436">
      <c r="J1436" s="4"/>
    </row>
    <row r="1437">
      <c r="J1437" s="4"/>
    </row>
    <row r="1438">
      <c r="J1438" s="4"/>
    </row>
    <row r="1439">
      <c r="J1439" s="4"/>
    </row>
    <row r="1440">
      <c r="J1440" s="4"/>
    </row>
    <row r="1441">
      <c r="J1441" s="4"/>
    </row>
    <row r="1442">
      <c r="J1442" s="4"/>
    </row>
    <row r="1443">
      <c r="J1443" s="4"/>
    </row>
    <row r="1444">
      <c r="J1444" s="4"/>
    </row>
    <row r="1445">
      <c r="J1445" s="4"/>
    </row>
    <row r="1446">
      <c r="J1446" s="4"/>
    </row>
    <row r="1447">
      <c r="J1447" s="4"/>
    </row>
    <row r="1448">
      <c r="J1448" s="4"/>
    </row>
    <row r="1449">
      <c r="J1449" s="4"/>
    </row>
    <row r="1450">
      <c r="J1450" s="4"/>
    </row>
    <row r="1451">
      <c r="J1451" s="4"/>
    </row>
    <row r="1452">
      <c r="J1452" s="4"/>
    </row>
    <row r="1453">
      <c r="J1453" s="4"/>
    </row>
    <row r="1454">
      <c r="J1454" s="4"/>
    </row>
    <row r="1455">
      <c r="J1455" s="4"/>
    </row>
    <row r="1456">
      <c r="J1456" s="4"/>
    </row>
    <row r="1457">
      <c r="J1457" s="4"/>
    </row>
    <row r="1458">
      <c r="J1458" s="4"/>
    </row>
    <row r="1459">
      <c r="J1459" s="4"/>
    </row>
    <row r="1460">
      <c r="J1460" s="4"/>
    </row>
    <row r="1461">
      <c r="J1461" s="4"/>
    </row>
    <row r="1462">
      <c r="J1462" s="4"/>
    </row>
    <row r="1463">
      <c r="J1463" s="4"/>
    </row>
    <row r="1464">
      <c r="J1464" s="4"/>
    </row>
    <row r="1465">
      <c r="J1465" s="4"/>
    </row>
    <row r="1466">
      <c r="J1466" s="4"/>
    </row>
    <row r="1467">
      <c r="J1467" s="4"/>
    </row>
    <row r="1468">
      <c r="J1468" s="4"/>
    </row>
    <row r="1469">
      <c r="J1469" s="4"/>
    </row>
    <row r="1470">
      <c r="J1470" s="4"/>
    </row>
    <row r="1471">
      <c r="J1471" s="4"/>
    </row>
    <row r="1472">
      <c r="J1472" s="4"/>
    </row>
    <row r="1473">
      <c r="J1473" s="4"/>
    </row>
    <row r="1474">
      <c r="J1474" s="4"/>
    </row>
    <row r="1475">
      <c r="J1475" s="4"/>
    </row>
    <row r="1476">
      <c r="J1476" s="4"/>
    </row>
    <row r="1477">
      <c r="J1477" s="4"/>
    </row>
    <row r="1478">
      <c r="J1478" s="4"/>
    </row>
    <row r="1479">
      <c r="J1479" s="4"/>
    </row>
    <row r="1480">
      <c r="J1480" s="4"/>
    </row>
    <row r="1481">
      <c r="J1481" s="4"/>
    </row>
    <row r="1482">
      <c r="J1482" s="4"/>
    </row>
    <row r="1483">
      <c r="J1483" s="4"/>
    </row>
    <row r="1484">
      <c r="J1484" s="4"/>
    </row>
    <row r="1485">
      <c r="J1485" s="4"/>
    </row>
    <row r="1486">
      <c r="J1486" s="4"/>
    </row>
    <row r="1487">
      <c r="J1487" s="4"/>
    </row>
    <row r="1488">
      <c r="J1488" s="4"/>
    </row>
    <row r="1489">
      <c r="J1489" s="4"/>
    </row>
    <row r="1490">
      <c r="J1490" s="4"/>
    </row>
    <row r="1491">
      <c r="J1491" s="4"/>
    </row>
    <row r="1492">
      <c r="J1492" s="4"/>
    </row>
    <row r="1493">
      <c r="J1493" s="4"/>
    </row>
    <row r="1494">
      <c r="J1494" s="4"/>
    </row>
    <row r="1495">
      <c r="J1495" s="4"/>
    </row>
    <row r="1496">
      <c r="J1496" s="4"/>
    </row>
    <row r="1497">
      <c r="J1497" s="4"/>
    </row>
    <row r="1498">
      <c r="J1498" s="4"/>
    </row>
    <row r="1499">
      <c r="J1499" s="4"/>
    </row>
    <row r="1500">
      <c r="J1500" s="4"/>
    </row>
    <row r="1501">
      <c r="J1501" s="4"/>
    </row>
    <row r="1502">
      <c r="J1502" s="4"/>
    </row>
    <row r="1503">
      <c r="J1503" s="4"/>
    </row>
    <row r="1504">
      <c r="J1504" s="4"/>
    </row>
    <row r="1505">
      <c r="J1505" s="4"/>
    </row>
    <row r="1506">
      <c r="J1506" s="4"/>
    </row>
    <row r="1507">
      <c r="J1507" s="4"/>
    </row>
    <row r="1508">
      <c r="J1508" s="4"/>
    </row>
    <row r="1509">
      <c r="J1509" s="4"/>
    </row>
    <row r="1510">
      <c r="J1510" s="4"/>
    </row>
    <row r="1511">
      <c r="J1511" s="4"/>
    </row>
    <row r="1512">
      <c r="J1512" s="4"/>
    </row>
    <row r="1513">
      <c r="J1513" s="4"/>
    </row>
    <row r="1514">
      <c r="J1514" s="4"/>
    </row>
    <row r="1515">
      <c r="J1515" s="4"/>
    </row>
    <row r="1516">
      <c r="J1516" s="4"/>
    </row>
    <row r="1517">
      <c r="J1517" s="4"/>
    </row>
    <row r="1518">
      <c r="J1518" s="4"/>
    </row>
    <row r="1519">
      <c r="J1519" s="4"/>
    </row>
    <row r="1520">
      <c r="J1520" s="4"/>
    </row>
    <row r="1521">
      <c r="J1521" s="4"/>
    </row>
    <row r="1522">
      <c r="J1522" s="4"/>
    </row>
    <row r="1523">
      <c r="J1523" s="4"/>
    </row>
    <row r="1524">
      <c r="J1524" s="4"/>
    </row>
    <row r="1525">
      <c r="J1525" s="4"/>
    </row>
    <row r="1526">
      <c r="J1526" s="4"/>
    </row>
    <row r="1527">
      <c r="J1527" s="4"/>
    </row>
    <row r="1528">
      <c r="J1528" s="4"/>
    </row>
    <row r="1529">
      <c r="J1529" s="4"/>
    </row>
    <row r="1530">
      <c r="J1530" s="4"/>
    </row>
    <row r="1531">
      <c r="J1531" s="4"/>
    </row>
    <row r="1532">
      <c r="J1532" s="4"/>
    </row>
    <row r="1533">
      <c r="J1533" s="4"/>
    </row>
    <row r="1534">
      <c r="J1534" s="4"/>
    </row>
    <row r="1535">
      <c r="J1535" s="4"/>
    </row>
    <row r="1536">
      <c r="J1536" s="4"/>
    </row>
    <row r="1537">
      <c r="J1537" s="4"/>
    </row>
    <row r="1538">
      <c r="J1538" s="4"/>
    </row>
    <row r="1539">
      <c r="J1539" s="4"/>
    </row>
    <row r="1540">
      <c r="J1540" s="4"/>
    </row>
    <row r="1541">
      <c r="J1541" s="4"/>
    </row>
    <row r="1542">
      <c r="J1542" s="4"/>
    </row>
    <row r="1543">
      <c r="J1543" s="4"/>
    </row>
    <row r="1544">
      <c r="J1544" s="4"/>
    </row>
    <row r="1545">
      <c r="J1545" s="4"/>
    </row>
    <row r="1546">
      <c r="J1546" s="4"/>
    </row>
    <row r="1547">
      <c r="J1547" s="4"/>
    </row>
    <row r="1548">
      <c r="J1548" s="4"/>
    </row>
    <row r="1549">
      <c r="J1549" s="4"/>
    </row>
    <row r="1550">
      <c r="J1550" s="4"/>
    </row>
    <row r="1551">
      <c r="J1551" s="4"/>
    </row>
    <row r="1552">
      <c r="J1552" s="4"/>
    </row>
    <row r="1553">
      <c r="J1553" s="4"/>
    </row>
    <row r="1554">
      <c r="J1554" s="4"/>
    </row>
    <row r="1555">
      <c r="J1555" s="4"/>
    </row>
    <row r="1556">
      <c r="J1556" s="4"/>
    </row>
    <row r="1557">
      <c r="J1557" s="4"/>
    </row>
    <row r="1558">
      <c r="J1558" s="4"/>
    </row>
    <row r="1559">
      <c r="J1559" s="4"/>
    </row>
    <row r="1560">
      <c r="J1560" s="4"/>
    </row>
    <row r="1561">
      <c r="J1561" s="4"/>
    </row>
    <row r="1562">
      <c r="J1562" s="4"/>
    </row>
    <row r="1563">
      <c r="J1563" s="4"/>
    </row>
    <row r="1564">
      <c r="J1564" s="4"/>
    </row>
    <row r="1565">
      <c r="J1565" s="4"/>
    </row>
    <row r="1566">
      <c r="J1566" s="4"/>
    </row>
    <row r="1567">
      <c r="J1567" s="4"/>
    </row>
    <row r="1568">
      <c r="J1568" s="4"/>
    </row>
    <row r="1569">
      <c r="J1569" s="4"/>
    </row>
    <row r="1570">
      <c r="J1570" s="4"/>
    </row>
    <row r="1571">
      <c r="J1571" s="4"/>
    </row>
    <row r="1572">
      <c r="J1572" s="4"/>
    </row>
    <row r="1573">
      <c r="J1573" s="4"/>
    </row>
    <row r="1574">
      <c r="J1574" s="4"/>
    </row>
    <row r="1575">
      <c r="J1575" s="4"/>
    </row>
    <row r="1576">
      <c r="J1576" s="4"/>
    </row>
    <row r="1577">
      <c r="J1577" s="4"/>
    </row>
    <row r="1578">
      <c r="J1578" s="4"/>
    </row>
    <row r="1579">
      <c r="J1579" s="4"/>
    </row>
    <row r="1580">
      <c r="J1580" s="4"/>
    </row>
    <row r="1581">
      <c r="J1581" s="4"/>
    </row>
    <row r="1582">
      <c r="J1582" s="4"/>
    </row>
    <row r="1583">
      <c r="J1583" s="4"/>
    </row>
    <row r="1584">
      <c r="J1584" s="4"/>
    </row>
    <row r="1585">
      <c r="J1585" s="4"/>
    </row>
    <row r="1586">
      <c r="J1586" s="4"/>
    </row>
    <row r="1587">
      <c r="J1587" s="4"/>
    </row>
    <row r="1588">
      <c r="J1588" s="4"/>
    </row>
    <row r="1589">
      <c r="J1589" s="4"/>
    </row>
    <row r="1590">
      <c r="J1590" s="4"/>
    </row>
    <row r="1591">
      <c r="J1591" s="4"/>
    </row>
    <row r="1592">
      <c r="J1592" s="4"/>
    </row>
    <row r="1593">
      <c r="J1593" s="4"/>
    </row>
    <row r="1594">
      <c r="J1594" s="4"/>
    </row>
    <row r="1595">
      <c r="J1595" s="4"/>
    </row>
    <row r="1596">
      <c r="J1596" s="4"/>
    </row>
    <row r="1597">
      <c r="J1597" s="4"/>
    </row>
    <row r="1598">
      <c r="J1598" s="4"/>
    </row>
    <row r="1599">
      <c r="J1599" s="4"/>
    </row>
    <row r="1600">
      <c r="J1600" s="4"/>
    </row>
    <row r="1601">
      <c r="J1601" s="4"/>
    </row>
    <row r="1602">
      <c r="J1602" s="4"/>
    </row>
    <row r="1603">
      <c r="J1603" s="4"/>
    </row>
    <row r="1604">
      <c r="J1604" s="4"/>
    </row>
    <row r="1605">
      <c r="J1605" s="4"/>
    </row>
    <row r="1606">
      <c r="J1606" s="4"/>
    </row>
    <row r="1607">
      <c r="J1607" s="4"/>
    </row>
    <row r="1608">
      <c r="J1608" s="4"/>
    </row>
    <row r="1609">
      <c r="J1609" s="4"/>
    </row>
    <row r="1610">
      <c r="J1610" s="4"/>
    </row>
    <row r="1611">
      <c r="J1611" s="4"/>
    </row>
    <row r="1612">
      <c r="J1612" s="4"/>
    </row>
    <row r="1613">
      <c r="J1613" s="4"/>
    </row>
    <row r="1614">
      <c r="J1614" s="4"/>
    </row>
    <row r="1615">
      <c r="J1615" s="4"/>
    </row>
    <row r="1616">
      <c r="J1616" s="4"/>
    </row>
    <row r="1617">
      <c r="J1617" s="4"/>
    </row>
    <row r="1618">
      <c r="J1618" s="4"/>
    </row>
    <row r="1619">
      <c r="J1619" s="4"/>
    </row>
    <row r="1620">
      <c r="J1620" s="4"/>
    </row>
    <row r="1621">
      <c r="J1621" s="4"/>
    </row>
    <row r="1622">
      <c r="J1622" s="4"/>
    </row>
    <row r="1623">
      <c r="J1623" s="4"/>
    </row>
    <row r="1624">
      <c r="J1624" s="4"/>
    </row>
    <row r="1625">
      <c r="J1625" s="4"/>
    </row>
    <row r="1626">
      <c r="J1626" s="4"/>
    </row>
    <row r="1627">
      <c r="J1627" s="4"/>
    </row>
    <row r="1628">
      <c r="J1628" s="4"/>
    </row>
    <row r="1629">
      <c r="J1629" s="4"/>
    </row>
    <row r="1630">
      <c r="J1630" s="4"/>
    </row>
    <row r="1631">
      <c r="J1631" s="4"/>
    </row>
    <row r="1632">
      <c r="J1632" s="4"/>
    </row>
    <row r="1633">
      <c r="J1633" s="4"/>
    </row>
    <row r="1634">
      <c r="J1634" s="4"/>
    </row>
    <row r="1635">
      <c r="J1635" s="4"/>
    </row>
    <row r="1636">
      <c r="J1636" s="4"/>
    </row>
    <row r="1637">
      <c r="J1637" s="4"/>
    </row>
    <row r="1638">
      <c r="J1638" s="4"/>
    </row>
    <row r="1639">
      <c r="J1639" s="4"/>
    </row>
    <row r="1640">
      <c r="J1640" s="4"/>
    </row>
    <row r="1641">
      <c r="J1641" s="4"/>
    </row>
    <row r="1642">
      <c r="J1642" s="4"/>
    </row>
    <row r="1643">
      <c r="J1643" s="4"/>
    </row>
    <row r="1644">
      <c r="J1644" s="4"/>
    </row>
    <row r="1645">
      <c r="J1645" s="4"/>
    </row>
    <row r="1646">
      <c r="J1646" s="4"/>
    </row>
    <row r="1647">
      <c r="J1647" s="4"/>
    </row>
    <row r="1648">
      <c r="J1648" s="4"/>
    </row>
    <row r="1649">
      <c r="J1649" s="4"/>
    </row>
    <row r="1650">
      <c r="J1650" s="4"/>
    </row>
    <row r="1651">
      <c r="J1651" s="4"/>
    </row>
    <row r="1652">
      <c r="J1652" s="4"/>
    </row>
    <row r="1653">
      <c r="J1653" s="4"/>
    </row>
    <row r="1654">
      <c r="J1654" s="4"/>
    </row>
    <row r="1655">
      <c r="J1655" s="4"/>
    </row>
    <row r="1656">
      <c r="J1656" s="4"/>
    </row>
    <row r="1657">
      <c r="J1657" s="4"/>
    </row>
    <row r="1658">
      <c r="J1658" s="4"/>
    </row>
    <row r="1659">
      <c r="J1659" s="4"/>
    </row>
    <row r="1660">
      <c r="J1660" s="4"/>
    </row>
    <row r="1661">
      <c r="J1661" s="4"/>
    </row>
    <row r="1662">
      <c r="J1662" s="4"/>
    </row>
    <row r="1663">
      <c r="J1663" s="4"/>
    </row>
    <row r="1664">
      <c r="J1664" s="4"/>
    </row>
    <row r="1665">
      <c r="J1665" s="4"/>
    </row>
    <row r="1666">
      <c r="J1666" s="4"/>
    </row>
    <row r="1667">
      <c r="J1667" s="4"/>
    </row>
    <row r="1668">
      <c r="J1668" s="4"/>
    </row>
    <row r="1669">
      <c r="J1669" s="4"/>
    </row>
    <row r="1670">
      <c r="J1670" s="4"/>
    </row>
    <row r="1671">
      <c r="J1671" s="4"/>
    </row>
    <row r="1672">
      <c r="J1672" s="4"/>
    </row>
    <row r="1673">
      <c r="J1673" s="4"/>
    </row>
    <row r="1674">
      <c r="J1674" s="4"/>
    </row>
    <row r="1675">
      <c r="J1675" s="4"/>
    </row>
    <row r="1676">
      <c r="J1676" s="4"/>
    </row>
    <row r="1677">
      <c r="J1677" s="4"/>
    </row>
    <row r="1678">
      <c r="J1678" s="4"/>
    </row>
    <row r="1679">
      <c r="J1679" s="4"/>
    </row>
    <row r="1680">
      <c r="J1680" s="4"/>
    </row>
    <row r="1681">
      <c r="J1681" s="4"/>
    </row>
    <row r="1682">
      <c r="J1682" s="4"/>
    </row>
    <row r="1683">
      <c r="J1683" s="4"/>
    </row>
    <row r="1684">
      <c r="J1684" s="4"/>
    </row>
    <row r="1685">
      <c r="J1685" s="4"/>
    </row>
    <row r="1686">
      <c r="J1686" s="4"/>
    </row>
    <row r="1687">
      <c r="J1687" s="4"/>
    </row>
    <row r="1688">
      <c r="J1688" s="4"/>
    </row>
    <row r="1689">
      <c r="J1689" s="4"/>
    </row>
    <row r="1690">
      <c r="J1690" s="4"/>
    </row>
    <row r="1691">
      <c r="J1691" s="4"/>
    </row>
    <row r="1692">
      <c r="J1692" s="4"/>
    </row>
    <row r="1693">
      <c r="J1693" s="4"/>
    </row>
    <row r="1694">
      <c r="J1694" s="4"/>
    </row>
    <row r="1695">
      <c r="J1695" s="4"/>
    </row>
    <row r="1696">
      <c r="J1696" s="4"/>
    </row>
    <row r="1697">
      <c r="J1697" s="4"/>
    </row>
    <row r="1698">
      <c r="J1698" s="4"/>
    </row>
    <row r="1699">
      <c r="J1699" s="4"/>
    </row>
    <row r="1700">
      <c r="J1700" s="4"/>
    </row>
    <row r="1701">
      <c r="J1701" s="4"/>
    </row>
    <row r="1702">
      <c r="J1702" s="4"/>
    </row>
    <row r="1703">
      <c r="J1703" s="4"/>
    </row>
    <row r="1704">
      <c r="J1704" s="4"/>
    </row>
    <row r="1705">
      <c r="J1705" s="4"/>
    </row>
    <row r="1706">
      <c r="J1706" s="4"/>
    </row>
    <row r="1707">
      <c r="J1707" s="4"/>
    </row>
    <row r="1708">
      <c r="J1708" s="4"/>
    </row>
    <row r="1709">
      <c r="J1709" s="4"/>
    </row>
    <row r="1710">
      <c r="J1710" s="4"/>
    </row>
    <row r="1711">
      <c r="J1711" s="4"/>
    </row>
    <row r="1712">
      <c r="J1712" s="4"/>
    </row>
    <row r="1713">
      <c r="J1713" s="4"/>
    </row>
    <row r="1714">
      <c r="J1714" s="4"/>
    </row>
    <row r="1715">
      <c r="J1715" s="4"/>
    </row>
    <row r="1716">
      <c r="J1716" s="4"/>
    </row>
    <row r="1717">
      <c r="J1717" s="4"/>
    </row>
    <row r="1718">
      <c r="J1718" s="4"/>
    </row>
    <row r="1719">
      <c r="J1719" s="4"/>
    </row>
    <row r="1720">
      <c r="J1720" s="4"/>
    </row>
    <row r="1721">
      <c r="J1721" s="4"/>
    </row>
    <row r="1722">
      <c r="J1722" s="4"/>
    </row>
    <row r="1723">
      <c r="J1723" s="4"/>
    </row>
    <row r="1724">
      <c r="J1724" s="4"/>
    </row>
    <row r="1725">
      <c r="J1725" s="4"/>
    </row>
    <row r="1726">
      <c r="J1726" s="4"/>
    </row>
    <row r="1727">
      <c r="J1727" s="4"/>
    </row>
    <row r="1728">
      <c r="J1728" s="4"/>
    </row>
    <row r="1729">
      <c r="J1729" s="4"/>
    </row>
    <row r="1730">
      <c r="J1730" s="4"/>
    </row>
    <row r="1731">
      <c r="J1731" s="4"/>
    </row>
    <row r="1732">
      <c r="J1732" s="4"/>
    </row>
    <row r="1733">
      <c r="J1733" s="4"/>
    </row>
    <row r="1734">
      <c r="J1734" s="4"/>
    </row>
    <row r="1735">
      <c r="J1735" s="4"/>
    </row>
    <row r="1736">
      <c r="J1736" s="4"/>
    </row>
    <row r="1737">
      <c r="J1737" s="4"/>
    </row>
    <row r="1738">
      <c r="J1738" s="4"/>
    </row>
    <row r="1739">
      <c r="J1739" s="4"/>
    </row>
    <row r="1740">
      <c r="J1740" s="4"/>
    </row>
    <row r="1741">
      <c r="J1741" s="4"/>
    </row>
    <row r="1742">
      <c r="J1742" s="4"/>
    </row>
    <row r="1743">
      <c r="J1743" s="4"/>
    </row>
    <row r="1744">
      <c r="J1744" s="4"/>
    </row>
    <row r="1745">
      <c r="J1745" s="4"/>
    </row>
    <row r="1746">
      <c r="J1746" s="4"/>
    </row>
    <row r="1747">
      <c r="J1747" s="4"/>
    </row>
    <row r="1748">
      <c r="J1748" s="4"/>
    </row>
    <row r="1749">
      <c r="J1749" s="4"/>
    </row>
    <row r="1750">
      <c r="J1750" s="4"/>
    </row>
    <row r="1751">
      <c r="J1751" s="4"/>
    </row>
    <row r="1752">
      <c r="J1752" s="4"/>
    </row>
    <row r="1753">
      <c r="J1753" s="4"/>
    </row>
    <row r="1754">
      <c r="J1754" s="4"/>
    </row>
    <row r="1755">
      <c r="J1755" s="4"/>
    </row>
    <row r="1756">
      <c r="J1756" s="4"/>
    </row>
    <row r="1757">
      <c r="J1757" s="4"/>
    </row>
    <row r="1758">
      <c r="J1758" s="4"/>
    </row>
    <row r="1759">
      <c r="J1759" s="4"/>
    </row>
    <row r="1760">
      <c r="J1760" s="4"/>
    </row>
    <row r="1761">
      <c r="J1761" s="4"/>
    </row>
    <row r="1762">
      <c r="J1762" s="4"/>
    </row>
    <row r="1763">
      <c r="J1763" s="4"/>
    </row>
    <row r="1764">
      <c r="J1764" s="4"/>
    </row>
    <row r="1765">
      <c r="J1765" s="4"/>
    </row>
    <row r="1766">
      <c r="J1766" s="4"/>
    </row>
    <row r="1767">
      <c r="J1767" s="4"/>
    </row>
    <row r="1768">
      <c r="J1768" s="4"/>
    </row>
    <row r="1769">
      <c r="J1769" s="4"/>
    </row>
    <row r="1770">
      <c r="J1770" s="4"/>
    </row>
    <row r="1771">
      <c r="J1771" s="4"/>
    </row>
    <row r="1772">
      <c r="J1772" s="4"/>
    </row>
    <row r="1773">
      <c r="J1773" s="4"/>
    </row>
    <row r="1774">
      <c r="J1774" s="4"/>
    </row>
    <row r="1775">
      <c r="J1775" s="4"/>
    </row>
    <row r="1776">
      <c r="J1776" s="4"/>
    </row>
    <row r="1777">
      <c r="J1777" s="4"/>
    </row>
    <row r="1778">
      <c r="J1778" s="4"/>
    </row>
    <row r="1779">
      <c r="J1779" s="4"/>
    </row>
    <row r="1780">
      <c r="J1780" s="4"/>
    </row>
    <row r="1781">
      <c r="J1781" s="4"/>
    </row>
    <row r="1782">
      <c r="J1782" s="4"/>
    </row>
    <row r="1783">
      <c r="J1783" s="4"/>
    </row>
    <row r="1784">
      <c r="J1784" s="4"/>
    </row>
    <row r="1785">
      <c r="J1785" s="4"/>
    </row>
    <row r="1786">
      <c r="J1786" s="4"/>
    </row>
    <row r="1787">
      <c r="J1787" s="4"/>
    </row>
    <row r="1788">
      <c r="J1788" s="4"/>
    </row>
    <row r="1789">
      <c r="J1789" s="4"/>
    </row>
    <row r="1790">
      <c r="J1790" s="4"/>
    </row>
    <row r="1791">
      <c r="J1791" s="4"/>
    </row>
    <row r="1792">
      <c r="J1792" s="4"/>
    </row>
    <row r="1793">
      <c r="J1793" s="4"/>
    </row>
    <row r="1794">
      <c r="J1794" s="4"/>
    </row>
    <row r="1795">
      <c r="J1795" s="4"/>
    </row>
    <row r="1796">
      <c r="J1796" s="4"/>
    </row>
    <row r="1797">
      <c r="J1797" s="4"/>
    </row>
    <row r="1798">
      <c r="J1798" s="4"/>
    </row>
    <row r="1799">
      <c r="J1799" s="4"/>
    </row>
    <row r="1800">
      <c r="J1800" s="4"/>
    </row>
    <row r="1801">
      <c r="J1801" s="4"/>
    </row>
    <row r="1802">
      <c r="J1802" s="4"/>
    </row>
    <row r="1803">
      <c r="J1803" s="4"/>
    </row>
    <row r="1804">
      <c r="J1804" s="4"/>
    </row>
    <row r="1805">
      <c r="J1805" s="4"/>
    </row>
    <row r="1806">
      <c r="J1806" s="4"/>
    </row>
    <row r="1807">
      <c r="J1807" s="4"/>
    </row>
    <row r="1808">
      <c r="J1808" s="4"/>
    </row>
    <row r="1809">
      <c r="J1809" s="4"/>
    </row>
    <row r="1810">
      <c r="J1810" s="4"/>
    </row>
    <row r="1811">
      <c r="J1811" s="4"/>
    </row>
    <row r="1812">
      <c r="J1812" s="4"/>
    </row>
    <row r="1813">
      <c r="J1813" s="4"/>
    </row>
    <row r="1814">
      <c r="J1814" s="4"/>
    </row>
    <row r="1815">
      <c r="J1815" s="4"/>
    </row>
    <row r="1816">
      <c r="J1816" s="4"/>
    </row>
    <row r="1817">
      <c r="J1817" s="4"/>
    </row>
    <row r="1818">
      <c r="J1818" s="4"/>
    </row>
    <row r="1819">
      <c r="J1819" s="4"/>
    </row>
    <row r="1820">
      <c r="J1820" s="4"/>
    </row>
    <row r="1821">
      <c r="J1821" s="4"/>
    </row>
    <row r="1822">
      <c r="J1822" s="4"/>
    </row>
    <row r="1823">
      <c r="J1823" s="4"/>
    </row>
    <row r="1824">
      <c r="J1824" s="4"/>
    </row>
    <row r="1825">
      <c r="J1825" s="4"/>
    </row>
    <row r="1826">
      <c r="J1826" s="4"/>
    </row>
    <row r="1827">
      <c r="J1827" s="4"/>
    </row>
    <row r="1828">
      <c r="J1828" s="4"/>
    </row>
    <row r="1829">
      <c r="J1829" s="4"/>
    </row>
    <row r="1830">
      <c r="J1830" s="4"/>
    </row>
    <row r="1831">
      <c r="J1831" s="4"/>
    </row>
    <row r="1832">
      <c r="J1832" s="4"/>
    </row>
    <row r="1833">
      <c r="J1833" s="4"/>
    </row>
    <row r="1834">
      <c r="J1834" s="4"/>
    </row>
    <row r="1835">
      <c r="J1835" s="4"/>
    </row>
    <row r="1836">
      <c r="J1836" s="4"/>
    </row>
    <row r="1837">
      <c r="J1837" s="4"/>
    </row>
    <row r="1838">
      <c r="J1838" s="4"/>
    </row>
    <row r="1839">
      <c r="J1839" s="4"/>
    </row>
    <row r="1840">
      <c r="J1840" s="4"/>
    </row>
    <row r="1841">
      <c r="J1841" s="4"/>
    </row>
    <row r="1842">
      <c r="J1842" s="4"/>
    </row>
    <row r="1843">
      <c r="J1843" s="4"/>
    </row>
    <row r="1844">
      <c r="J1844" s="4"/>
    </row>
    <row r="1845">
      <c r="J1845" s="4"/>
    </row>
    <row r="1846">
      <c r="J1846" s="4"/>
    </row>
    <row r="1847">
      <c r="J1847" s="4"/>
    </row>
    <row r="1848">
      <c r="J1848" s="4"/>
    </row>
    <row r="1849">
      <c r="J1849" s="4"/>
    </row>
    <row r="1850">
      <c r="J1850" s="4"/>
    </row>
    <row r="1851">
      <c r="J1851" s="4"/>
    </row>
    <row r="1852">
      <c r="J1852" s="4"/>
    </row>
    <row r="1853">
      <c r="J1853" s="4"/>
    </row>
    <row r="1854">
      <c r="J1854" s="4"/>
    </row>
    <row r="1855">
      <c r="J1855" s="4"/>
    </row>
    <row r="1856">
      <c r="J1856" s="4"/>
    </row>
    <row r="1857">
      <c r="J1857" s="4"/>
    </row>
    <row r="1858">
      <c r="J1858" s="4"/>
    </row>
    <row r="1859">
      <c r="J1859" s="4"/>
    </row>
    <row r="1860">
      <c r="J1860" s="4"/>
    </row>
    <row r="1861">
      <c r="J1861" s="4"/>
    </row>
    <row r="1862">
      <c r="J1862" s="4"/>
    </row>
    <row r="1863">
      <c r="J1863" s="4"/>
    </row>
    <row r="1864">
      <c r="J1864" s="4"/>
    </row>
    <row r="1865">
      <c r="J1865" s="4"/>
    </row>
    <row r="1866">
      <c r="J1866" s="4"/>
    </row>
    <row r="1867">
      <c r="J1867" s="4"/>
    </row>
    <row r="1868">
      <c r="J1868" s="4"/>
    </row>
    <row r="1869">
      <c r="J1869" s="4"/>
    </row>
    <row r="1870">
      <c r="J1870" s="4"/>
    </row>
    <row r="1871">
      <c r="J1871" s="4"/>
    </row>
    <row r="1872">
      <c r="J1872" s="4"/>
    </row>
    <row r="1873">
      <c r="J1873" s="4"/>
    </row>
    <row r="1874">
      <c r="J1874" s="4"/>
    </row>
    <row r="1875">
      <c r="J1875" s="4"/>
    </row>
    <row r="1876">
      <c r="J1876" s="4"/>
    </row>
    <row r="1877">
      <c r="J1877" s="4"/>
    </row>
    <row r="1878">
      <c r="J1878" s="4"/>
    </row>
    <row r="1879">
      <c r="J1879" s="4"/>
    </row>
    <row r="1880">
      <c r="J1880" s="4"/>
    </row>
    <row r="1881">
      <c r="J1881" s="4"/>
    </row>
    <row r="1882">
      <c r="J1882" s="4"/>
    </row>
    <row r="1883">
      <c r="J1883" s="4"/>
    </row>
    <row r="1884">
      <c r="J1884" s="4"/>
    </row>
    <row r="1885">
      <c r="J1885" s="4"/>
    </row>
    <row r="1886">
      <c r="J1886" s="4"/>
    </row>
    <row r="1887">
      <c r="J1887" s="4"/>
    </row>
    <row r="1888">
      <c r="J1888" s="4"/>
    </row>
    <row r="1889">
      <c r="J1889" s="4"/>
    </row>
    <row r="1890">
      <c r="J1890" s="4"/>
    </row>
    <row r="1891">
      <c r="J1891" s="4"/>
    </row>
    <row r="1892">
      <c r="J1892" s="4"/>
    </row>
    <row r="1893">
      <c r="J1893" s="4"/>
    </row>
    <row r="1894">
      <c r="J1894" s="4"/>
    </row>
    <row r="1895">
      <c r="J1895" s="4"/>
    </row>
    <row r="1896">
      <c r="J1896" s="4"/>
    </row>
    <row r="1897">
      <c r="J1897" s="4"/>
    </row>
    <row r="1898">
      <c r="J1898" s="4"/>
    </row>
    <row r="1899">
      <c r="J1899" s="4"/>
    </row>
    <row r="1900">
      <c r="J1900" s="4"/>
    </row>
    <row r="1901">
      <c r="J1901" s="4"/>
    </row>
    <row r="1902">
      <c r="J1902" s="4"/>
    </row>
    <row r="1903">
      <c r="J1903" s="4"/>
    </row>
    <row r="1904">
      <c r="J1904" s="4"/>
    </row>
    <row r="1905">
      <c r="J1905" s="4"/>
    </row>
    <row r="1906">
      <c r="J1906" s="4"/>
    </row>
    <row r="1907">
      <c r="J1907" s="4"/>
    </row>
    <row r="1908">
      <c r="J1908" s="4"/>
    </row>
    <row r="1909">
      <c r="J1909" s="4"/>
    </row>
    <row r="1910">
      <c r="J1910" s="4"/>
    </row>
    <row r="1911">
      <c r="J1911" s="4"/>
    </row>
    <row r="1912">
      <c r="J1912" s="4"/>
    </row>
    <row r="1913">
      <c r="J1913" s="4"/>
    </row>
    <row r="1914">
      <c r="J1914" s="4"/>
    </row>
    <row r="1915">
      <c r="J1915" s="4"/>
    </row>
    <row r="1916">
      <c r="J1916" s="4"/>
    </row>
    <row r="1917">
      <c r="J1917" s="4"/>
    </row>
    <row r="1918">
      <c r="J1918" s="4"/>
    </row>
    <row r="1919">
      <c r="J1919" s="4"/>
    </row>
    <row r="1920">
      <c r="J1920" s="4"/>
    </row>
    <row r="1921">
      <c r="J1921" s="4"/>
    </row>
    <row r="1922">
      <c r="J1922" s="4"/>
    </row>
    <row r="1923">
      <c r="J1923" s="4"/>
    </row>
    <row r="1924">
      <c r="J1924" s="4"/>
    </row>
    <row r="1925">
      <c r="J1925" s="4"/>
    </row>
    <row r="1926">
      <c r="J1926" s="4"/>
    </row>
    <row r="1927">
      <c r="J1927" s="4"/>
    </row>
    <row r="1928">
      <c r="J1928" s="4"/>
    </row>
    <row r="1929">
      <c r="J1929" s="4"/>
    </row>
    <row r="1930">
      <c r="J1930" s="4"/>
    </row>
    <row r="1931">
      <c r="J1931" s="4"/>
    </row>
    <row r="1932">
      <c r="J1932" s="4"/>
    </row>
    <row r="1933">
      <c r="J1933" s="4"/>
    </row>
    <row r="1934">
      <c r="J1934" s="4"/>
    </row>
    <row r="1935">
      <c r="J1935" s="4"/>
    </row>
    <row r="1936">
      <c r="J1936" s="4"/>
    </row>
    <row r="1937">
      <c r="J1937" s="4"/>
    </row>
    <row r="1938">
      <c r="J1938" s="4"/>
    </row>
    <row r="1939">
      <c r="J1939" s="4"/>
    </row>
    <row r="1940">
      <c r="J1940" s="4"/>
    </row>
    <row r="1941">
      <c r="J1941" s="4"/>
    </row>
    <row r="1942">
      <c r="J1942" s="4"/>
    </row>
    <row r="1943">
      <c r="J1943" s="4"/>
    </row>
    <row r="1944">
      <c r="J1944" s="4"/>
    </row>
    <row r="1945">
      <c r="J1945" s="4"/>
    </row>
    <row r="1946">
      <c r="J1946" s="4"/>
    </row>
    <row r="1947">
      <c r="J1947" s="4"/>
    </row>
    <row r="1948">
      <c r="J1948" s="4"/>
    </row>
    <row r="1949">
      <c r="J1949" s="4"/>
    </row>
    <row r="1950">
      <c r="J1950" s="4"/>
    </row>
    <row r="1951">
      <c r="J1951" s="4"/>
    </row>
    <row r="1952">
      <c r="J1952" s="4"/>
    </row>
    <row r="1953">
      <c r="J1953" s="4"/>
    </row>
    <row r="1954">
      <c r="J1954" s="4"/>
    </row>
    <row r="1955">
      <c r="J1955" s="4"/>
    </row>
    <row r="1956">
      <c r="J1956" s="4"/>
    </row>
    <row r="1957">
      <c r="J1957" s="4"/>
    </row>
    <row r="1958">
      <c r="J1958" s="4"/>
    </row>
    <row r="1959">
      <c r="J1959" s="4"/>
    </row>
    <row r="1960">
      <c r="J1960" s="4"/>
    </row>
    <row r="1961">
      <c r="J1961" s="4"/>
    </row>
    <row r="1962">
      <c r="J1962" s="4"/>
    </row>
    <row r="1963">
      <c r="J1963" s="4"/>
    </row>
    <row r="1964">
      <c r="J1964" s="4"/>
    </row>
    <row r="1965">
      <c r="J1965" s="4"/>
    </row>
    <row r="1966">
      <c r="J1966" s="4"/>
    </row>
    <row r="1967">
      <c r="J1967" s="4"/>
    </row>
    <row r="1968">
      <c r="J1968" s="4"/>
    </row>
    <row r="1969">
      <c r="J1969" s="4"/>
    </row>
    <row r="1970">
      <c r="J1970" s="4"/>
    </row>
    <row r="1971">
      <c r="J1971" s="4"/>
    </row>
    <row r="1972">
      <c r="J1972" s="4"/>
    </row>
    <row r="1973">
      <c r="J1973" s="4"/>
    </row>
    <row r="1974">
      <c r="J1974" s="4"/>
    </row>
    <row r="1975">
      <c r="J1975" s="4"/>
    </row>
    <row r="1976">
      <c r="J1976" s="4"/>
    </row>
    <row r="1977">
      <c r="J1977" s="4"/>
    </row>
    <row r="1978">
      <c r="J1978" s="4"/>
    </row>
    <row r="1979">
      <c r="J1979" s="4"/>
    </row>
    <row r="1980">
      <c r="J1980" s="4"/>
    </row>
    <row r="1981">
      <c r="J1981" s="4"/>
    </row>
    <row r="1982">
      <c r="J1982" s="4"/>
    </row>
    <row r="1983">
      <c r="J1983" s="4"/>
    </row>
    <row r="1984">
      <c r="J1984" s="4"/>
    </row>
    <row r="1985">
      <c r="J1985" s="4"/>
    </row>
    <row r="1986">
      <c r="J1986" s="4"/>
    </row>
    <row r="1987">
      <c r="J1987" s="4"/>
    </row>
    <row r="1988">
      <c r="J1988" s="4"/>
    </row>
    <row r="1989">
      <c r="J1989" s="4"/>
    </row>
    <row r="1990">
      <c r="J1990" s="4"/>
    </row>
    <row r="1991">
      <c r="J1991" s="4"/>
    </row>
    <row r="1992">
      <c r="J1992" s="4"/>
    </row>
    <row r="1993">
      <c r="J1993" s="4"/>
    </row>
    <row r="1994">
      <c r="J1994" s="4"/>
    </row>
    <row r="1995">
      <c r="J1995" s="4"/>
    </row>
    <row r="1996">
      <c r="J1996" s="4"/>
    </row>
    <row r="1997">
      <c r="J1997" s="4"/>
    </row>
    <row r="1998">
      <c r="J1998" s="4"/>
    </row>
    <row r="1999">
      <c r="J1999" s="4"/>
    </row>
  </sheetData>
  <hyperlinks>
    <hyperlink r:id="rId1" ref="B7"/>
    <hyperlink r:id="rId2" ref="B12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16.25"/>
  </cols>
  <sheetData>
    <row r="1">
      <c r="A1" s="1" t="s">
        <v>264</v>
      </c>
      <c r="B1" s="1" t="s">
        <v>265</v>
      </c>
      <c r="C1" s="3"/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272</v>
      </c>
      <c r="K1" s="1"/>
      <c r="L1" s="1" t="s">
        <v>86</v>
      </c>
      <c r="M1" s="1" t="s">
        <v>90</v>
      </c>
      <c r="N1" s="1" t="s">
        <v>273</v>
      </c>
      <c r="P1" s="1" t="s">
        <v>274</v>
      </c>
      <c r="Q1" s="1" t="s">
        <v>275</v>
      </c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6">
        <f>VLOOKUP(A2,'Fixed parameters'!$B:$C,2,FALSE)</f>
        <v>0.5</v>
      </c>
      <c r="D2" s="27">
        <v>1.0E20</v>
      </c>
      <c r="E2" s="6">
        <f>1/POW(B7,B2)</f>
        <v>1.414213562</v>
      </c>
      <c r="F2" s="6">
        <f>LN(D2*(B14*(B16-B8)-1))</f>
        <v>55.28334641</v>
      </c>
      <c r="G2" s="6">
        <f>1/B14</f>
        <v>1</v>
      </c>
      <c r="H2" s="10">
        <f>B16+B6*B10-B11*POW(B13*B9,B12)+(B5*(1+B4)*(1-B3)*(B17+B6*B18))/(B9*(B4-B3-B3*B4))</f>
        <v>1351996.497</v>
      </c>
      <c r="I2" s="10">
        <f>E2*(G2*F2+H2)</f>
        <v>1912089.965</v>
      </c>
      <c r="J2" s="10">
        <f>AVERAGE(M2:M1000)</f>
        <v>114296.5807</v>
      </c>
      <c r="L2" s="4">
        <v>0.001</v>
      </c>
      <c r="M2" s="10">
        <f t="shared" ref="M2:M1000" si="1">_xlfn.LOGNORM.INV(L2,$B$19,$B$20)</f>
        <v>4275.250799</v>
      </c>
      <c r="N2" s="10">
        <f t="shared" ref="N2:N1000" si="2">$I$2*M2/$J$2</f>
        <v>71521.51097</v>
      </c>
      <c r="P2" s="4">
        <v>0.0</v>
      </c>
      <c r="Q2" s="6">
        <f t="shared" ref="Q2:Q44" si="3">COUNTIFS($N$2:$N$1000,"&gt;="&amp;P2,$N$2:$N$1000,"&lt;"&amp;P3)</f>
        <v>21</v>
      </c>
    </row>
    <row r="3">
      <c r="A3" s="4" t="s">
        <v>39</v>
      </c>
      <c r="B3" s="6">
        <f>VLOOKUP(A3,'Fixed parameters'!$B:$C,2,FALSE)</f>
        <v>0.0016</v>
      </c>
      <c r="L3" s="6">
        <f t="shared" ref="L3:L1000" si="4">L2+0.001</f>
        <v>0.002</v>
      </c>
      <c r="M3" s="10">
        <f t="shared" si="1"/>
        <v>5204.024042</v>
      </c>
      <c r="N3" s="10">
        <f t="shared" si="2"/>
        <v>87059.14111</v>
      </c>
      <c r="P3" s="10">
        <f t="shared" ref="P3:P44" si="5">P2+$I$2/10</f>
        <v>191208.9965</v>
      </c>
      <c r="Q3" s="6">
        <f t="shared" si="3"/>
        <v>78</v>
      </c>
    </row>
    <row r="4">
      <c r="A4" s="4" t="s">
        <v>45</v>
      </c>
      <c r="B4" s="6">
        <f>VLOOKUP(A4,'Fixed parameters'!$B:$C,2,FALSE)</f>
        <v>0.001651581302</v>
      </c>
      <c r="L4" s="6">
        <f t="shared" si="4"/>
        <v>0.003</v>
      </c>
      <c r="M4" s="10">
        <f t="shared" si="1"/>
        <v>5872.584151</v>
      </c>
      <c r="N4" s="10">
        <f t="shared" si="2"/>
        <v>98243.61459</v>
      </c>
      <c r="P4" s="10">
        <f t="shared" si="5"/>
        <v>382417.9929</v>
      </c>
      <c r="Q4" s="6">
        <f t="shared" si="3"/>
        <v>100</v>
      </c>
    </row>
    <row r="5">
      <c r="A5" s="4" t="s">
        <v>48</v>
      </c>
      <c r="B5" s="6">
        <f>VLOOKUP(A5,'Fixed parameters'!$B:$C,2,FALSE)</f>
        <v>1119.839462</v>
      </c>
      <c r="L5" s="6">
        <f t="shared" si="4"/>
        <v>0.004</v>
      </c>
      <c r="M5" s="10">
        <f t="shared" si="1"/>
        <v>6417.440736</v>
      </c>
      <c r="N5" s="10">
        <f t="shared" si="2"/>
        <v>107358.6275</v>
      </c>
      <c r="P5" s="10">
        <f t="shared" si="5"/>
        <v>573626.9894</v>
      </c>
      <c r="Q5" s="6">
        <f t="shared" si="3"/>
        <v>97</v>
      </c>
    </row>
    <row r="6">
      <c r="A6" s="4" t="s">
        <v>51</v>
      </c>
      <c r="B6" s="6">
        <f>VLOOKUP(A6,'Fixed parameters'!$B:$C,2,FALSE)</f>
        <v>0.000002038433488</v>
      </c>
      <c r="L6" s="6">
        <f t="shared" si="4"/>
        <v>0.005</v>
      </c>
      <c r="M6" s="10">
        <f t="shared" si="1"/>
        <v>6887.40476</v>
      </c>
      <c r="N6" s="10">
        <f t="shared" si="2"/>
        <v>115220.748</v>
      </c>
      <c r="P6" s="10">
        <f t="shared" si="5"/>
        <v>764835.9859</v>
      </c>
      <c r="Q6" s="6">
        <f t="shared" si="3"/>
        <v>88</v>
      </c>
    </row>
    <row r="7">
      <c r="A7" s="4" t="s">
        <v>59</v>
      </c>
      <c r="B7" s="6">
        <f>VLOOKUP(A7,'Fixed parameters'!$B:$C,2,FALSE)</f>
        <v>0.5</v>
      </c>
      <c r="L7" s="6">
        <f t="shared" si="4"/>
        <v>0.006</v>
      </c>
      <c r="M7" s="10">
        <f t="shared" si="1"/>
        <v>7306.251263</v>
      </c>
      <c r="N7" s="10">
        <f t="shared" si="2"/>
        <v>122227.7135</v>
      </c>
      <c r="P7" s="10">
        <f t="shared" si="5"/>
        <v>956044.9823</v>
      </c>
      <c r="Q7" s="6">
        <f t="shared" si="3"/>
        <v>77</v>
      </c>
    </row>
    <row r="8">
      <c r="A8" s="4" t="s">
        <v>95</v>
      </c>
      <c r="B8" s="10">
        <f>VLOOKUP(A8,'Fixed parameters'!$B:$C,2,FALSE)</f>
        <v>29077.23927</v>
      </c>
      <c r="L8" s="6">
        <f t="shared" si="4"/>
        <v>0.007</v>
      </c>
      <c r="M8" s="10">
        <f t="shared" si="1"/>
        <v>7687.571614</v>
      </c>
      <c r="N8" s="10">
        <f t="shared" si="2"/>
        <v>128606.8966</v>
      </c>
      <c r="P8" s="10">
        <f t="shared" si="5"/>
        <v>1147253.979</v>
      </c>
      <c r="Q8" s="6">
        <f t="shared" si="3"/>
        <v>66</v>
      </c>
    </row>
    <row r="9">
      <c r="A9" s="4" t="s">
        <v>116</v>
      </c>
      <c r="B9" s="6">
        <f>VLOOKUP(A9,'Fixed parameters'!$B:$C,2,FALSE)</f>
        <v>1.938868613</v>
      </c>
      <c r="L9" s="6">
        <f t="shared" si="4"/>
        <v>0.008</v>
      </c>
      <c r="M9" s="10">
        <f t="shared" si="1"/>
        <v>8039.954316</v>
      </c>
      <c r="N9" s="10">
        <f t="shared" si="2"/>
        <v>134501.9761</v>
      </c>
      <c r="P9" s="10">
        <f t="shared" si="5"/>
        <v>1338462.975</v>
      </c>
      <c r="Q9" s="6">
        <f t="shared" si="3"/>
        <v>57</v>
      </c>
    </row>
    <row r="10">
      <c r="A10" s="4" t="s">
        <v>121</v>
      </c>
      <c r="B10" s="6">
        <f>VLOOKUP(A10,'Fixed parameters'!$B:$C,2,FALSE)</f>
        <v>10000</v>
      </c>
      <c r="L10" s="6">
        <f t="shared" si="4"/>
        <v>0.009</v>
      </c>
      <c r="M10" s="10">
        <f t="shared" si="1"/>
        <v>8369.215136</v>
      </c>
      <c r="N10" s="10">
        <f t="shared" si="2"/>
        <v>140010.2451</v>
      </c>
      <c r="P10" s="10">
        <f t="shared" si="5"/>
        <v>1529671.972</v>
      </c>
      <c r="Q10" s="6">
        <f t="shared" si="3"/>
        <v>49</v>
      </c>
    </row>
    <row r="11">
      <c r="A11" s="4" t="s">
        <v>123</v>
      </c>
      <c r="B11" s="25">
        <f>VLOOKUP(A11,'Fixed parameters'!$B:$C,2,FALSE)</f>
        <v>1173.648872</v>
      </c>
      <c r="L11" s="6">
        <f t="shared" si="4"/>
        <v>0.01</v>
      </c>
      <c r="M11" s="10">
        <f t="shared" si="1"/>
        <v>8679.497489</v>
      </c>
      <c r="N11" s="10">
        <f t="shared" si="2"/>
        <v>145201.0196</v>
      </c>
      <c r="P11" s="10">
        <f t="shared" si="5"/>
        <v>1720880.968</v>
      </c>
      <c r="Q11" s="6">
        <f t="shared" si="3"/>
        <v>42</v>
      </c>
    </row>
    <row r="12">
      <c r="A12" s="4" t="s">
        <v>126</v>
      </c>
      <c r="B12" s="6">
        <f>VLOOKUP(A12,'Fixed parameters'!$B:$C,2,FALSE)</f>
        <v>0.2960778787</v>
      </c>
      <c r="L12" s="6">
        <f t="shared" si="4"/>
        <v>0.011</v>
      </c>
      <c r="M12" s="10">
        <f t="shared" si="1"/>
        <v>8973.870627</v>
      </c>
      <c r="N12" s="10">
        <f t="shared" si="2"/>
        <v>150125.6456</v>
      </c>
      <c r="P12" s="10">
        <f t="shared" si="5"/>
        <v>1912089.965</v>
      </c>
      <c r="Q12" s="6">
        <f t="shared" si="3"/>
        <v>36</v>
      </c>
    </row>
    <row r="13">
      <c r="A13" s="4" t="s">
        <v>128</v>
      </c>
      <c r="B13" s="6">
        <f>VLOOKUP(A13,'Fixed parameters'!$B:$C,2,FALSE)</f>
        <v>469.4105</v>
      </c>
      <c r="L13" s="6">
        <f t="shared" si="4"/>
        <v>0.012</v>
      </c>
      <c r="M13" s="10">
        <f t="shared" si="1"/>
        <v>9254.6794</v>
      </c>
      <c r="N13" s="10">
        <f t="shared" si="2"/>
        <v>154823.3508</v>
      </c>
      <c r="P13" s="10">
        <f t="shared" si="5"/>
        <v>2103298.961</v>
      </c>
      <c r="Q13" s="6">
        <f t="shared" si="3"/>
        <v>31</v>
      </c>
    </row>
    <row r="14">
      <c r="A14" s="4" t="s">
        <v>144</v>
      </c>
      <c r="B14" s="6">
        <f>VLOOKUP(A14,'Fixed parameters'!$B:$C,2,FALSE)</f>
        <v>1</v>
      </c>
      <c r="L14" s="6">
        <f t="shared" si="4"/>
        <v>0.013</v>
      </c>
      <c r="M14" s="10">
        <f t="shared" si="1"/>
        <v>9523.760722</v>
      </c>
      <c r="N14" s="10">
        <f t="shared" si="2"/>
        <v>159324.8651</v>
      </c>
      <c r="P14" s="10">
        <f t="shared" si="5"/>
        <v>2294507.958</v>
      </c>
      <c r="Q14" s="6">
        <f t="shared" si="3"/>
        <v>27</v>
      </c>
    </row>
    <row r="15">
      <c r="A15" s="4" t="s">
        <v>146</v>
      </c>
      <c r="B15" s="45">
        <f>VLOOKUP(A15,'Fixed parameters'!$B:$C,2,FALSE)</f>
        <v>0.00001</v>
      </c>
      <c r="L15" s="6">
        <f t="shared" si="4"/>
        <v>0.014</v>
      </c>
      <c r="M15" s="10">
        <f t="shared" si="1"/>
        <v>9782.583826</v>
      </c>
      <c r="N15" s="10">
        <f t="shared" si="2"/>
        <v>163654.7677</v>
      </c>
      <c r="P15" s="10">
        <f t="shared" si="5"/>
        <v>2485716.954</v>
      </c>
      <c r="Q15" s="6">
        <f t="shared" si="3"/>
        <v>24</v>
      </c>
    </row>
    <row r="16">
      <c r="A16" s="4" t="s">
        <v>148</v>
      </c>
      <c r="B16" s="10">
        <f>VLOOKUP(A16,'Fixed parameters'!$B:$C,2,FALSE)</f>
        <v>39293.56658</v>
      </c>
      <c r="L16" s="6">
        <f t="shared" si="4"/>
        <v>0.015</v>
      </c>
      <c r="M16" s="10">
        <f t="shared" si="1"/>
        <v>10032.34462</v>
      </c>
      <c r="N16" s="10">
        <f t="shared" si="2"/>
        <v>167833.0651</v>
      </c>
      <c r="P16" s="10">
        <f t="shared" si="5"/>
        <v>2676925.951</v>
      </c>
      <c r="Q16" s="6">
        <f t="shared" si="3"/>
        <v>20</v>
      </c>
    </row>
    <row r="17">
      <c r="A17" s="4" t="s">
        <v>150</v>
      </c>
      <c r="B17" s="6">
        <f>VLOOKUP(A17,'Fixed parameters'!$B:$C,2,FALSE)</f>
        <v>0.1119689998</v>
      </c>
      <c r="L17" s="6">
        <f t="shared" si="4"/>
        <v>0.016</v>
      </c>
      <c r="M17" s="10">
        <f t="shared" si="1"/>
        <v>10274.03121</v>
      </c>
      <c r="N17" s="10">
        <f t="shared" si="2"/>
        <v>171876.2877</v>
      </c>
      <c r="P17" s="10">
        <f t="shared" si="5"/>
        <v>2868134.947</v>
      </c>
      <c r="Q17" s="6">
        <f t="shared" si="3"/>
        <v>18</v>
      </c>
    </row>
    <row r="18">
      <c r="A18" s="4" t="s">
        <v>152</v>
      </c>
      <c r="B18" s="6">
        <f>VLOOKUP(A18,'Fixed parameters'!$B:$C,2,FALSE)</f>
        <v>0.3311735061</v>
      </c>
      <c r="L18" s="6">
        <f t="shared" si="4"/>
        <v>0.017</v>
      </c>
      <c r="M18" s="10">
        <f t="shared" si="1"/>
        <v>10508.47064</v>
      </c>
      <c r="N18" s="10">
        <f t="shared" si="2"/>
        <v>175798.2709</v>
      </c>
      <c r="P18" s="10">
        <f t="shared" si="5"/>
        <v>3059343.943</v>
      </c>
      <c r="Q18" s="6">
        <f t="shared" si="3"/>
        <v>16</v>
      </c>
    </row>
    <row r="19">
      <c r="A19" s="4" t="s">
        <v>158</v>
      </c>
      <c r="B19" s="6">
        <f>VLOOKUP(A19,'Fixed parameters'!$B:$C,2,FALSE)</f>
        <v>11.22524339</v>
      </c>
      <c r="L19" s="6">
        <f t="shared" si="4"/>
        <v>0.018</v>
      </c>
      <c r="M19" s="10">
        <f t="shared" si="1"/>
        <v>10736.36298</v>
      </c>
      <c r="N19" s="10">
        <f t="shared" si="2"/>
        <v>179610.7266</v>
      </c>
      <c r="P19" s="10">
        <f t="shared" si="5"/>
        <v>3250552.94</v>
      </c>
      <c r="Q19" s="6">
        <f t="shared" si="3"/>
        <v>14</v>
      </c>
    </row>
    <row r="20">
      <c r="A20" s="4" t="s">
        <v>160</v>
      </c>
      <c r="B20" s="6">
        <f>VLOOKUP(A20,'Fixed parameters'!$B:$C,2,FALSE)</f>
        <v>0.927</v>
      </c>
      <c r="L20" s="6">
        <f t="shared" si="4"/>
        <v>0.019</v>
      </c>
      <c r="M20" s="10">
        <f t="shared" si="1"/>
        <v>10958.30676</v>
      </c>
      <c r="N20" s="10">
        <f t="shared" si="2"/>
        <v>183323.6677</v>
      </c>
      <c r="P20" s="10">
        <f t="shared" si="5"/>
        <v>3441761.936</v>
      </c>
      <c r="Q20" s="6">
        <f t="shared" si="3"/>
        <v>13</v>
      </c>
    </row>
    <row r="21">
      <c r="L21" s="6">
        <f t="shared" si="4"/>
        <v>0.02</v>
      </c>
      <c r="M21" s="10">
        <f t="shared" si="1"/>
        <v>11174.81823</v>
      </c>
      <c r="N21" s="10">
        <f t="shared" si="2"/>
        <v>186945.7308</v>
      </c>
      <c r="P21" s="10">
        <f t="shared" si="5"/>
        <v>3632970.933</v>
      </c>
      <c r="Q21" s="6">
        <f t="shared" si="3"/>
        <v>11</v>
      </c>
    </row>
    <row r="22">
      <c r="L22" s="6">
        <f t="shared" si="4"/>
        <v>0.021</v>
      </c>
      <c r="M22" s="10">
        <f t="shared" si="1"/>
        <v>11386.3462</v>
      </c>
      <c r="N22" s="10">
        <f t="shared" si="2"/>
        <v>190484.4238</v>
      </c>
      <c r="P22" s="10">
        <f t="shared" si="5"/>
        <v>3824179.929</v>
      </c>
      <c r="Q22" s="6">
        <f t="shared" si="3"/>
        <v>10</v>
      </c>
    </row>
    <row r="23">
      <c r="L23" s="6">
        <f t="shared" si="4"/>
        <v>0.022</v>
      </c>
      <c r="M23" s="10">
        <f t="shared" si="1"/>
        <v>11593.28361</v>
      </c>
      <c r="N23" s="10">
        <f t="shared" si="2"/>
        <v>193946.3203</v>
      </c>
      <c r="P23" s="10">
        <f t="shared" si="5"/>
        <v>4015388.926</v>
      </c>
      <c r="Q23" s="6">
        <f t="shared" si="3"/>
        <v>9</v>
      </c>
    </row>
    <row r="24">
      <c r="L24" s="6">
        <f t="shared" si="4"/>
        <v>0.023</v>
      </c>
      <c r="M24" s="10">
        <f t="shared" si="1"/>
        <v>11795.97668</v>
      </c>
      <c r="N24" s="10">
        <f t="shared" si="2"/>
        <v>197337.2126</v>
      </c>
      <c r="P24" s="10">
        <f t="shared" si="5"/>
        <v>4206597.922</v>
      </c>
      <c r="Q24" s="6">
        <f t="shared" si="3"/>
        <v>7</v>
      </c>
    </row>
    <row r="25">
      <c r="L25" s="6">
        <f t="shared" si="4"/>
        <v>0.024</v>
      </c>
      <c r="M25" s="10">
        <f t="shared" si="1"/>
        <v>11994.73231</v>
      </c>
      <c r="N25" s="10">
        <f t="shared" si="2"/>
        <v>200662.2345</v>
      </c>
      <c r="P25" s="10">
        <f t="shared" si="5"/>
        <v>4397806.919</v>
      </c>
      <c r="Q25" s="6">
        <f t="shared" si="3"/>
        <v>8</v>
      </c>
    </row>
    <row r="26">
      <c r="L26" s="6">
        <f t="shared" si="4"/>
        <v>0.025</v>
      </c>
      <c r="M26" s="10">
        <f t="shared" si="1"/>
        <v>12189.82392</v>
      </c>
      <c r="N26" s="10">
        <f t="shared" si="2"/>
        <v>203925.9603</v>
      </c>
      <c r="P26" s="10">
        <f t="shared" si="5"/>
        <v>4589015.915</v>
      </c>
      <c r="Q26" s="6">
        <f t="shared" si="3"/>
        <v>6</v>
      </c>
    </row>
    <row r="27">
      <c r="L27" s="6">
        <f t="shared" si="4"/>
        <v>0.026</v>
      </c>
      <c r="M27" s="10">
        <f t="shared" si="1"/>
        <v>12381.4963</v>
      </c>
      <c r="N27" s="10">
        <f t="shared" si="2"/>
        <v>207132.4854</v>
      </c>
      <c r="P27" s="10">
        <f t="shared" si="5"/>
        <v>4780224.912</v>
      </c>
      <c r="Q27" s="6">
        <f t="shared" si="3"/>
        <v>6</v>
      </c>
    </row>
    <row r="28">
      <c r="L28" s="6">
        <f t="shared" si="4"/>
        <v>0.027</v>
      </c>
      <c r="M28" s="10">
        <f t="shared" si="1"/>
        <v>12569.96967</v>
      </c>
      <c r="N28" s="10">
        <f t="shared" si="2"/>
        <v>210285.4934</v>
      </c>
      <c r="P28" s="10">
        <f t="shared" si="5"/>
        <v>4971433.908</v>
      </c>
      <c r="Q28" s="6">
        <f t="shared" si="3"/>
        <v>5</v>
      </c>
    </row>
    <row r="29">
      <c r="L29" s="6">
        <f t="shared" si="4"/>
        <v>0.028</v>
      </c>
      <c r="M29" s="10">
        <f t="shared" si="1"/>
        <v>12755.44283</v>
      </c>
      <c r="N29" s="10">
        <f t="shared" si="2"/>
        <v>213388.3104</v>
      </c>
      <c r="P29" s="10">
        <f t="shared" si="5"/>
        <v>5162642.905</v>
      </c>
      <c r="Q29" s="6">
        <f t="shared" si="3"/>
        <v>5</v>
      </c>
    </row>
    <row r="30">
      <c r="L30" s="6">
        <f t="shared" si="4"/>
        <v>0.029</v>
      </c>
      <c r="M30" s="10">
        <f t="shared" si="1"/>
        <v>12938.09603</v>
      </c>
      <c r="N30" s="10">
        <f t="shared" si="2"/>
        <v>216443.9516</v>
      </c>
      <c r="P30" s="10">
        <f t="shared" si="5"/>
        <v>5353851.901</v>
      </c>
      <c r="Q30" s="6">
        <f t="shared" si="3"/>
        <v>4</v>
      </c>
    </row>
    <row r="31">
      <c r="L31" s="6">
        <f t="shared" si="4"/>
        <v>0.03</v>
      </c>
      <c r="M31" s="10">
        <f t="shared" si="1"/>
        <v>13118.09324</v>
      </c>
      <c r="N31" s="10">
        <f t="shared" si="2"/>
        <v>219455.1604</v>
      </c>
      <c r="P31" s="10">
        <f t="shared" si="5"/>
        <v>5545060.897</v>
      </c>
      <c r="Q31" s="6">
        <f t="shared" si="3"/>
        <v>4</v>
      </c>
    </row>
    <row r="32">
      <c r="L32" s="6">
        <f t="shared" si="4"/>
        <v>0.031</v>
      </c>
      <c r="M32" s="10">
        <f t="shared" si="1"/>
        <v>13295.58415</v>
      </c>
      <c r="N32" s="10">
        <f t="shared" si="2"/>
        <v>222424.4406</v>
      </c>
      <c r="P32" s="10">
        <f t="shared" si="5"/>
        <v>5736269.894</v>
      </c>
      <c r="Q32" s="6">
        <f t="shared" si="3"/>
        <v>4</v>
      </c>
    </row>
    <row r="33">
      <c r="L33" s="6">
        <f t="shared" si="4"/>
        <v>0.032</v>
      </c>
      <c r="M33" s="10">
        <f t="shared" si="1"/>
        <v>13470.70578</v>
      </c>
      <c r="N33" s="10">
        <f t="shared" si="2"/>
        <v>225354.0848</v>
      </c>
      <c r="P33" s="10">
        <f t="shared" si="5"/>
        <v>5927478.89</v>
      </c>
      <c r="Q33" s="6">
        <f t="shared" si="3"/>
        <v>3</v>
      </c>
    </row>
    <row r="34">
      <c r="L34" s="6">
        <f t="shared" si="4"/>
        <v>0.033</v>
      </c>
      <c r="M34" s="10">
        <f t="shared" si="1"/>
        <v>13643.58397</v>
      </c>
      <c r="N34" s="10">
        <f t="shared" si="2"/>
        <v>228246.1981</v>
      </c>
      <c r="P34" s="10">
        <f t="shared" si="5"/>
        <v>6118687.887</v>
      </c>
      <c r="Q34" s="6">
        <f t="shared" si="3"/>
        <v>3</v>
      </c>
    </row>
    <row r="35">
      <c r="L35" s="6">
        <f t="shared" si="4"/>
        <v>0.034</v>
      </c>
      <c r="M35" s="10">
        <f t="shared" si="1"/>
        <v>13814.33457</v>
      </c>
      <c r="N35" s="10">
        <f t="shared" si="2"/>
        <v>231102.7184</v>
      </c>
      <c r="P35" s="10">
        <f t="shared" si="5"/>
        <v>6309896.883</v>
      </c>
      <c r="Q35" s="6">
        <f t="shared" si="3"/>
        <v>3</v>
      </c>
    </row>
    <row r="36">
      <c r="L36" s="6">
        <f t="shared" si="4"/>
        <v>0.035</v>
      </c>
      <c r="M36" s="10">
        <f t="shared" si="1"/>
        <v>13983.0645</v>
      </c>
      <c r="N36" s="10">
        <f t="shared" si="2"/>
        <v>233925.4345</v>
      </c>
      <c r="P36" s="10">
        <f t="shared" si="5"/>
        <v>6501105.88</v>
      </c>
      <c r="Q36" s="6">
        <f t="shared" si="3"/>
        <v>2</v>
      </c>
    </row>
    <row r="37">
      <c r="L37" s="6">
        <f t="shared" si="4"/>
        <v>0.036</v>
      </c>
      <c r="M37" s="10">
        <f t="shared" si="1"/>
        <v>14149.87269</v>
      </c>
      <c r="N37" s="10">
        <f t="shared" si="2"/>
        <v>236716.0016</v>
      </c>
      <c r="P37" s="10">
        <f t="shared" si="5"/>
        <v>6692314.876</v>
      </c>
      <c r="Q37" s="6">
        <f t="shared" si="3"/>
        <v>2</v>
      </c>
    </row>
    <row r="38">
      <c r="L38" s="6">
        <f t="shared" si="4"/>
        <v>0.037</v>
      </c>
      <c r="M38" s="10">
        <f t="shared" si="1"/>
        <v>14314.85089</v>
      </c>
      <c r="N38" s="10">
        <f t="shared" si="2"/>
        <v>239475.9542</v>
      </c>
      <c r="P38" s="10">
        <f t="shared" si="5"/>
        <v>6883523.873</v>
      </c>
      <c r="Q38" s="6">
        <f t="shared" si="3"/>
        <v>2</v>
      </c>
    </row>
    <row r="39">
      <c r="L39" s="6">
        <f t="shared" si="4"/>
        <v>0.038</v>
      </c>
      <c r="M39" s="10">
        <f t="shared" si="1"/>
        <v>14478.08433</v>
      </c>
      <c r="N39" s="10">
        <f t="shared" si="2"/>
        <v>242206.7187</v>
      </c>
      <c r="P39" s="10">
        <f t="shared" si="5"/>
        <v>7074732.869</v>
      </c>
      <c r="Q39" s="6">
        <f t="shared" si="3"/>
        <v>2</v>
      </c>
    </row>
    <row r="40">
      <c r="L40" s="6">
        <f t="shared" si="4"/>
        <v>0.039</v>
      </c>
      <c r="M40" s="10">
        <f t="shared" si="1"/>
        <v>14639.65241</v>
      </c>
      <c r="N40" s="10">
        <f t="shared" si="2"/>
        <v>244909.6228</v>
      </c>
      <c r="P40" s="10">
        <f t="shared" si="5"/>
        <v>7265941.866</v>
      </c>
      <c r="Q40" s="6">
        <f t="shared" si="3"/>
        <v>2</v>
      </c>
    </row>
    <row r="41">
      <c r="L41" s="6">
        <f t="shared" si="4"/>
        <v>0.04</v>
      </c>
      <c r="M41" s="10">
        <f t="shared" si="1"/>
        <v>14799.62916</v>
      </c>
      <c r="N41" s="10">
        <f t="shared" si="2"/>
        <v>247585.9053</v>
      </c>
      <c r="P41" s="10">
        <f t="shared" si="5"/>
        <v>7457150.862</v>
      </c>
      <c r="Q41" s="6">
        <f t="shared" si="3"/>
        <v>2</v>
      </c>
    </row>
    <row r="42">
      <c r="L42" s="6">
        <f t="shared" si="4"/>
        <v>0.041</v>
      </c>
      <c r="M42" s="10">
        <f t="shared" si="1"/>
        <v>14958.08381</v>
      </c>
      <c r="N42" s="10">
        <f t="shared" si="2"/>
        <v>250236.7242</v>
      </c>
      <c r="P42" s="10">
        <f t="shared" si="5"/>
        <v>7648359.859</v>
      </c>
      <c r="Q42" s="6">
        <f t="shared" si="3"/>
        <v>1</v>
      </c>
    </row>
    <row r="43">
      <c r="L43" s="6">
        <f t="shared" si="4"/>
        <v>0.042</v>
      </c>
      <c r="M43" s="10">
        <f t="shared" si="1"/>
        <v>15115.08113</v>
      </c>
      <c r="N43" s="10">
        <f t="shared" si="2"/>
        <v>252863.1633</v>
      </c>
      <c r="P43" s="10">
        <f t="shared" si="5"/>
        <v>7839568.855</v>
      </c>
      <c r="Q43" s="6">
        <f t="shared" si="3"/>
        <v>2</v>
      </c>
    </row>
    <row r="44">
      <c r="L44" s="6">
        <f t="shared" si="4"/>
        <v>0.043</v>
      </c>
      <c r="M44" s="10">
        <f t="shared" si="1"/>
        <v>15270.6819</v>
      </c>
      <c r="N44" s="10">
        <f t="shared" si="2"/>
        <v>255466.2391</v>
      </c>
      <c r="P44" s="10">
        <f t="shared" si="5"/>
        <v>8030777.852</v>
      </c>
      <c r="Q44" s="6">
        <f t="shared" si="3"/>
        <v>0</v>
      </c>
    </row>
    <row r="45">
      <c r="L45" s="6">
        <f t="shared" si="4"/>
        <v>0.044</v>
      </c>
      <c r="M45" s="10">
        <f t="shared" si="1"/>
        <v>15424.94316</v>
      </c>
      <c r="N45" s="10">
        <f t="shared" si="2"/>
        <v>258046.9061</v>
      </c>
    </row>
    <row r="46">
      <c r="L46" s="6">
        <f t="shared" si="4"/>
        <v>0.045</v>
      </c>
      <c r="M46" s="10">
        <f t="shared" si="1"/>
        <v>15577.91859</v>
      </c>
      <c r="N46" s="10">
        <f t="shared" si="2"/>
        <v>260606.0622</v>
      </c>
    </row>
    <row r="47">
      <c r="L47" s="6">
        <f t="shared" si="4"/>
        <v>0.046</v>
      </c>
      <c r="M47" s="10">
        <f t="shared" si="1"/>
        <v>15729.65875</v>
      </c>
      <c r="N47" s="10">
        <f t="shared" si="2"/>
        <v>263144.5531</v>
      </c>
    </row>
    <row r="48">
      <c r="L48" s="6">
        <f t="shared" si="4"/>
        <v>0.047</v>
      </c>
      <c r="M48" s="10">
        <f t="shared" si="1"/>
        <v>15880.21131</v>
      </c>
      <c r="N48" s="10">
        <f t="shared" si="2"/>
        <v>265663.1765</v>
      </c>
    </row>
    <row r="49">
      <c r="L49" s="6">
        <f t="shared" si="4"/>
        <v>0.048</v>
      </c>
      <c r="M49" s="10">
        <f t="shared" si="1"/>
        <v>16029.62131</v>
      </c>
      <c r="N49" s="10">
        <f t="shared" si="2"/>
        <v>268162.6857</v>
      </c>
    </row>
    <row r="50">
      <c r="L50" s="6">
        <f t="shared" si="4"/>
        <v>0.049</v>
      </c>
      <c r="M50" s="10">
        <f t="shared" si="1"/>
        <v>16177.93133</v>
      </c>
      <c r="N50" s="10">
        <f t="shared" si="2"/>
        <v>270643.7931</v>
      </c>
    </row>
    <row r="51">
      <c r="L51" s="6">
        <f t="shared" si="4"/>
        <v>0.05</v>
      </c>
      <c r="M51" s="10">
        <f t="shared" si="1"/>
        <v>16325.18166</v>
      </c>
      <c r="N51" s="10">
        <f t="shared" si="2"/>
        <v>273107.173</v>
      </c>
    </row>
    <row r="52">
      <c r="L52" s="6">
        <f t="shared" si="4"/>
        <v>0.051</v>
      </c>
      <c r="M52" s="10">
        <f t="shared" si="1"/>
        <v>16471.41053</v>
      </c>
      <c r="N52" s="10">
        <f t="shared" si="2"/>
        <v>275553.4644</v>
      </c>
    </row>
    <row r="53">
      <c r="L53" s="6">
        <f t="shared" si="4"/>
        <v>0.052</v>
      </c>
      <c r="M53" s="10">
        <f t="shared" si="1"/>
        <v>16616.65418</v>
      </c>
      <c r="N53" s="10">
        <f t="shared" si="2"/>
        <v>277983.274</v>
      </c>
    </row>
    <row r="54">
      <c r="L54" s="6">
        <f t="shared" si="4"/>
        <v>0.053</v>
      </c>
      <c r="M54" s="10">
        <f t="shared" si="1"/>
        <v>16760.94703</v>
      </c>
      <c r="N54" s="10">
        <f t="shared" si="2"/>
        <v>280397.1775</v>
      </c>
    </row>
    <row r="55">
      <c r="L55" s="6">
        <f t="shared" si="4"/>
        <v>0.054</v>
      </c>
      <c r="M55" s="10">
        <f t="shared" si="1"/>
        <v>16904.32184</v>
      </c>
      <c r="N55" s="10">
        <f t="shared" si="2"/>
        <v>282795.7228</v>
      </c>
    </row>
    <row r="56">
      <c r="L56" s="6">
        <f t="shared" si="4"/>
        <v>0.055</v>
      </c>
      <c r="M56" s="10">
        <f t="shared" si="1"/>
        <v>17046.80974</v>
      </c>
      <c r="N56" s="10">
        <f t="shared" si="2"/>
        <v>285179.4309</v>
      </c>
    </row>
    <row r="57">
      <c r="L57" s="6">
        <f t="shared" si="4"/>
        <v>0.056</v>
      </c>
      <c r="M57" s="10">
        <f t="shared" si="1"/>
        <v>17188.44042</v>
      </c>
      <c r="N57" s="10">
        <f t="shared" si="2"/>
        <v>287548.7984</v>
      </c>
    </row>
    <row r="58">
      <c r="L58" s="6">
        <f t="shared" si="4"/>
        <v>0.057</v>
      </c>
      <c r="M58" s="10">
        <f t="shared" si="1"/>
        <v>17329.24218</v>
      </c>
      <c r="N58" s="10">
        <f t="shared" si="2"/>
        <v>289904.2986</v>
      </c>
    </row>
    <row r="59">
      <c r="L59" s="6">
        <f t="shared" si="4"/>
        <v>0.058</v>
      </c>
      <c r="M59" s="10">
        <f t="shared" si="1"/>
        <v>17469.24201</v>
      </c>
      <c r="N59" s="10">
        <f t="shared" si="2"/>
        <v>292246.3834</v>
      </c>
    </row>
    <row r="60">
      <c r="L60" s="6">
        <f t="shared" si="4"/>
        <v>0.059</v>
      </c>
      <c r="M60" s="10">
        <f t="shared" si="1"/>
        <v>17608.46572</v>
      </c>
      <c r="N60" s="10">
        <f t="shared" si="2"/>
        <v>294575.4842</v>
      </c>
    </row>
    <row r="61">
      <c r="L61" s="6">
        <f t="shared" si="4"/>
        <v>0.06</v>
      </c>
      <c r="M61" s="10">
        <f t="shared" si="1"/>
        <v>17746.93795</v>
      </c>
      <c r="N61" s="10">
        <f t="shared" si="2"/>
        <v>296892.0134</v>
      </c>
    </row>
    <row r="62">
      <c r="L62" s="6">
        <f t="shared" si="4"/>
        <v>0.061</v>
      </c>
      <c r="M62" s="10">
        <f t="shared" si="1"/>
        <v>17884.6823</v>
      </c>
      <c r="N62" s="10">
        <f t="shared" si="2"/>
        <v>299196.3656</v>
      </c>
    </row>
    <row r="63">
      <c r="L63" s="6">
        <f t="shared" si="4"/>
        <v>0.062</v>
      </c>
      <c r="M63" s="10">
        <f t="shared" si="1"/>
        <v>18021.72134</v>
      </c>
      <c r="N63" s="10">
        <f t="shared" si="2"/>
        <v>301488.9186</v>
      </c>
    </row>
    <row r="64">
      <c r="L64" s="6">
        <f t="shared" si="4"/>
        <v>0.063</v>
      </c>
      <c r="M64" s="10">
        <f t="shared" si="1"/>
        <v>18158.0767</v>
      </c>
      <c r="N64" s="10">
        <f t="shared" si="2"/>
        <v>303770.0342</v>
      </c>
    </row>
    <row r="65">
      <c r="L65" s="6">
        <f t="shared" si="4"/>
        <v>0.064</v>
      </c>
      <c r="M65" s="10">
        <f t="shared" si="1"/>
        <v>18293.76912</v>
      </c>
      <c r="N65" s="10">
        <f t="shared" si="2"/>
        <v>306040.0595</v>
      </c>
    </row>
    <row r="66">
      <c r="L66" s="6">
        <f t="shared" si="4"/>
        <v>0.065</v>
      </c>
      <c r="M66" s="10">
        <f t="shared" si="1"/>
        <v>18428.81851</v>
      </c>
      <c r="N66" s="10">
        <f t="shared" si="2"/>
        <v>308299.3273</v>
      </c>
    </row>
    <row r="67">
      <c r="L67" s="6">
        <f t="shared" si="4"/>
        <v>0.066</v>
      </c>
      <c r="M67" s="10">
        <f t="shared" si="1"/>
        <v>18563.24397</v>
      </c>
      <c r="N67" s="10">
        <f t="shared" si="2"/>
        <v>310548.1572</v>
      </c>
    </row>
    <row r="68">
      <c r="L68" s="6">
        <f t="shared" si="4"/>
        <v>0.067</v>
      </c>
      <c r="M68" s="10">
        <f t="shared" si="1"/>
        <v>18697.06385</v>
      </c>
      <c r="N68" s="10">
        <f t="shared" si="2"/>
        <v>312786.8563</v>
      </c>
    </row>
    <row r="69">
      <c r="L69" s="6">
        <f t="shared" si="4"/>
        <v>0.068</v>
      </c>
      <c r="M69" s="10">
        <f t="shared" si="1"/>
        <v>18830.29581</v>
      </c>
      <c r="N69" s="10">
        <f t="shared" si="2"/>
        <v>315015.7199</v>
      </c>
    </row>
    <row r="70">
      <c r="L70" s="6">
        <f t="shared" si="4"/>
        <v>0.069</v>
      </c>
      <c r="M70" s="10">
        <f t="shared" si="1"/>
        <v>18962.9568</v>
      </c>
      <c r="N70" s="10">
        <f t="shared" si="2"/>
        <v>317235.0317</v>
      </c>
    </row>
    <row r="71">
      <c r="L71" s="6">
        <f t="shared" si="4"/>
        <v>0.07</v>
      </c>
      <c r="M71" s="10">
        <f t="shared" si="1"/>
        <v>19095.06317</v>
      </c>
      <c r="N71" s="10">
        <f t="shared" si="2"/>
        <v>319445.0652</v>
      </c>
    </row>
    <row r="72">
      <c r="L72" s="6">
        <f t="shared" si="4"/>
        <v>0.071</v>
      </c>
      <c r="M72" s="10">
        <f t="shared" si="1"/>
        <v>19226.63065</v>
      </c>
      <c r="N72" s="10">
        <f t="shared" si="2"/>
        <v>321646.0834</v>
      </c>
    </row>
    <row r="73">
      <c r="L73" s="6">
        <f t="shared" si="4"/>
        <v>0.072</v>
      </c>
      <c r="M73" s="10">
        <f t="shared" si="1"/>
        <v>19357.6744</v>
      </c>
      <c r="N73" s="10">
        <f t="shared" si="2"/>
        <v>323838.34</v>
      </c>
    </row>
    <row r="74">
      <c r="L74" s="6">
        <f t="shared" si="4"/>
        <v>0.073</v>
      </c>
      <c r="M74" s="10">
        <f t="shared" si="1"/>
        <v>19488.20902</v>
      </c>
      <c r="N74" s="10">
        <f t="shared" si="2"/>
        <v>326022.0794</v>
      </c>
    </row>
    <row r="75">
      <c r="L75" s="6">
        <f t="shared" si="4"/>
        <v>0.074</v>
      </c>
      <c r="M75" s="10">
        <f t="shared" si="1"/>
        <v>19618.24863</v>
      </c>
      <c r="N75" s="10">
        <f t="shared" si="2"/>
        <v>328197.5376</v>
      </c>
    </row>
    <row r="76">
      <c r="L76" s="6">
        <f t="shared" si="4"/>
        <v>0.075</v>
      </c>
      <c r="M76" s="10">
        <f t="shared" si="1"/>
        <v>19747.80683</v>
      </c>
      <c r="N76" s="10">
        <f t="shared" si="2"/>
        <v>330364.9421</v>
      </c>
    </row>
    <row r="77">
      <c r="L77" s="6">
        <f t="shared" si="4"/>
        <v>0.076</v>
      </c>
      <c r="M77" s="10">
        <f t="shared" si="1"/>
        <v>19876.89675</v>
      </c>
      <c r="N77" s="10">
        <f t="shared" si="2"/>
        <v>332524.5128</v>
      </c>
    </row>
    <row r="78">
      <c r="L78" s="6">
        <f t="shared" si="4"/>
        <v>0.077</v>
      </c>
      <c r="M78" s="10">
        <f t="shared" si="1"/>
        <v>20005.53109</v>
      </c>
      <c r="N78" s="10">
        <f t="shared" si="2"/>
        <v>334676.462</v>
      </c>
    </row>
    <row r="79">
      <c r="L79" s="6">
        <f t="shared" si="4"/>
        <v>0.078</v>
      </c>
      <c r="M79" s="10">
        <f t="shared" si="1"/>
        <v>20133.72212</v>
      </c>
      <c r="N79" s="10">
        <f t="shared" si="2"/>
        <v>336820.9949</v>
      </c>
    </row>
    <row r="80">
      <c r="L80" s="6">
        <f t="shared" si="4"/>
        <v>0.079</v>
      </c>
      <c r="M80" s="10">
        <f t="shared" si="1"/>
        <v>20261.48171</v>
      </c>
      <c r="N80" s="10">
        <f t="shared" si="2"/>
        <v>338958.3101</v>
      </c>
    </row>
    <row r="81">
      <c r="L81" s="6">
        <f t="shared" si="4"/>
        <v>0.08</v>
      </c>
      <c r="M81" s="10">
        <f t="shared" si="1"/>
        <v>20388.82132</v>
      </c>
      <c r="N81" s="10">
        <f t="shared" si="2"/>
        <v>341088.5996</v>
      </c>
    </row>
    <row r="82">
      <c r="L82" s="6">
        <f t="shared" si="4"/>
        <v>0.081</v>
      </c>
      <c r="M82" s="10">
        <f t="shared" si="1"/>
        <v>20515.75208</v>
      </c>
      <c r="N82" s="10">
        <f t="shared" si="2"/>
        <v>343212.0492</v>
      </c>
    </row>
    <row r="83">
      <c r="L83" s="6">
        <f t="shared" si="4"/>
        <v>0.082</v>
      </c>
      <c r="M83" s="10">
        <f t="shared" si="1"/>
        <v>20642.28474</v>
      </c>
      <c r="N83" s="10">
        <f t="shared" si="2"/>
        <v>345328.839</v>
      </c>
    </row>
    <row r="84">
      <c r="L84" s="6">
        <f t="shared" si="4"/>
        <v>0.083</v>
      </c>
      <c r="M84" s="10">
        <f t="shared" si="1"/>
        <v>20768.42973</v>
      </c>
      <c r="N84" s="10">
        <f t="shared" si="2"/>
        <v>347439.1433</v>
      </c>
    </row>
    <row r="85">
      <c r="L85" s="6">
        <f t="shared" si="4"/>
        <v>0.084</v>
      </c>
      <c r="M85" s="10">
        <f t="shared" si="1"/>
        <v>20894.19714</v>
      </c>
      <c r="N85" s="10">
        <f t="shared" si="2"/>
        <v>349543.131</v>
      </c>
    </row>
    <row r="86">
      <c r="L86" s="6">
        <f t="shared" si="4"/>
        <v>0.085</v>
      </c>
      <c r="M86" s="10">
        <f t="shared" si="1"/>
        <v>21019.59678</v>
      </c>
      <c r="N86" s="10">
        <f t="shared" si="2"/>
        <v>351640.9662</v>
      </c>
    </row>
    <row r="87">
      <c r="L87" s="6">
        <f t="shared" si="4"/>
        <v>0.086</v>
      </c>
      <c r="M87" s="10">
        <f t="shared" si="1"/>
        <v>21144.63813</v>
      </c>
      <c r="N87" s="10">
        <f t="shared" si="2"/>
        <v>353732.8075</v>
      </c>
    </row>
    <row r="88">
      <c r="L88" s="6">
        <f t="shared" si="4"/>
        <v>0.087</v>
      </c>
      <c r="M88" s="10">
        <f t="shared" si="1"/>
        <v>21269.33042</v>
      </c>
      <c r="N88" s="10">
        <f t="shared" si="2"/>
        <v>355818.8094</v>
      </c>
    </row>
    <row r="89">
      <c r="L89" s="6">
        <f t="shared" si="4"/>
        <v>0.088</v>
      </c>
      <c r="M89" s="10">
        <f t="shared" si="1"/>
        <v>21393.68259</v>
      </c>
      <c r="N89" s="10">
        <f t="shared" si="2"/>
        <v>357899.1213</v>
      </c>
    </row>
    <row r="90">
      <c r="L90" s="6">
        <f t="shared" si="4"/>
        <v>0.089</v>
      </c>
      <c r="M90" s="10">
        <f t="shared" si="1"/>
        <v>21517.70334</v>
      </c>
      <c r="N90" s="10">
        <f t="shared" si="2"/>
        <v>359973.8888</v>
      </c>
    </row>
    <row r="91">
      <c r="L91" s="6">
        <f t="shared" si="4"/>
        <v>0.09</v>
      </c>
      <c r="M91" s="10">
        <f t="shared" si="1"/>
        <v>21641.4011</v>
      </c>
      <c r="N91" s="10">
        <f t="shared" si="2"/>
        <v>362043.2529</v>
      </c>
    </row>
    <row r="92">
      <c r="L92" s="6">
        <f t="shared" si="4"/>
        <v>0.091</v>
      </c>
      <c r="M92" s="10">
        <f t="shared" si="1"/>
        <v>21764.78408</v>
      </c>
      <c r="N92" s="10">
        <f t="shared" si="2"/>
        <v>364107.351</v>
      </c>
    </row>
    <row r="93">
      <c r="L93" s="6">
        <f t="shared" si="4"/>
        <v>0.092</v>
      </c>
      <c r="M93" s="10">
        <f t="shared" si="1"/>
        <v>21887.86025</v>
      </c>
      <c r="N93" s="10">
        <f t="shared" si="2"/>
        <v>366166.3164</v>
      </c>
    </row>
    <row r="94">
      <c r="L94" s="6">
        <f t="shared" si="4"/>
        <v>0.093</v>
      </c>
      <c r="M94" s="10">
        <f t="shared" si="1"/>
        <v>22010.63736</v>
      </c>
      <c r="N94" s="10">
        <f t="shared" si="2"/>
        <v>368220.2788</v>
      </c>
    </row>
    <row r="95">
      <c r="L95" s="6">
        <f t="shared" si="4"/>
        <v>0.094</v>
      </c>
      <c r="M95" s="10">
        <f t="shared" si="1"/>
        <v>22133.12295</v>
      </c>
      <c r="N95" s="10">
        <f t="shared" si="2"/>
        <v>370269.3644</v>
      </c>
    </row>
    <row r="96">
      <c r="L96" s="6">
        <f t="shared" si="4"/>
        <v>0.095</v>
      </c>
      <c r="M96" s="10">
        <f t="shared" si="1"/>
        <v>22255.32437</v>
      </c>
      <c r="N96" s="10">
        <f t="shared" si="2"/>
        <v>372313.696</v>
      </c>
    </row>
    <row r="97">
      <c r="L97" s="6">
        <f t="shared" si="4"/>
        <v>0.096</v>
      </c>
      <c r="M97" s="10">
        <f t="shared" si="1"/>
        <v>22377.24876</v>
      </c>
      <c r="N97" s="10">
        <f t="shared" si="2"/>
        <v>374353.3931</v>
      </c>
    </row>
    <row r="98">
      <c r="L98" s="6">
        <f t="shared" si="4"/>
        <v>0.097</v>
      </c>
      <c r="M98" s="10">
        <f t="shared" si="1"/>
        <v>22498.90309</v>
      </c>
      <c r="N98" s="10">
        <f t="shared" si="2"/>
        <v>376388.5722</v>
      </c>
    </row>
    <row r="99">
      <c r="L99" s="6">
        <f t="shared" si="4"/>
        <v>0.098</v>
      </c>
      <c r="M99" s="10">
        <f t="shared" si="1"/>
        <v>22620.29411</v>
      </c>
      <c r="N99" s="10">
        <f t="shared" si="2"/>
        <v>378419.3465</v>
      </c>
    </row>
    <row r="100">
      <c r="L100" s="6">
        <f t="shared" si="4"/>
        <v>0.099</v>
      </c>
      <c r="M100" s="10">
        <f t="shared" si="1"/>
        <v>22741.42845</v>
      </c>
      <c r="N100" s="10">
        <f t="shared" si="2"/>
        <v>380445.8266</v>
      </c>
    </row>
    <row r="101">
      <c r="L101" s="6">
        <f t="shared" si="4"/>
        <v>0.1</v>
      </c>
      <c r="M101" s="10">
        <f t="shared" si="1"/>
        <v>22862.31253</v>
      </c>
      <c r="N101" s="10">
        <f t="shared" si="2"/>
        <v>382468.1201</v>
      </c>
    </row>
    <row r="102">
      <c r="L102" s="6">
        <f t="shared" si="4"/>
        <v>0.101</v>
      </c>
      <c r="M102" s="10">
        <f t="shared" si="1"/>
        <v>22982.95262</v>
      </c>
      <c r="N102" s="10">
        <f t="shared" si="2"/>
        <v>384486.332</v>
      </c>
    </row>
    <row r="103">
      <c r="L103" s="6">
        <f t="shared" si="4"/>
        <v>0.102</v>
      </c>
      <c r="M103" s="10">
        <f t="shared" si="1"/>
        <v>23103.35486</v>
      </c>
      <c r="N103" s="10">
        <f t="shared" si="2"/>
        <v>386500.5647</v>
      </c>
    </row>
    <row r="104">
      <c r="L104" s="6">
        <f t="shared" si="4"/>
        <v>0.103</v>
      </c>
      <c r="M104" s="10">
        <f t="shared" si="1"/>
        <v>23223.5252</v>
      </c>
      <c r="N104" s="10">
        <f t="shared" si="2"/>
        <v>388510.9179</v>
      </c>
    </row>
    <row r="105">
      <c r="L105" s="6">
        <f t="shared" si="4"/>
        <v>0.104</v>
      </c>
      <c r="M105" s="10">
        <f t="shared" si="1"/>
        <v>23343.46947</v>
      </c>
      <c r="N105" s="10">
        <f t="shared" si="2"/>
        <v>390517.4892</v>
      </c>
    </row>
    <row r="106">
      <c r="L106" s="6">
        <f t="shared" si="4"/>
        <v>0.105</v>
      </c>
      <c r="M106" s="10">
        <f t="shared" si="1"/>
        <v>23463.19336</v>
      </c>
      <c r="N106" s="10">
        <f t="shared" si="2"/>
        <v>392520.3737</v>
      </c>
    </row>
    <row r="107">
      <c r="L107" s="6">
        <f t="shared" si="4"/>
        <v>0.106</v>
      </c>
      <c r="M107" s="10">
        <f t="shared" si="1"/>
        <v>23582.70242</v>
      </c>
      <c r="N107" s="10">
        <f t="shared" si="2"/>
        <v>394519.6642</v>
      </c>
    </row>
    <row r="108">
      <c r="L108" s="6">
        <f t="shared" si="4"/>
        <v>0.107</v>
      </c>
      <c r="M108" s="10">
        <f t="shared" si="1"/>
        <v>23702.00206</v>
      </c>
      <c r="N108" s="10">
        <f t="shared" si="2"/>
        <v>396515.4514</v>
      </c>
    </row>
    <row r="109">
      <c r="L109" s="6">
        <f t="shared" si="4"/>
        <v>0.108</v>
      </c>
      <c r="M109" s="10">
        <f t="shared" si="1"/>
        <v>23821.09759</v>
      </c>
      <c r="N109" s="10">
        <f t="shared" si="2"/>
        <v>398507.8239</v>
      </c>
    </row>
    <row r="110">
      <c r="L110" s="6">
        <f t="shared" si="4"/>
        <v>0.109</v>
      </c>
      <c r="M110" s="10">
        <f t="shared" si="1"/>
        <v>23939.99417</v>
      </c>
      <c r="N110" s="10">
        <f t="shared" si="2"/>
        <v>400496.8682</v>
      </c>
    </row>
    <row r="111">
      <c r="L111" s="6">
        <f t="shared" si="4"/>
        <v>0.11</v>
      </c>
      <c r="M111" s="10">
        <f t="shared" si="1"/>
        <v>24058.69687</v>
      </c>
      <c r="N111" s="10">
        <f t="shared" si="2"/>
        <v>402482.6689</v>
      </c>
    </row>
    <row r="112">
      <c r="L112" s="6">
        <f t="shared" si="4"/>
        <v>0.111</v>
      </c>
      <c r="M112" s="10">
        <f t="shared" si="1"/>
        <v>24177.21062</v>
      </c>
      <c r="N112" s="10">
        <f t="shared" si="2"/>
        <v>404465.3088</v>
      </c>
    </row>
    <row r="113">
      <c r="L113" s="6">
        <f t="shared" si="4"/>
        <v>0.112</v>
      </c>
      <c r="M113" s="10">
        <f t="shared" si="1"/>
        <v>24295.54027</v>
      </c>
      <c r="N113" s="10">
        <f t="shared" si="2"/>
        <v>406444.8687</v>
      </c>
    </row>
    <row r="114">
      <c r="L114" s="6">
        <f t="shared" si="4"/>
        <v>0.113</v>
      </c>
      <c r="M114" s="10">
        <f t="shared" si="1"/>
        <v>24413.69053</v>
      </c>
      <c r="N114" s="10">
        <f t="shared" si="2"/>
        <v>408421.4277</v>
      </c>
    </row>
    <row r="115">
      <c r="L115" s="6">
        <f t="shared" si="4"/>
        <v>0.114</v>
      </c>
      <c r="M115" s="10">
        <f t="shared" si="1"/>
        <v>24531.66604</v>
      </c>
      <c r="N115" s="10">
        <f t="shared" si="2"/>
        <v>410395.0632</v>
      </c>
    </row>
    <row r="116">
      <c r="L116" s="6">
        <f t="shared" si="4"/>
        <v>0.115</v>
      </c>
      <c r="M116" s="10">
        <f t="shared" si="1"/>
        <v>24649.47132</v>
      </c>
      <c r="N116" s="10">
        <f t="shared" si="2"/>
        <v>412365.8509</v>
      </c>
    </row>
    <row r="117">
      <c r="L117" s="6">
        <f t="shared" si="4"/>
        <v>0.116</v>
      </c>
      <c r="M117" s="10">
        <f t="shared" si="1"/>
        <v>24767.1108</v>
      </c>
      <c r="N117" s="10">
        <f t="shared" si="2"/>
        <v>414333.8649</v>
      </c>
    </row>
    <row r="118">
      <c r="L118" s="6">
        <f t="shared" si="4"/>
        <v>0.117</v>
      </c>
      <c r="M118" s="10">
        <f t="shared" si="1"/>
        <v>24884.58883</v>
      </c>
      <c r="N118" s="10">
        <f t="shared" si="2"/>
        <v>416299.1779</v>
      </c>
    </row>
    <row r="119">
      <c r="L119" s="6">
        <f t="shared" si="4"/>
        <v>0.118</v>
      </c>
      <c r="M119" s="10">
        <f t="shared" si="1"/>
        <v>25001.90964</v>
      </c>
      <c r="N119" s="10">
        <f t="shared" si="2"/>
        <v>418261.8608</v>
      </c>
    </row>
    <row r="120">
      <c r="L120" s="6">
        <f t="shared" si="4"/>
        <v>0.119</v>
      </c>
      <c r="M120" s="10">
        <f t="shared" si="1"/>
        <v>25119.07739</v>
      </c>
      <c r="N120" s="10">
        <f t="shared" si="2"/>
        <v>420221.9832</v>
      </c>
    </row>
    <row r="121">
      <c r="L121" s="6">
        <f t="shared" si="4"/>
        <v>0.12</v>
      </c>
      <c r="M121" s="10">
        <f t="shared" si="1"/>
        <v>25236.09618</v>
      </c>
      <c r="N121" s="10">
        <f t="shared" si="2"/>
        <v>422179.6134</v>
      </c>
    </row>
    <row r="122">
      <c r="L122" s="6">
        <f t="shared" si="4"/>
        <v>0.121</v>
      </c>
      <c r="M122" s="10">
        <f t="shared" si="1"/>
        <v>25352.96998</v>
      </c>
      <c r="N122" s="10">
        <f t="shared" si="2"/>
        <v>424134.8182</v>
      </c>
    </row>
    <row r="123">
      <c r="L123" s="6">
        <f t="shared" si="4"/>
        <v>0.122</v>
      </c>
      <c r="M123" s="10">
        <f t="shared" si="1"/>
        <v>25469.70271</v>
      </c>
      <c r="N123" s="10">
        <f t="shared" si="2"/>
        <v>426087.663</v>
      </c>
    </row>
    <row r="124">
      <c r="L124" s="6">
        <f t="shared" si="4"/>
        <v>0.123</v>
      </c>
      <c r="M124" s="10">
        <f t="shared" si="1"/>
        <v>25586.29821</v>
      </c>
      <c r="N124" s="10">
        <f t="shared" si="2"/>
        <v>428038.2121</v>
      </c>
    </row>
    <row r="125">
      <c r="L125" s="6">
        <f t="shared" si="4"/>
        <v>0.124</v>
      </c>
      <c r="M125" s="10">
        <f t="shared" si="1"/>
        <v>25702.76025</v>
      </c>
      <c r="N125" s="10">
        <f t="shared" si="2"/>
        <v>429986.5283</v>
      </c>
    </row>
    <row r="126">
      <c r="L126" s="6">
        <f t="shared" si="4"/>
        <v>0.125</v>
      </c>
      <c r="M126" s="10">
        <f t="shared" si="1"/>
        <v>25819.0925</v>
      </c>
      <c r="N126" s="10">
        <f t="shared" si="2"/>
        <v>431932.6736</v>
      </c>
    </row>
    <row r="127">
      <c r="L127" s="6">
        <f t="shared" si="4"/>
        <v>0.126</v>
      </c>
      <c r="M127" s="10">
        <f t="shared" si="1"/>
        <v>25935.29861</v>
      </c>
      <c r="N127" s="10">
        <f t="shared" si="2"/>
        <v>433876.7083</v>
      </c>
    </row>
    <row r="128">
      <c r="L128" s="6">
        <f t="shared" si="4"/>
        <v>0.127</v>
      </c>
      <c r="M128" s="10">
        <f t="shared" si="1"/>
        <v>26051.38211</v>
      </c>
      <c r="N128" s="10">
        <f t="shared" si="2"/>
        <v>435818.692</v>
      </c>
    </row>
    <row r="129">
      <c r="L129" s="6">
        <f t="shared" si="4"/>
        <v>0.128</v>
      </c>
      <c r="M129" s="10">
        <f t="shared" si="1"/>
        <v>26167.34649</v>
      </c>
      <c r="N129" s="10">
        <f t="shared" si="2"/>
        <v>437758.6829</v>
      </c>
    </row>
    <row r="130">
      <c r="L130" s="6">
        <f t="shared" si="4"/>
        <v>0.129</v>
      </c>
      <c r="M130" s="10">
        <f t="shared" si="1"/>
        <v>26283.19517</v>
      </c>
      <c r="N130" s="10">
        <f t="shared" si="2"/>
        <v>439696.7383</v>
      </c>
    </row>
    <row r="131">
      <c r="L131" s="6">
        <f t="shared" si="4"/>
        <v>0.13</v>
      </c>
      <c r="M131" s="10">
        <f t="shared" si="1"/>
        <v>26398.93151</v>
      </c>
      <c r="N131" s="10">
        <f t="shared" si="2"/>
        <v>441632.9143</v>
      </c>
    </row>
    <row r="132">
      <c r="L132" s="6">
        <f t="shared" si="4"/>
        <v>0.131</v>
      </c>
      <c r="M132" s="10">
        <f t="shared" si="1"/>
        <v>26514.55882</v>
      </c>
      <c r="N132" s="10">
        <f t="shared" si="2"/>
        <v>443567.2663</v>
      </c>
    </row>
    <row r="133">
      <c r="L133" s="6">
        <f t="shared" si="4"/>
        <v>0.132</v>
      </c>
      <c r="M133" s="10">
        <f t="shared" si="1"/>
        <v>26630.08032</v>
      </c>
      <c r="N133" s="10">
        <f t="shared" si="2"/>
        <v>445499.8482</v>
      </c>
    </row>
    <row r="134">
      <c r="L134" s="6">
        <f t="shared" si="4"/>
        <v>0.133</v>
      </c>
      <c r="M134" s="10">
        <f t="shared" si="1"/>
        <v>26745.49921</v>
      </c>
      <c r="N134" s="10">
        <f t="shared" si="2"/>
        <v>447430.7135</v>
      </c>
    </row>
    <row r="135">
      <c r="L135" s="6">
        <f t="shared" si="4"/>
        <v>0.134</v>
      </c>
      <c r="M135" s="10">
        <f t="shared" si="1"/>
        <v>26860.8186</v>
      </c>
      <c r="N135" s="10">
        <f t="shared" si="2"/>
        <v>449359.9143</v>
      </c>
    </row>
    <row r="136">
      <c r="L136" s="6">
        <f t="shared" si="4"/>
        <v>0.135</v>
      </c>
      <c r="M136" s="10">
        <f t="shared" si="1"/>
        <v>26976.04158</v>
      </c>
      <c r="N136" s="10">
        <f t="shared" si="2"/>
        <v>451287.502</v>
      </c>
    </row>
    <row r="137">
      <c r="L137" s="6">
        <f t="shared" si="4"/>
        <v>0.136</v>
      </c>
      <c r="M137" s="10">
        <f t="shared" si="1"/>
        <v>27091.17115</v>
      </c>
      <c r="N137" s="10">
        <f t="shared" si="2"/>
        <v>453213.5273</v>
      </c>
    </row>
    <row r="138">
      <c r="L138" s="6">
        <f t="shared" si="4"/>
        <v>0.137</v>
      </c>
      <c r="M138" s="10">
        <f t="shared" si="1"/>
        <v>27206.21029</v>
      </c>
      <c r="N138" s="10">
        <f t="shared" si="2"/>
        <v>455138.0397</v>
      </c>
    </row>
    <row r="139">
      <c r="L139" s="6">
        <f t="shared" si="4"/>
        <v>0.138</v>
      </c>
      <c r="M139" s="10">
        <f t="shared" si="1"/>
        <v>27321.16192</v>
      </c>
      <c r="N139" s="10">
        <f t="shared" si="2"/>
        <v>457061.088</v>
      </c>
    </row>
    <row r="140">
      <c r="L140" s="6">
        <f t="shared" si="4"/>
        <v>0.139</v>
      </c>
      <c r="M140" s="10">
        <f t="shared" si="1"/>
        <v>27436.0289</v>
      </c>
      <c r="N140" s="10">
        <f t="shared" si="2"/>
        <v>458982.7203</v>
      </c>
    </row>
    <row r="141">
      <c r="L141" s="6">
        <f t="shared" si="4"/>
        <v>0.14</v>
      </c>
      <c r="M141" s="10">
        <f t="shared" si="1"/>
        <v>27550.81406</v>
      </c>
      <c r="N141" s="10">
        <f t="shared" si="2"/>
        <v>460902.9839</v>
      </c>
    </row>
    <row r="142">
      <c r="L142" s="6">
        <f t="shared" si="4"/>
        <v>0.141</v>
      </c>
      <c r="M142" s="10">
        <f t="shared" si="1"/>
        <v>27665.52018</v>
      </c>
      <c r="N142" s="10">
        <f t="shared" si="2"/>
        <v>462821.925</v>
      </c>
    </row>
    <row r="143">
      <c r="L143" s="6">
        <f t="shared" si="4"/>
        <v>0.142</v>
      </c>
      <c r="M143" s="10">
        <f t="shared" si="1"/>
        <v>27780.14998</v>
      </c>
      <c r="N143" s="10">
        <f t="shared" si="2"/>
        <v>464739.5895</v>
      </c>
    </row>
    <row r="144">
      <c r="L144" s="6">
        <f t="shared" si="4"/>
        <v>0.143</v>
      </c>
      <c r="M144" s="10">
        <f t="shared" si="1"/>
        <v>27894.70616</v>
      </c>
      <c r="N144" s="10">
        <f t="shared" si="2"/>
        <v>466656.0224</v>
      </c>
    </row>
    <row r="145">
      <c r="L145" s="6">
        <f t="shared" si="4"/>
        <v>0.144</v>
      </c>
      <c r="M145" s="10">
        <f t="shared" si="1"/>
        <v>28009.19136</v>
      </c>
      <c r="N145" s="10">
        <f t="shared" si="2"/>
        <v>468571.2679</v>
      </c>
    </row>
    <row r="146">
      <c r="L146" s="6">
        <f t="shared" si="4"/>
        <v>0.145</v>
      </c>
      <c r="M146" s="10">
        <f t="shared" si="1"/>
        <v>28123.60819</v>
      </c>
      <c r="N146" s="10">
        <f t="shared" si="2"/>
        <v>470485.3695</v>
      </c>
    </row>
    <row r="147">
      <c r="L147" s="6">
        <f t="shared" si="4"/>
        <v>0.146</v>
      </c>
      <c r="M147" s="10">
        <f t="shared" si="1"/>
        <v>28237.95922</v>
      </c>
      <c r="N147" s="10">
        <f t="shared" si="2"/>
        <v>472398.3703</v>
      </c>
    </row>
    <row r="148">
      <c r="L148" s="6">
        <f t="shared" si="4"/>
        <v>0.147</v>
      </c>
      <c r="M148" s="10">
        <f t="shared" si="1"/>
        <v>28352.24696</v>
      </c>
      <c r="N148" s="10">
        <f t="shared" si="2"/>
        <v>474310.3124</v>
      </c>
    </row>
    <row r="149">
      <c r="L149" s="6">
        <f t="shared" si="4"/>
        <v>0.148</v>
      </c>
      <c r="M149" s="10">
        <f t="shared" si="1"/>
        <v>28466.47391</v>
      </c>
      <c r="N149" s="10">
        <f t="shared" si="2"/>
        <v>476221.2375</v>
      </c>
    </row>
    <row r="150">
      <c r="L150" s="6">
        <f t="shared" si="4"/>
        <v>0.149</v>
      </c>
      <c r="M150" s="10">
        <f t="shared" si="1"/>
        <v>28580.64252</v>
      </c>
      <c r="N150" s="10">
        <f t="shared" si="2"/>
        <v>478131.1866</v>
      </c>
    </row>
    <row r="151">
      <c r="L151" s="6">
        <f t="shared" si="4"/>
        <v>0.15</v>
      </c>
      <c r="M151" s="10">
        <f t="shared" si="1"/>
        <v>28694.7552</v>
      </c>
      <c r="N151" s="10">
        <f t="shared" si="2"/>
        <v>480040.2</v>
      </c>
    </row>
    <row r="152">
      <c r="L152" s="6">
        <f t="shared" si="4"/>
        <v>0.151</v>
      </c>
      <c r="M152" s="10">
        <f t="shared" si="1"/>
        <v>28808.81433</v>
      </c>
      <c r="N152" s="10">
        <f t="shared" si="2"/>
        <v>481948.3177</v>
      </c>
    </row>
    <row r="153">
      <c r="L153" s="6">
        <f t="shared" si="4"/>
        <v>0.152</v>
      </c>
      <c r="M153" s="10">
        <f t="shared" si="1"/>
        <v>28922.82226</v>
      </c>
      <c r="N153" s="10">
        <f t="shared" si="2"/>
        <v>483855.5787</v>
      </c>
    </row>
    <row r="154">
      <c r="L154" s="6">
        <f t="shared" si="4"/>
        <v>0.153</v>
      </c>
      <c r="M154" s="10">
        <f t="shared" si="1"/>
        <v>29036.78129</v>
      </c>
      <c r="N154" s="10">
        <f t="shared" si="2"/>
        <v>485762.0217</v>
      </c>
    </row>
    <row r="155">
      <c r="L155" s="6">
        <f t="shared" si="4"/>
        <v>0.154</v>
      </c>
      <c r="M155" s="10">
        <f t="shared" si="1"/>
        <v>29150.69371</v>
      </c>
      <c r="N155" s="10">
        <f t="shared" si="2"/>
        <v>487667.685</v>
      </c>
    </row>
    <row r="156">
      <c r="L156" s="6">
        <f t="shared" si="4"/>
        <v>0.155</v>
      </c>
      <c r="M156" s="10">
        <f t="shared" si="1"/>
        <v>29264.56176</v>
      </c>
      <c r="N156" s="10">
        <f t="shared" si="2"/>
        <v>489572.606</v>
      </c>
    </row>
    <row r="157">
      <c r="L157" s="6">
        <f t="shared" si="4"/>
        <v>0.156</v>
      </c>
      <c r="M157" s="10">
        <f t="shared" si="1"/>
        <v>29378.38766</v>
      </c>
      <c r="N157" s="10">
        <f t="shared" si="2"/>
        <v>491476.8218</v>
      </c>
    </row>
    <row r="158">
      <c r="L158" s="6">
        <f t="shared" si="4"/>
        <v>0.157</v>
      </c>
      <c r="M158" s="10">
        <f t="shared" si="1"/>
        <v>29492.17359</v>
      </c>
      <c r="N158" s="10">
        <f t="shared" si="2"/>
        <v>493380.3691</v>
      </c>
    </row>
    <row r="159">
      <c r="L159" s="6">
        <f t="shared" si="4"/>
        <v>0.158</v>
      </c>
      <c r="M159" s="10">
        <f t="shared" si="1"/>
        <v>29605.92171</v>
      </c>
      <c r="N159" s="10">
        <f t="shared" si="2"/>
        <v>495283.2837</v>
      </c>
    </row>
    <row r="160">
      <c r="L160" s="6">
        <f t="shared" si="4"/>
        <v>0.159</v>
      </c>
      <c r="M160" s="10">
        <f t="shared" si="1"/>
        <v>29719.63415</v>
      </c>
      <c r="N160" s="10">
        <f t="shared" si="2"/>
        <v>497185.6014</v>
      </c>
    </row>
    <row r="161">
      <c r="L161" s="6">
        <f t="shared" si="4"/>
        <v>0.16</v>
      </c>
      <c r="M161" s="10">
        <f t="shared" si="1"/>
        <v>29833.313</v>
      </c>
      <c r="N161" s="10">
        <f t="shared" si="2"/>
        <v>499087.3573</v>
      </c>
    </row>
    <row r="162">
      <c r="L162" s="6">
        <f t="shared" si="4"/>
        <v>0.161</v>
      </c>
      <c r="M162" s="10">
        <f t="shared" si="1"/>
        <v>29946.96033</v>
      </c>
      <c r="N162" s="10">
        <f t="shared" si="2"/>
        <v>500988.5859</v>
      </c>
    </row>
    <row r="163">
      <c r="L163" s="6">
        <f t="shared" si="4"/>
        <v>0.162</v>
      </c>
      <c r="M163" s="10">
        <f t="shared" si="1"/>
        <v>30060.5782</v>
      </c>
      <c r="N163" s="10">
        <f t="shared" si="2"/>
        <v>502889.3214</v>
      </c>
    </row>
    <row r="164">
      <c r="L164" s="6">
        <f t="shared" si="4"/>
        <v>0.163</v>
      </c>
      <c r="M164" s="10">
        <f t="shared" si="1"/>
        <v>30174.16861</v>
      </c>
      <c r="N164" s="10">
        <f t="shared" si="2"/>
        <v>504789.5978</v>
      </c>
    </row>
    <row r="165">
      <c r="L165" s="6">
        <f t="shared" si="4"/>
        <v>0.164</v>
      </c>
      <c r="M165" s="10">
        <f t="shared" si="1"/>
        <v>30287.73356</v>
      </c>
      <c r="N165" s="10">
        <f t="shared" si="2"/>
        <v>506689.4482</v>
      </c>
    </row>
    <row r="166">
      <c r="L166" s="6">
        <f t="shared" si="4"/>
        <v>0.165</v>
      </c>
      <c r="M166" s="10">
        <f t="shared" si="1"/>
        <v>30401.27502</v>
      </c>
      <c r="N166" s="10">
        <f t="shared" si="2"/>
        <v>508588.9055</v>
      </c>
    </row>
    <row r="167">
      <c r="L167" s="6">
        <f t="shared" si="4"/>
        <v>0.166</v>
      </c>
      <c r="M167" s="10">
        <f t="shared" si="1"/>
        <v>30514.79493</v>
      </c>
      <c r="N167" s="10">
        <f t="shared" si="2"/>
        <v>510488.0024</v>
      </c>
    </row>
    <row r="168">
      <c r="L168" s="6">
        <f t="shared" si="4"/>
        <v>0.167</v>
      </c>
      <c r="M168" s="10">
        <f t="shared" si="1"/>
        <v>30628.2952</v>
      </c>
      <c r="N168" s="10">
        <f t="shared" si="2"/>
        <v>512386.7709</v>
      </c>
    </row>
    <row r="169">
      <c r="L169" s="6">
        <f t="shared" si="4"/>
        <v>0.168</v>
      </c>
      <c r="M169" s="10">
        <f t="shared" si="1"/>
        <v>30741.77775</v>
      </c>
      <c r="N169" s="10">
        <f t="shared" si="2"/>
        <v>514285.2426</v>
      </c>
    </row>
    <row r="170">
      <c r="L170" s="6">
        <f t="shared" si="4"/>
        <v>0.169</v>
      </c>
      <c r="M170" s="10">
        <f t="shared" si="1"/>
        <v>30855.24443</v>
      </c>
      <c r="N170" s="10">
        <f t="shared" si="2"/>
        <v>516183.4491</v>
      </c>
    </row>
    <row r="171">
      <c r="L171" s="6">
        <f t="shared" si="4"/>
        <v>0.17</v>
      </c>
      <c r="M171" s="10">
        <f t="shared" si="1"/>
        <v>30968.69711</v>
      </c>
      <c r="N171" s="10">
        <f t="shared" si="2"/>
        <v>518081.4212</v>
      </c>
    </row>
    <row r="172">
      <c r="L172" s="6">
        <f t="shared" si="4"/>
        <v>0.171</v>
      </c>
      <c r="M172" s="10">
        <f t="shared" si="1"/>
        <v>31082.1376</v>
      </c>
      <c r="N172" s="10">
        <f t="shared" si="2"/>
        <v>519979.1895</v>
      </c>
    </row>
    <row r="173">
      <c r="L173" s="6">
        <f t="shared" si="4"/>
        <v>0.172</v>
      </c>
      <c r="M173" s="10">
        <f t="shared" si="1"/>
        <v>31195.56772</v>
      </c>
      <c r="N173" s="10">
        <f t="shared" si="2"/>
        <v>521876.7843</v>
      </c>
    </row>
    <row r="174">
      <c r="L174" s="6">
        <f t="shared" si="4"/>
        <v>0.173</v>
      </c>
      <c r="M174" s="10">
        <f t="shared" si="1"/>
        <v>31308.98926</v>
      </c>
      <c r="N174" s="10">
        <f t="shared" si="2"/>
        <v>523774.2355</v>
      </c>
    </row>
    <row r="175">
      <c r="L175" s="6">
        <f t="shared" si="4"/>
        <v>0.174</v>
      </c>
      <c r="M175" s="10">
        <f t="shared" si="1"/>
        <v>31422.40398</v>
      </c>
      <c r="N175" s="10">
        <f t="shared" si="2"/>
        <v>525671.5726</v>
      </c>
    </row>
    <row r="176">
      <c r="L176" s="6">
        <f t="shared" si="4"/>
        <v>0.175</v>
      </c>
      <c r="M176" s="10">
        <f t="shared" si="1"/>
        <v>31535.81363</v>
      </c>
      <c r="N176" s="10">
        <f t="shared" si="2"/>
        <v>527568.825</v>
      </c>
    </row>
    <row r="177">
      <c r="L177" s="6">
        <f t="shared" si="4"/>
        <v>0.176</v>
      </c>
      <c r="M177" s="10">
        <f t="shared" si="1"/>
        <v>31649.21994</v>
      </c>
      <c r="N177" s="10">
        <f t="shared" si="2"/>
        <v>529466.0214</v>
      </c>
    </row>
    <row r="178">
      <c r="L178" s="6">
        <f t="shared" si="4"/>
        <v>0.177</v>
      </c>
      <c r="M178" s="10">
        <f t="shared" si="1"/>
        <v>31762.62462</v>
      </c>
      <c r="N178" s="10">
        <f t="shared" si="2"/>
        <v>531363.1906</v>
      </c>
    </row>
    <row r="179">
      <c r="L179" s="6">
        <f t="shared" si="4"/>
        <v>0.178</v>
      </c>
      <c r="M179" s="10">
        <f t="shared" si="1"/>
        <v>31876.02936</v>
      </c>
      <c r="N179" s="10">
        <f t="shared" si="2"/>
        <v>533260.3608</v>
      </c>
    </row>
    <row r="180">
      <c r="L180" s="6">
        <f t="shared" si="4"/>
        <v>0.179</v>
      </c>
      <c r="M180" s="10">
        <f t="shared" si="1"/>
        <v>31989.43584</v>
      </c>
      <c r="N180" s="10">
        <f t="shared" si="2"/>
        <v>535157.56</v>
      </c>
    </row>
    <row r="181">
      <c r="L181" s="6">
        <f t="shared" si="4"/>
        <v>0.18</v>
      </c>
      <c r="M181" s="10">
        <f t="shared" si="1"/>
        <v>32102.8457</v>
      </c>
      <c r="N181" s="10">
        <f t="shared" si="2"/>
        <v>537054.8159</v>
      </c>
    </row>
    <row r="182">
      <c r="L182" s="6">
        <f t="shared" si="4"/>
        <v>0.181</v>
      </c>
      <c r="M182" s="10">
        <f t="shared" si="1"/>
        <v>32216.26059</v>
      </c>
      <c r="N182" s="10">
        <f t="shared" si="2"/>
        <v>538952.1559</v>
      </c>
    </row>
    <row r="183">
      <c r="L183" s="6">
        <f t="shared" si="4"/>
        <v>0.182</v>
      </c>
      <c r="M183" s="10">
        <f t="shared" si="1"/>
        <v>32329.68213</v>
      </c>
      <c r="N183" s="10">
        <f t="shared" si="2"/>
        <v>540849.6071</v>
      </c>
    </row>
    <row r="184">
      <c r="L184" s="6">
        <f t="shared" si="4"/>
        <v>0.183</v>
      </c>
      <c r="M184" s="10">
        <f t="shared" si="1"/>
        <v>32443.11192</v>
      </c>
      <c r="N184" s="10">
        <f t="shared" si="2"/>
        <v>542747.1964</v>
      </c>
    </row>
    <row r="185">
      <c r="L185" s="6">
        <f t="shared" si="4"/>
        <v>0.184</v>
      </c>
      <c r="M185" s="10">
        <f t="shared" si="1"/>
        <v>32556.55156</v>
      </c>
      <c r="N185" s="10">
        <f t="shared" si="2"/>
        <v>544644.9504</v>
      </c>
    </row>
    <row r="186">
      <c r="L186" s="6">
        <f t="shared" si="4"/>
        <v>0.185</v>
      </c>
      <c r="M186" s="10">
        <f t="shared" si="1"/>
        <v>32670.00261</v>
      </c>
      <c r="N186" s="10">
        <f t="shared" si="2"/>
        <v>546542.8953</v>
      </c>
    </row>
    <row r="187">
      <c r="L187" s="6">
        <f t="shared" si="4"/>
        <v>0.186</v>
      </c>
      <c r="M187" s="10">
        <f t="shared" si="1"/>
        <v>32783.46663</v>
      </c>
      <c r="N187" s="10">
        <f t="shared" si="2"/>
        <v>548441.0573</v>
      </c>
    </row>
    <row r="188">
      <c r="L188" s="6">
        <f t="shared" si="4"/>
        <v>0.187</v>
      </c>
      <c r="M188" s="10">
        <f t="shared" si="1"/>
        <v>32896.94518</v>
      </c>
      <c r="N188" s="10">
        <f t="shared" si="2"/>
        <v>550339.4622</v>
      </c>
    </row>
    <row r="189">
      <c r="L189" s="6">
        <f t="shared" si="4"/>
        <v>0.188</v>
      </c>
      <c r="M189" s="10">
        <f t="shared" si="1"/>
        <v>33010.43976</v>
      </c>
      <c r="N189" s="10">
        <f t="shared" si="2"/>
        <v>552238.1354</v>
      </c>
    </row>
    <row r="190">
      <c r="L190" s="6">
        <f t="shared" si="4"/>
        <v>0.189</v>
      </c>
      <c r="M190" s="10">
        <f t="shared" si="1"/>
        <v>33123.95191</v>
      </c>
      <c r="N190" s="10">
        <f t="shared" si="2"/>
        <v>554137.1024</v>
      </c>
    </row>
    <row r="191">
      <c r="L191" s="6">
        <f t="shared" si="4"/>
        <v>0.19</v>
      </c>
      <c r="M191" s="10">
        <f t="shared" si="1"/>
        <v>33237.48312</v>
      </c>
      <c r="N191" s="10">
        <f t="shared" si="2"/>
        <v>556036.3883</v>
      </c>
    </row>
    <row r="192">
      <c r="L192" s="6">
        <f t="shared" si="4"/>
        <v>0.191</v>
      </c>
      <c r="M192" s="10">
        <f t="shared" si="1"/>
        <v>33351.03486</v>
      </c>
      <c r="N192" s="10">
        <f t="shared" si="2"/>
        <v>557936.0178</v>
      </c>
    </row>
    <row r="193">
      <c r="L193" s="6">
        <f t="shared" si="4"/>
        <v>0.192</v>
      </c>
      <c r="M193" s="10">
        <f t="shared" si="1"/>
        <v>33464.60863</v>
      </c>
      <c r="N193" s="10">
        <f t="shared" si="2"/>
        <v>559836.0156</v>
      </c>
    </row>
    <row r="194">
      <c r="L194" s="6">
        <f t="shared" si="4"/>
        <v>0.193</v>
      </c>
      <c r="M194" s="10">
        <f t="shared" si="1"/>
        <v>33578.20587</v>
      </c>
      <c r="N194" s="10">
        <f t="shared" si="2"/>
        <v>561736.4062</v>
      </c>
    </row>
    <row r="195">
      <c r="L195" s="6">
        <f t="shared" si="4"/>
        <v>0.194</v>
      </c>
      <c r="M195" s="10">
        <f t="shared" si="1"/>
        <v>33691.82803</v>
      </c>
      <c r="N195" s="10">
        <f t="shared" si="2"/>
        <v>563637.2137</v>
      </c>
    </row>
    <row r="196">
      <c r="L196" s="6">
        <f t="shared" si="4"/>
        <v>0.195</v>
      </c>
      <c r="M196" s="10">
        <f t="shared" si="1"/>
        <v>33805.47655</v>
      </c>
      <c r="N196" s="10">
        <f t="shared" si="2"/>
        <v>565538.4621</v>
      </c>
    </row>
    <row r="197">
      <c r="L197" s="6">
        <f t="shared" si="4"/>
        <v>0.196</v>
      </c>
      <c r="M197" s="10">
        <f t="shared" si="1"/>
        <v>33919.15285</v>
      </c>
      <c r="N197" s="10">
        <f t="shared" si="2"/>
        <v>567440.1753</v>
      </c>
    </row>
    <row r="198">
      <c r="L198" s="6">
        <f t="shared" si="4"/>
        <v>0.197</v>
      </c>
      <c r="M198" s="10">
        <f t="shared" si="1"/>
        <v>34032.85834</v>
      </c>
      <c r="N198" s="10">
        <f t="shared" si="2"/>
        <v>569342.3767</v>
      </c>
    </row>
    <row r="199">
      <c r="L199" s="6">
        <f t="shared" si="4"/>
        <v>0.198</v>
      </c>
      <c r="M199" s="10">
        <f t="shared" si="1"/>
        <v>34146.5944</v>
      </c>
      <c r="N199" s="10">
        <f t="shared" si="2"/>
        <v>571245.0897</v>
      </c>
    </row>
    <row r="200">
      <c r="L200" s="6">
        <f t="shared" si="4"/>
        <v>0.199</v>
      </c>
      <c r="M200" s="10">
        <f t="shared" si="1"/>
        <v>34260.36245</v>
      </c>
      <c r="N200" s="10">
        <f t="shared" si="2"/>
        <v>573148.3377</v>
      </c>
    </row>
    <row r="201">
      <c r="L201" s="6">
        <f t="shared" si="4"/>
        <v>0.2</v>
      </c>
      <c r="M201" s="10">
        <f t="shared" si="1"/>
        <v>34374.16383</v>
      </c>
      <c r="N201" s="10">
        <f t="shared" si="2"/>
        <v>575052.1434</v>
      </c>
    </row>
    <row r="202">
      <c r="L202" s="6">
        <f t="shared" si="4"/>
        <v>0.201</v>
      </c>
      <c r="M202" s="10">
        <f t="shared" si="1"/>
        <v>34487.99993</v>
      </c>
      <c r="N202" s="10">
        <f t="shared" si="2"/>
        <v>576956.5298</v>
      </c>
    </row>
    <row r="203">
      <c r="L203" s="6">
        <f t="shared" si="4"/>
        <v>0.202</v>
      </c>
      <c r="M203" s="10">
        <f t="shared" si="1"/>
        <v>34601.87209</v>
      </c>
      <c r="N203" s="10">
        <f t="shared" si="2"/>
        <v>578861.5196</v>
      </c>
    </row>
    <row r="204">
      <c r="L204" s="6">
        <f t="shared" si="4"/>
        <v>0.203</v>
      </c>
      <c r="M204" s="10">
        <f t="shared" si="1"/>
        <v>34715.78165</v>
      </c>
      <c r="N204" s="10">
        <f t="shared" si="2"/>
        <v>580767.1351</v>
      </c>
    </row>
    <row r="205">
      <c r="L205" s="6">
        <f t="shared" si="4"/>
        <v>0.204</v>
      </c>
      <c r="M205" s="10">
        <f t="shared" si="1"/>
        <v>34829.72995</v>
      </c>
      <c r="N205" s="10">
        <f t="shared" si="2"/>
        <v>582673.3986</v>
      </c>
    </row>
    <row r="206">
      <c r="L206" s="6">
        <f t="shared" si="4"/>
        <v>0.205</v>
      </c>
      <c r="M206" s="10">
        <f t="shared" si="1"/>
        <v>34943.71831</v>
      </c>
      <c r="N206" s="10">
        <f t="shared" si="2"/>
        <v>584580.3323</v>
      </c>
    </row>
    <row r="207">
      <c r="L207" s="6">
        <f t="shared" si="4"/>
        <v>0.206</v>
      </c>
      <c r="M207" s="10">
        <f t="shared" si="1"/>
        <v>35057.74805</v>
      </c>
      <c r="N207" s="10">
        <f t="shared" si="2"/>
        <v>586487.9581</v>
      </c>
    </row>
    <row r="208">
      <c r="L208" s="6">
        <f t="shared" si="4"/>
        <v>0.207</v>
      </c>
      <c r="M208" s="10">
        <f t="shared" si="1"/>
        <v>35171.82046</v>
      </c>
      <c r="N208" s="10">
        <f t="shared" si="2"/>
        <v>588396.2979</v>
      </c>
    </row>
    <row r="209">
      <c r="L209" s="6">
        <f t="shared" si="4"/>
        <v>0.208</v>
      </c>
      <c r="M209" s="10">
        <f t="shared" si="1"/>
        <v>35285.93683</v>
      </c>
      <c r="N209" s="10">
        <f t="shared" si="2"/>
        <v>590305.3731</v>
      </c>
    </row>
    <row r="210">
      <c r="L210" s="6">
        <f t="shared" si="4"/>
        <v>0.209</v>
      </c>
      <c r="M210" s="10">
        <f t="shared" si="1"/>
        <v>35400.09846</v>
      </c>
      <c r="N210" s="10">
        <f t="shared" si="2"/>
        <v>592215.2054</v>
      </c>
    </row>
    <row r="211">
      <c r="L211" s="6">
        <f t="shared" si="4"/>
        <v>0.21</v>
      </c>
      <c r="M211" s="10">
        <f t="shared" si="1"/>
        <v>35514.30661</v>
      </c>
      <c r="N211" s="10">
        <f t="shared" si="2"/>
        <v>594125.8161</v>
      </c>
    </row>
    <row r="212">
      <c r="L212" s="6">
        <f t="shared" si="4"/>
        <v>0.211</v>
      </c>
      <c r="M212" s="10">
        <f t="shared" si="1"/>
        <v>35628.56255</v>
      </c>
      <c r="N212" s="10">
        <f t="shared" si="2"/>
        <v>596037.2262</v>
      </c>
    </row>
    <row r="213">
      <c r="L213" s="6">
        <f t="shared" si="4"/>
        <v>0.212</v>
      </c>
      <c r="M213" s="10">
        <f t="shared" si="1"/>
        <v>35742.86755</v>
      </c>
      <c r="N213" s="10">
        <f t="shared" si="2"/>
        <v>597949.4569</v>
      </c>
    </row>
    <row r="214">
      <c r="L214" s="6">
        <f t="shared" si="4"/>
        <v>0.213</v>
      </c>
      <c r="M214" s="10">
        <f t="shared" si="1"/>
        <v>35857.22284</v>
      </c>
      <c r="N214" s="10">
        <f t="shared" si="2"/>
        <v>599862.5291</v>
      </c>
    </row>
    <row r="215">
      <c r="L215" s="6">
        <f t="shared" si="4"/>
        <v>0.214</v>
      </c>
      <c r="M215" s="10">
        <f t="shared" si="1"/>
        <v>35971.62967</v>
      </c>
      <c r="N215" s="10">
        <f t="shared" si="2"/>
        <v>601776.4634</v>
      </c>
    </row>
    <row r="216">
      <c r="L216" s="6">
        <f t="shared" si="4"/>
        <v>0.215</v>
      </c>
      <c r="M216" s="10">
        <f t="shared" si="1"/>
        <v>36086.08927</v>
      </c>
      <c r="N216" s="10">
        <f t="shared" si="2"/>
        <v>603691.2806</v>
      </c>
    </row>
    <row r="217">
      <c r="L217" s="6">
        <f t="shared" si="4"/>
        <v>0.216</v>
      </c>
      <c r="M217" s="10">
        <f t="shared" si="1"/>
        <v>36200.60287</v>
      </c>
      <c r="N217" s="10">
        <f t="shared" si="2"/>
        <v>605607.0011</v>
      </c>
    </row>
    <row r="218">
      <c r="L218" s="6">
        <f t="shared" si="4"/>
        <v>0.217</v>
      </c>
      <c r="M218" s="10">
        <f t="shared" si="1"/>
        <v>36315.17168</v>
      </c>
      <c r="N218" s="10">
        <f t="shared" si="2"/>
        <v>607523.6452</v>
      </c>
    </row>
    <row r="219">
      <c r="L219" s="6">
        <f t="shared" si="4"/>
        <v>0.218</v>
      </c>
      <c r="M219" s="10">
        <f t="shared" si="1"/>
        <v>36429.79691</v>
      </c>
      <c r="N219" s="10">
        <f t="shared" si="2"/>
        <v>609441.2332</v>
      </c>
    </row>
    <row r="220">
      <c r="L220" s="6">
        <f t="shared" si="4"/>
        <v>0.219</v>
      </c>
      <c r="M220" s="10">
        <f t="shared" si="1"/>
        <v>36544.47976</v>
      </c>
      <c r="N220" s="10">
        <f t="shared" si="2"/>
        <v>611359.7852</v>
      </c>
    </row>
    <row r="221">
      <c r="L221" s="6">
        <f t="shared" si="4"/>
        <v>0.22</v>
      </c>
      <c r="M221" s="10">
        <f t="shared" si="1"/>
        <v>36659.22143</v>
      </c>
      <c r="N221" s="10">
        <f t="shared" si="2"/>
        <v>613279.3212</v>
      </c>
    </row>
    <row r="222">
      <c r="L222" s="6">
        <f t="shared" si="4"/>
        <v>0.221</v>
      </c>
      <c r="M222" s="10">
        <f t="shared" si="1"/>
        <v>36774.02311</v>
      </c>
      <c r="N222" s="10">
        <f t="shared" si="2"/>
        <v>615199.861</v>
      </c>
    </row>
    <row r="223">
      <c r="L223" s="6">
        <f t="shared" si="4"/>
        <v>0.222</v>
      </c>
      <c r="M223" s="10">
        <f t="shared" si="1"/>
        <v>36888.88598</v>
      </c>
      <c r="N223" s="10">
        <f t="shared" si="2"/>
        <v>617121.4245</v>
      </c>
    </row>
    <row r="224">
      <c r="L224" s="6">
        <f t="shared" si="4"/>
        <v>0.223</v>
      </c>
      <c r="M224" s="10">
        <f t="shared" si="1"/>
        <v>37003.8112</v>
      </c>
      <c r="N224" s="10">
        <f t="shared" si="2"/>
        <v>619044.0311</v>
      </c>
    </row>
    <row r="225">
      <c r="L225" s="6">
        <f t="shared" si="4"/>
        <v>0.224</v>
      </c>
      <c r="M225" s="10">
        <f t="shared" si="1"/>
        <v>37118.79995</v>
      </c>
      <c r="N225" s="10">
        <f t="shared" si="2"/>
        <v>620967.7005</v>
      </c>
    </row>
    <row r="226">
      <c r="L226" s="6">
        <f t="shared" si="4"/>
        <v>0.225</v>
      </c>
      <c r="M226" s="10">
        <f t="shared" si="1"/>
        <v>37233.85339</v>
      </c>
      <c r="N226" s="10">
        <f t="shared" si="2"/>
        <v>622892.4521</v>
      </c>
    </row>
    <row r="227">
      <c r="L227" s="6">
        <f t="shared" si="4"/>
        <v>0.226</v>
      </c>
      <c r="M227" s="10">
        <f t="shared" si="1"/>
        <v>37348.97267</v>
      </c>
      <c r="N227" s="10">
        <f t="shared" si="2"/>
        <v>624818.3052</v>
      </c>
    </row>
    <row r="228">
      <c r="L228" s="6">
        <f t="shared" si="4"/>
        <v>0.227</v>
      </c>
      <c r="M228" s="10">
        <f t="shared" si="1"/>
        <v>37464.15894</v>
      </c>
      <c r="N228" s="10">
        <f t="shared" si="2"/>
        <v>626745.2789</v>
      </c>
    </row>
    <row r="229">
      <c r="L229" s="6">
        <f t="shared" si="4"/>
        <v>0.228</v>
      </c>
      <c r="M229" s="10">
        <f t="shared" si="1"/>
        <v>37579.41334</v>
      </c>
      <c r="N229" s="10">
        <f t="shared" si="2"/>
        <v>628673.3925</v>
      </c>
    </row>
    <row r="230">
      <c r="L230" s="6">
        <f t="shared" si="4"/>
        <v>0.229</v>
      </c>
      <c r="M230" s="10">
        <f t="shared" si="1"/>
        <v>37694.73701</v>
      </c>
      <c r="N230" s="10">
        <f t="shared" si="2"/>
        <v>630602.6649</v>
      </c>
    </row>
    <row r="231">
      <c r="L231" s="6">
        <f t="shared" si="4"/>
        <v>0.23</v>
      </c>
      <c r="M231" s="10">
        <f t="shared" si="1"/>
        <v>37810.13109</v>
      </c>
      <c r="N231" s="10">
        <f t="shared" si="2"/>
        <v>632533.115</v>
      </c>
    </row>
    <row r="232">
      <c r="L232" s="6">
        <f t="shared" si="4"/>
        <v>0.231</v>
      </c>
      <c r="M232" s="10">
        <f t="shared" si="1"/>
        <v>37925.59668</v>
      </c>
      <c r="N232" s="10">
        <f t="shared" si="2"/>
        <v>634464.7617</v>
      </c>
    </row>
    <row r="233">
      <c r="L233" s="6">
        <f t="shared" si="4"/>
        <v>0.232</v>
      </c>
      <c r="M233" s="10">
        <f t="shared" si="1"/>
        <v>38041.13492</v>
      </c>
      <c r="N233" s="10">
        <f t="shared" si="2"/>
        <v>636397.6236</v>
      </c>
    </row>
    <row r="234">
      <c r="L234" s="6">
        <f t="shared" si="4"/>
        <v>0.233</v>
      </c>
      <c r="M234" s="10">
        <f t="shared" si="1"/>
        <v>38156.74692</v>
      </c>
      <c r="N234" s="10">
        <f t="shared" si="2"/>
        <v>638331.7194</v>
      </c>
    </row>
    <row r="235">
      <c r="L235" s="6">
        <f t="shared" si="4"/>
        <v>0.234</v>
      </c>
      <c r="M235" s="10">
        <f t="shared" si="1"/>
        <v>38272.43379</v>
      </c>
      <c r="N235" s="10">
        <f t="shared" si="2"/>
        <v>640267.0678</v>
      </c>
    </row>
    <row r="236">
      <c r="L236" s="6">
        <f t="shared" si="4"/>
        <v>0.235</v>
      </c>
      <c r="M236" s="10">
        <f t="shared" si="1"/>
        <v>38388.19663</v>
      </c>
      <c r="N236" s="10">
        <f t="shared" si="2"/>
        <v>642203.687</v>
      </c>
    </row>
    <row r="237">
      <c r="L237" s="6">
        <f t="shared" si="4"/>
        <v>0.236</v>
      </c>
      <c r="M237" s="10">
        <f t="shared" si="1"/>
        <v>38504.03653</v>
      </c>
      <c r="N237" s="10">
        <f t="shared" si="2"/>
        <v>644141.5956</v>
      </c>
    </row>
    <row r="238">
      <c r="L238" s="6">
        <f t="shared" si="4"/>
        <v>0.237</v>
      </c>
      <c r="M238" s="10">
        <f t="shared" si="1"/>
        <v>38619.9546</v>
      </c>
      <c r="N238" s="10">
        <f t="shared" si="2"/>
        <v>646080.8118</v>
      </c>
    </row>
    <row r="239">
      <c r="L239" s="6">
        <f t="shared" si="4"/>
        <v>0.238</v>
      </c>
      <c r="M239" s="10">
        <f t="shared" si="1"/>
        <v>38735.95193</v>
      </c>
      <c r="N239" s="10">
        <f t="shared" si="2"/>
        <v>648021.3538</v>
      </c>
    </row>
    <row r="240">
      <c r="L240" s="6">
        <f t="shared" si="4"/>
        <v>0.239</v>
      </c>
      <c r="M240" s="10">
        <f t="shared" si="1"/>
        <v>38852.02959</v>
      </c>
      <c r="N240" s="10">
        <f t="shared" si="2"/>
        <v>649963.2398</v>
      </c>
    </row>
    <row r="241">
      <c r="L241" s="6">
        <f t="shared" si="4"/>
        <v>0.24</v>
      </c>
      <c r="M241" s="10">
        <f t="shared" si="1"/>
        <v>38968.18867</v>
      </c>
      <c r="N241" s="10">
        <f t="shared" si="2"/>
        <v>651906.4879</v>
      </c>
    </row>
    <row r="242">
      <c r="L242" s="6">
        <f t="shared" si="4"/>
        <v>0.241</v>
      </c>
      <c r="M242" s="10">
        <f t="shared" si="1"/>
        <v>39084.43024</v>
      </c>
      <c r="N242" s="10">
        <f t="shared" si="2"/>
        <v>653851.116</v>
      </c>
    </row>
    <row r="243">
      <c r="L243" s="6">
        <f t="shared" si="4"/>
        <v>0.242</v>
      </c>
      <c r="M243" s="10">
        <f t="shared" si="1"/>
        <v>39200.75537</v>
      </c>
      <c r="N243" s="10">
        <f t="shared" si="2"/>
        <v>655797.142</v>
      </c>
    </row>
    <row r="244">
      <c r="L244" s="6">
        <f t="shared" si="4"/>
        <v>0.243</v>
      </c>
      <c r="M244" s="10">
        <f t="shared" si="1"/>
        <v>39317.16514</v>
      </c>
      <c r="N244" s="10">
        <f t="shared" si="2"/>
        <v>657744.5839</v>
      </c>
    </row>
    <row r="245">
      <c r="L245" s="6">
        <f t="shared" si="4"/>
        <v>0.244</v>
      </c>
      <c r="M245" s="10">
        <f t="shared" si="1"/>
        <v>39433.66061</v>
      </c>
      <c r="N245" s="10">
        <f t="shared" si="2"/>
        <v>659693.4595</v>
      </c>
    </row>
    <row r="246">
      <c r="L246" s="6">
        <f t="shared" si="4"/>
        <v>0.245</v>
      </c>
      <c r="M246" s="10">
        <f t="shared" si="1"/>
        <v>39550.24282</v>
      </c>
      <c r="N246" s="10">
        <f t="shared" si="2"/>
        <v>661643.7863</v>
      </c>
    </row>
    <row r="247">
      <c r="L247" s="6">
        <f t="shared" si="4"/>
        <v>0.246</v>
      </c>
      <c r="M247" s="10">
        <f t="shared" si="1"/>
        <v>39666.91285</v>
      </c>
      <c r="N247" s="10">
        <f t="shared" si="2"/>
        <v>663595.5821</v>
      </c>
    </row>
    <row r="248">
      <c r="L248" s="6">
        <f t="shared" si="4"/>
        <v>0.247</v>
      </c>
      <c r="M248" s="10">
        <f t="shared" si="1"/>
        <v>39783.67174</v>
      </c>
      <c r="N248" s="10">
        <f t="shared" si="2"/>
        <v>665548.8645</v>
      </c>
    </row>
    <row r="249">
      <c r="L249" s="6">
        <f t="shared" si="4"/>
        <v>0.248</v>
      </c>
      <c r="M249" s="10">
        <f t="shared" si="1"/>
        <v>39900.52054</v>
      </c>
      <c r="N249" s="10">
        <f t="shared" si="2"/>
        <v>667503.651</v>
      </c>
    </row>
    <row r="250">
      <c r="L250" s="6">
        <f t="shared" si="4"/>
        <v>0.249</v>
      </c>
      <c r="M250" s="10">
        <f t="shared" si="1"/>
        <v>40017.46029</v>
      </c>
      <c r="N250" s="10">
        <f t="shared" si="2"/>
        <v>669459.9591</v>
      </c>
    </row>
    <row r="251">
      <c r="L251" s="6">
        <f t="shared" si="4"/>
        <v>0.25</v>
      </c>
      <c r="M251" s="10">
        <f t="shared" si="1"/>
        <v>40134.49203</v>
      </c>
      <c r="N251" s="10">
        <f t="shared" si="2"/>
        <v>671417.8062</v>
      </c>
    </row>
    <row r="252">
      <c r="L252" s="6">
        <f t="shared" si="4"/>
        <v>0.251</v>
      </c>
      <c r="M252" s="10">
        <f t="shared" si="1"/>
        <v>40251.61681</v>
      </c>
      <c r="N252" s="10">
        <f t="shared" si="2"/>
        <v>673377.2096</v>
      </c>
    </row>
    <row r="253">
      <c r="L253" s="6">
        <f t="shared" si="4"/>
        <v>0.252</v>
      </c>
      <c r="M253" s="10">
        <f t="shared" si="1"/>
        <v>40368.83566</v>
      </c>
      <c r="N253" s="10">
        <f t="shared" si="2"/>
        <v>675338.1867</v>
      </c>
    </row>
    <row r="254">
      <c r="L254" s="6">
        <f t="shared" si="4"/>
        <v>0.253</v>
      </c>
      <c r="M254" s="10">
        <f t="shared" si="1"/>
        <v>40486.1496</v>
      </c>
      <c r="N254" s="10">
        <f t="shared" si="2"/>
        <v>677300.7546</v>
      </c>
    </row>
    <row r="255">
      <c r="L255" s="6">
        <f t="shared" si="4"/>
        <v>0.254</v>
      </c>
      <c r="M255" s="10">
        <f t="shared" si="1"/>
        <v>40603.55966</v>
      </c>
      <c r="N255" s="10">
        <f t="shared" si="2"/>
        <v>679264.9307</v>
      </c>
    </row>
    <row r="256">
      <c r="L256" s="6">
        <f t="shared" si="4"/>
        <v>0.255</v>
      </c>
      <c r="M256" s="10">
        <f t="shared" si="1"/>
        <v>40721.06688</v>
      </c>
      <c r="N256" s="10">
        <f t="shared" si="2"/>
        <v>681230.732</v>
      </c>
    </row>
    <row r="257">
      <c r="L257" s="6">
        <f t="shared" si="4"/>
        <v>0.256</v>
      </c>
      <c r="M257" s="10">
        <f t="shared" si="1"/>
        <v>40838.67226</v>
      </c>
      <c r="N257" s="10">
        <f t="shared" si="2"/>
        <v>683198.1757</v>
      </c>
    </row>
    <row r="258">
      <c r="L258" s="6">
        <f t="shared" si="4"/>
        <v>0.257</v>
      </c>
      <c r="M258" s="10">
        <f t="shared" si="1"/>
        <v>40956.37684</v>
      </c>
      <c r="N258" s="10">
        <f t="shared" si="2"/>
        <v>685167.2787</v>
      </c>
    </row>
    <row r="259">
      <c r="L259" s="6">
        <f t="shared" si="4"/>
        <v>0.258</v>
      </c>
      <c r="M259" s="10">
        <f t="shared" si="1"/>
        <v>41074.18163</v>
      </c>
      <c r="N259" s="10">
        <f t="shared" si="2"/>
        <v>687138.0582</v>
      </c>
    </row>
    <row r="260">
      <c r="L260" s="6">
        <f t="shared" si="4"/>
        <v>0.259</v>
      </c>
      <c r="M260" s="10">
        <f t="shared" si="1"/>
        <v>41192.08764</v>
      </c>
      <c r="N260" s="10">
        <f t="shared" si="2"/>
        <v>689110.531</v>
      </c>
    </row>
    <row r="261">
      <c r="L261" s="6">
        <f t="shared" si="4"/>
        <v>0.26</v>
      </c>
      <c r="M261" s="10">
        <f t="shared" si="1"/>
        <v>41310.09588</v>
      </c>
      <c r="N261" s="10">
        <f t="shared" si="2"/>
        <v>691084.714</v>
      </c>
    </row>
    <row r="262">
      <c r="L262" s="6">
        <f t="shared" si="4"/>
        <v>0.261</v>
      </c>
      <c r="M262" s="10">
        <f t="shared" si="1"/>
        <v>41428.20737</v>
      </c>
      <c r="N262" s="10">
        <f t="shared" si="2"/>
        <v>693060.6243</v>
      </c>
    </row>
    <row r="263">
      <c r="L263" s="6">
        <f t="shared" si="4"/>
        <v>0.262</v>
      </c>
      <c r="M263" s="10">
        <f t="shared" si="1"/>
        <v>41546.4231</v>
      </c>
      <c r="N263" s="10">
        <f t="shared" si="2"/>
        <v>695038.2785</v>
      </c>
    </row>
    <row r="264">
      <c r="L264" s="6">
        <f t="shared" si="4"/>
        <v>0.263</v>
      </c>
      <c r="M264" s="10">
        <f t="shared" si="1"/>
        <v>41664.74409</v>
      </c>
      <c r="N264" s="10">
        <f t="shared" si="2"/>
        <v>697017.6935</v>
      </c>
    </row>
    <row r="265">
      <c r="L265" s="6">
        <f t="shared" si="4"/>
        <v>0.264</v>
      </c>
      <c r="M265" s="10">
        <f t="shared" si="1"/>
        <v>41783.17133</v>
      </c>
      <c r="N265" s="10">
        <f t="shared" si="2"/>
        <v>698998.8861</v>
      </c>
    </row>
    <row r="266">
      <c r="L266" s="6">
        <f t="shared" si="4"/>
        <v>0.265</v>
      </c>
      <c r="M266" s="10">
        <f t="shared" si="1"/>
        <v>41901.70582</v>
      </c>
      <c r="N266" s="10">
        <f t="shared" si="2"/>
        <v>700981.873</v>
      </c>
    </row>
    <row r="267">
      <c r="L267" s="6">
        <f t="shared" si="4"/>
        <v>0.266</v>
      </c>
      <c r="M267" s="10">
        <f t="shared" si="1"/>
        <v>42020.34857</v>
      </c>
      <c r="N267" s="10">
        <f t="shared" si="2"/>
        <v>702966.6708</v>
      </c>
    </row>
    <row r="268">
      <c r="L268" s="6">
        <f t="shared" si="4"/>
        <v>0.267</v>
      </c>
      <c r="M268" s="10">
        <f t="shared" si="1"/>
        <v>42139.10056</v>
      </c>
      <c r="N268" s="10">
        <f t="shared" si="2"/>
        <v>704953.2962</v>
      </c>
    </row>
    <row r="269">
      <c r="L269" s="6">
        <f t="shared" si="4"/>
        <v>0.268</v>
      </c>
      <c r="M269" s="10">
        <f t="shared" si="1"/>
        <v>42257.96279</v>
      </c>
      <c r="N269" s="10">
        <f t="shared" si="2"/>
        <v>706941.7659</v>
      </c>
    </row>
    <row r="270">
      <c r="L270" s="6">
        <f t="shared" si="4"/>
        <v>0.269</v>
      </c>
      <c r="M270" s="10">
        <f t="shared" si="1"/>
        <v>42376.93626</v>
      </c>
      <c r="N270" s="10">
        <f t="shared" si="2"/>
        <v>708932.0964</v>
      </c>
    </row>
    <row r="271">
      <c r="L271" s="6">
        <f t="shared" si="4"/>
        <v>0.27</v>
      </c>
      <c r="M271" s="10">
        <f t="shared" si="1"/>
        <v>42496.02195</v>
      </c>
      <c r="N271" s="10">
        <f t="shared" si="2"/>
        <v>710924.3044</v>
      </c>
    </row>
    <row r="272">
      <c r="L272" s="6">
        <f t="shared" si="4"/>
        <v>0.271</v>
      </c>
      <c r="M272" s="10">
        <f t="shared" si="1"/>
        <v>42615.22085</v>
      </c>
      <c r="N272" s="10">
        <f t="shared" si="2"/>
        <v>712918.4062</v>
      </c>
    </row>
    <row r="273">
      <c r="L273" s="6">
        <f t="shared" si="4"/>
        <v>0.272</v>
      </c>
      <c r="M273" s="10">
        <f t="shared" si="1"/>
        <v>42734.53395</v>
      </c>
      <c r="N273" s="10">
        <f t="shared" si="2"/>
        <v>714914.4185</v>
      </c>
    </row>
    <row r="274">
      <c r="L274" s="6">
        <f t="shared" si="4"/>
        <v>0.273</v>
      </c>
      <c r="M274" s="10">
        <f t="shared" si="1"/>
        <v>42853.96224</v>
      </c>
      <c r="N274" s="10">
        <f t="shared" si="2"/>
        <v>716912.3578</v>
      </c>
    </row>
    <row r="275">
      <c r="L275" s="6">
        <f t="shared" si="4"/>
        <v>0.274</v>
      </c>
      <c r="M275" s="10">
        <f t="shared" si="1"/>
        <v>42973.50669</v>
      </c>
      <c r="N275" s="10">
        <f t="shared" si="2"/>
        <v>718912.2404</v>
      </c>
    </row>
    <row r="276">
      <c r="L276" s="6">
        <f t="shared" si="4"/>
        <v>0.275</v>
      </c>
      <c r="M276" s="10">
        <f t="shared" si="1"/>
        <v>43093.16829</v>
      </c>
      <c r="N276" s="10">
        <f t="shared" si="2"/>
        <v>720914.0828</v>
      </c>
    </row>
    <row r="277">
      <c r="L277" s="6">
        <f t="shared" si="4"/>
        <v>0.276</v>
      </c>
      <c r="M277" s="10">
        <f t="shared" si="1"/>
        <v>43212.94802</v>
      </c>
      <c r="N277" s="10">
        <f t="shared" si="2"/>
        <v>722917.9015</v>
      </c>
    </row>
    <row r="278">
      <c r="L278" s="6">
        <f t="shared" si="4"/>
        <v>0.277</v>
      </c>
      <c r="M278" s="10">
        <f t="shared" si="1"/>
        <v>43332.84686</v>
      </c>
      <c r="N278" s="10">
        <f t="shared" si="2"/>
        <v>724923.7127</v>
      </c>
    </row>
    <row r="279">
      <c r="L279" s="6">
        <f t="shared" si="4"/>
        <v>0.278</v>
      </c>
      <c r="M279" s="10">
        <f t="shared" si="1"/>
        <v>43452.86579</v>
      </c>
      <c r="N279" s="10">
        <f t="shared" si="2"/>
        <v>726931.533</v>
      </c>
    </row>
    <row r="280">
      <c r="L280" s="6">
        <f t="shared" si="4"/>
        <v>0.279</v>
      </c>
      <c r="M280" s="10">
        <f t="shared" si="1"/>
        <v>43573.00578</v>
      </c>
      <c r="N280" s="10">
        <f t="shared" si="2"/>
        <v>728941.3786</v>
      </c>
    </row>
    <row r="281">
      <c r="L281" s="6">
        <f t="shared" si="4"/>
        <v>0.28</v>
      </c>
      <c r="M281" s="10">
        <f t="shared" si="1"/>
        <v>43693.26782</v>
      </c>
      <c r="N281" s="10">
        <f t="shared" si="2"/>
        <v>730953.2658</v>
      </c>
    </row>
    <row r="282">
      <c r="L282" s="6">
        <f t="shared" si="4"/>
        <v>0.281</v>
      </c>
      <c r="M282" s="10">
        <f t="shared" si="1"/>
        <v>43813.65287</v>
      </c>
      <c r="N282" s="10">
        <f t="shared" si="2"/>
        <v>732967.211</v>
      </c>
    </row>
    <row r="283">
      <c r="L283" s="6">
        <f t="shared" si="4"/>
        <v>0.282</v>
      </c>
      <c r="M283" s="10">
        <f t="shared" si="1"/>
        <v>43934.16191</v>
      </c>
      <c r="N283" s="10">
        <f t="shared" si="2"/>
        <v>734983.2305</v>
      </c>
    </row>
    <row r="284">
      <c r="L284" s="6">
        <f t="shared" si="4"/>
        <v>0.283</v>
      </c>
      <c r="M284" s="10">
        <f t="shared" si="1"/>
        <v>44054.79592</v>
      </c>
      <c r="N284" s="10">
        <f t="shared" si="2"/>
        <v>737001.3405</v>
      </c>
    </row>
    <row r="285">
      <c r="L285" s="6">
        <f t="shared" si="4"/>
        <v>0.284</v>
      </c>
      <c r="M285" s="10">
        <f t="shared" si="1"/>
        <v>44175.55587</v>
      </c>
      <c r="N285" s="10">
        <f t="shared" si="2"/>
        <v>739021.5573</v>
      </c>
    </row>
    <row r="286">
      <c r="L286" s="6">
        <f t="shared" si="4"/>
        <v>0.285</v>
      </c>
      <c r="M286" s="10">
        <f t="shared" si="1"/>
        <v>44296.44272</v>
      </c>
      <c r="N286" s="10">
        <f t="shared" si="2"/>
        <v>741043.8972</v>
      </c>
    </row>
    <row r="287">
      <c r="L287" s="6">
        <f t="shared" si="4"/>
        <v>0.286</v>
      </c>
      <c r="M287" s="10">
        <f t="shared" si="1"/>
        <v>44417.45745</v>
      </c>
      <c r="N287" s="10">
        <f t="shared" si="2"/>
        <v>743068.3765</v>
      </c>
    </row>
    <row r="288">
      <c r="L288" s="6">
        <f t="shared" si="4"/>
        <v>0.287</v>
      </c>
      <c r="M288" s="10">
        <f t="shared" si="1"/>
        <v>44538.60103</v>
      </c>
      <c r="N288" s="10">
        <f t="shared" si="2"/>
        <v>745095.0112</v>
      </c>
    </row>
    <row r="289">
      <c r="L289" s="6">
        <f t="shared" si="4"/>
        <v>0.288</v>
      </c>
      <c r="M289" s="10">
        <f t="shared" si="1"/>
        <v>44659.87443</v>
      </c>
      <c r="N289" s="10">
        <f t="shared" si="2"/>
        <v>747123.8178</v>
      </c>
    </row>
    <row r="290">
      <c r="L290" s="6">
        <f t="shared" si="4"/>
        <v>0.289</v>
      </c>
      <c r="M290" s="10">
        <f t="shared" si="1"/>
        <v>44781.27862</v>
      </c>
      <c r="N290" s="10">
        <f t="shared" si="2"/>
        <v>749154.8123</v>
      </c>
    </row>
    <row r="291">
      <c r="L291" s="6">
        <f t="shared" si="4"/>
        <v>0.29</v>
      </c>
      <c r="M291" s="10">
        <f t="shared" si="1"/>
        <v>44902.81456</v>
      </c>
      <c r="N291" s="10">
        <f t="shared" si="2"/>
        <v>751188.011</v>
      </c>
    </row>
    <row r="292">
      <c r="L292" s="6">
        <f t="shared" si="4"/>
        <v>0.291</v>
      </c>
      <c r="M292" s="10">
        <f t="shared" si="1"/>
        <v>45024.48323</v>
      </c>
      <c r="N292" s="10">
        <f t="shared" si="2"/>
        <v>753223.4301</v>
      </c>
    </row>
    <row r="293">
      <c r="L293" s="6">
        <f t="shared" si="4"/>
        <v>0.292</v>
      </c>
      <c r="M293" s="10">
        <f t="shared" si="1"/>
        <v>45146.2856</v>
      </c>
      <c r="N293" s="10">
        <f t="shared" si="2"/>
        <v>755261.0858</v>
      </c>
    </row>
    <row r="294">
      <c r="L294" s="6">
        <f t="shared" si="4"/>
        <v>0.293</v>
      </c>
      <c r="M294" s="10">
        <f t="shared" si="1"/>
        <v>45268.22262</v>
      </c>
      <c r="N294" s="10">
        <f t="shared" si="2"/>
        <v>757300.9943</v>
      </c>
    </row>
    <row r="295">
      <c r="L295" s="6">
        <f t="shared" si="4"/>
        <v>0.294</v>
      </c>
      <c r="M295" s="10">
        <f t="shared" si="1"/>
        <v>45390.29528</v>
      </c>
      <c r="N295" s="10">
        <f t="shared" si="2"/>
        <v>759343.1717</v>
      </c>
    </row>
    <row r="296">
      <c r="L296" s="6">
        <f t="shared" si="4"/>
        <v>0.295</v>
      </c>
      <c r="M296" s="10">
        <f t="shared" si="1"/>
        <v>45512.50452</v>
      </c>
      <c r="N296" s="10">
        <f t="shared" si="2"/>
        <v>761387.6342</v>
      </c>
    </row>
    <row r="297">
      <c r="L297" s="6">
        <f t="shared" si="4"/>
        <v>0.296</v>
      </c>
      <c r="M297" s="10">
        <f t="shared" si="1"/>
        <v>45634.85134</v>
      </c>
      <c r="N297" s="10">
        <f t="shared" si="2"/>
        <v>763434.3981</v>
      </c>
    </row>
    <row r="298">
      <c r="L298" s="6">
        <f t="shared" si="4"/>
        <v>0.297</v>
      </c>
      <c r="M298" s="10">
        <f t="shared" si="1"/>
        <v>45757.33668</v>
      </c>
      <c r="N298" s="10">
        <f t="shared" si="2"/>
        <v>765483.4794</v>
      </c>
    </row>
    <row r="299">
      <c r="L299" s="6">
        <f t="shared" si="4"/>
        <v>0.298</v>
      </c>
      <c r="M299" s="10">
        <f t="shared" si="1"/>
        <v>45879.96151</v>
      </c>
      <c r="N299" s="10">
        <f t="shared" si="2"/>
        <v>767534.8945</v>
      </c>
    </row>
    <row r="300">
      <c r="L300" s="6">
        <f t="shared" si="4"/>
        <v>0.299</v>
      </c>
      <c r="M300" s="10">
        <f t="shared" si="1"/>
        <v>46002.72682</v>
      </c>
      <c r="N300" s="10">
        <f t="shared" si="2"/>
        <v>769588.6593</v>
      </c>
    </row>
    <row r="301">
      <c r="L301" s="6">
        <f t="shared" si="4"/>
        <v>0.3</v>
      </c>
      <c r="M301" s="10">
        <f t="shared" si="1"/>
        <v>46125.63355</v>
      </c>
      <c r="N301" s="10">
        <f t="shared" si="2"/>
        <v>771644.7902</v>
      </c>
    </row>
    <row r="302">
      <c r="L302" s="6">
        <f t="shared" si="4"/>
        <v>0.301</v>
      </c>
      <c r="M302" s="10">
        <f t="shared" si="1"/>
        <v>46248.68268</v>
      </c>
      <c r="N302" s="10">
        <f t="shared" si="2"/>
        <v>773703.3033</v>
      </c>
    </row>
    <row r="303">
      <c r="L303" s="6">
        <f t="shared" si="4"/>
        <v>0.302</v>
      </c>
      <c r="M303" s="10">
        <f t="shared" si="1"/>
        <v>46371.87517</v>
      </c>
      <c r="N303" s="10">
        <f t="shared" si="2"/>
        <v>775764.2148</v>
      </c>
    </row>
    <row r="304">
      <c r="L304" s="6">
        <f t="shared" si="4"/>
        <v>0.303</v>
      </c>
      <c r="M304" s="10">
        <f t="shared" si="1"/>
        <v>46495.212</v>
      </c>
      <c r="N304" s="10">
        <f t="shared" si="2"/>
        <v>777827.5408</v>
      </c>
    </row>
    <row r="305">
      <c r="L305" s="6">
        <f t="shared" si="4"/>
        <v>0.304</v>
      </c>
      <c r="M305" s="10">
        <f t="shared" si="1"/>
        <v>46618.69414</v>
      </c>
      <c r="N305" s="10">
        <f t="shared" si="2"/>
        <v>779893.2977</v>
      </c>
    </row>
    <row r="306">
      <c r="L306" s="6">
        <f t="shared" si="4"/>
        <v>0.305</v>
      </c>
      <c r="M306" s="10">
        <f t="shared" si="1"/>
        <v>46742.32254</v>
      </c>
      <c r="N306" s="10">
        <f t="shared" si="2"/>
        <v>781961.5015</v>
      </c>
    </row>
    <row r="307">
      <c r="L307" s="6">
        <f t="shared" si="4"/>
        <v>0.306</v>
      </c>
      <c r="M307" s="10">
        <f t="shared" si="1"/>
        <v>46866.09818</v>
      </c>
      <c r="N307" s="10">
        <f t="shared" si="2"/>
        <v>784032.1685</v>
      </c>
    </row>
    <row r="308">
      <c r="L308" s="6">
        <f t="shared" si="4"/>
        <v>0.307</v>
      </c>
      <c r="M308" s="10">
        <f t="shared" si="1"/>
        <v>46990.02202</v>
      </c>
      <c r="N308" s="10">
        <f t="shared" si="2"/>
        <v>786105.3149</v>
      </c>
    </row>
    <row r="309">
      <c r="L309" s="6">
        <f t="shared" si="4"/>
        <v>0.308</v>
      </c>
      <c r="M309" s="10">
        <f t="shared" si="1"/>
        <v>47114.09505</v>
      </c>
      <c r="N309" s="10">
        <f t="shared" si="2"/>
        <v>788180.957</v>
      </c>
    </row>
    <row r="310">
      <c r="L310" s="6">
        <f t="shared" si="4"/>
        <v>0.309</v>
      </c>
      <c r="M310" s="10">
        <f t="shared" si="1"/>
        <v>47238.31822</v>
      </c>
      <c r="N310" s="10">
        <f t="shared" si="2"/>
        <v>790259.1109</v>
      </c>
    </row>
    <row r="311">
      <c r="L311" s="6">
        <f t="shared" si="4"/>
        <v>0.31</v>
      </c>
      <c r="M311" s="10">
        <f t="shared" si="1"/>
        <v>47362.69252</v>
      </c>
      <c r="N311" s="10">
        <f t="shared" si="2"/>
        <v>792339.7929</v>
      </c>
    </row>
    <row r="312">
      <c r="L312" s="6">
        <f t="shared" si="4"/>
        <v>0.311</v>
      </c>
      <c r="M312" s="10">
        <f t="shared" si="1"/>
        <v>47487.2189</v>
      </c>
      <c r="N312" s="10">
        <f t="shared" si="2"/>
        <v>794423.0192</v>
      </c>
    </row>
    <row r="313">
      <c r="L313" s="6">
        <f t="shared" si="4"/>
        <v>0.312</v>
      </c>
      <c r="M313" s="10">
        <f t="shared" si="1"/>
        <v>47611.89835</v>
      </c>
      <c r="N313" s="10">
        <f t="shared" si="2"/>
        <v>796508.8062</v>
      </c>
    </row>
    <row r="314">
      <c r="L314" s="6">
        <f t="shared" si="4"/>
        <v>0.313</v>
      </c>
      <c r="M314" s="10">
        <f t="shared" si="1"/>
        <v>47736.73183</v>
      </c>
      <c r="N314" s="10">
        <f t="shared" si="2"/>
        <v>798597.1701</v>
      </c>
    </row>
    <row r="315">
      <c r="L315" s="6">
        <f t="shared" si="4"/>
        <v>0.314</v>
      </c>
      <c r="M315" s="10">
        <f t="shared" si="1"/>
        <v>47861.72033</v>
      </c>
      <c r="N315" s="10">
        <f t="shared" si="2"/>
        <v>800688.1272</v>
      </c>
    </row>
    <row r="316">
      <c r="L316" s="6">
        <f t="shared" si="4"/>
        <v>0.315</v>
      </c>
      <c r="M316" s="10">
        <f t="shared" si="1"/>
        <v>47986.86481</v>
      </c>
      <c r="N316" s="10">
        <f t="shared" si="2"/>
        <v>802781.6938</v>
      </c>
    </row>
    <row r="317">
      <c r="L317" s="6">
        <f t="shared" si="4"/>
        <v>0.316</v>
      </c>
      <c r="M317" s="10">
        <f t="shared" si="1"/>
        <v>48112.16625</v>
      </c>
      <c r="N317" s="10">
        <f t="shared" si="2"/>
        <v>804877.8862</v>
      </c>
    </row>
    <row r="318">
      <c r="L318" s="6">
        <f t="shared" si="4"/>
        <v>0.317</v>
      </c>
      <c r="M318" s="10">
        <f t="shared" si="1"/>
        <v>48237.62563</v>
      </c>
      <c r="N318" s="10">
        <f t="shared" si="2"/>
        <v>806976.7208</v>
      </c>
    </row>
    <row r="319">
      <c r="L319" s="6">
        <f t="shared" si="4"/>
        <v>0.318</v>
      </c>
      <c r="M319" s="10">
        <f t="shared" si="1"/>
        <v>48363.24392</v>
      </c>
      <c r="N319" s="10">
        <f t="shared" si="2"/>
        <v>809078.2139</v>
      </c>
    </row>
    <row r="320">
      <c r="L320" s="6">
        <f t="shared" si="4"/>
        <v>0.319</v>
      </c>
      <c r="M320" s="10">
        <f t="shared" si="1"/>
        <v>48489.02211</v>
      </c>
      <c r="N320" s="10">
        <f t="shared" si="2"/>
        <v>811182.3819</v>
      </c>
    </row>
    <row r="321">
      <c r="L321" s="6">
        <f t="shared" si="4"/>
        <v>0.32</v>
      </c>
      <c r="M321" s="10">
        <f t="shared" si="1"/>
        <v>48614.96117</v>
      </c>
      <c r="N321" s="10">
        <f t="shared" si="2"/>
        <v>813289.2412</v>
      </c>
    </row>
    <row r="322">
      <c r="L322" s="6">
        <f t="shared" si="4"/>
        <v>0.321</v>
      </c>
      <c r="M322" s="10">
        <f t="shared" si="1"/>
        <v>48741.06208</v>
      </c>
      <c r="N322" s="10">
        <f t="shared" si="2"/>
        <v>815398.8082</v>
      </c>
    </row>
    <row r="323">
      <c r="L323" s="6">
        <f t="shared" si="4"/>
        <v>0.322</v>
      </c>
      <c r="M323" s="10">
        <f t="shared" si="1"/>
        <v>48867.32584</v>
      </c>
      <c r="N323" s="10">
        <f t="shared" si="2"/>
        <v>817511.0994</v>
      </c>
    </row>
    <row r="324">
      <c r="L324" s="6">
        <f t="shared" si="4"/>
        <v>0.323</v>
      </c>
      <c r="M324" s="10">
        <f t="shared" si="1"/>
        <v>48993.75341</v>
      </c>
      <c r="N324" s="10">
        <f t="shared" si="2"/>
        <v>819626.1311</v>
      </c>
    </row>
    <row r="325">
      <c r="L325" s="6">
        <f t="shared" si="4"/>
        <v>0.324</v>
      </c>
      <c r="M325" s="10">
        <f t="shared" si="1"/>
        <v>49120.34579</v>
      </c>
      <c r="N325" s="10">
        <f t="shared" si="2"/>
        <v>821743.9199</v>
      </c>
    </row>
    <row r="326">
      <c r="L326" s="6">
        <f t="shared" si="4"/>
        <v>0.325</v>
      </c>
      <c r="M326" s="10">
        <f t="shared" si="1"/>
        <v>49247.10396</v>
      </c>
      <c r="N326" s="10">
        <f t="shared" si="2"/>
        <v>823864.4823</v>
      </c>
    </row>
    <row r="327">
      <c r="L327" s="6">
        <f t="shared" si="4"/>
        <v>0.326</v>
      </c>
      <c r="M327" s="10">
        <f t="shared" si="1"/>
        <v>49374.02891</v>
      </c>
      <c r="N327" s="10">
        <f t="shared" si="2"/>
        <v>825987.8347</v>
      </c>
    </row>
    <row r="328">
      <c r="L328" s="6">
        <f t="shared" si="4"/>
        <v>0.327</v>
      </c>
      <c r="M328" s="10">
        <f t="shared" si="1"/>
        <v>49501.12163</v>
      </c>
      <c r="N328" s="10">
        <f t="shared" si="2"/>
        <v>828113.9938</v>
      </c>
    </row>
    <row r="329">
      <c r="L329" s="6">
        <f t="shared" si="4"/>
        <v>0.328</v>
      </c>
      <c r="M329" s="10">
        <f t="shared" si="1"/>
        <v>49628.3831</v>
      </c>
      <c r="N329" s="10">
        <f t="shared" si="2"/>
        <v>830242.976</v>
      </c>
    </row>
    <row r="330">
      <c r="L330" s="6">
        <f t="shared" si="4"/>
        <v>0.329</v>
      </c>
      <c r="M330" s="10">
        <f t="shared" si="1"/>
        <v>49755.81433</v>
      </c>
      <c r="N330" s="10">
        <f t="shared" si="2"/>
        <v>832374.798</v>
      </c>
    </row>
    <row r="331">
      <c r="L331" s="6">
        <f t="shared" si="4"/>
        <v>0.33</v>
      </c>
      <c r="M331" s="10">
        <f t="shared" si="1"/>
        <v>49883.4163</v>
      </c>
      <c r="N331" s="10">
        <f t="shared" si="2"/>
        <v>834509.4765</v>
      </c>
    </row>
    <row r="332">
      <c r="L332" s="6">
        <f t="shared" si="4"/>
        <v>0.331</v>
      </c>
      <c r="M332" s="10">
        <f t="shared" si="1"/>
        <v>50011.19001</v>
      </c>
      <c r="N332" s="10">
        <f t="shared" si="2"/>
        <v>836647.028</v>
      </c>
    </row>
    <row r="333">
      <c r="L333" s="6">
        <f t="shared" si="4"/>
        <v>0.332</v>
      </c>
      <c r="M333" s="10">
        <f t="shared" si="1"/>
        <v>50139.13645</v>
      </c>
      <c r="N333" s="10">
        <f t="shared" si="2"/>
        <v>838787.4692</v>
      </c>
    </row>
    <row r="334">
      <c r="L334" s="6">
        <f t="shared" si="4"/>
        <v>0.333</v>
      </c>
      <c r="M334" s="10">
        <f t="shared" si="1"/>
        <v>50267.25663</v>
      </c>
      <c r="N334" s="10">
        <f t="shared" si="2"/>
        <v>840930.8168</v>
      </c>
    </row>
    <row r="335">
      <c r="L335" s="6">
        <f t="shared" si="4"/>
        <v>0.334</v>
      </c>
      <c r="M335" s="10">
        <f t="shared" si="1"/>
        <v>50395.55154</v>
      </c>
      <c r="N335" s="10">
        <f t="shared" si="2"/>
        <v>843077.0877</v>
      </c>
    </row>
    <row r="336">
      <c r="L336" s="6">
        <f t="shared" si="4"/>
        <v>0.335</v>
      </c>
      <c r="M336" s="10">
        <f t="shared" si="1"/>
        <v>50524.02219</v>
      </c>
      <c r="N336" s="10">
        <f t="shared" si="2"/>
        <v>845226.2984</v>
      </c>
    </row>
    <row r="337">
      <c r="L337" s="6">
        <f t="shared" si="4"/>
        <v>0.336</v>
      </c>
      <c r="M337" s="10">
        <f t="shared" si="1"/>
        <v>50652.66959</v>
      </c>
      <c r="N337" s="10">
        <f t="shared" si="2"/>
        <v>847378.4659</v>
      </c>
    </row>
    <row r="338">
      <c r="L338" s="6">
        <f t="shared" si="4"/>
        <v>0.337</v>
      </c>
      <c r="M338" s="10">
        <f t="shared" si="1"/>
        <v>50781.49472</v>
      </c>
      <c r="N338" s="10">
        <f t="shared" si="2"/>
        <v>849533.6069</v>
      </c>
    </row>
    <row r="339">
      <c r="L339" s="6">
        <f t="shared" si="4"/>
        <v>0.338</v>
      </c>
      <c r="M339" s="10">
        <f t="shared" si="1"/>
        <v>50910.49861</v>
      </c>
      <c r="N339" s="10">
        <f t="shared" si="2"/>
        <v>851691.7384</v>
      </c>
    </row>
    <row r="340">
      <c r="L340" s="6">
        <f t="shared" si="4"/>
        <v>0.339</v>
      </c>
      <c r="M340" s="10">
        <f t="shared" si="1"/>
        <v>51039.68227</v>
      </c>
      <c r="N340" s="10">
        <f t="shared" si="2"/>
        <v>853852.8771</v>
      </c>
    </row>
    <row r="341">
      <c r="L341" s="6">
        <f t="shared" si="4"/>
        <v>0.34</v>
      </c>
      <c r="M341" s="10">
        <f t="shared" si="1"/>
        <v>51169.0467</v>
      </c>
      <c r="N341" s="10">
        <f t="shared" si="2"/>
        <v>856017.0401</v>
      </c>
    </row>
    <row r="342">
      <c r="L342" s="6">
        <f t="shared" si="4"/>
        <v>0.341</v>
      </c>
      <c r="M342" s="10">
        <f t="shared" si="1"/>
        <v>51298.59292</v>
      </c>
      <c r="N342" s="10">
        <f t="shared" si="2"/>
        <v>858184.2443</v>
      </c>
    </row>
    <row r="343">
      <c r="L343" s="6">
        <f t="shared" si="4"/>
        <v>0.342</v>
      </c>
      <c r="M343" s="10">
        <f t="shared" si="1"/>
        <v>51428.32194</v>
      </c>
      <c r="N343" s="10">
        <f t="shared" si="2"/>
        <v>860354.5067</v>
      </c>
    </row>
    <row r="344">
      <c r="L344" s="6">
        <f t="shared" si="4"/>
        <v>0.343</v>
      </c>
      <c r="M344" s="10">
        <f t="shared" si="1"/>
        <v>51558.23479</v>
      </c>
      <c r="N344" s="10">
        <f t="shared" si="2"/>
        <v>862527.8442</v>
      </c>
    </row>
    <row r="345">
      <c r="L345" s="6">
        <f t="shared" si="4"/>
        <v>0.344</v>
      </c>
      <c r="M345" s="10">
        <f t="shared" si="1"/>
        <v>51688.33248</v>
      </c>
      <c r="N345" s="10">
        <f t="shared" si="2"/>
        <v>864704.2741</v>
      </c>
    </row>
    <row r="346">
      <c r="L346" s="6">
        <f t="shared" si="4"/>
        <v>0.345</v>
      </c>
      <c r="M346" s="10">
        <f t="shared" si="1"/>
        <v>51818.61604</v>
      </c>
      <c r="N346" s="10">
        <f t="shared" si="2"/>
        <v>866883.8134</v>
      </c>
    </row>
    <row r="347">
      <c r="L347" s="6">
        <f t="shared" si="4"/>
        <v>0.346</v>
      </c>
      <c r="M347" s="10">
        <f t="shared" si="1"/>
        <v>51949.08649</v>
      </c>
      <c r="N347" s="10">
        <f t="shared" si="2"/>
        <v>869066.4792</v>
      </c>
    </row>
    <row r="348">
      <c r="L348" s="6">
        <f t="shared" si="4"/>
        <v>0.347</v>
      </c>
      <c r="M348" s="10">
        <f t="shared" si="1"/>
        <v>52079.74486</v>
      </c>
      <c r="N348" s="10">
        <f t="shared" si="2"/>
        <v>871252.2887</v>
      </c>
    </row>
    <row r="349">
      <c r="L349" s="6">
        <f t="shared" si="4"/>
        <v>0.348</v>
      </c>
      <c r="M349" s="10">
        <f t="shared" si="1"/>
        <v>52210.59218</v>
      </c>
      <c r="N349" s="10">
        <f t="shared" si="2"/>
        <v>873441.2592</v>
      </c>
    </row>
    <row r="350">
      <c r="L350" s="6">
        <f t="shared" si="4"/>
        <v>0.349</v>
      </c>
      <c r="M350" s="10">
        <f t="shared" si="1"/>
        <v>52341.62947</v>
      </c>
      <c r="N350" s="10">
        <f t="shared" si="2"/>
        <v>875633.4078</v>
      </c>
    </row>
    <row r="351">
      <c r="L351" s="6">
        <f t="shared" si="4"/>
        <v>0.35</v>
      </c>
      <c r="M351" s="10">
        <f t="shared" si="1"/>
        <v>52472.85778</v>
      </c>
      <c r="N351" s="10">
        <f t="shared" si="2"/>
        <v>877828.752</v>
      </c>
    </row>
    <row r="352">
      <c r="L352" s="6">
        <f t="shared" si="4"/>
        <v>0.351</v>
      </c>
      <c r="M352" s="10">
        <f t="shared" si="1"/>
        <v>52604.27815</v>
      </c>
      <c r="N352" s="10">
        <f t="shared" si="2"/>
        <v>880027.3091</v>
      </c>
    </row>
    <row r="353">
      <c r="L353" s="6">
        <f t="shared" si="4"/>
        <v>0.352</v>
      </c>
      <c r="M353" s="10">
        <f t="shared" si="1"/>
        <v>52735.8916</v>
      </c>
      <c r="N353" s="10">
        <f t="shared" si="2"/>
        <v>882229.0965</v>
      </c>
    </row>
    <row r="354">
      <c r="L354" s="6">
        <f t="shared" si="4"/>
        <v>0.353</v>
      </c>
      <c r="M354" s="10">
        <f t="shared" si="1"/>
        <v>52867.69919</v>
      </c>
      <c r="N354" s="10">
        <f t="shared" si="2"/>
        <v>884434.1315</v>
      </c>
    </row>
    <row r="355">
      <c r="L355" s="6">
        <f t="shared" si="4"/>
        <v>0.354</v>
      </c>
      <c r="M355" s="10">
        <f t="shared" si="1"/>
        <v>52999.70195</v>
      </c>
      <c r="N355" s="10">
        <f t="shared" si="2"/>
        <v>886642.4317</v>
      </c>
    </row>
    <row r="356">
      <c r="L356" s="6">
        <f t="shared" si="4"/>
        <v>0.355</v>
      </c>
      <c r="M356" s="10">
        <f t="shared" si="1"/>
        <v>53131.90094</v>
      </c>
      <c r="N356" s="10">
        <f t="shared" si="2"/>
        <v>888854.0146</v>
      </c>
    </row>
    <row r="357">
      <c r="L357" s="6">
        <f t="shared" si="4"/>
        <v>0.356</v>
      </c>
      <c r="M357" s="10">
        <f t="shared" si="1"/>
        <v>53264.29721</v>
      </c>
      <c r="N357" s="10">
        <f t="shared" si="2"/>
        <v>891068.8977</v>
      </c>
    </row>
    <row r="358">
      <c r="L358" s="6">
        <f t="shared" si="4"/>
        <v>0.357</v>
      </c>
      <c r="M358" s="10">
        <f t="shared" si="1"/>
        <v>53396.8918</v>
      </c>
      <c r="N358" s="10">
        <f t="shared" si="2"/>
        <v>893287.0988</v>
      </c>
    </row>
    <row r="359">
      <c r="L359" s="6">
        <f t="shared" si="4"/>
        <v>0.358</v>
      </c>
      <c r="M359" s="10">
        <f t="shared" si="1"/>
        <v>53529.68578</v>
      </c>
      <c r="N359" s="10">
        <f t="shared" si="2"/>
        <v>895508.6354</v>
      </c>
    </row>
    <row r="360">
      <c r="L360" s="6">
        <f t="shared" si="4"/>
        <v>0.359</v>
      </c>
      <c r="M360" s="10">
        <f t="shared" si="1"/>
        <v>53662.6802</v>
      </c>
      <c r="N360" s="10">
        <f t="shared" si="2"/>
        <v>897733.5252</v>
      </c>
    </row>
    <row r="361">
      <c r="L361" s="6">
        <f t="shared" si="4"/>
        <v>0.36</v>
      </c>
      <c r="M361" s="10">
        <f t="shared" si="1"/>
        <v>53795.87613</v>
      </c>
      <c r="N361" s="10">
        <f t="shared" si="2"/>
        <v>899961.7861</v>
      </c>
    </row>
    <row r="362">
      <c r="L362" s="6">
        <f t="shared" si="4"/>
        <v>0.361</v>
      </c>
      <c r="M362" s="10">
        <f t="shared" si="1"/>
        <v>53929.27463</v>
      </c>
      <c r="N362" s="10">
        <f t="shared" si="2"/>
        <v>902193.4358</v>
      </c>
    </row>
    <row r="363">
      <c r="L363" s="6">
        <f t="shared" si="4"/>
        <v>0.362</v>
      </c>
      <c r="M363" s="10">
        <f t="shared" si="1"/>
        <v>54062.87677</v>
      </c>
      <c r="N363" s="10">
        <f t="shared" si="2"/>
        <v>904428.4922</v>
      </c>
    </row>
    <row r="364">
      <c r="L364" s="6">
        <f t="shared" si="4"/>
        <v>0.363</v>
      </c>
      <c r="M364" s="10">
        <f t="shared" si="1"/>
        <v>54196.68361</v>
      </c>
      <c r="N364" s="10">
        <f t="shared" si="2"/>
        <v>906666.9731</v>
      </c>
    </row>
    <row r="365">
      <c r="L365" s="6">
        <f t="shared" si="4"/>
        <v>0.364</v>
      </c>
      <c r="M365" s="10">
        <f t="shared" si="1"/>
        <v>54330.69624</v>
      </c>
      <c r="N365" s="10">
        <f t="shared" si="2"/>
        <v>908908.8967</v>
      </c>
    </row>
    <row r="366">
      <c r="L366" s="6">
        <f t="shared" si="4"/>
        <v>0.365</v>
      </c>
      <c r="M366" s="10">
        <f t="shared" si="1"/>
        <v>54464.91572</v>
      </c>
      <c r="N366" s="10">
        <f t="shared" si="2"/>
        <v>911154.2808</v>
      </c>
    </row>
    <row r="367">
      <c r="L367" s="6">
        <f t="shared" si="4"/>
        <v>0.366</v>
      </c>
      <c r="M367" s="10">
        <f t="shared" si="1"/>
        <v>54599.34314</v>
      </c>
      <c r="N367" s="10">
        <f t="shared" si="2"/>
        <v>913403.1436</v>
      </c>
    </row>
    <row r="368">
      <c r="L368" s="6">
        <f t="shared" si="4"/>
        <v>0.367</v>
      </c>
      <c r="M368" s="10">
        <f t="shared" si="1"/>
        <v>54733.97959</v>
      </c>
      <c r="N368" s="10">
        <f t="shared" si="2"/>
        <v>915655.5032</v>
      </c>
    </row>
    <row r="369">
      <c r="L369" s="6">
        <f t="shared" si="4"/>
        <v>0.368</v>
      </c>
      <c r="M369" s="10">
        <f t="shared" si="1"/>
        <v>54868.82614</v>
      </c>
      <c r="N369" s="10">
        <f t="shared" si="2"/>
        <v>917911.3777</v>
      </c>
    </row>
    <row r="370">
      <c r="L370" s="6">
        <f t="shared" si="4"/>
        <v>0.369</v>
      </c>
      <c r="M370" s="10">
        <f t="shared" si="1"/>
        <v>55003.8839</v>
      </c>
      <c r="N370" s="10">
        <f t="shared" si="2"/>
        <v>920170.7854</v>
      </c>
    </row>
    <row r="371">
      <c r="L371" s="6">
        <f t="shared" si="4"/>
        <v>0.37</v>
      </c>
      <c r="M371" s="10">
        <f t="shared" si="1"/>
        <v>55139.15394</v>
      </c>
      <c r="N371" s="10">
        <f t="shared" si="2"/>
        <v>922433.7446</v>
      </c>
    </row>
    <row r="372">
      <c r="L372" s="6">
        <f t="shared" si="4"/>
        <v>0.371</v>
      </c>
      <c r="M372" s="10">
        <f t="shared" si="1"/>
        <v>55274.63738</v>
      </c>
      <c r="N372" s="10">
        <f t="shared" si="2"/>
        <v>924700.2736</v>
      </c>
    </row>
    <row r="373">
      <c r="L373" s="6">
        <f t="shared" si="4"/>
        <v>0.372</v>
      </c>
      <c r="M373" s="10">
        <f t="shared" si="1"/>
        <v>55410.3353</v>
      </c>
      <c r="N373" s="10">
        <f t="shared" si="2"/>
        <v>926970.3908</v>
      </c>
    </row>
    <row r="374">
      <c r="L374" s="6">
        <f t="shared" si="4"/>
        <v>0.373</v>
      </c>
      <c r="M374" s="10">
        <f t="shared" si="1"/>
        <v>55546.24882</v>
      </c>
      <c r="N374" s="10">
        <f t="shared" si="2"/>
        <v>929244.1147</v>
      </c>
    </row>
    <row r="375">
      <c r="L375" s="6">
        <f t="shared" si="4"/>
        <v>0.374</v>
      </c>
      <c r="M375" s="10">
        <f t="shared" si="1"/>
        <v>55682.37903</v>
      </c>
      <c r="N375" s="10">
        <f t="shared" si="2"/>
        <v>931521.4639</v>
      </c>
    </row>
    <row r="376">
      <c r="L376" s="6">
        <f t="shared" si="4"/>
        <v>0.375</v>
      </c>
      <c r="M376" s="10">
        <f t="shared" si="1"/>
        <v>55818.72706</v>
      </c>
      <c r="N376" s="10">
        <f t="shared" si="2"/>
        <v>933802.4568</v>
      </c>
    </row>
    <row r="377">
      <c r="L377" s="6">
        <f t="shared" si="4"/>
        <v>0.376</v>
      </c>
      <c r="M377" s="10">
        <f t="shared" si="1"/>
        <v>55955.29401</v>
      </c>
      <c r="N377" s="10">
        <f t="shared" si="2"/>
        <v>936087.1122</v>
      </c>
    </row>
    <row r="378">
      <c r="L378" s="6">
        <f t="shared" si="4"/>
        <v>0.377</v>
      </c>
      <c r="M378" s="10">
        <f t="shared" si="1"/>
        <v>56092.081</v>
      </c>
      <c r="N378" s="10">
        <f t="shared" si="2"/>
        <v>938375.4487</v>
      </c>
    </row>
    <row r="379">
      <c r="L379" s="6">
        <f t="shared" si="4"/>
        <v>0.378</v>
      </c>
      <c r="M379" s="10">
        <f t="shared" si="1"/>
        <v>56229.08916</v>
      </c>
      <c r="N379" s="10">
        <f t="shared" si="2"/>
        <v>940667.4851</v>
      </c>
    </row>
    <row r="380">
      <c r="L380" s="6">
        <f t="shared" si="4"/>
        <v>0.379</v>
      </c>
      <c r="M380" s="10">
        <f t="shared" si="1"/>
        <v>56366.31961</v>
      </c>
      <c r="N380" s="10">
        <f t="shared" si="2"/>
        <v>942963.2403</v>
      </c>
    </row>
    <row r="381">
      <c r="L381" s="6">
        <f t="shared" si="4"/>
        <v>0.38</v>
      </c>
      <c r="M381" s="10">
        <f t="shared" si="1"/>
        <v>56503.77349</v>
      </c>
      <c r="N381" s="10">
        <f t="shared" si="2"/>
        <v>945262.7332</v>
      </c>
    </row>
    <row r="382">
      <c r="L382" s="6">
        <f t="shared" si="4"/>
        <v>0.381</v>
      </c>
      <c r="M382" s="10">
        <f t="shared" si="1"/>
        <v>56641.45191</v>
      </c>
      <c r="N382" s="10">
        <f t="shared" si="2"/>
        <v>947565.9826</v>
      </c>
    </row>
    <row r="383">
      <c r="L383" s="6">
        <f t="shared" si="4"/>
        <v>0.382</v>
      </c>
      <c r="M383" s="10">
        <f t="shared" si="1"/>
        <v>56779.35602</v>
      </c>
      <c r="N383" s="10">
        <f t="shared" si="2"/>
        <v>949873.0076</v>
      </c>
    </row>
    <row r="384">
      <c r="L384" s="6">
        <f t="shared" si="4"/>
        <v>0.383</v>
      </c>
      <c r="M384" s="10">
        <f t="shared" si="1"/>
        <v>56917.48697</v>
      </c>
      <c r="N384" s="10">
        <f t="shared" si="2"/>
        <v>952183.8274</v>
      </c>
    </row>
    <row r="385">
      <c r="L385" s="6">
        <f t="shared" si="4"/>
        <v>0.384</v>
      </c>
      <c r="M385" s="10">
        <f t="shared" si="1"/>
        <v>57055.8459</v>
      </c>
      <c r="N385" s="10">
        <f t="shared" si="2"/>
        <v>954498.461</v>
      </c>
    </row>
    <row r="386">
      <c r="L386" s="6">
        <f t="shared" si="4"/>
        <v>0.385</v>
      </c>
      <c r="M386" s="10">
        <f t="shared" si="1"/>
        <v>57194.43395</v>
      </c>
      <c r="N386" s="10">
        <f t="shared" si="2"/>
        <v>956816.9278</v>
      </c>
    </row>
    <row r="387">
      <c r="L387" s="6">
        <f t="shared" si="4"/>
        <v>0.386</v>
      </c>
      <c r="M387" s="10">
        <f t="shared" si="1"/>
        <v>57333.25228</v>
      </c>
      <c r="N387" s="10">
        <f t="shared" si="2"/>
        <v>959139.2469</v>
      </c>
    </row>
    <row r="388">
      <c r="L388" s="6">
        <f t="shared" si="4"/>
        <v>0.387</v>
      </c>
      <c r="M388" s="10">
        <f t="shared" si="1"/>
        <v>57472.30205</v>
      </c>
      <c r="N388" s="10">
        <f t="shared" si="2"/>
        <v>961465.4378</v>
      </c>
    </row>
    <row r="389">
      <c r="L389" s="6">
        <f t="shared" si="4"/>
        <v>0.388</v>
      </c>
      <c r="M389" s="10">
        <f t="shared" si="1"/>
        <v>57611.58441</v>
      </c>
      <c r="N389" s="10">
        <f t="shared" si="2"/>
        <v>963795.5199</v>
      </c>
    </row>
    <row r="390">
      <c r="L390" s="6">
        <f t="shared" si="4"/>
        <v>0.389</v>
      </c>
      <c r="M390" s="10">
        <f t="shared" si="1"/>
        <v>57751.10055</v>
      </c>
      <c r="N390" s="10">
        <f t="shared" si="2"/>
        <v>966129.5127</v>
      </c>
    </row>
    <row r="391">
      <c r="L391" s="6">
        <f t="shared" si="4"/>
        <v>0.39</v>
      </c>
      <c r="M391" s="10">
        <f t="shared" si="1"/>
        <v>57890.85161</v>
      </c>
      <c r="N391" s="10">
        <f t="shared" si="2"/>
        <v>968467.4358</v>
      </c>
    </row>
    <row r="392">
      <c r="L392" s="6">
        <f t="shared" si="4"/>
        <v>0.391</v>
      </c>
      <c r="M392" s="10">
        <f t="shared" si="1"/>
        <v>58030.83879</v>
      </c>
      <c r="N392" s="10">
        <f t="shared" si="2"/>
        <v>970809.3089</v>
      </c>
    </row>
    <row r="393">
      <c r="L393" s="6">
        <f t="shared" si="4"/>
        <v>0.392</v>
      </c>
      <c r="M393" s="10">
        <f t="shared" si="1"/>
        <v>58171.06326</v>
      </c>
      <c r="N393" s="10">
        <f t="shared" si="2"/>
        <v>973155.1515</v>
      </c>
    </row>
    <row r="394">
      <c r="L394" s="6">
        <f t="shared" si="4"/>
        <v>0.393</v>
      </c>
      <c r="M394" s="10">
        <f t="shared" si="1"/>
        <v>58311.5262</v>
      </c>
      <c r="N394" s="10">
        <f t="shared" si="2"/>
        <v>975504.9837</v>
      </c>
    </row>
    <row r="395">
      <c r="L395" s="6">
        <f t="shared" si="4"/>
        <v>0.394</v>
      </c>
      <c r="M395" s="10">
        <f t="shared" si="1"/>
        <v>58452.2288</v>
      </c>
      <c r="N395" s="10">
        <f t="shared" si="2"/>
        <v>977858.8251</v>
      </c>
    </row>
    <row r="396">
      <c r="L396" s="6">
        <f t="shared" si="4"/>
        <v>0.395</v>
      </c>
      <c r="M396" s="10">
        <f t="shared" si="1"/>
        <v>58593.17225</v>
      </c>
      <c r="N396" s="10">
        <f t="shared" si="2"/>
        <v>980216.6959</v>
      </c>
    </row>
    <row r="397">
      <c r="L397" s="6">
        <f t="shared" si="4"/>
        <v>0.396</v>
      </c>
      <c r="M397" s="10">
        <f t="shared" si="1"/>
        <v>58734.35776</v>
      </c>
      <c r="N397" s="10">
        <f t="shared" si="2"/>
        <v>982578.6159</v>
      </c>
    </row>
    <row r="398">
      <c r="L398" s="6">
        <f t="shared" si="4"/>
        <v>0.397</v>
      </c>
      <c r="M398" s="10">
        <f t="shared" si="1"/>
        <v>58875.78651</v>
      </c>
      <c r="N398" s="10">
        <f t="shared" si="2"/>
        <v>984944.6054</v>
      </c>
    </row>
    <row r="399">
      <c r="L399" s="6">
        <f t="shared" si="4"/>
        <v>0.398</v>
      </c>
      <c r="M399" s="10">
        <f t="shared" si="1"/>
        <v>59017.45973</v>
      </c>
      <c r="N399" s="10">
        <f t="shared" si="2"/>
        <v>987314.6844</v>
      </c>
    </row>
    <row r="400">
      <c r="L400" s="6">
        <f t="shared" si="4"/>
        <v>0.399</v>
      </c>
      <c r="M400" s="10">
        <f t="shared" si="1"/>
        <v>59159.37861</v>
      </c>
      <c r="N400" s="10">
        <f t="shared" si="2"/>
        <v>989688.8733</v>
      </c>
    </row>
    <row r="401">
      <c r="L401" s="6">
        <f t="shared" si="4"/>
        <v>0.4</v>
      </c>
      <c r="M401" s="10">
        <f t="shared" si="1"/>
        <v>59301.54438</v>
      </c>
      <c r="N401" s="10">
        <f t="shared" si="2"/>
        <v>992067.1924</v>
      </c>
    </row>
    <row r="402">
      <c r="L402" s="6">
        <f t="shared" si="4"/>
        <v>0.401</v>
      </c>
      <c r="M402" s="10">
        <f t="shared" si="1"/>
        <v>59443.95826</v>
      </c>
      <c r="N402" s="10">
        <f t="shared" si="2"/>
        <v>994449.6621</v>
      </c>
    </row>
    <row r="403">
      <c r="L403" s="6">
        <f t="shared" si="4"/>
        <v>0.402</v>
      </c>
      <c r="M403" s="10">
        <f t="shared" si="1"/>
        <v>59586.62146</v>
      </c>
      <c r="N403" s="10">
        <f t="shared" si="2"/>
        <v>996836.3029</v>
      </c>
    </row>
    <row r="404">
      <c r="L404" s="6">
        <f t="shared" si="4"/>
        <v>0.403</v>
      </c>
      <c r="M404" s="10">
        <f t="shared" si="1"/>
        <v>59729.53523</v>
      </c>
      <c r="N404" s="10">
        <f t="shared" si="2"/>
        <v>999227.1355</v>
      </c>
    </row>
    <row r="405">
      <c r="L405" s="6">
        <f t="shared" si="4"/>
        <v>0.404</v>
      </c>
      <c r="M405" s="10">
        <f t="shared" si="1"/>
        <v>59872.7008</v>
      </c>
      <c r="N405" s="10">
        <f t="shared" si="2"/>
        <v>1001622.18</v>
      </c>
    </row>
    <row r="406">
      <c r="L406" s="6">
        <f t="shared" si="4"/>
        <v>0.405</v>
      </c>
      <c r="M406" s="10">
        <f t="shared" si="1"/>
        <v>60016.11941</v>
      </c>
      <c r="N406" s="10">
        <f t="shared" si="2"/>
        <v>1004021.458</v>
      </c>
    </row>
    <row r="407">
      <c r="L407" s="6">
        <f t="shared" si="4"/>
        <v>0.406</v>
      </c>
      <c r="M407" s="10">
        <f t="shared" si="1"/>
        <v>60159.7923</v>
      </c>
      <c r="N407" s="10">
        <f t="shared" si="2"/>
        <v>1006424.99</v>
      </c>
    </row>
    <row r="408">
      <c r="L408" s="6">
        <f t="shared" si="4"/>
        <v>0.407</v>
      </c>
      <c r="M408" s="10">
        <f t="shared" si="1"/>
        <v>60303.72072</v>
      </c>
      <c r="N408" s="10">
        <f t="shared" si="2"/>
        <v>1008832.797</v>
      </c>
    </row>
    <row r="409">
      <c r="L409" s="6">
        <f t="shared" si="4"/>
        <v>0.408</v>
      </c>
      <c r="M409" s="10">
        <f t="shared" si="1"/>
        <v>60447.90594</v>
      </c>
      <c r="N409" s="10">
        <f t="shared" si="2"/>
        <v>1011244.9</v>
      </c>
    </row>
    <row r="410">
      <c r="L410" s="6">
        <f t="shared" si="4"/>
        <v>0.409</v>
      </c>
      <c r="M410" s="10">
        <f t="shared" si="1"/>
        <v>60592.34921</v>
      </c>
      <c r="N410" s="10">
        <f t="shared" si="2"/>
        <v>1013661.32</v>
      </c>
    </row>
    <row r="411">
      <c r="L411" s="6">
        <f t="shared" si="4"/>
        <v>0.41</v>
      </c>
      <c r="M411" s="10">
        <f t="shared" si="1"/>
        <v>60737.0518</v>
      </c>
      <c r="N411" s="10">
        <f t="shared" si="2"/>
        <v>1016082.078</v>
      </c>
    </row>
    <row r="412">
      <c r="L412" s="6">
        <f t="shared" si="4"/>
        <v>0.411</v>
      </c>
      <c r="M412" s="10">
        <f t="shared" si="1"/>
        <v>60882.01498</v>
      </c>
      <c r="N412" s="10">
        <f t="shared" si="2"/>
        <v>1018507.196</v>
      </c>
    </row>
    <row r="413">
      <c r="L413" s="6">
        <f t="shared" si="4"/>
        <v>0.412</v>
      </c>
      <c r="M413" s="10">
        <f t="shared" si="1"/>
        <v>61027.24003</v>
      </c>
      <c r="N413" s="10">
        <f t="shared" si="2"/>
        <v>1020936.694</v>
      </c>
    </row>
    <row r="414">
      <c r="L414" s="6">
        <f t="shared" si="4"/>
        <v>0.413</v>
      </c>
      <c r="M414" s="10">
        <f t="shared" si="1"/>
        <v>61172.72823</v>
      </c>
      <c r="N414" s="10">
        <f t="shared" si="2"/>
        <v>1023370.595</v>
      </c>
    </row>
    <row r="415">
      <c r="L415" s="6">
        <f t="shared" si="4"/>
        <v>0.414</v>
      </c>
      <c r="M415" s="10">
        <f t="shared" si="1"/>
        <v>61318.48087</v>
      </c>
      <c r="N415" s="10">
        <f t="shared" si="2"/>
        <v>1025808.919</v>
      </c>
    </row>
    <row r="416">
      <c r="L416" s="6">
        <f t="shared" si="4"/>
        <v>0.415</v>
      </c>
      <c r="M416" s="10">
        <f t="shared" si="1"/>
        <v>61464.49925</v>
      </c>
      <c r="N416" s="10">
        <f t="shared" si="2"/>
        <v>1028251.69</v>
      </c>
    </row>
    <row r="417">
      <c r="L417" s="6">
        <f t="shared" si="4"/>
        <v>0.416</v>
      </c>
      <c r="M417" s="10">
        <f t="shared" si="1"/>
        <v>61610.78466</v>
      </c>
      <c r="N417" s="10">
        <f t="shared" si="2"/>
        <v>1030698.927</v>
      </c>
    </row>
    <row r="418">
      <c r="L418" s="6">
        <f t="shared" si="4"/>
        <v>0.417</v>
      </c>
      <c r="M418" s="10">
        <f t="shared" si="1"/>
        <v>61757.33841</v>
      </c>
      <c r="N418" s="10">
        <f t="shared" si="2"/>
        <v>1033150.653</v>
      </c>
    </row>
    <row r="419">
      <c r="L419" s="6">
        <f t="shared" si="4"/>
        <v>0.418</v>
      </c>
      <c r="M419" s="10">
        <f t="shared" si="1"/>
        <v>61904.16181</v>
      </c>
      <c r="N419" s="10">
        <f t="shared" si="2"/>
        <v>1035606.891</v>
      </c>
    </row>
    <row r="420">
      <c r="L420" s="6">
        <f t="shared" si="4"/>
        <v>0.419</v>
      </c>
      <c r="M420" s="10">
        <f t="shared" si="1"/>
        <v>62051.25617</v>
      </c>
      <c r="N420" s="10">
        <f t="shared" si="2"/>
        <v>1038067.661</v>
      </c>
    </row>
    <row r="421">
      <c r="L421" s="6">
        <f t="shared" si="4"/>
        <v>0.42</v>
      </c>
      <c r="M421" s="10">
        <f t="shared" si="1"/>
        <v>62198.62283</v>
      </c>
      <c r="N421" s="10">
        <f t="shared" si="2"/>
        <v>1040532.987</v>
      </c>
    </row>
    <row r="422">
      <c r="L422" s="6">
        <f t="shared" si="4"/>
        <v>0.421</v>
      </c>
      <c r="M422" s="10">
        <f t="shared" si="1"/>
        <v>62346.2631</v>
      </c>
      <c r="N422" s="10">
        <f t="shared" si="2"/>
        <v>1043002.89</v>
      </c>
    </row>
    <row r="423">
      <c r="L423" s="6">
        <f t="shared" si="4"/>
        <v>0.422</v>
      </c>
      <c r="M423" s="10">
        <f t="shared" si="1"/>
        <v>62494.17833</v>
      </c>
      <c r="N423" s="10">
        <f t="shared" si="2"/>
        <v>1045477.393</v>
      </c>
    </row>
    <row r="424">
      <c r="L424" s="6">
        <f t="shared" si="4"/>
        <v>0.423</v>
      </c>
      <c r="M424" s="10">
        <f t="shared" si="1"/>
        <v>62642.36985</v>
      </c>
      <c r="N424" s="10">
        <f t="shared" si="2"/>
        <v>1047956.518</v>
      </c>
    </row>
    <row r="425">
      <c r="L425" s="6">
        <f t="shared" si="4"/>
        <v>0.424</v>
      </c>
      <c r="M425" s="10">
        <f t="shared" si="1"/>
        <v>62790.83901</v>
      </c>
      <c r="N425" s="10">
        <f t="shared" si="2"/>
        <v>1050440.288</v>
      </c>
    </row>
    <row r="426">
      <c r="L426" s="6">
        <f t="shared" si="4"/>
        <v>0.425</v>
      </c>
      <c r="M426" s="10">
        <f t="shared" si="1"/>
        <v>62939.58717</v>
      </c>
      <c r="N426" s="10">
        <f t="shared" si="2"/>
        <v>1052928.725</v>
      </c>
    </row>
    <row r="427">
      <c r="L427" s="6">
        <f t="shared" si="4"/>
        <v>0.426</v>
      </c>
      <c r="M427" s="10">
        <f t="shared" si="1"/>
        <v>63088.61567</v>
      </c>
      <c r="N427" s="10">
        <f t="shared" si="2"/>
        <v>1055421.852</v>
      </c>
    </row>
    <row r="428">
      <c r="L428" s="6">
        <f t="shared" si="4"/>
        <v>0.427</v>
      </c>
      <c r="M428" s="10">
        <f t="shared" si="1"/>
        <v>63237.9259</v>
      </c>
      <c r="N428" s="10">
        <f t="shared" si="2"/>
        <v>1057919.693</v>
      </c>
    </row>
    <row r="429">
      <c r="L429" s="6">
        <f t="shared" si="4"/>
        <v>0.428</v>
      </c>
      <c r="M429" s="10">
        <f t="shared" si="1"/>
        <v>63387.51921</v>
      </c>
      <c r="N429" s="10">
        <f t="shared" si="2"/>
        <v>1060422.268</v>
      </c>
    </row>
    <row r="430">
      <c r="L430" s="6">
        <f t="shared" si="4"/>
        <v>0.429</v>
      </c>
      <c r="M430" s="10">
        <f t="shared" si="1"/>
        <v>63537.39699</v>
      </c>
      <c r="N430" s="10">
        <f t="shared" si="2"/>
        <v>1062929.603</v>
      </c>
    </row>
    <row r="431">
      <c r="L431" s="6">
        <f t="shared" si="4"/>
        <v>0.43</v>
      </c>
      <c r="M431" s="10">
        <f t="shared" si="1"/>
        <v>63687.56062</v>
      </c>
      <c r="N431" s="10">
        <f t="shared" si="2"/>
        <v>1065441.72</v>
      </c>
    </row>
    <row r="432">
      <c r="L432" s="6">
        <f t="shared" si="4"/>
        <v>0.431</v>
      </c>
      <c r="M432" s="10">
        <f t="shared" si="1"/>
        <v>63838.0115</v>
      </c>
      <c r="N432" s="10">
        <f t="shared" si="2"/>
        <v>1067958.642</v>
      </c>
    </row>
    <row r="433">
      <c r="L433" s="6">
        <f t="shared" si="4"/>
        <v>0.432</v>
      </c>
      <c r="M433" s="10">
        <f t="shared" si="1"/>
        <v>63988.75101</v>
      </c>
      <c r="N433" s="10">
        <f t="shared" si="2"/>
        <v>1070480.393</v>
      </c>
    </row>
    <row r="434">
      <c r="L434" s="6">
        <f t="shared" si="4"/>
        <v>0.433</v>
      </c>
      <c r="M434" s="10">
        <f t="shared" si="1"/>
        <v>64139.78057</v>
      </c>
      <c r="N434" s="10">
        <f t="shared" si="2"/>
        <v>1073006.997</v>
      </c>
    </row>
    <row r="435">
      <c r="L435" s="6">
        <f t="shared" si="4"/>
        <v>0.434</v>
      </c>
      <c r="M435" s="10">
        <f t="shared" si="1"/>
        <v>64291.10158</v>
      </c>
      <c r="N435" s="10">
        <f t="shared" si="2"/>
        <v>1075538.476</v>
      </c>
    </row>
    <row r="436">
      <c r="L436" s="6">
        <f t="shared" si="4"/>
        <v>0.435</v>
      </c>
      <c r="M436" s="10">
        <f t="shared" si="1"/>
        <v>64442.71546</v>
      </c>
      <c r="N436" s="10">
        <f t="shared" si="2"/>
        <v>1078074.854</v>
      </c>
    </row>
    <row r="437">
      <c r="L437" s="6">
        <f t="shared" si="4"/>
        <v>0.436</v>
      </c>
      <c r="M437" s="10">
        <f t="shared" si="1"/>
        <v>64594.62365</v>
      </c>
      <c r="N437" s="10">
        <f t="shared" si="2"/>
        <v>1080616.156</v>
      </c>
    </row>
    <row r="438">
      <c r="L438" s="6">
        <f t="shared" si="4"/>
        <v>0.437</v>
      </c>
      <c r="M438" s="10">
        <f t="shared" si="1"/>
        <v>64746.82756</v>
      </c>
      <c r="N438" s="10">
        <f t="shared" si="2"/>
        <v>1083162.405</v>
      </c>
    </row>
    <row r="439">
      <c r="L439" s="6">
        <f t="shared" si="4"/>
        <v>0.438</v>
      </c>
      <c r="M439" s="10">
        <f t="shared" si="1"/>
        <v>64899.32863</v>
      </c>
      <c r="N439" s="10">
        <f t="shared" si="2"/>
        <v>1085713.625</v>
      </c>
    </row>
    <row r="440">
      <c r="L440" s="6">
        <f t="shared" si="4"/>
        <v>0.439</v>
      </c>
      <c r="M440" s="10">
        <f t="shared" si="1"/>
        <v>65052.12832</v>
      </c>
      <c r="N440" s="10">
        <f t="shared" si="2"/>
        <v>1088269.841</v>
      </c>
    </row>
    <row r="441">
      <c r="L441" s="6">
        <f t="shared" si="4"/>
        <v>0.44</v>
      </c>
      <c r="M441" s="10">
        <f t="shared" si="1"/>
        <v>65205.22807</v>
      </c>
      <c r="N441" s="10">
        <f t="shared" si="2"/>
        <v>1090831.077</v>
      </c>
    </row>
    <row r="442">
      <c r="L442" s="6">
        <f t="shared" si="4"/>
        <v>0.441</v>
      </c>
      <c r="M442" s="10">
        <f t="shared" si="1"/>
        <v>65358.62934</v>
      </c>
      <c r="N442" s="10">
        <f t="shared" si="2"/>
        <v>1093397.357</v>
      </c>
    </row>
    <row r="443">
      <c r="L443" s="6">
        <f t="shared" si="4"/>
        <v>0.442</v>
      </c>
      <c r="M443" s="10">
        <f t="shared" si="1"/>
        <v>65512.3336</v>
      </c>
      <c r="N443" s="10">
        <f t="shared" si="2"/>
        <v>1095968.706</v>
      </c>
    </row>
    <row r="444">
      <c r="L444" s="6">
        <f t="shared" si="4"/>
        <v>0.443</v>
      </c>
      <c r="M444" s="10">
        <f t="shared" si="1"/>
        <v>65666.34233</v>
      </c>
      <c r="N444" s="10">
        <f t="shared" si="2"/>
        <v>1098545.148</v>
      </c>
    </row>
    <row r="445">
      <c r="L445" s="6">
        <f t="shared" si="4"/>
        <v>0.444</v>
      </c>
      <c r="M445" s="10">
        <f t="shared" si="1"/>
        <v>65820.657</v>
      </c>
      <c r="N445" s="10">
        <f t="shared" si="2"/>
        <v>1101126.709</v>
      </c>
    </row>
    <row r="446">
      <c r="L446" s="6">
        <f t="shared" si="4"/>
        <v>0.445</v>
      </c>
      <c r="M446" s="10">
        <f t="shared" si="1"/>
        <v>65975.2791</v>
      </c>
      <c r="N446" s="10">
        <f t="shared" si="2"/>
        <v>1103713.412</v>
      </c>
    </row>
    <row r="447">
      <c r="L447" s="6">
        <f t="shared" si="4"/>
        <v>0.446</v>
      </c>
      <c r="M447" s="10">
        <f t="shared" si="1"/>
        <v>66130.21013</v>
      </c>
      <c r="N447" s="10">
        <f t="shared" si="2"/>
        <v>1106305.284</v>
      </c>
    </row>
    <row r="448">
      <c r="L448" s="6">
        <f t="shared" si="4"/>
        <v>0.447</v>
      </c>
      <c r="M448" s="10">
        <f t="shared" si="1"/>
        <v>66285.45159</v>
      </c>
      <c r="N448" s="10">
        <f t="shared" si="2"/>
        <v>1108902.349</v>
      </c>
    </row>
    <row r="449">
      <c r="L449" s="6">
        <f t="shared" si="4"/>
        <v>0.448</v>
      </c>
      <c r="M449" s="10">
        <f t="shared" si="1"/>
        <v>66441.005</v>
      </c>
      <c r="N449" s="10">
        <f t="shared" si="2"/>
        <v>1111504.632</v>
      </c>
    </row>
    <row r="450">
      <c r="L450" s="6">
        <f t="shared" si="4"/>
        <v>0.449</v>
      </c>
      <c r="M450" s="10">
        <f t="shared" si="1"/>
        <v>66596.87187</v>
      </c>
      <c r="N450" s="10">
        <f t="shared" si="2"/>
        <v>1114112.16</v>
      </c>
    </row>
    <row r="451">
      <c r="L451" s="6">
        <f t="shared" si="4"/>
        <v>0.45</v>
      </c>
      <c r="M451" s="10">
        <f t="shared" si="1"/>
        <v>66753.05373</v>
      </c>
      <c r="N451" s="10">
        <f t="shared" si="2"/>
        <v>1116724.957</v>
      </c>
    </row>
    <row r="452">
      <c r="L452" s="6">
        <f t="shared" si="4"/>
        <v>0.451</v>
      </c>
      <c r="M452" s="10">
        <f t="shared" si="1"/>
        <v>66909.55211</v>
      </c>
      <c r="N452" s="10">
        <f t="shared" si="2"/>
        <v>1119343.049</v>
      </c>
    </row>
    <row r="453">
      <c r="L453" s="6">
        <f t="shared" si="4"/>
        <v>0.452</v>
      </c>
      <c r="M453" s="10">
        <f t="shared" si="1"/>
        <v>67066.36856</v>
      </c>
      <c r="N453" s="10">
        <f t="shared" si="2"/>
        <v>1121966.462</v>
      </c>
    </row>
    <row r="454">
      <c r="L454" s="6">
        <f t="shared" si="4"/>
        <v>0.453</v>
      </c>
      <c r="M454" s="10">
        <f t="shared" si="1"/>
        <v>67223.50462</v>
      </c>
      <c r="N454" s="10">
        <f t="shared" si="2"/>
        <v>1124595.222</v>
      </c>
    </row>
    <row r="455">
      <c r="L455" s="6">
        <f t="shared" si="4"/>
        <v>0.454</v>
      </c>
      <c r="M455" s="10">
        <f t="shared" si="1"/>
        <v>67380.96186</v>
      </c>
      <c r="N455" s="10">
        <f t="shared" si="2"/>
        <v>1127229.355</v>
      </c>
    </row>
    <row r="456">
      <c r="L456" s="6">
        <f t="shared" si="4"/>
        <v>0.455</v>
      </c>
      <c r="M456" s="10">
        <f t="shared" si="1"/>
        <v>67538.74183</v>
      </c>
      <c r="N456" s="10">
        <f t="shared" si="2"/>
        <v>1129868.888</v>
      </c>
    </row>
    <row r="457">
      <c r="L457" s="6">
        <f t="shared" si="4"/>
        <v>0.456</v>
      </c>
      <c r="M457" s="10">
        <f t="shared" si="1"/>
        <v>67696.84613</v>
      </c>
      <c r="N457" s="10">
        <f t="shared" si="2"/>
        <v>1132513.845</v>
      </c>
    </row>
    <row r="458">
      <c r="L458" s="6">
        <f t="shared" si="4"/>
        <v>0.457</v>
      </c>
      <c r="M458" s="10">
        <f t="shared" si="1"/>
        <v>67855.27631</v>
      </c>
      <c r="N458" s="10">
        <f t="shared" si="2"/>
        <v>1135164.255</v>
      </c>
    </row>
    <row r="459">
      <c r="L459" s="6">
        <f t="shared" si="4"/>
        <v>0.458</v>
      </c>
      <c r="M459" s="10">
        <f t="shared" si="1"/>
        <v>68014.03399</v>
      </c>
      <c r="N459" s="10">
        <f t="shared" si="2"/>
        <v>1137820.144</v>
      </c>
    </row>
    <row r="460">
      <c r="L460" s="6">
        <f t="shared" si="4"/>
        <v>0.459</v>
      </c>
      <c r="M460" s="10">
        <f t="shared" si="1"/>
        <v>68173.12076</v>
      </c>
      <c r="N460" s="10">
        <f t="shared" si="2"/>
        <v>1140481.537</v>
      </c>
    </row>
    <row r="461">
      <c r="L461" s="6">
        <f t="shared" si="4"/>
        <v>0.46</v>
      </c>
      <c r="M461" s="10">
        <f t="shared" si="1"/>
        <v>68332.53822</v>
      </c>
      <c r="N461" s="10">
        <f t="shared" si="2"/>
        <v>1143148.463</v>
      </c>
    </row>
    <row r="462">
      <c r="L462" s="6">
        <f t="shared" si="4"/>
        <v>0.461</v>
      </c>
      <c r="M462" s="10">
        <f t="shared" si="1"/>
        <v>68492.28799</v>
      </c>
      <c r="N462" s="10">
        <f t="shared" si="2"/>
        <v>1145820.949</v>
      </c>
    </row>
    <row r="463">
      <c r="L463" s="6">
        <f t="shared" si="4"/>
        <v>0.462</v>
      </c>
      <c r="M463" s="10">
        <f t="shared" si="1"/>
        <v>68652.3717</v>
      </c>
      <c r="N463" s="10">
        <f t="shared" si="2"/>
        <v>1148499.021</v>
      </c>
    </row>
    <row r="464">
      <c r="L464" s="6">
        <f t="shared" si="4"/>
        <v>0.463</v>
      </c>
      <c r="M464" s="10">
        <f t="shared" si="1"/>
        <v>68812.79099</v>
      </c>
      <c r="N464" s="10">
        <f t="shared" si="2"/>
        <v>1151182.706</v>
      </c>
    </row>
    <row r="465">
      <c r="L465" s="6">
        <f t="shared" si="4"/>
        <v>0.464</v>
      </c>
      <c r="M465" s="10">
        <f t="shared" si="1"/>
        <v>68973.54748</v>
      </c>
      <c r="N465" s="10">
        <f t="shared" si="2"/>
        <v>1153872.033</v>
      </c>
    </row>
    <row r="466">
      <c r="L466" s="6">
        <f t="shared" si="4"/>
        <v>0.465</v>
      </c>
      <c r="M466" s="10">
        <f t="shared" si="1"/>
        <v>69134.64284</v>
      </c>
      <c r="N466" s="10">
        <f t="shared" si="2"/>
        <v>1156567.029</v>
      </c>
    </row>
    <row r="467">
      <c r="L467" s="6">
        <f t="shared" si="4"/>
        <v>0.466</v>
      </c>
      <c r="M467" s="10">
        <f t="shared" si="1"/>
        <v>69296.07873</v>
      </c>
      <c r="N467" s="10">
        <f t="shared" si="2"/>
        <v>1159267.722</v>
      </c>
    </row>
    <row r="468">
      <c r="L468" s="6">
        <f t="shared" si="4"/>
        <v>0.467</v>
      </c>
      <c r="M468" s="10">
        <f t="shared" si="1"/>
        <v>69457.85681</v>
      </c>
      <c r="N468" s="10">
        <f t="shared" si="2"/>
        <v>1161974.139</v>
      </c>
    </row>
    <row r="469">
      <c r="L469" s="6">
        <f t="shared" si="4"/>
        <v>0.468</v>
      </c>
      <c r="M469" s="10">
        <f t="shared" si="1"/>
        <v>69619.97877</v>
      </c>
      <c r="N469" s="10">
        <f t="shared" si="2"/>
        <v>1164686.31</v>
      </c>
    </row>
    <row r="470">
      <c r="L470" s="6">
        <f t="shared" si="4"/>
        <v>0.469</v>
      </c>
      <c r="M470" s="10">
        <f t="shared" si="1"/>
        <v>69782.44629</v>
      </c>
      <c r="N470" s="10">
        <f t="shared" si="2"/>
        <v>1167404.261</v>
      </c>
    </row>
    <row r="471">
      <c r="L471" s="6">
        <f t="shared" si="4"/>
        <v>0.47</v>
      </c>
      <c r="M471" s="10">
        <f t="shared" si="1"/>
        <v>69945.26106</v>
      </c>
      <c r="N471" s="10">
        <f t="shared" si="2"/>
        <v>1170128.021</v>
      </c>
    </row>
    <row r="472">
      <c r="L472" s="6">
        <f t="shared" si="4"/>
        <v>0.471</v>
      </c>
      <c r="M472" s="10">
        <f t="shared" si="1"/>
        <v>70108.4248</v>
      </c>
      <c r="N472" s="10">
        <f t="shared" si="2"/>
        <v>1172857.619</v>
      </c>
    </row>
    <row r="473">
      <c r="L473" s="6">
        <f t="shared" si="4"/>
        <v>0.472</v>
      </c>
      <c r="M473" s="10">
        <f t="shared" si="1"/>
        <v>70271.93922</v>
      </c>
      <c r="N473" s="10">
        <f t="shared" si="2"/>
        <v>1175593.084</v>
      </c>
    </row>
    <row r="474">
      <c r="L474" s="6">
        <f t="shared" si="4"/>
        <v>0.473</v>
      </c>
      <c r="M474" s="10">
        <f t="shared" si="1"/>
        <v>70435.80605</v>
      </c>
      <c r="N474" s="10">
        <f t="shared" si="2"/>
        <v>1178334.444</v>
      </c>
    </row>
    <row r="475">
      <c r="L475" s="6">
        <f t="shared" si="4"/>
        <v>0.474</v>
      </c>
      <c r="M475" s="10">
        <f t="shared" si="1"/>
        <v>70600.02702</v>
      </c>
      <c r="N475" s="10">
        <f t="shared" si="2"/>
        <v>1181081.729</v>
      </c>
    </row>
    <row r="476">
      <c r="L476" s="6">
        <f t="shared" si="4"/>
        <v>0.475</v>
      </c>
      <c r="M476" s="10">
        <f t="shared" si="1"/>
        <v>70764.60387</v>
      </c>
      <c r="N476" s="10">
        <f t="shared" si="2"/>
        <v>1183834.968</v>
      </c>
    </row>
    <row r="477">
      <c r="L477" s="6">
        <f t="shared" si="4"/>
        <v>0.476</v>
      </c>
      <c r="M477" s="10">
        <f t="shared" si="1"/>
        <v>70929.53836</v>
      </c>
      <c r="N477" s="10">
        <f t="shared" si="2"/>
        <v>1186594.189</v>
      </c>
    </row>
    <row r="478">
      <c r="L478" s="6">
        <f t="shared" si="4"/>
        <v>0.477</v>
      </c>
      <c r="M478" s="10">
        <f t="shared" si="1"/>
        <v>71094.83226</v>
      </c>
      <c r="N478" s="10">
        <f t="shared" si="2"/>
        <v>1189359.423</v>
      </c>
    </row>
    <row r="479">
      <c r="L479" s="6">
        <f t="shared" si="4"/>
        <v>0.478</v>
      </c>
      <c r="M479" s="10">
        <f t="shared" si="1"/>
        <v>71260.48733</v>
      </c>
      <c r="N479" s="10">
        <f t="shared" si="2"/>
        <v>1192130.7</v>
      </c>
    </row>
    <row r="480">
      <c r="L480" s="6">
        <f t="shared" si="4"/>
        <v>0.479</v>
      </c>
      <c r="M480" s="10">
        <f t="shared" si="1"/>
        <v>71426.50537</v>
      </c>
      <c r="N480" s="10">
        <f t="shared" si="2"/>
        <v>1194908.048</v>
      </c>
    </row>
    <row r="481">
      <c r="L481" s="6">
        <f t="shared" si="4"/>
        <v>0.48</v>
      </c>
      <c r="M481" s="10">
        <f t="shared" si="1"/>
        <v>71592.88816</v>
      </c>
      <c r="N481" s="10">
        <f t="shared" si="2"/>
        <v>1197691.498</v>
      </c>
    </row>
    <row r="482">
      <c r="L482" s="6">
        <f t="shared" si="4"/>
        <v>0.481</v>
      </c>
      <c r="M482" s="10">
        <f t="shared" si="1"/>
        <v>71759.63751</v>
      </c>
      <c r="N482" s="10">
        <f t="shared" si="2"/>
        <v>1200481.081</v>
      </c>
    </row>
    <row r="483">
      <c r="L483" s="6">
        <f t="shared" si="4"/>
        <v>0.482</v>
      </c>
      <c r="M483" s="10">
        <f t="shared" si="1"/>
        <v>71926.75524</v>
      </c>
      <c r="N483" s="10">
        <f t="shared" si="2"/>
        <v>1203276.827</v>
      </c>
    </row>
    <row r="484">
      <c r="L484" s="6">
        <f t="shared" si="4"/>
        <v>0.483</v>
      </c>
      <c r="M484" s="10">
        <f t="shared" si="1"/>
        <v>72094.24317</v>
      </c>
      <c r="N484" s="10">
        <f t="shared" si="2"/>
        <v>1206078.765</v>
      </c>
    </row>
    <row r="485">
      <c r="L485" s="6">
        <f t="shared" si="4"/>
        <v>0.484</v>
      </c>
      <c r="M485" s="10">
        <f t="shared" si="1"/>
        <v>72262.10314</v>
      </c>
      <c r="N485" s="10">
        <f t="shared" si="2"/>
        <v>1208886.927</v>
      </c>
    </row>
    <row r="486">
      <c r="L486" s="6">
        <f t="shared" si="4"/>
        <v>0.485</v>
      </c>
      <c r="M486" s="10">
        <f t="shared" si="1"/>
        <v>72430.33699</v>
      </c>
      <c r="N486" s="10">
        <f t="shared" si="2"/>
        <v>1211701.345</v>
      </c>
    </row>
    <row r="487">
      <c r="L487" s="6">
        <f t="shared" si="4"/>
        <v>0.486</v>
      </c>
      <c r="M487" s="10">
        <f t="shared" si="1"/>
        <v>72598.94658</v>
      </c>
      <c r="N487" s="10">
        <f t="shared" si="2"/>
        <v>1214522.048</v>
      </c>
    </row>
    <row r="488">
      <c r="L488" s="6">
        <f t="shared" si="4"/>
        <v>0.487</v>
      </c>
      <c r="M488" s="10">
        <f t="shared" si="1"/>
        <v>72767.93379</v>
      </c>
      <c r="N488" s="10">
        <f t="shared" si="2"/>
        <v>1217349.068</v>
      </c>
    </row>
    <row r="489">
      <c r="L489" s="6">
        <f t="shared" si="4"/>
        <v>0.488</v>
      </c>
      <c r="M489" s="10">
        <f t="shared" si="1"/>
        <v>72937.30047</v>
      </c>
      <c r="N489" s="10">
        <f t="shared" si="2"/>
        <v>1220182.436</v>
      </c>
    </row>
    <row r="490">
      <c r="L490" s="6">
        <f t="shared" si="4"/>
        <v>0.489</v>
      </c>
      <c r="M490" s="10">
        <f t="shared" si="1"/>
        <v>73107.04854</v>
      </c>
      <c r="N490" s="10">
        <f t="shared" si="2"/>
        <v>1223022.185</v>
      </c>
    </row>
    <row r="491">
      <c r="L491" s="6">
        <f t="shared" si="4"/>
        <v>0.49</v>
      </c>
      <c r="M491" s="10">
        <f t="shared" si="1"/>
        <v>73277.17989</v>
      </c>
      <c r="N491" s="10">
        <f t="shared" si="2"/>
        <v>1225868.346</v>
      </c>
    </row>
    <row r="492">
      <c r="L492" s="6">
        <f t="shared" si="4"/>
        <v>0.491</v>
      </c>
      <c r="M492" s="10">
        <f t="shared" si="1"/>
        <v>73447.69642</v>
      </c>
      <c r="N492" s="10">
        <f t="shared" si="2"/>
        <v>1228720.951</v>
      </c>
    </row>
    <row r="493">
      <c r="L493" s="6">
        <f t="shared" si="4"/>
        <v>0.492</v>
      </c>
      <c r="M493" s="10">
        <f t="shared" si="1"/>
        <v>73618.60007</v>
      </c>
      <c r="N493" s="10">
        <f t="shared" si="2"/>
        <v>1231580.031</v>
      </c>
    </row>
    <row r="494">
      <c r="L494" s="6">
        <f t="shared" si="4"/>
        <v>0.493</v>
      </c>
      <c r="M494" s="10">
        <f t="shared" si="1"/>
        <v>73789.89277</v>
      </c>
      <c r="N494" s="10">
        <f t="shared" si="2"/>
        <v>1234445.621</v>
      </c>
    </row>
    <row r="495">
      <c r="L495" s="6">
        <f t="shared" si="4"/>
        <v>0.494</v>
      </c>
      <c r="M495" s="10">
        <f t="shared" si="1"/>
        <v>73961.57647</v>
      </c>
      <c r="N495" s="10">
        <f t="shared" si="2"/>
        <v>1237317.751</v>
      </c>
    </row>
    <row r="496">
      <c r="L496" s="6">
        <f t="shared" si="4"/>
        <v>0.495</v>
      </c>
      <c r="M496" s="10">
        <f t="shared" si="1"/>
        <v>74133.65311</v>
      </c>
      <c r="N496" s="10">
        <f t="shared" si="2"/>
        <v>1240196.455</v>
      </c>
    </row>
    <row r="497">
      <c r="L497" s="6">
        <f t="shared" si="4"/>
        <v>0.496</v>
      </c>
      <c r="M497" s="10">
        <f t="shared" si="1"/>
        <v>74306.12468</v>
      </c>
      <c r="N497" s="10">
        <f t="shared" si="2"/>
        <v>1243081.766</v>
      </c>
    </row>
    <row r="498">
      <c r="L498" s="6">
        <f t="shared" si="4"/>
        <v>0.497</v>
      </c>
      <c r="M498" s="10">
        <f t="shared" si="1"/>
        <v>74478.99316</v>
      </c>
      <c r="N498" s="10">
        <f t="shared" si="2"/>
        <v>1245973.716</v>
      </c>
    </row>
    <row r="499">
      <c r="L499" s="6">
        <f t="shared" si="4"/>
        <v>0.498</v>
      </c>
      <c r="M499" s="10">
        <f t="shared" si="1"/>
        <v>74652.26053</v>
      </c>
      <c r="N499" s="10">
        <f t="shared" si="2"/>
        <v>1248872.34</v>
      </c>
    </row>
    <row r="500">
      <c r="L500" s="6">
        <f t="shared" si="4"/>
        <v>0.499</v>
      </c>
      <c r="M500" s="10">
        <f t="shared" si="1"/>
        <v>74825.9288</v>
      </c>
      <c r="N500" s="10">
        <f t="shared" si="2"/>
        <v>1251777.671</v>
      </c>
    </row>
    <row r="501">
      <c r="L501" s="6">
        <f t="shared" si="4"/>
        <v>0.5</v>
      </c>
      <c r="M501" s="10">
        <f t="shared" si="1"/>
        <v>75000</v>
      </c>
      <c r="N501" s="10">
        <f t="shared" si="2"/>
        <v>1254689.742</v>
      </c>
    </row>
    <row r="502">
      <c r="L502" s="6">
        <f t="shared" si="4"/>
        <v>0.501</v>
      </c>
      <c r="M502" s="10">
        <f t="shared" si="1"/>
        <v>75174.47615</v>
      </c>
      <c r="N502" s="10">
        <f t="shared" si="2"/>
        <v>1257608.588</v>
      </c>
    </row>
    <row r="503">
      <c r="L503" s="6">
        <f t="shared" si="4"/>
        <v>0.502</v>
      </c>
      <c r="M503" s="10">
        <f t="shared" si="1"/>
        <v>75349.35928</v>
      </c>
      <c r="N503" s="10">
        <f t="shared" si="2"/>
        <v>1260534.242</v>
      </c>
    </row>
    <row r="504">
      <c r="L504" s="6">
        <f t="shared" si="4"/>
        <v>0.503</v>
      </c>
      <c r="M504" s="10">
        <f t="shared" si="1"/>
        <v>75524.65147</v>
      </c>
      <c r="N504" s="10">
        <f t="shared" si="2"/>
        <v>1263466.74</v>
      </c>
    </row>
    <row r="505">
      <c r="L505" s="6">
        <f t="shared" si="4"/>
        <v>0.504</v>
      </c>
      <c r="M505" s="10">
        <f t="shared" si="1"/>
        <v>75700.35477</v>
      </c>
      <c r="N505" s="10">
        <f t="shared" si="2"/>
        <v>1266406.115</v>
      </c>
    </row>
    <row r="506">
      <c r="L506" s="6">
        <f t="shared" si="4"/>
        <v>0.505</v>
      </c>
      <c r="M506" s="10">
        <f t="shared" si="1"/>
        <v>75876.47126</v>
      </c>
      <c r="N506" s="10">
        <f t="shared" si="2"/>
        <v>1269352.402</v>
      </c>
    </row>
    <row r="507">
      <c r="L507" s="6">
        <f t="shared" si="4"/>
        <v>0.506</v>
      </c>
      <c r="M507" s="10">
        <f t="shared" si="1"/>
        <v>76053.00304</v>
      </c>
      <c r="N507" s="10">
        <f t="shared" si="2"/>
        <v>1272305.637</v>
      </c>
    </row>
    <row r="508">
      <c r="L508" s="6">
        <f t="shared" si="4"/>
        <v>0.507</v>
      </c>
      <c r="M508" s="10">
        <f t="shared" si="1"/>
        <v>76229.95221</v>
      </c>
      <c r="N508" s="10">
        <f t="shared" si="2"/>
        <v>1275265.855</v>
      </c>
    </row>
    <row r="509">
      <c r="L509" s="6">
        <f t="shared" si="4"/>
        <v>0.508</v>
      </c>
      <c r="M509" s="10">
        <f t="shared" si="1"/>
        <v>76407.3209</v>
      </c>
      <c r="N509" s="10">
        <f t="shared" si="2"/>
        <v>1278233.09</v>
      </c>
    </row>
    <row r="510">
      <c r="L510" s="6">
        <f t="shared" si="4"/>
        <v>0.509</v>
      </c>
      <c r="M510" s="10">
        <f t="shared" si="1"/>
        <v>76585.11123</v>
      </c>
      <c r="N510" s="10">
        <f t="shared" si="2"/>
        <v>1281207.379</v>
      </c>
    </row>
    <row r="511">
      <c r="L511" s="6">
        <f t="shared" si="4"/>
        <v>0.51</v>
      </c>
      <c r="M511" s="10">
        <f t="shared" si="1"/>
        <v>76763.32534</v>
      </c>
      <c r="N511" s="10">
        <f t="shared" si="2"/>
        <v>1284188.758</v>
      </c>
    </row>
    <row r="512">
      <c r="L512" s="6">
        <f t="shared" si="4"/>
        <v>0.511</v>
      </c>
      <c r="M512" s="10">
        <f t="shared" si="1"/>
        <v>76941.96541</v>
      </c>
      <c r="N512" s="10">
        <f t="shared" si="2"/>
        <v>1287177.263</v>
      </c>
    </row>
    <row r="513">
      <c r="L513" s="6">
        <f t="shared" si="4"/>
        <v>0.512</v>
      </c>
      <c r="M513" s="10">
        <f t="shared" si="1"/>
        <v>77121.03359</v>
      </c>
      <c r="N513" s="10">
        <f t="shared" si="2"/>
        <v>1290172.93</v>
      </c>
    </row>
    <row r="514">
      <c r="L514" s="6">
        <f t="shared" si="4"/>
        <v>0.513</v>
      </c>
      <c r="M514" s="10">
        <f t="shared" si="1"/>
        <v>77300.53208</v>
      </c>
      <c r="N514" s="10">
        <f t="shared" si="2"/>
        <v>1293175.796</v>
      </c>
    </row>
    <row r="515">
      <c r="L515" s="6">
        <f t="shared" si="4"/>
        <v>0.514</v>
      </c>
      <c r="M515" s="10">
        <f t="shared" si="1"/>
        <v>77480.46307</v>
      </c>
      <c r="N515" s="10">
        <f t="shared" si="2"/>
        <v>1296185.897</v>
      </c>
    </row>
    <row r="516">
      <c r="L516" s="6">
        <f t="shared" si="4"/>
        <v>0.515</v>
      </c>
      <c r="M516" s="10">
        <f t="shared" si="1"/>
        <v>77660.82879</v>
      </c>
      <c r="N516" s="10">
        <f t="shared" si="2"/>
        <v>1299203.27</v>
      </c>
    </row>
    <row r="517">
      <c r="L517" s="6">
        <f t="shared" si="4"/>
        <v>0.516</v>
      </c>
      <c r="M517" s="10">
        <f t="shared" si="1"/>
        <v>77841.63145</v>
      </c>
      <c r="N517" s="10">
        <f t="shared" si="2"/>
        <v>1302227.953</v>
      </c>
    </row>
    <row r="518">
      <c r="L518" s="6">
        <f t="shared" si="4"/>
        <v>0.517</v>
      </c>
      <c r="M518" s="10">
        <f t="shared" si="1"/>
        <v>78022.87329</v>
      </c>
      <c r="N518" s="10">
        <f t="shared" si="2"/>
        <v>1305259.984</v>
      </c>
    </row>
    <row r="519">
      <c r="L519" s="6">
        <f t="shared" si="4"/>
        <v>0.518</v>
      </c>
      <c r="M519" s="10">
        <f t="shared" si="1"/>
        <v>78204.55658</v>
      </c>
      <c r="N519" s="10">
        <f t="shared" si="2"/>
        <v>1308299.399</v>
      </c>
    </row>
    <row r="520">
      <c r="L520" s="6">
        <f t="shared" si="4"/>
        <v>0.519</v>
      </c>
      <c r="M520" s="10">
        <f t="shared" si="1"/>
        <v>78386.68359</v>
      </c>
      <c r="N520" s="10">
        <f t="shared" si="2"/>
        <v>1311346.238</v>
      </c>
    </row>
    <row r="521">
      <c r="L521" s="6">
        <f t="shared" si="4"/>
        <v>0.52</v>
      </c>
      <c r="M521" s="10">
        <f t="shared" si="1"/>
        <v>78569.25659</v>
      </c>
      <c r="N521" s="10">
        <f t="shared" si="2"/>
        <v>1314400.537</v>
      </c>
    </row>
    <row r="522">
      <c r="L522" s="6">
        <f t="shared" si="4"/>
        <v>0.521</v>
      </c>
      <c r="M522" s="10">
        <f t="shared" si="1"/>
        <v>78752.2779</v>
      </c>
      <c r="N522" s="10">
        <f t="shared" si="2"/>
        <v>1317462.337</v>
      </c>
    </row>
    <row r="523">
      <c r="L523" s="6">
        <f t="shared" si="4"/>
        <v>0.522</v>
      </c>
      <c r="M523" s="10">
        <f t="shared" si="1"/>
        <v>78935.74982</v>
      </c>
      <c r="N523" s="10">
        <f t="shared" si="2"/>
        <v>1320531.675</v>
      </c>
    </row>
    <row r="524">
      <c r="L524" s="6">
        <f t="shared" si="4"/>
        <v>0.523</v>
      </c>
      <c r="M524" s="10">
        <f t="shared" si="1"/>
        <v>79119.67469</v>
      </c>
      <c r="N524" s="10">
        <f t="shared" si="2"/>
        <v>1323608.59</v>
      </c>
    </row>
    <row r="525">
      <c r="L525" s="6">
        <f t="shared" si="4"/>
        <v>0.524</v>
      </c>
      <c r="M525" s="10">
        <f t="shared" si="1"/>
        <v>79304.05484</v>
      </c>
      <c r="N525" s="10">
        <f t="shared" si="2"/>
        <v>1326693.122</v>
      </c>
    </row>
    <row r="526">
      <c r="L526" s="6">
        <f t="shared" si="4"/>
        <v>0.525</v>
      </c>
      <c r="M526" s="10">
        <f t="shared" si="1"/>
        <v>79488.89264</v>
      </c>
      <c r="N526" s="10">
        <f t="shared" si="2"/>
        <v>1329785.31</v>
      </c>
    </row>
    <row r="527">
      <c r="L527" s="6">
        <f t="shared" si="4"/>
        <v>0.526</v>
      </c>
      <c r="M527" s="10">
        <f t="shared" si="1"/>
        <v>79674.19047</v>
      </c>
      <c r="N527" s="10">
        <f t="shared" si="2"/>
        <v>1332885.193</v>
      </c>
    </row>
    <row r="528">
      <c r="L528" s="6">
        <f t="shared" si="4"/>
        <v>0.527</v>
      </c>
      <c r="M528" s="10">
        <f t="shared" si="1"/>
        <v>79859.95072</v>
      </c>
      <c r="N528" s="10">
        <f t="shared" si="2"/>
        <v>1335992.813</v>
      </c>
    </row>
    <row r="529">
      <c r="L529" s="6">
        <f t="shared" si="4"/>
        <v>0.528</v>
      </c>
      <c r="M529" s="10">
        <f t="shared" si="1"/>
        <v>80046.17579</v>
      </c>
      <c r="N529" s="10">
        <f t="shared" si="2"/>
        <v>1339108.209</v>
      </c>
    </row>
    <row r="530">
      <c r="L530" s="6">
        <f t="shared" si="4"/>
        <v>0.529</v>
      </c>
      <c r="M530" s="10">
        <f t="shared" si="1"/>
        <v>80232.8681</v>
      </c>
      <c r="N530" s="10">
        <f t="shared" si="2"/>
        <v>1342231.421</v>
      </c>
    </row>
    <row r="531">
      <c r="L531" s="6">
        <f t="shared" si="4"/>
        <v>0.53</v>
      </c>
      <c r="M531" s="10">
        <f t="shared" si="1"/>
        <v>80420.0301</v>
      </c>
      <c r="N531" s="10">
        <f t="shared" si="2"/>
        <v>1345362.491</v>
      </c>
    </row>
    <row r="532">
      <c r="L532" s="6">
        <f t="shared" si="4"/>
        <v>0.531</v>
      </c>
      <c r="M532" s="10">
        <f t="shared" si="1"/>
        <v>80607.66424</v>
      </c>
      <c r="N532" s="10">
        <f t="shared" si="2"/>
        <v>1348501.459</v>
      </c>
    </row>
    <row r="533">
      <c r="L533" s="6">
        <f t="shared" si="4"/>
        <v>0.532</v>
      </c>
      <c r="M533" s="10">
        <f t="shared" si="1"/>
        <v>80795.77299</v>
      </c>
      <c r="N533" s="10">
        <f t="shared" si="2"/>
        <v>1351648.368</v>
      </c>
    </row>
    <row r="534">
      <c r="L534" s="6">
        <f t="shared" si="4"/>
        <v>0.533</v>
      </c>
      <c r="M534" s="10">
        <f t="shared" si="1"/>
        <v>80984.35883</v>
      </c>
      <c r="N534" s="10">
        <f t="shared" si="2"/>
        <v>1354803.257</v>
      </c>
    </row>
    <row r="535">
      <c r="L535" s="6">
        <f t="shared" si="4"/>
        <v>0.534</v>
      </c>
      <c r="M535" s="10">
        <f t="shared" si="1"/>
        <v>81173.42428</v>
      </c>
      <c r="N535" s="10">
        <f t="shared" si="2"/>
        <v>1357966.17</v>
      </c>
    </row>
    <row r="536">
      <c r="L536" s="6">
        <f t="shared" si="4"/>
        <v>0.535</v>
      </c>
      <c r="M536" s="10">
        <f t="shared" si="1"/>
        <v>81362.97186</v>
      </c>
      <c r="N536" s="10">
        <f t="shared" si="2"/>
        <v>1361137.149</v>
      </c>
    </row>
    <row r="537">
      <c r="L537" s="6">
        <f t="shared" si="4"/>
        <v>0.536</v>
      </c>
      <c r="M537" s="10">
        <f t="shared" si="1"/>
        <v>81553.00409</v>
      </c>
      <c r="N537" s="10">
        <f t="shared" si="2"/>
        <v>1364316.236</v>
      </c>
    </row>
    <row r="538">
      <c r="L538" s="6">
        <f t="shared" si="4"/>
        <v>0.537</v>
      </c>
      <c r="M538" s="10">
        <f t="shared" si="1"/>
        <v>81743.52354</v>
      </c>
      <c r="N538" s="10">
        <f t="shared" si="2"/>
        <v>1367503.473</v>
      </c>
    </row>
    <row r="539">
      <c r="L539" s="6">
        <f t="shared" si="4"/>
        <v>0.538</v>
      </c>
      <c r="M539" s="10">
        <f t="shared" si="1"/>
        <v>81934.53278</v>
      </c>
      <c r="N539" s="10">
        <f t="shared" si="2"/>
        <v>1370698.904</v>
      </c>
    </row>
    <row r="540">
      <c r="L540" s="6">
        <f t="shared" si="4"/>
        <v>0.539</v>
      </c>
      <c r="M540" s="10">
        <f t="shared" si="1"/>
        <v>82126.0344</v>
      </c>
      <c r="N540" s="10">
        <f t="shared" si="2"/>
        <v>1373902.572</v>
      </c>
    </row>
    <row r="541">
      <c r="L541" s="6">
        <f t="shared" si="4"/>
        <v>0.54</v>
      </c>
      <c r="M541" s="10">
        <f t="shared" si="1"/>
        <v>82318.03101</v>
      </c>
      <c r="N541" s="10">
        <f t="shared" si="2"/>
        <v>1377114.521</v>
      </c>
    </row>
    <row r="542">
      <c r="L542" s="6">
        <f t="shared" si="4"/>
        <v>0.541</v>
      </c>
      <c r="M542" s="10">
        <f t="shared" si="1"/>
        <v>82510.52523</v>
      </c>
      <c r="N542" s="10">
        <f t="shared" si="2"/>
        <v>1380334.795</v>
      </c>
    </row>
    <row r="543">
      <c r="L543" s="6">
        <f t="shared" si="4"/>
        <v>0.542</v>
      </c>
      <c r="M543" s="10">
        <f t="shared" si="1"/>
        <v>82703.5197</v>
      </c>
      <c r="N543" s="10">
        <f t="shared" si="2"/>
        <v>1383563.437</v>
      </c>
    </row>
    <row r="544">
      <c r="L544" s="6">
        <f t="shared" si="4"/>
        <v>0.543</v>
      </c>
      <c r="M544" s="10">
        <f t="shared" si="1"/>
        <v>82897.01709</v>
      </c>
      <c r="N544" s="10">
        <f t="shared" si="2"/>
        <v>1386800.493</v>
      </c>
    </row>
    <row r="545">
      <c r="L545" s="6">
        <f t="shared" si="4"/>
        <v>0.544</v>
      </c>
      <c r="M545" s="10">
        <f t="shared" si="1"/>
        <v>83091.02007</v>
      </c>
      <c r="N545" s="10">
        <f t="shared" si="2"/>
        <v>1390046.007</v>
      </c>
    </row>
    <row r="546">
      <c r="L546" s="6">
        <f t="shared" si="4"/>
        <v>0.545</v>
      </c>
      <c r="M546" s="10">
        <f t="shared" si="1"/>
        <v>83285.53134</v>
      </c>
      <c r="N546" s="10">
        <f t="shared" si="2"/>
        <v>1393300.025</v>
      </c>
    </row>
    <row r="547">
      <c r="L547" s="6">
        <f t="shared" si="4"/>
        <v>0.546</v>
      </c>
      <c r="M547" s="10">
        <f t="shared" si="1"/>
        <v>83480.55363</v>
      </c>
      <c r="N547" s="10">
        <f t="shared" si="2"/>
        <v>1396562.591</v>
      </c>
    </row>
    <row r="548">
      <c r="L548" s="6">
        <f t="shared" si="4"/>
        <v>0.547</v>
      </c>
      <c r="M548" s="10">
        <f t="shared" si="1"/>
        <v>83676.08966</v>
      </c>
      <c r="N548" s="10">
        <f t="shared" si="2"/>
        <v>1399833.752</v>
      </c>
    </row>
    <row r="549">
      <c r="L549" s="6">
        <f t="shared" si="4"/>
        <v>0.548</v>
      </c>
      <c r="M549" s="10">
        <f t="shared" si="1"/>
        <v>83872.14219</v>
      </c>
      <c r="N549" s="10">
        <f t="shared" si="2"/>
        <v>1403113.553</v>
      </c>
    </row>
    <row r="550">
      <c r="L550" s="6">
        <f t="shared" si="4"/>
        <v>0.549</v>
      </c>
      <c r="M550" s="10">
        <f t="shared" si="1"/>
        <v>84068.714</v>
      </c>
      <c r="N550" s="10">
        <f t="shared" si="2"/>
        <v>1406402.041</v>
      </c>
    </row>
    <row r="551">
      <c r="L551" s="6">
        <f t="shared" si="4"/>
        <v>0.55</v>
      </c>
      <c r="M551" s="10">
        <f t="shared" si="1"/>
        <v>84265.80787</v>
      </c>
      <c r="N551" s="10">
        <f t="shared" si="2"/>
        <v>1409699.263</v>
      </c>
    </row>
    <row r="552">
      <c r="L552" s="6">
        <f t="shared" si="4"/>
        <v>0.551</v>
      </c>
      <c r="M552" s="10">
        <f t="shared" si="1"/>
        <v>84463.42661</v>
      </c>
      <c r="N552" s="10">
        <f t="shared" si="2"/>
        <v>1413005.266</v>
      </c>
    </row>
    <row r="553">
      <c r="L553" s="6">
        <f t="shared" si="4"/>
        <v>0.552</v>
      </c>
      <c r="M553" s="10">
        <f t="shared" si="1"/>
        <v>84661.57307</v>
      </c>
      <c r="N553" s="10">
        <f t="shared" si="2"/>
        <v>1416320.097</v>
      </c>
    </row>
    <row r="554">
      <c r="L554" s="6">
        <f t="shared" si="4"/>
        <v>0.553</v>
      </c>
      <c r="M554" s="10">
        <f t="shared" si="1"/>
        <v>84860.2501</v>
      </c>
      <c r="N554" s="10">
        <f t="shared" si="2"/>
        <v>1419643.804</v>
      </c>
    </row>
    <row r="555">
      <c r="L555" s="6">
        <f t="shared" si="4"/>
        <v>0.554</v>
      </c>
      <c r="M555" s="10">
        <f t="shared" si="1"/>
        <v>85059.46055</v>
      </c>
      <c r="N555" s="10">
        <f t="shared" si="2"/>
        <v>1422976.435</v>
      </c>
    </row>
    <row r="556">
      <c r="L556" s="6">
        <f t="shared" si="4"/>
        <v>0.555</v>
      </c>
      <c r="M556" s="10">
        <f t="shared" si="1"/>
        <v>85259.20734</v>
      </c>
      <c r="N556" s="10">
        <f t="shared" si="2"/>
        <v>1426318.038</v>
      </c>
    </row>
    <row r="557">
      <c r="L557" s="6">
        <f t="shared" si="4"/>
        <v>0.556</v>
      </c>
      <c r="M557" s="10">
        <f t="shared" si="1"/>
        <v>85459.49337</v>
      </c>
      <c r="N557" s="10">
        <f t="shared" si="2"/>
        <v>1429668.663</v>
      </c>
    </row>
    <row r="558">
      <c r="L558" s="6">
        <f t="shared" si="4"/>
        <v>0.557</v>
      </c>
      <c r="M558" s="10">
        <f t="shared" si="1"/>
        <v>85660.32157</v>
      </c>
      <c r="N558" s="10">
        <f t="shared" si="2"/>
        <v>1433028.357</v>
      </c>
    </row>
    <row r="559">
      <c r="L559" s="6">
        <f t="shared" si="4"/>
        <v>0.558</v>
      </c>
      <c r="M559" s="10">
        <f t="shared" si="1"/>
        <v>85861.6949</v>
      </c>
      <c r="N559" s="10">
        <f t="shared" si="2"/>
        <v>1436397.171</v>
      </c>
    </row>
    <row r="560">
      <c r="L560" s="6">
        <f t="shared" si="4"/>
        <v>0.559</v>
      </c>
      <c r="M560" s="10">
        <f t="shared" si="1"/>
        <v>86063.61634</v>
      </c>
      <c r="N560" s="10">
        <f t="shared" si="2"/>
        <v>1439775.155</v>
      </c>
    </row>
    <row r="561">
      <c r="L561" s="6">
        <f t="shared" si="4"/>
        <v>0.56</v>
      </c>
      <c r="M561" s="10">
        <f t="shared" si="1"/>
        <v>86266.08888</v>
      </c>
      <c r="N561" s="10">
        <f t="shared" si="2"/>
        <v>1443162.358</v>
      </c>
    </row>
    <row r="562">
      <c r="L562" s="6">
        <f t="shared" si="4"/>
        <v>0.561</v>
      </c>
      <c r="M562" s="10">
        <f t="shared" si="1"/>
        <v>86469.11555</v>
      </c>
      <c r="N562" s="10">
        <f t="shared" si="2"/>
        <v>1446558.831</v>
      </c>
    </row>
    <row r="563">
      <c r="L563" s="6">
        <f t="shared" si="4"/>
        <v>0.562</v>
      </c>
      <c r="M563" s="10">
        <f t="shared" si="1"/>
        <v>86672.69937</v>
      </c>
      <c r="N563" s="10">
        <f t="shared" si="2"/>
        <v>1449964.624</v>
      </c>
    </row>
    <row r="564">
      <c r="L564" s="6">
        <f t="shared" si="4"/>
        <v>0.563</v>
      </c>
      <c r="M564" s="10">
        <f t="shared" si="1"/>
        <v>86876.84343</v>
      </c>
      <c r="N564" s="10">
        <f t="shared" si="2"/>
        <v>1453379.79</v>
      </c>
    </row>
    <row r="565">
      <c r="L565" s="6">
        <f t="shared" si="4"/>
        <v>0.564</v>
      </c>
      <c r="M565" s="10">
        <f t="shared" si="1"/>
        <v>87081.55079</v>
      </c>
      <c r="N565" s="10">
        <f t="shared" si="2"/>
        <v>1456804.38</v>
      </c>
    </row>
    <row r="566">
      <c r="L566" s="6">
        <f t="shared" si="4"/>
        <v>0.565</v>
      </c>
      <c r="M566" s="10">
        <f t="shared" si="1"/>
        <v>87286.82458</v>
      </c>
      <c r="N566" s="10">
        <f t="shared" si="2"/>
        <v>1460238.446</v>
      </c>
    </row>
    <row r="567">
      <c r="L567" s="6">
        <f t="shared" si="4"/>
        <v>0.566</v>
      </c>
      <c r="M567" s="10">
        <f t="shared" si="1"/>
        <v>87492.66791</v>
      </c>
      <c r="N567" s="10">
        <f t="shared" si="2"/>
        <v>1463682.039</v>
      </c>
    </row>
    <row r="568">
      <c r="L568" s="6">
        <f t="shared" si="4"/>
        <v>0.567</v>
      </c>
      <c r="M568" s="10">
        <f t="shared" si="1"/>
        <v>87699.08394</v>
      </c>
      <c r="N568" s="10">
        <f t="shared" si="2"/>
        <v>1467135.214</v>
      </c>
    </row>
    <row r="569">
      <c r="L569" s="6">
        <f t="shared" si="4"/>
        <v>0.568</v>
      </c>
      <c r="M569" s="10">
        <f t="shared" si="1"/>
        <v>87906.07585</v>
      </c>
      <c r="N569" s="10">
        <f t="shared" si="2"/>
        <v>1470598.022</v>
      </c>
    </row>
    <row r="570">
      <c r="L570" s="6">
        <f t="shared" si="4"/>
        <v>0.569</v>
      </c>
      <c r="M570" s="10">
        <f t="shared" si="1"/>
        <v>88113.64684</v>
      </c>
      <c r="N570" s="10">
        <f t="shared" si="2"/>
        <v>1474070.518</v>
      </c>
    </row>
    <row r="571">
      <c r="L571" s="6">
        <f t="shared" si="4"/>
        <v>0.57</v>
      </c>
      <c r="M571" s="10">
        <f t="shared" si="1"/>
        <v>88321.80013</v>
      </c>
      <c r="N571" s="10">
        <f t="shared" si="2"/>
        <v>1477552.755</v>
      </c>
    </row>
    <row r="572">
      <c r="L572" s="6">
        <f t="shared" si="4"/>
        <v>0.571</v>
      </c>
      <c r="M572" s="10">
        <f t="shared" si="1"/>
        <v>88530.53896</v>
      </c>
      <c r="N572" s="10">
        <f t="shared" si="2"/>
        <v>1481044.788</v>
      </c>
    </row>
    <row r="573">
      <c r="L573" s="6">
        <f t="shared" si="4"/>
        <v>0.572</v>
      </c>
      <c r="M573" s="10">
        <f t="shared" si="1"/>
        <v>88739.86662</v>
      </c>
      <c r="N573" s="10">
        <f t="shared" si="2"/>
        <v>1484546.672</v>
      </c>
    </row>
    <row r="574">
      <c r="L574" s="6">
        <f t="shared" si="4"/>
        <v>0.573</v>
      </c>
      <c r="M574" s="10">
        <f t="shared" si="1"/>
        <v>88949.78638</v>
      </c>
      <c r="N574" s="10">
        <f t="shared" si="2"/>
        <v>1488058.461</v>
      </c>
    </row>
    <row r="575">
      <c r="L575" s="6">
        <f t="shared" si="4"/>
        <v>0.574</v>
      </c>
      <c r="M575" s="10">
        <f t="shared" si="1"/>
        <v>89160.30158</v>
      </c>
      <c r="N575" s="10">
        <f t="shared" si="2"/>
        <v>1491580.211</v>
      </c>
    </row>
    <row r="576">
      <c r="L576" s="6">
        <f t="shared" si="4"/>
        <v>0.575</v>
      </c>
      <c r="M576" s="10">
        <f t="shared" si="1"/>
        <v>89371.41556</v>
      </c>
      <c r="N576" s="10">
        <f t="shared" si="2"/>
        <v>1495111.978</v>
      </c>
    </row>
    <row r="577">
      <c r="L577" s="6">
        <f t="shared" si="4"/>
        <v>0.576</v>
      </c>
      <c r="M577" s="10">
        <f t="shared" si="1"/>
        <v>89583.13168</v>
      </c>
      <c r="N577" s="10">
        <f t="shared" si="2"/>
        <v>1498653.819</v>
      </c>
    </row>
    <row r="578">
      <c r="L578" s="6">
        <f t="shared" si="4"/>
        <v>0.577</v>
      </c>
      <c r="M578" s="10">
        <f t="shared" si="1"/>
        <v>89795.45335</v>
      </c>
      <c r="N578" s="10">
        <f t="shared" si="2"/>
        <v>1502205.79</v>
      </c>
    </row>
    <row r="579">
      <c r="L579" s="6">
        <f t="shared" si="4"/>
        <v>0.578</v>
      </c>
      <c r="M579" s="10">
        <f t="shared" si="1"/>
        <v>90008.38398</v>
      </c>
      <c r="N579" s="10">
        <f t="shared" si="2"/>
        <v>1505767.948</v>
      </c>
    </row>
    <row r="580">
      <c r="L580" s="6">
        <f t="shared" si="4"/>
        <v>0.579</v>
      </c>
      <c r="M580" s="10">
        <f t="shared" si="1"/>
        <v>90221.92702</v>
      </c>
      <c r="N580" s="10">
        <f t="shared" si="2"/>
        <v>1509340.351</v>
      </c>
    </row>
    <row r="581">
      <c r="L581" s="6">
        <f t="shared" si="4"/>
        <v>0.58</v>
      </c>
      <c r="M581" s="10">
        <f t="shared" si="1"/>
        <v>90436.08595</v>
      </c>
      <c r="N581" s="10">
        <f t="shared" si="2"/>
        <v>1512923.058</v>
      </c>
    </row>
    <row r="582">
      <c r="L582" s="6">
        <f t="shared" si="4"/>
        <v>0.581</v>
      </c>
      <c r="M582" s="10">
        <f t="shared" si="1"/>
        <v>90650.86425</v>
      </c>
      <c r="N582" s="10">
        <f t="shared" si="2"/>
        <v>1516516.127</v>
      </c>
    </row>
    <row r="583">
      <c r="L583" s="6">
        <f t="shared" si="4"/>
        <v>0.582</v>
      </c>
      <c r="M583" s="10">
        <f t="shared" si="1"/>
        <v>90866.26546</v>
      </c>
      <c r="N583" s="10">
        <f t="shared" si="2"/>
        <v>1520119.616</v>
      </c>
    </row>
    <row r="584">
      <c r="L584" s="6">
        <f t="shared" si="4"/>
        <v>0.583</v>
      </c>
      <c r="M584" s="10">
        <f t="shared" si="1"/>
        <v>91082.29313</v>
      </c>
      <c r="N584" s="10">
        <f t="shared" si="2"/>
        <v>1523733.585</v>
      </c>
    </row>
    <row r="585">
      <c r="L585" s="6">
        <f t="shared" si="4"/>
        <v>0.584</v>
      </c>
      <c r="M585" s="10">
        <f t="shared" si="1"/>
        <v>91298.95084</v>
      </c>
      <c r="N585" s="10">
        <f t="shared" si="2"/>
        <v>1527358.095</v>
      </c>
    </row>
    <row r="586">
      <c r="L586" s="6">
        <f t="shared" si="4"/>
        <v>0.585</v>
      </c>
      <c r="M586" s="10">
        <f t="shared" si="1"/>
        <v>91516.2422</v>
      </c>
      <c r="N586" s="10">
        <f t="shared" si="2"/>
        <v>1530993.204</v>
      </c>
    </row>
    <row r="587">
      <c r="L587" s="6">
        <f t="shared" si="4"/>
        <v>0.586</v>
      </c>
      <c r="M587" s="10">
        <f t="shared" si="1"/>
        <v>91734.17084</v>
      </c>
      <c r="N587" s="10">
        <f t="shared" si="2"/>
        <v>1534638.975</v>
      </c>
    </row>
    <row r="588">
      <c r="L588" s="6">
        <f t="shared" si="4"/>
        <v>0.587</v>
      </c>
      <c r="M588" s="10">
        <f t="shared" si="1"/>
        <v>91952.74042</v>
      </c>
      <c r="N588" s="10">
        <f t="shared" si="2"/>
        <v>1538295.469</v>
      </c>
    </row>
    <row r="589">
      <c r="L589" s="6">
        <f t="shared" si="4"/>
        <v>0.588</v>
      </c>
      <c r="M589" s="10">
        <f t="shared" si="1"/>
        <v>92171.95464</v>
      </c>
      <c r="N589" s="10">
        <f t="shared" si="2"/>
        <v>1541962.747</v>
      </c>
    </row>
    <row r="590">
      <c r="L590" s="6">
        <f t="shared" si="4"/>
        <v>0.589</v>
      </c>
      <c r="M590" s="10">
        <f t="shared" si="1"/>
        <v>92391.81722</v>
      </c>
      <c r="N590" s="10">
        <f t="shared" si="2"/>
        <v>1545640.871</v>
      </c>
    </row>
    <row r="591">
      <c r="L591" s="6">
        <f t="shared" si="4"/>
        <v>0.59</v>
      </c>
      <c r="M591" s="10">
        <f t="shared" si="1"/>
        <v>92612.3319</v>
      </c>
      <c r="N591" s="10">
        <f t="shared" si="2"/>
        <v>1549329.905</v>
      </c>
    </row>
    <row r="592">
      <c r="L592" s="6">
        <f t="shared" si="4"/>
        <v>0.591</v>
      </c>
      <c r="M592" s="10">
        <f t="shared" si="1"/>
        <v>92833.50247</v>
      </c>
      <c r="N592" s="10">
        <f t="shared" si="2"/>
        <v>1553029.91</v>
      </c>
    </row>
    <row r="593">
      <c r="L593" s="6">
        <f t="shared" si="4"/>
        <v>0.592</v>
      </c>
      <c r="M593" s="10">
        <f t="shared" si="1"/>
        <v>93055.33273</v>
      </c>
      <c r="N593" s="10">
        <f t="shared" si="2"/>
        <v>1556740.952</v>
      </c>
    </row>
    <row r="594">
      <c r="L594" s="6">
        <f t="shared" si="4"/>
        <v>0.593</v>
      </c>
      <c r="M594" s="10">
        <f t="shared" si="1"/>
        <v>93277.82652</v>
      </c>
      <c r="N594" s="10">
        <f t="shared" si="2"/>
        <v>1560463.095</v>
      </c>
    </row>
    <row r="595">
      <c r="L595" s="6">
        <f t="shared" si="4"/>
        <v>0.594</v>
      </c>
      <c r="M595" s="10">
        <f t="shared" si="1"/>
        <v>93500.98771</v>
      </c>
      <c r="N595" s="10">
        <f t="shared" si="2"/>
        <v>1564196.402</v>
      </c>
    </row>
    <row r="596">
      <c r="L596" s="6">
        <f t="shared" si="4"/>
        <v>0.595</v>
      </c>
      <c r="M596" s="10">
        <f t="shared" si="1"/>
        <v>93724.82019</v>
      </c>
      <c r="N596" s="10">
        <f t="shared" si="2"/>
        <v>1567940.94</v>
      </c>
    </row>
    <row r="597">
      <c r="L597" s="6">
        <f t="shared" si="4"/>
        <v>0.596</v>
      </c>
      <c r="M597" s="10">
        <f t="shared" si="1"/>
        <v>93949.32791</v>
      </c>
      <c r="N597" s="10">
        <f t="shared" si="2"/>
        <v>1571696.773</v>
      </c>
    </row>
    <row r="598">
      <c r="L598" s="6">
        <f t="shared" si="4"/>
        <v>0.597</v>
      </c>
      <c r="M598" s="10">
        <f t="shared" si="1"/>
        <v>94174.51481</v>
      </c>
      <c r="N598" s="10">
        <f t="shared" si="2"/>
        <v>1575463.969</v>
      </c>
    </row>
    <row r="599">
      <c r="L599" s="6">
        <f t="shared" si="4"/>
        <v>0.598</v>
      </c>
      <c r="M599" s="10">
        <f t="shared" si="1"/>
        <v>94400.38488</v>
      </c>
      <c r="N599" s="10">
        <f t="shared" si="2"/>
        <v>1579242.594</v>
      </c>
    </row>
    <row r="600">
      <c r="L600" s="6">
        <f t="shared" si="4"/>
        <v>0.599</v>
      </c>
      <c r="M600" s="10">
        <f t="shared" si="1"/>
        <v>94626.94217</v>
      </c>
      <c r="N600" s="10">
        <f t="shared" si="2"/>
        <v>1583032.716</v>
      </c>
    </row>
    <row r="601">
      <c r="L601" s="6">
        <f t="shared" si="4"/>
        <v>0.6</v>
      </c>
      <c r="M601" s="10">
        <f t="shared" si="1"/>
        <v>94854.19071</v>
      </c>
      <c r="N601" s="10">
        <f t="shared" si="2"/>
        <v>1586834.401</v>
      </c>
    </row>
    <row r="602">
      <c r="L602" s="6">
        <f t="shared" si="4"/>
        <v>0.601</v>
      </c>
      <c r="M602" s="10">
        <f t="shared" si="1"/>
        <v>95082.1346</v>
      </c>
      <c r="N602" s="10">
        <f t="shared" si="2"/>
        <v>1590647.719</v>
      </c>
    </row>
    <row r="603">
      <c r="L603" s="6">
        <f t="shared" si="4"/>
        <v>0.602</v>
      </c>
      <c r="M603" s="10">
        <f t="shared" si="1"/>
        <v>95310.77796</v>
      </c>
      <c r="N603" s="10">
        <f t="shared" si="2"/>
        <v>1594472.739</v>
      </c>
    </row>
    <row r="604">
      <c r="L604" s="6">
        <f t="shared" si="4"/>
        <v>0.603</v>
      </c>
      <c r="M604" s="10">
        <f t="shared" si="1"/>
        <v>95540.12495</v>
      </c>
      <c r="N604" s="10">
        <f t="shared" si="2"/>
        <v>1598309.53</v>
      </c>
    </row>
    <row r="605">
      <c r="L605" s="6">
        <f t="shared" si="4"/>
        <v>0.604</v>
      </c>
      <c r="M605" s="10">
        <f t="shared" si="1"/>
        <v>95770.17975</v>
      </c>
      <c r="N605" s="10">
        <f t="shared" si="2"/>
        <v>1602158.162</v>
      </c>
    </row>
    <row r="606">
      <c r="L606" s="6">
        <f t="shared" si="4"/>
        <v>0.605</v>
      </c>
      <c r="M606" s="10">
        <f t="shared" si="1"/>
        <v>96000.94659</v>
      </c>
      <c r="N606" s="10">
        <f t="shared" si="2"/>
        <v>1606018.706</v>
      </c>
    </row>
    <row r="607">
      <c r="L607" s="6">
        <f t="shared" si="4"/>
        <v>0.606</v>
      </c>
      <c r="M607" s="10">
        <f t="shared" si="1"/>
        <v>96232.42972</v>
      </c>
      <c r="N607" s="10">
        <f t="shared" si="2"/>
        <v>1609891.232</v>
      </c>
    </row>
    <row r="608">
      <c r="L608" s="6">
        <f t="shared" si="4"/>
        <v>0.607</v>
      </c>
      <c r="M608" s="10">
        <f t="shared" si="1"/>
        <v>96464.63344</v>
      </c>
      <c r="N608" s="10">
        <f t="shared" si="2"/>
        <v>1613775.814</v>
      </c>
    </row>
    <row r="609">
      <c r="L609" s="6">
        <f t="shared" si="4"/>
        <v>0.608</v>
      </c>
      <c r="M609" s="10">
        <f t="shared" si="1"/>
        <v>96697.56206</v>
      </c>
      <c r="N609" s="10">
        <f t="shared" si="2"/>
        <v>1617672.523</v>
      </c>
    </row>
    <row r="610">
      <c r="L610" s="6">
        <f t="shared" si="4"/>
        <v>0.609</v>
      </c>
      <c r="M610" s="10">
        <f t="shared" si="1"/>
        <v>96931.21997</v>
      </c>
      <c r="N610" s="10">
        <f t="shared" si="2"/>
        <v>1621581.432</v>
      </c>
    </row>
    <row r="611">
      <c r="L611" s="6">
        <f t="shared" si="4"/>
        <v>0.61</v>
      </c>
      <c r="M611" s="10">
        <f t="shared" si="1"/>
        <v>97165.61154</v>
      </c>
      <c r="N611" s="10">
        <f t="shared" si="2"/>
        <v>1625502.615</v>
      </c>
    </row>
    <row r="612">
      <c r="L612" s="6">
        <f t="shared" si="4"/>
        <v>0.611</v>
      </c>
      <c r="M612" s="10">
        <f t="shared" si="1"/>
        <v>97400.74123</v>
      </c>
      <c r="N612" s="10">
        <f t="shared" si="2"/>
        <v>1629436.145</v>
      </c>
    </row>
    <row r="613">
      <c r="L613" s="6">
        <f t="shared" si="4"/>
        <v>0.612</v>
      </c>
      <c r="M613" s="10">
        <f t="shared" si="1"/>
        <v>97636.61349</v>
      </c>
      <c r="N613" s="10">
        <f t="shared" si="2"/>
        <v>1633382.099</v>
      </c>
    </row>
    <row r="614">
      <c r="L614" s="6">
        <f t="shared" si="4"/>
        <v>0.613</v>
      </c>
      <c r="M614" s="10">
        <f t="shared" si="1"/>
        <v>97873.23284</v>
      </c>
      <c r="N614" s="10">
        <f t="shared" si="2"/>
        <v>1637340.55</v>
      </c>
    </row>
    <row r="615">
      <c r="L615" s="6">
        <f t="shared" si="4"/>
        <v>0.614</v>
      </c>
      <c r="M615" s="10">
        <f t="shared" si="1"/>
        <v>98110.60382</v>
      </c>
      <c r="N615" s="10">
        <f t="shared" si="2"/>
        <v>1641311.576</v>
      </c>
    </row>
    <row r="616">
      <c r="L616" s="6">
        <f t="shared" si="4"/>
        <v>0.615</v>
      </c>
      <c r="M616" s="10">
        <f t="shared" si="1"/>
        <v>98348.73102</v>
      </c>
      <c r="N616" s="10">
        <f t="shared" si="2"/>
        <v>1645295.253</v>
      </c>
    </row>
    <row r="617">
      <c r="L617" s="6">
        <f t="shared" si="4"/>
        <v>0.616</v>
      </c>
      <c r="M617" s="10">
        <f t="shared" si="1"/>
        <v>98587.61905</v>
      </c>
      <c r="N617" s="10">
        <f t="shared" si="2"/>
        <v>1649291.658</v>
      </c>
    </row>
    <row r="618">
      <c r="L618" s="6">
        <f t="shared" si="4"/>
        <v>0.617</v>
      </c>
      <c r="M618" s="10">
        <f t="shared" si="1"/>
        <v>98827.27259</v>
      </c>
      <c r="N618" s="10">
        <f t="shared" si="2"/>
        <v>1653300.869</v>
      </c>
    </row>
    <row r="619">
      <c r="L619" s="6">
        <f t="shared" si="4"/>
        <v>0.618</v>
      </c>
      <c r="M619" s="10">
        <f t="shared" si="1"/>
        <v>99067.69632</v>
      </c>
      <c r="N619" s="10">
        <f t="shared" si="2"/>
        <v>1657322.965</v>
      </c>
    </row>
    <row r="620">
      <c r="L620" s="6">
        <f t="shared" si="4"/>
        <v>0.619</v>
      </c>
      <c r="M620" s="10">
        <f t="shared" si="1"/>
        <v>99308.89499</v>
      </c>
      <c r="N620" s="10">
        <f t="shared" si="2"/>
        <v>1661358.025</v>
      </c>
    </row>
    <row r="621">
      <c r="L621" s="6">
        <f t="shared" si="4"/>
        <v>0.62</v>
      </c>
      <c r="M621" s="10">
        <f t="shared" si="1"/>
        <v>99550.87339</v>
      </c>
      <c r="N621" s="10">
        <f t="shared" si="2"/>
        <v>1665406.129</v>
      </c>
    </row>
    <row r="622">
      <c r="L622" s="6">
        <f t="shared" si="4"/>
        <v>0.621</v>
      </c>
      <c r="M622" s="10">
        <f t="shared" si="1"/>
        <v>99793.63631</v>
      </c>
      <c r="N622" s="10">
        <f t="shared" si="2"/>
        <v>1669467.358</v>
      </c>
    </row>
    <row r="623">
      <c r="L623" s="6">
        <f t="shared" si="4"/>
        <v>0.622</v>
      </c>
      <c r="M623" s="10">
        <f t="shared" si="1"/>
        <v>100037.1886</v>
      </c>
      <c r="N623" s="10">
        <f t="shared" si="2"/>
        <v>1673541.792</v>
      </c>
    </row>
    <row r="624">
      <c r="L624" s="6">
        <f t="shared" si="4"/>
        <v>0.623</v>
      </c>
      <c r="M624" s="10">
        <f t="shared" si="1"/>
        <v>100281.5353</v>
      </c>
      <c r="N624" s="10">
        <f t="shared" si="2"/>
        <v>1677629.515</v>
      </c>
    </row>
    <row r="625">
      <c r="L625" s="6">
        <f t="shared" si="4"/>
        <v>0.624</v>
      </c>
      <c r="M625" s="10">
        <f t="shared" si="1"/>
        <v>100526.6812</v>
      </c>
      <c r="N625" s="10">
        <f t="shared" si="2"/>
        <v>1681730.609</v>
      </c>
    </row>
    <row r="626">
      <c r="L626" s="6">
        <f t="shared" si="4"/>
        <v>0.625</v>
      </c>
      <c r="M626" s="10">
        <f t="shared" si="1"/>
        <v>100772.6313</v>
      </c>
      <c r="N626" s="10">
        <f t="shared" si="2"/>
        <v>1685845.157</v>
      </c>
    </row>
    <row r="627">
      <c r="L627" s="6">
        <f t="shared" si="4"/>
        <v>0.626</v>
      </c>
      <c r="M627" s="10">
        <f t="shared" si="1"/>
        <v>101019.3907</v>
      </c>
      <c r="N627" s="10">
        <f t="shared" si="2"/>
        <v>1689973.243</v>
      </c>
    </row>
    <row r="628">
      <c r="L628" s="6">
        <f t="shared" si="4"/>
        <v>0.627</v>
      </c>
      <c r="M628" s="10">
        <f t="shared" si="1"/>
        <v>101266.9644</v>
      </c>
      <c r="N628" s="10">
        <f t="shared" si="2"/>
        <v>1694114.952</v>
      </c>
    </row>
    <row r="629">
      <c r="L629" s="6">
        <f t="shared" si="4"/>
        <v>0.628</v>
      </c>
      <c r="M629" s="10">
        <f t="shared" si="1"/>
        <v>101515.3576</v>
      </c>
      <c r="N629" s="10">
        <f t="shared" si="2"/>
        <v>1698270.371</v>
      </c>
    </row>
    <row r="630">
      <c r="L630" s="6">
        <f t="shared" si="4"/>
        <v>0.629</v>
      </c>
      <c r="M630" s="10">
        <f t="shared" si="1"/>
        <v>101764.5753</v>
      </c>
      <c r="N630" s="10">
        <f t="shared" si="2"/>
        <v>1702439.584</v>
      </c>
    </row>
    <row r="631">
      <c r="L631" s="6">
        <f t="shared" si="4"/>
        <v>0.63</v>
      </c>
      <c r="M631" s="10">
        <f t="shared" si="1"/>
        <v>102014.623</v>
      </c>
      <c r="N631" s="10">
        <f t="shared" si="2"/>
        <v>1706622.68</v>
      </c>
    </row>
    <row r="632">
      <c r="L632" s="6">
        <f t="shared" si="4"/>
        <v>0.631</v>
      </c>
      <c r="M632" s="10">
        <f t="shared" si="1"/>
        <v>102265.5057</v>
      </c>
      <c r="N632" s="10">
        <f t="shared" si="2"/>
        <v>1710819.746</v>
      </c>
    </row>
    <row r="633">
      <c r="L633" s="6">
        <f t="shared" si="4"/>
        <v>0.632</v>
      </c>
      <c r="M633" s="10">
        <f t="shared" si="1"/>
        <v>102517.2287</v>
      </c>
      <c r="N633" s="10">
        <f t="shared" si="2"/>
        <v>1715030.87</v>
      </c>
    </row>
    <row r="634">
      <c r="L634" s="6">
        <f t="shared" si="4"/>
        <v>0.633</v>
      </c>
      <c r="M634" s="10">
        <f t="shared" si="1"/>
        <v>102769.7975</v>
      </c>
      <c r="N634" s="10">
        <f t="shared" si="2"/>
        <v>1719256.143</v>
      </c>
    </row>
    <row r="635">
      <c r="L635" s="6">
        <f t="shared" si="4"/>
        <v>0.634</v>
      </c>
      <c r="M635" s="10">
        <f t="shared" si="1"/>
        <v>103023.2174</v>
      </c>
      <c r="N635" s="10">
        <f t="shared" si="2"/>
        <v>1723495.655</v>
      </c>
    </row>
    <row r="636">
      <c r="L636" s="6">
        <f t="shared" si="4"/>
        <v>0.635</v>
      </c>
      <c r="M636" s="10">
        <f t="shared" si="1"/>
        <v>103277.4939</v>
      </c>
      <c r="N636" s="10">
        <f t="shared" si="2"/>
        <v>1727749.496</v>
      </c>
    </row>
    <row r="637">
      <c r="L637" s="6">
        <f t="shared" si="4"/>
        <v>0.636</v>
      </c>
      <c r="M637" s="10">
        <f t="shared" si="1"/>
        <v>103532.6324</v>
      </c>
      <c r="N637" s="10">
        <f t="shared" si="2"/>
        <v>1732017.758</v>
      </c>
    </row>
    <row r="638">
      <c r="L638" s="6">
        <f t="shared" si="4"/>
        <v>0.637</v>
      </c>
      <c r="M638" s="10">
        <f t="shared" si="1"/>
        <v>103788.6384</v>
      </c>
      <c r="N638" s="10">
        <f t="shared" si="2"/>
        <v>1736300.533</v>
      </c>
    </row>
    <row r="639">
      <c r="L639" s="6">
        <f t="shared" si="4"/>
        <v>0.638</v>
      </c>
      <c r="M639" s="10">
        <f t="shared" si="1"/>
        <v>104045.5177</v>
      </c>
      <c r="N639" s="10">
        <f t="shared" si="2"/>
        <v>1740597.917</v>
      </c>
    </row>
    <row r="640">
      <c r="L640" s="6">
        <f t="shared" si="4"/>
        <v>0.639</v>
      </c>
      <c r="M640" s="10">
        <f t="shared" si="1"/>
        <v>104303.2757</v>
      </c>
      <c r="N640" s="10">
        <f t="shared" si="2"/>
        <v>1744910.001</v>
      </c>
    </row>
    <row r="641">
      <c r="L641" s="6">
        <f t="shared" si="4"/>
        <v>0.64</v>
      </c>
      <c r="M641" s="10">
        <f t="shared" si="1"/>
        <v>104561.9182</v>
      </c>
      <c r="N641" s="10">
        <f t="shared" si="2"/>
        <v>1749236.883</v>
      </c>
    </row>
    <row r="642">
      <c r="L642" s="6">
        <f t="shared" si="4"/>
        <v>0.641</v>
      </c>
      <c r="M642" s="10">
        <f t="shared" si="1"/>
        <v>104821.4509</v>
      </c>
      <c r="N642" s="10">
        <f t="shared" si="2"/>
        <v>1753578.657</v>
      </c>
    </row>
    <row r="643">
      <c r="L643" s="6">
        <f t="shared" si="4"/>
        <v>0.642</v>
      </c>
      <c r="M643" s="10">
        <f t="shared" si="1"/>
        <v>105081.8797</v>
      </c>
      <c r="N643" s="10">
        <f t="shared" si="2"/>
        <v>1757935.42</v>
      </c>
    </row>
    <row r="644">
      <c r="L644" s="6">
        <f t="shared" si="4"/>
        <v>0.643</v>
      </c>
      <c r="M644" s="10">
        <f t="shared" si="1"/>
        <v>105343.2103</v>
      </c>
      <c r="N644" s="10">
        <f t="shared" si="2"/>
        <v>1762307.271</v>
      </c>
    </row>
    <row r="645">
      <c r="L645" s="6">
        <f t="shared" si="4"/>
        <v>0.644</v>
      </c>
      <c r="M645" s="10">
        <f t="shared" si="1"/>
        <v>105605.4486</v>
      </c>
      <c r="N645" s="10">
        <f t="shared" si="2"/>
        <v>1766694.307</v>
      </c>
    </row>
    <row r="646">
      <c r="L646" s="6">
        <f t="shared" si="4"/>
        <v>0.645</v>
      </c>
      <c r="M646" s="10">
        <f t="shared" si="1"/>
        <v>105868.6006</v>
      </c>
      <c r="N646" s="10">
        <f t="shared" si="2"/>
        <v>1771096.629</v>
      </c>
    </row>
    <row r="647">
      <c r="L647" s="6">
        <f t="shared" si="4"/>
        <v>0.646</v>
      </c>
      <c r="M647" s="10">
        <f t="shared" si="1"/>
        <v>106132.6723</v>
      </c>
      <c r="N647" s="10">
        <f t="shared" si="2"/>
        <v>1775514.337</v>
      </c>
    </row>
    <row r="648">
      <c r="L648" s="6">
        <f t="shared" si="4"/>
        <v>0.647</v>
      </c>
      <c r="M648" s="10">
        <f t="shared" si="1"/>
        <v>106397.6698</v>
      </c>
      <c r="N648" s="10">
        <f t="shared" si="2"/>
        <v>1779947.532</v>
      </c>
    </row>
    <row r="649">
      <c r="L649" s="6">
        <f t="shared" si="4"/>
        <v>0.648</v>
      </c>
      <c r="M649" s="10">
        <f t="shared" si="1"/>
        <v>106663.5991</v>
      </c>
      <c r="N649" s="10">
        <f t="shared" si="2"/>
        <v>1784396.316</v>
      </c>
    </row>
    <row r="650">
      <c r="L650" s="6">
        <f t="shared" si="4"/>
        <v>0.649</v>
      </c>
      <c r="M650" s="10">
        <f t="shared" si="1"/>
        <v>106930.4665</v>
      </c>
      <c r="N650" s="10">
        <f t="shared" si="2"/>
        <v>1788860.792</v>
      </c>
    </row>
    <row r="651">
      <c r="L651" s="6">
        <f t="shared" si="4"/>
        <v>0.65</v>
      </c>
      <c r="M651" s="10">
        <f t="shared" si="1"/>
        <v>107198.2781</v>
      </c>
      <c r="N651" s="10">
        <f t="shared" si="2"/>
        <v>1793341.065</v>
      </c>
    </row>
    <row r="652">
      <c r="L652" s="6">
        <f t="shared" si="4"/>
        <v>0.651</v>
      </c>
      <c r="M652" s="10">
        <f t="shared" si="1"/>
        <v>107467.0402</v>
      </c>
      <c r="N652" s="10">
        <f t="shared" si="2"/>
        <v>1797837.24</v>
      </c>
    </row>
    <row r="653">
      <c r="L653" s="6">
        <f t="shared" si="4"/>
        <v>0.652</v>
      </c>
      <c r="M653" s="10">
        <f t="shared" si="1"/>
        <v>107736.7593</v>
      </c>
      <c r="N653" s="10">
        <f t="shared" si="2"/>
        <v>1802349.423</v>
      </c>
    </row>
    <row r="654">
      <c r="L654" s="6">
        <f t="shared" si="4"/>
        <v>0.653</v>
      </c>
      <c r="M654" s="10">
        <f t="shared" si="1"/>
        <v>108007.4416</v>
      </c>
      <c r="N654" s="10">
        <f t="shared" si="2"/>
        <v>1806877.72</v>
      </c>
    </row>
    <row r="655">
      <c r="L655" s="6">
        <f t="shared" si="4"/>
        <v>0.654</v>
      </c>
      <c r="M655" s="10">
        <f t="shared" si="1"/>
        <v>108279.0936</v>
      </c>
      <c r="N655" s="10">
        <f t="shared" si="2"/>
        <v>1811422.241</v>
      </c>
    </row>
    <row r="656">
      <c r="L656" s="6">
        <f t="shared" si="4"/>
        <v>0.655</v>
      </c>
      <c r="M656" s="10">
        <f t="shared" si="1"/>
        <v>108551.7219</v>
      </c>
      <c r="N656" s="10">
        <f t="shared" si="2"/>
        <v>1815983.094</v>
      </c>
    </row>
    <row r="657">
      <c r="L657" s="6">
        <f t="shared" si="4"/>
        <v>0.656</v>
      </c>
      <c r="M657" s="10">
        <f t="shared" si="1"/>
        <v>108825.3331</v>
      </c>
      <c r="N657" s="10">
        <f t="shared" si="2"/>
        <v>1820560.388</v>
      </c>
    </row>
    <row r="658">
      <c r="L658" s="6">
        <f t="shared" si="4"/>
        <v>0.657</v>
      </c>
      <c r="M658" s="10">
        <f t="shared" si="1"/>
        <v>109099.9338</v>
      </c>
      <c r="N658" s="10">
        <f t="shared" si="2"/>
        <v>1825154.237</v>
      </c>
    </row>
    <row r="659">
      <c r="L659" s="6">
        <f t="shared" si="4"/>
        <v>0.658</v>
      </c>
      <c r="M659" s="10">
        <f t="shared" si="1"/>
        <v>109375.5306</v>
      </c>
      <c r="N659" s="10">
        <f t="shared" si="2"/>
        <v>1829764.75</v>
      </c>
    </row>
    <row r="660">
      <c r="L660" s="6">
        <f t="shared" si="4"/>
        <v>0.659</v>
      </c>
      <c r="M660" s="10">
        <f t="shared" si="1"/>
        <v>109652.1304</v>
      </c>
      <c r="N660" s="10">
        <f t="shared" si="2"/>
        <v>1834392.043</v>
      </c>
    </row>
    <row r="661">
      <c r="L661" s="6">
        <f t="shared" si="4"/>
        <v>0.66</v>
      </c>
      <c r="M661" s="10">
        <f t="shared" si="1"/>
        <v>109929.74</v>
      </c>
      <c r="N661" s="10">
        <f t="shared" si="2"/>
        <v>1839036.229</v>
      </c>
    </row>
    <row r="662">
      <c r="L662" s="6">
        <f t="shared" si="4"/>
        <v>0.661</v>
      </c>
      <c r="M662" s="10">
        <f t="shared" si="1"/>
        <v>110208.3663</v>
      </c>
      <c r="N662" s="10">
        <f t="shared" si="2"/>
        <v>1843697.423</v>
      </c>
    </row>
    <row r="663">
      <c r="L663" s="6">
        <f t="shared" si="4"/>
        <v>0.662</v>
      </c>
      <c r="M663" s="10">
        <f t="shared" si="1"/>
        <v>110488.0163</v>
      </c>
      <c r="N663" s="10">
        <f t="shared" si="2"/>
        <v>1848375.742</v>
      </c>
    </row>
    <row r="664">
      <c r="L664" s="6">
        <f t="shared" si="4"/>
        <v>0.663</v>
      </c>
      <c r="M664" s="10">
        <f t="shared" si="1"/>
        <v>110768.697</v>
      </c>
      <c r="N664" s="10">
        <f t="shared" si="2"/>
        <v>1853071.304</v>
      </c>
    </row>
    <row r="665">
      <c r="L665" s="6">
        <f t="shared" si="4"/>
        <v>0.664</v>
      </c>
      <c r="M665" s="10">
        <f t="shared" si="1"/>
        <v>111050.4154</v>
      </c>
      <c r="N665" s="10">
        <f t="shared" si="2"/>
        <v>1857784.228</v>
      </c>
    </row>
    <row r="666">
      <c r="L666" s="6">
        <f t="shared" si="4"/>
        <v>0.665</v>
      </c>
      <c r="M666" s="10">
        <f t="shared" si="1"/>
        <v>111333.1789</v>
      </c>
      <c r="N666" s="10">
        <f t="shared" si="2"/>
        <v>1862514.633</v>
      </c>
    </row>
    <row r="667">
      <c r="L667" s="6">
        <f t="shared" si="4"/>
        <v>0.666</v>
      </c>
      <c r="M667" s="10">
        <f t="shared" si="1"/>
        <v>111616.9945</v>
      </c>
      <c r="N667" s="10">
        <f t="shared" si="2"/>
        <v>1867262.641</v>
      </c>
    </row>
    <row r="668">
      <c r="L668" s="6">
        <f t="shared" si="4"/>
        <v>0.667</v>
      </c>
      <c r="M668" s="10">
        <f t="shared" si="1"/>
        <v>111901.8697</v>
      </c>
      <c r="N668" s="10">
        <f t="shared" si="2"/>
        <v>1872028.373</v>
      </c>
    </row>
    <row r="669">
      <c r="L669" s="6">
        <f t="shared" si="4"/>
        <v>0.668</v>
      </c>
      <c r="M669" s="10">
        <f t="shared" si="1"/>
        <v>112187.8117</v>
      </c>
      <c r="N669" s="10">
        <f t="shared" si="2"/>
        <v>1876811.954</v>
      </c>
    </row>
    <row r="670">
      <c r="L670" s="6">
        <f t="shared" si="4"/>
        <v>0.669</v>
      </c>
      <c r="M670" s="10">
        <f t="shared" si="1"/>
        <v>112474.8281</v>
      </c>
      <c r="N670" s="10">
        <f t="shared" si="2"/>
        <v>1881613.508</v>
      </c>
    </row>
    <row r="671">
      <c r="L671" s="6">
        <f t="shared" si="4"/>
        <v>0.67</v>
      </c>
      <c r="M671" s="10">
        <f t="shared" si="1"/>
        <v>112762.9264</v>
      </c>
      <c r="N671" s="10">
        <f t="shared" si="2"/>
        <v>1886433.16</v>
      </c>
    </row>
    <row r="672">
      <c r="L672" s="6">
        <f t="shared" si="4"/>
        <v>0.671</v>
      </c>
      <c r="M672" s="10">
        <f t="shared" si="1"/>
        <v>113052.1141</v>
      </c>
      <c r="N672" s="10">
        <f t="shared" si="2"/>
        <v>1891271.039</v>
      </c>
    </row>
    <row r="673">
      <c r="L673" s="6">
        <f t="shared" si="4"/>
        <v>0.672</v>
      </c>
      <c r="M673" s="10">
        <f t="shared" si="1"/>
        <v>113342.399</v>
      </c>
      <c r="N673" s="10">
        <f t="shared" si="2"/>
        <v>1896127.272</v>
      </c>
    </row>
    <row r="674">
      <c r="L674" s="6">
        <f t="shared" si="4"/>
        <v>0.673</v>
      </c>
      <c r="M674" s="10">
        <f t="shared" si="1"/>
        <v>113633.7888</v>
      </c>
      <c r="N674" s="10">
        <f t="shared" si="2"/>
        <v>1901001.989</v>
      </c>
    </row>
    <row r="675">
      <c r="L675" s="6">
        <f t="shared" si="4"/>
        <v>0.674</v>
      </c>
      <c r="M675" s="10">
        <f t="shared" si="1"/>
        <v>113926.2913</v>
      </c>
      <c r="N675" s="10">
        <f t="shared" si="2"/>
        <v>1905895.321</v>
      </c>
    </row>
    <row r="676">
      <c r="L676" s="6">
        <f t="shared" si="4"/>
        <v>0.675</v>
      </c>
      <c r="M676" s="10">
        <f t="shared" si="1"/>
        <v>114219.9144</v>
      </c>
      <c r="N676" s="10">
        <f t="shared" si="2"/>
        <v>1910807.4</v>
      </c>
    </row>
    <row r="677">
      <c r="L677" s="6">
        <f t="shared" si="4"/>
        <v>0.676</v>
      </c>
      <c r="M677" s="10">
        <f t="shared" si="1"/>
        <v>114514.6662</v>
      </c>
      <c r="N677" s="10">
        <f t="shared" si="2"/>
        <v>1915738.36</v>
      </c>
    </row>
    <row r="678">
      <c r="L678" s="6">
        <f t="shared" si="4"/>
        <v>0.677</v>
      </c>
      <c r="M678" s="10">
        <f t="shared" si="1"/>
        <v>114810.5546</v>
      </c>
      <c r="N678" s="10">
        <f t="shared" si="2"/>
        <v>1920688.335</v>
      </c>
    </row>
    <row r="679">
      <c r="L679" s="6">
        <f t="shared" si="4"/>
        <v>0.678</v>
      </c>
      <c r="M679" s="10">
        <f t="shared" si="1"/>
        <v>115107.5878</v>
      </c>
      <c r="N679" s="10">
        <f t="shared" si="2"/>
        <v>1925657.462</v>
      </c>
    </row>
    <row r="680">
      <c r="L680" s="6">
        <f t="shared" si="4"/>
        <v>0.679</v>
      </c>
      <c r="M680" s="10">
        <f t="shared" si="1"/>
        <v>115405.7741</v>
      </c>
      <c r="N680" s="10">
        <f t="shared" si="2"/>
        <v>1930645.879</v>
      </c>
    </row>
    <row r="681">
      <c r="L681" s="6">
        <f t="shared" si="4"/>
        <v>0.68</v>
      </c>
      <c r="M681" s="10">
        <f t="shared" si="1"/>
        <v>115705.1217</v>
      </c>
      <c r="N681" s="10">
        <f t="shared" si="2"/>
        <v>1935653.725</v>
      </c>
    </row>
    <row r="682">
      <c r="L682" s="6">
        <f t="shared" si="4"/>
        <v>0.681</v>
      </c>
      <c r="M682" s="10">
        <f t="shared" si="1"/>
        <v>116005.6391</v>
      </c>
      <c r="N682" s="10">
        <f t="shared" si="2"/>
        <v>1940681.139</v>
      </c>
    </row>
    <row r="683">
      <c r="L683" s="6">
        <f t="shared" si="4"/>
        <v>0.682</v>
      </c>
      <c r="M683" s="10">
        <f t="shared" si="1"/>
        <v>116307.3347</v>
      </c>
      <c r="N683" s="10">
        <f t="shared" si="2"/>
        <v>1945728.265</v>
      </c>
    </row>
    <row r="684">
      <c r="L684" s="6">
        <f t="shared" si="4"/>
        <v>0.683</v>
      </c>
      <c r="M684" s="10">
        <f t="shared" si="1"/>
        <v>116610.2172</v>
      </c>
      <c r="N684" s="10">
        <f t="shared" si="2"/>
        <v>1950795.244</v>
      </c>
    </row>
    <row r="685">
      <c r="L685" s="6">
        <f t="shared" si="4"/>
        <v>0.684</v>
      </c>
      <c r="M685" s="10">
        <f t="shared" si="1"/>
        <v>116914.295</v>
      </c>
      <c r="N685" s="10">
        <f t="shared" si="2"/>
        <v>1955882.223</v>
      </c>
    </row>
    <row r="686">
      <c r="L686" s="6">
        <f t="shared" si="4"/>
        <v>0.685</v>
      </c>
      <c r="M686" s="10">
        <f t="shared" si="1"/>
        <v>117219.5771</v>
      </c>
      <c r="N686" s="10">
        <f t="shared" si="2"/>
        <v>1960989.347</v>
      </c>
    </row>
    <row r="687">
      <c r="L687" s="6">
        <f t="shared" si="4"/>
        <v>0.686</v>
      </c>
      <c r="M687" s="10">
        <f t="shared" si="1"/>
        <v>117526.0722</v>
      </c>
      <c r="N687" s="10">
        <f t="shared" si="2"/>
        <v>1966116.763</v>
      </c>
    </row>
    <row r="688">
      <c r="L688" s="6">
        <f t="shared" si="4"/>
        <v>0.687</v>
      </c>
      <c r="M688" s="10">
        <f t="shared" si="1"/>
        <v>117833.7893</v>
      </c>
      <c r="N688" s="10">
        <f t="shared" si="2"/>
        <v>1971264.623</v>
      </c>
    </row>
    <row r="689">
      <c r="L689" s="6">
        <f t="shared" si="4"/>
        <v>0.688</v>
      </c>
      <c r="M689" s="10">
        <f t="shared" si="1"/>
        <v>118142.7373</v>
      </c>
      <c r="N689" s="10">
        <f t="shared" si="2"/>
        <v>1976433.075</v>
      </c>
    </row>
    <row r="690">
      <c r="L690" s="6">
        <f t="shared" si="4"/>
        <v>0.689</v>
      </c>
      <c r="M690" s="10">
        <f t="shared" si="1"/>
        <v>118452.9254</v>
      </c>
      <c r="N690" s="10">
        <f t="shared" si="2"/>
        <v>1981622.273</v>
      </c>
    </row>
    <row r="691">
      <c r="L691" s="6">
        <f t="shared" si="4"/>
        <v>0.69</v>
      </c>
      <c r="M691" s="10">
        <f t="shared" si="1"/>
        <v>118764.3629</v>
      </c>
      <c r="N691" s="10">
        <f t="shared" si="2"/>
        <v>1986832.371</v>
      </c>
    </row>
    <row r="692">
      <c r="L692" s="6">
        <f t="shared" si="4"/>
        <v>0.691</v>
      </c>
      <c r="M692" s="10">
        <f t="shared" si="1"/>
        <v>119077.0589</v>
      </c>
      <c r="N692" s="10">
        <f t="shared" si="2"/>
        <v>1992063.524</v>
      </c>
    </row>
    <row r="693">
      <c r="L693" s="6">
        <f t="shared" si="4"/>
        <v>0.692</v>
      </c>
      <c r="M693" s="10">
        <f t="shared" si="1"/>
        <v>119391.0229</v>
      </c>
      <c r="N693" s="10">
        <f t="shared" si="2"/>
        <v>1997315.889</v>
      </c>
    </row>
    <row r="694">
      <c r="L694" s="6">
        <f t="shared" si="4"/>
        <v>0.693</v>
      </c>
      <c r="M694" s="10">
        <f t="shared" si="1"/>
        <v>119706.2644</v>
      </c>
      <c r="N694" s="10">
        <f t="shared" si="2"/>
        <v>2002589.627</v>
      </c>
    </row>
    <row r="695">
      <c r="L695" s="6">
        <f t="shared" si="4"/>
        <v>0.694</v>
      </c>
      <c r="M695" s="10">
        <f t="shared" si="1"/>
        <v>120022.793</v>
      </c>
      <c r="N695" s="10">
        <f t="shared" si="2"/>
        <v>2007884.896</v>
      </c>
    </row>
    <row r="696">
      <c r="L696" s="6">
        <f t="shared" si="4"/>
        <v>0.695</v>
      </c>
      <c r="M696" s="10">
        <f t="shared" si="1"/>
        <v>120340.6184</v>
      </c>
      <c r="N696" s="10">
        <f t="shared" si="2"/>
        <v>2013201.86</v>
      </c>
    </row>
    <row r="697">
      <c r="L697" s="6">
        <f t="shared" si="4"/>
        <v>0.696</v>
      </c>
      <c r="M697" s="10">
        <f t="shared" si="1"/>
        <v>120659.7504</v>
      </c>
      <c r="N697" s="10">
        <f t="shared" si="2"/>
        <v>2018540.682</v>
      </c>
    </row>
    <row r="698">
      <c r="L698" s="6">
        <f t="shared" si="4"/>
        <v>0.697</v>
      </c>
      <c r="M698" s="10">
        <f t="shared" si="1"/>
        <v>120980.199</v>
      </c>
      <c r="N698" s="10">
        <f t="shared" si="2"/>
        <v>2023901.529</v>
      </c>
    </row>
    <row r="699">
      <c r="L699" s="6">
        <f t="shared" si="4"/>
        <v>0.698</v>
      </c>
      <c r="M699" s="10">
        <f t="shared" si="1"/>
        <v>121301.9741</v>
      </c>
      <c r="N699" s="10">
        <f t="shared" si="2"/>
        <v>2029284.568</v>
      </c>
    </row>
    <row r="700">
      <c r="L700" s="6">
        <f t="shared" si="4"/>
        <v>0.699</v>
      </c>
      <c r="M700" s="10">
        <f t="shared" si="1"/>
        <v>121625.0858</v>
      </c>
      <c r="N700" s="10">
        <f t="shared" si="2"/>
        <v>2034689.968</v>
      </c>
    </row>
    <row r="701">
      <c r="L701" s="6">
        <f t="shared" si="4"/>
        <v>0.7</v>
      </c>
      <c r="M701" s="10">
        <f t="shared" si="1"/>
        <v>121949.5445</v>
      </c>
      <c r="N701" s="10">
        <f t="shared" si="2"/>
        <v>2040117.9</v>
      </c>
    </row>
    <row r="702">
      <c r="L702" s="6">
        <f t="shared" si="4"/>
        <v>0.701</v>
      </c>
      <c r="M702" s="10">
        <f t="shared" si="1"/>
        <v>122275.3604</v>
      </c>
      <c r="N702" s="10">
        <f t="shared" si="2"/>
        <v>2045568.539</v>
      </c>
    </row>
    <row r="703">
      <c r="L703" s="6">
        <f t="shared" si="4"/>
        <v>0.702</v>
      </c>
      <c r="M703" s="10">
        <f t="shared" si="1"/>
        <v>122602.544</v>
      </c>
      <c r="N703" s="10">
        <f t="shared" si="2"/>
        <v>2051042.058</v>
      </c>
    </row>
    <row r="704">
      <c r="L704" s="6">
        <f t="shared" si="4"/>
        <v>0.703</v>
      </c>
      <c r="M704" s="10">
        <f t="shared" si="1"/>
        <v>122931.1059</v>
      </c>
      <c r="N704" s="10">
        <f t="shared" si="2"/>
        <v>2056538.634</v>
      </c>
    </row>
    <row r="705">
      <c r="L705" s="6">
        <f t="shared" si="4"/>
        <v>0.704</v>
      </c>
      <c r="M705" s="10">
        <f t="shared" si="1"/>
        <v>123261.0567</v>
      </c>
      <c r="N705" s="10">
        <f t="shared" si="2"/>
        <v>2062058.447</v>
      </c>
    </row>
    <row r="706">
      <c r="L706" s="6">
        <f t="shared" si="4"/>
        <v>0.705</v>
      </c>
      <c r="M706" s="10">
        <f t="shared" si="1"/>
        <v>123592.4074</v>
      </c>
      <c r="N706" s="10">
        <f t="shared" si="2"/>
        <v>2067601.677</v>
      </c>
    </row>
    <row r="707">
      <c r="L707" s="6">
        <f t="shared" si="4"/>
        <v>0.706</v>
      </c>
      <c r="M707" s="10">
        <f t="shared" si="1"/>
        <v>123925.1687</v>
      </c>
      <c r="N707" s="10">
        <f t="shared" si="2"/>
        <v>2073168.506</v>
      </c>
    </row>
    <row r="708">
      <c r="L708" s="6">
        <f t="shared" si="4"/>
        <v>0.707</v>
      </c>
      <c r="M708" s="10">
        <f t="shared" si="1"/>
        <v>124259.3518</v>
      </c>
      <c r="N708" s="10">
        <f t="shared" si="2"/>
        <v>2078759.121</v>
      </c>
    </row>
    <row r="709">
      <c r="L709" s="6">
        <f t="shared" si="4"/>
        <v>0.708</v>
      </c>
      <c r="M709" s="10">
        <f t="shared" si="1"/>
        <v>124594.9678</v>
      </c>
      <c r="N709" s="10">
        <f t="shared" si="2"/>
        <v>2084373.707</v>
      </c>
    </row>
    <row r="710">
      <c r="L710" s="6">
        <f t="shared" si="4"/>
        <v>0.709</v>
      </c>
      <c r="M710" s="10">
        <f t="shared" si="1"/>
        <v>124932.028</v>
      </c>
      <c r="N710" s="10">
        <f t="shared" si="2"/>
        <v>2090012.453</v>
      </c>
    </row>
    <row r="711">
      <c r="L711" s="6">
        <f t="shared" si="4"/>
        <v>0.71</v>
      </c>
      <c r="M711" s="10">
        <f t="shared" si="1"/>
        <v>125270.5438</v>
      </c>
      <c r="N711" s="10">
        <f t="shared" si="2"/>
        <v>2095675.551</v>
      </c>
    </row>
    <row r="712">
      <c r="L712" s="6">
        <f t="shared" si="4"/>
        <v>0.711</v>
      </c>
      <c r="M712" s="10">
        <f t="shared" si="1"/>
        <v>125610.5268</v>
      </c>
      <c r="N712" s="10">
        <f t="shared" si="2"/>
        <v>2101363.194</v>
      </c>
    </row>
    <row r="713">
      <c r="L713" s="6">
        <f t="shared" si="4"/>
        <v>0.712</v>
      </c>
      <c r="M713" s="10">
        <f t="shared" si="1"/>
        <v>125951.9887</v>
      </c>
      <c r="N713" s="10">
        <f t="shared" si="2"/>
        <v>2107075.577</v>
      </c>
    </row>
    <row r="714">
      <c r="L714" s="6">
        <f t="shared" si="4"/>
        <v>0.713</v>
      </c>
      <c r="M714" s="10">
        <f t="shared" si="1"/>
        <v>126294.9412</v>
      </c>
      <c r="N714" s="10">
        <f t="shared" si="2"/>
        <v>2112812.897</v>
      </c>
    </row>
    <row r="715">
      <c r="L715" s="6">
        <f t="shared" si="4"/>
        <v>0.714</v>
      </c>
      <c r="M715" s="10">
        <f t="shared" si="1"/>
        <v>126639.3964</v>
      </c>
      <c r="N715" s="10">
        <f t="shared" si="2"/>
        <v>2118575.355</v>
      </c>
    </row>
    <row r="716">
      <c r="L716" s="6">
        <f t="shared" si="4"/>
        <v>0.715</v>
      </c>
      <c r="M716" s="10">
        <f t="shared" si="1"/>
        <v>126985.3662</v>
      </c>
      <c r="N716" s="10">
        <f t="shared" si="2"/>
        <v>2124363.152</v>
      </c>
    </row>
    <row r="717">
      <c r="L717" s="6">
        <f t="shared" si="4"/>
        <v>0.716</v>
      </c>
      <c r="M717" s="10">
        <f t="shared" si="1"/>
        <v>127332.8629</v>
      </c>
      <c r="N717" s="10">
        <f t="shared" si="2"/>
        <v>2130176.493</v>
      </c>
    </row>
    <row r="718">
      <c r="L718" s="6">
        <f t="shared" si="4"/>
        <v>0.717</v>
      </c>
      <c r="M718" s="10">
        <f t="shared" si="1"/>
        <v>127681.8989</v>
      </c>
      <c r="N718" s="10">
        <f t="shared" si="2"/>
        <v>2136015.585</v>
      </c>
    </row>
    <row r="719">
      <c r="L719" s="6">
        <f t="shared" si="4"/>
        <v>0.718</v>
      </c>
      <c r="M719" s="10">
        <f t="shared" si="1"/>
        <v>128032.4867</v>
      </c>
      <c r="N719" s="10">
        <f t="shared" si="2"/>
        <v>2141880.636</v>
      </c>
    </row>
    <row r="720">
      <c r="L720" s="6">
        <f t="shared" si="4"/>
        <v>0.719</v>
      </c>
      <c r="M720" s="10">
        <f t="shared" si="1"/>
        <v>128384.6388</v>
      </c>
      <c r="N720" s="10">
        <f t="shared" si="2"/>
        <v>2147771.859</v>
      </c>
    </row>
    <row r="721">
      <c r="L721" s="6">
        <f t="shared" si="4"/>
        <v>0.72</v>
      </c>
      <c r="M721" s="10">
        <f t="shared" si="1"/>
        <v>128738.3682</v>
      </c>
      <c r="N721" s="10">
        <f t="shared" si="2"/>
        <v>2153689.467</v>
      </c>
    </row>
    <row r="722">
      <c r="L722" s="6">
        <f t="shared" si="4"/>
        <v>0.721</v>
      </c>
      <c r="M722" s="10">
        <f t="shared" si="1"/>
        <v>129093.6877</v>
      </c>
      <c r="N722" s="10">
        <f t="shared" si="2"/>
        <v>2159633.676</v>
      </c>
    </row>
    <row r="723">
      <c r="L723" s="6">
        <f t="shared" si="4"/>
        <v>0.722</v>
      </c>
      <c r="M723" s="10">
        <f t="shared" si="1"/>
        <v>129450.6104</v>
      </c>
      <c r="N723" s="10">
        <f t="shared" si="2"/>
        <v>2165604.707</v>
      </c>
    </row>
    <row r="724">
      <c r="L724" s="6">
        <f t="shared" si="4"/>
        <v>0.723</v>
      </c>
      <c r="M724" s="10">
        <f t="shared" si="1"/>
        <v>129809.1496</v>
      </c>
      <c r="N724" s="10">
        <f t="shared" si="2"/>
        <v>2171602.779</v>
      </c>
    </row>
    <row r="725">
      <c r="L725" s="6">
        <f t="shared" si="4"/>
        <v>0.724</v>
      </c>
      <c r="M725" s="10">
        <f t="shared" si="1"/>
        <v>130169.3186</v>
      </c>
      <c r="N725" s="10">
        <f t="shared" si="2"/>
        <v>2177628.118</v>
      </c>
    </row>
    <row r="726">
      <c r="L726" s="6">
        <f t="shared" si="4"/>
        <v>0.725</v>
      </c>
      <c r="M726" s="10">
        <f t="shared" si="1"/>
        <v>130531.1311</v>
      </c>
      <c r="N726" s="10">
        <f t="shared" si="2"/>
        <v>2183680.95</v>
      </c>
    </row>
    <row r="727">
      <c r="L727" s="6">
        <f t="shared" si="4"/>
        <v>0.726</v>
      </c>
      <c r="M727" s="10">
        <f t="shared" si="1"/>
        <v>130894.6007</v>
      </c>
      <c r="N727" s="10">
        <f t="shared" si="2"/>
        <v>2189761.505</v>
      </c>
    </row>
    <row r="728">
      <c r="L728" s="6">
        <f t="shared" si="4"/>
        <v>0.727</v>
      </c>
      <c r="M728" s="10">
        <f t="shared" si="1"/>
        <v>131259.7414</v>
      </c>
      <c r="N728" s="10">
        <f t="shared" si="2"/>
        <v>2195870.014</v>
      </c>
    </row>
    <row r="729">
      <c r="L729" s="6">
        <f t="shared" si="4"/>
        <v>0.728</v>
      </c>
      <c r="M729" s="10">
        <f t="shared" si="1"/>
        <v>131626.5671</v>
      </c>
      <c r="N729" s="10">
        <f t="shared" si="2"/>
        <v>2202006.713</v>
      </c>
    </row>
    <row r="730">
      <c r="L730" s="6">
        <f t="shared" si="4"/>
        <v>0.729</v>
      </c>
      <c r="M730" s="10">
        <f t="shared" si="1"/>
        <v>131995.0921</v>
      </c>
      <c r="N730" s="10">
        <f t="shared" si="2"/>
        <v>2208171.84</v>
      </c>
    </row>
    <row r="731">
      <c r="L731" s="6">
        <f t="shared" si="4"/>
        <v>0.73</v>
      </c>
      <c r="M731" s="10">
        <f t="shared" si="1"/>
        <v>132365.3307</v>
      </c>
      <c r="N731" s="10">
        <f t="shared" si="2"/>
        <v>2214365.636</v>
      </c>
    </row>
    <row r="732">
      <c r="L732" s="6">
        <f t="shared" si="4"/>
        <v>0.731</v>
      </c>
      <c r="M732" s="10">
        <f t="shared" si="1"/>
        <v>132737.2976</v>
      </c>
      <c r="N732" s="10">
        <f t="shared" si="2"/>
        <v>2220588.343</v>
      </c>
    </row>
    <row r="733">
      <c r="L733" s="6">
        <f t="shared" si="4"/>
        <v>0.732</v>
      </c>
      <c r="M733" s="10">
        <f t="shared" si="1"/>
        <v>133111.0074</v>
      </c>
      <c r="N733" s="10">
        <f t="shared" si="2"/>
        <v>2226840.208</v>
      </c>
    </row>
    <row r="734">
      <c r="L734" s="6">
        <f t="shared" si="4"/>
        <v>0.733</v>
      </c>
      <c r="M734" s="10">
        <f t="shared" si="1"/>
        <v>133486.4752</v>
      </c>
      <c r="N734" s="10">
        <f t="shared" si="2"/>
        <v>2233121.481</v>
      </c>
    </row>
    <row r="735">
      <c r="L735" s="6">
        <f t="shared" si="4"/>
        <v>0.734</v>
      </c>
      <c r="M735" s="10">
        <f t="shared" si="1"/>
        <v>133863.7158</v>
      </c>
      <c r="N735" s="10">
        <f t="shared" si="2"/>
        <v>2239432.415</v>
      </c>
    </row>
    <row r="736">
      <c r="L736" s="6">
        <f t="shared" si="4"/>
        <v>0.735</v>
      </c>
      <c r="M736" s="10">
        <f t="shared" si="1"/>
        <v>134242.7448</v>
      </c>
      <c r="N736" s="10">
        <f t="shared" si="2"/>
        <v>2245773.264</v>
      </c>
    </row>
    <row r="737">
      <c r="L737" s="6">
        <f t="shared" si="4"/>
        <v>0.736</v>
      </c>
      <c r="M737" s="10">
        <f t="shared" si="1"/>
        <v>134623.5774</v>
      </c>
      <c r="N737" s="10">
        <f t="shared" si="2"/>
        <v>2252144.289</v>
      </c>
    </row>
    <row r="738">
      <c r="L738" s="6">
        <f t="shared" si="4"/>
        <v>0.737</v>
      </c>
      <c r="M738" s="10">
        <f t="shared" si="1"/>
        <v>135006.2295</v>
      </c>
      <c r="N738" s="10">
        <f t="shared" si="2"/>
        <v>2258545.75</v>
      </c>
    </row>
    <row r="739">
      <c r="L739" s="6">
        <f t="shared" si="4"/>
        <v>0.738</v>
      </c>
      <c r="M739" s="10">
        <f t="shared" si="1"/>
        <v>135390.7167</v>
      </c>
      <c r="N739" s="10">
        <f t="shared" si="2"/>
        <v>2264977.912</v>
      </c>
    </row>
    <row r="740">
      <c r="L740" s="6">
        <f t="shared" si="4"/>
        <v>0.739</v>
      </c>
      <c r="M740" s="10">
        <f t="shared" si="1"/>
        <v>135777.0552</v>
      </c>
      <c r="N740" s="10">
        <f t="shared" si="2"/>
        <v>2271441.046</v>
      </c>
    </row>
    <row r="741">
      <c r="L741" s="6">
        <f t="shared" si="4"/>
        <v>0.74</v>
      </c>
      <c r="M741" s="10">
        <f t="shared" si="1"/>
        <v>136165.2613</v>
      </c>
      <c r="N741" s="10">
        <f t="shared" si="2"/>
        <v>2277935.421</v>
      </c>
    </row>
    <row r="742">
      <c r="L742" s="6">
        <f t="shared" si="4"/>
        <v>0.741</v>
      </c>
      <c r="M742" s="10">
        <f t="shared" si="1"/>
        <v>136555.3513</v>
      </c>
      <c r="N742" s="10">
        <f t="shared" si="2"/>
        <v>2284461.314</v>
      </c>
    </row>
    <row r="743">
      <c r="L743" s="6">
        <f t="shared" si="4"/>
        <v>0.742</v>
      </c>
      <c r="M743" s="10">
        <f t="shared" si="1"/>
        <v>136947.342</v>
      </c>
      <c r="N743" s="10">
        <f t="shared" si="2"/>
        <v>2291019.003</v>
      </c>
    </row>
    <row r="744">
      <c r="L744" s="6">
        <f t="shared" si="4"/>
        <v>0.743</v>
      </c>
      <c r="M744" s="10">
        <f t="shared" si="1"/>
        <v>137341.2502</v>
      </c>
      <c r="N744" s="10">
        <f t="shared" si="2"/>
        <v>2297608.771</v>
      </c>
    </row>
    <row r="745">
      <c r="L745" s="6">
        <f t="shared" si="4"/>
        <v>0.744</v>
      </c>
      <c r="M745" s="10">
        <f t="shared" si="1"/>
        <v>137737.093</v>
      </c>
      <c r="N745" s="10">
        <f t="shared" si="2"/>
        <v>2304230.903</v>
      </c>
    </row>
    <row r="746">
      <c r="L746" s="6">
        <f t="shared" si="4"/>
        <v>0.745</v>
      </c>
      <c r="M746" s="10">
        <f t="shared" si="1"/>
        <v>138134.8877</v>
      </c>
      <c r="N746" s="10">
        <f t="shared" si="2"/>
        <v>2310885.688</v>
      </c>
    </row>
    <row r="747">
      <c r="L747" s="6">
        <f t="shared" si="4"/>
        <v>0.746</v>
      </c>
      <c r="M747" s="10">
        <f t="shared" si="1"/>
        <v>138534.6518</v>
      </c>
      <c r="N747" s="10">
        <f t="shared" si="2"/>
        <v>2317573.421</v>
      </c>
    </row>
    <row r="748">
      <c r="L748" s="6">
        <f t="shared" si="4"/>
        <v>0.747</v>
      </c>
      <c r="M748" s="10">
        <f t="shared" si="1"/>
        <v>138936.4031</v>
      </c>
      <c r="N748" s="10">
        <f t="shared" si="2"/>
        <v>2324294.397</v>
      </c>
    </row>
    <row r="749">
      <c r="L749" s="6">
        <f t="shared" si="4"/>
        <v>0.748</v>
      </c>
      <c r="M749" s="10">
        <f t="shared" si="1"/>
        <v>139340.1595</v>
      </c>
      <c r="N749" s="10">
        <f t="shared" si="2"/>
        <v>2331048.918</v>
      </c>
    </row>
    <row r="750">
      <c r="L750" s="6">
        <f t="shared" si="4"/>
        <v>0.749</v>
      </c>
      <c r="M750" s="10">
        <f t="shared" si="1"/>
        <v>139745.9393</v>
      </c>
      <c r="N750" s="10">
        <f t="shared" si="2"/>
        <v>2337837.287</v>
      </c>
    </row>
    <row r="751">
      <c r="L751" s="6">
        <f t="shared" si="4"/>
        <v>0.75</v>
      </c>
      <c r="M751" s="10">
        <f t="shared" si="1"/>
        <v>140153.7609</v>
      </c>
      <c r="N751" s="10">
        <f t="shared" si="2"/>
        <v>2344659.815</v>
      </c>
    </row>
    <row r="752">
      <c r="L752" s="6">
        <f t="shared" si="4"/>
        <v>0.751</v>
      </c>
      <c r="M752" s="10">
        <f t="shared" si="1"/>
        <v>140563.643</v>
      </c>
      <c r="N752" s="10">
        <f t="shared" si="2"/>
        <v>2351516.813</v>
      </c>
    </row>
    <row r="753">
      <c r="L753" s="6">
        <f t="shared" si="4"/>
        <v>0.752</v>
      </c>
      <c r="M753" s="10">
        <f t="shared" si="1"/>
        <v>140975.6044</v>
      </c>
      <c r="N753" s="10">
        <f t="shared" si="2"/>
        <v>2358408.597</v>
      </c>
    </row>
    <row r="754">
      <c r="L754" s="6">
        <f t="shared" si="4"/>
        <v>0.753</v>
      </c>
      <c r="M754" s="10">
        <f t="shared" si="1"/>
        <v>141389.6645</v>
      </c>
      <c r="N754" s="10">
        <f t="shared" si="2"/>
        <v>2365335.489</v>
      </c>
    </row>
    <row r="755">
      <c r="L755" s="6">
        <f t="shared" si="4"/>
        <v>0.754</v>
      </c>
      <c r="M755" s="10">
        <f t="shared" si="1"/>
        <v>141805.8426</v>
      </c>
      <c r="N755" s="10">
        <f t="shared" si="2"/>
        <v>2372297.814</v>
      </c>
    </row>
    <row r="756">
      <c r="L756" s="6">
        <f t="shared" si="4"/>
        <v>0.755</v>
      </c>
      <c r="M756" s="10">
        <f t="shared" si="1"/>
        <v>142224.1584</v>
      </c>
      <c r="N756" s="10">
        <f t="shared" si="2"/>
        <v>2379295.902</v>
      </c>
    </row>
    <row r="757">
      <c r="L757" s="6">
        <f t="shared" si="4"/>
        <v>0.756</v>
      </c>
      <c r="M757" s="10">
        <f t="shared" si="1"/>
        <v>142644.6319</v>
      </c>
      <c r="N757" s="10">
        <f t="shared" si="2"/>
        <v>2386330.085</v>
      </c>
    </row>
    <row r="758">
      <c r="L758" s="6">
        <f t="shared" si="4"/>
        <v>0.757</v>
      </c>
      <c r="M758" s="10">
        <f t="shared" si="1"/>
        <v>143067.2832</v>
      </c>
      <c r="N758" s="10">
        <f t="shared" si="2"/>
        <v>2393400.702</v>
      </c>
    </row>
    <row r="759">
      <c r="L759" s="6">
        <f t="shared" si="4"/>
        <v>0.758</v>
      </c>
      <c r="M759" s="10">
        <f t="shared" si="1"/>
        <v>143492.1329</v>
      </c>
      <c r="N759" s="10">
        <f t="shared" si="2"/>
        <v>2400508.097</v>
      </c>
    </row>
    <row r="760">
      <c r="L760" s="6">
        <f t="shared" si="4"/>
        <v>0.759</v>
      </c>
      <c r="M760" s="10">
        <f t="shared" si="1"/>
        <v>143919.2017</v>
      </c>
      <c r="N760" s="10">
        <f t="shared" si="2"/>
        <v>2407652.615</v>
      </c>
    </row>
    <row r="761">
      <c r="L761" s="6">
        <f t="shared" si="4"/>
        <v>0.76</v>
      </c>
      <c r="M761" s="10">
        <f t="shared" si="1"/>
        <v>144348.5107</v>
      </c>
      <c r="N761" s="10">
        <f t="shared" si="2"/>
        <v>2414834.61</v>
      </c>
    </row>
    <row r="762">
      <c r="L762" s="6">
        <f t="shared" si="4"/>
        <v>0.761</v>
      </c>
      <c r="M762" s="10">
        <f t="shared" si="1"/>
        <v>144780.0812</v>
      </c>
      <c r="N762" s="10">
        <f t="shared" si="2"/>
        <v>2422054.437</v>
      </c>
    </row>
    <row r="763">
      <c r="L763" s="6">
        <f t="shared" si="4"/>
        <v>0.762</v>
      </c>
      <c r="M763" s="10">
        <f t="shared" si="1"/>
        <v>145213.9349</v>
      </c>
      <c r="N763" s="10">
        <f t="shared" si="2"/>
        <v>2429312.46</v>
      </c>
    </row>
    <row r="764">
      <c r="L764" s="6">
        <f t="shared" si="4"/>
        <v>0.763</v>
      </c>
      <c r="M764" s="10">
        <f t="shared" si="1"/>
        <v>145650.0935</v>
      </c>
      <c r="N764" s="10">
        <f t="shared" si="2"/>
        <v>2436609.044</v>
      </c>
    </row>
    <row r="765">
      <c r="L765" s="6">
        <f t="shared" si="4"/>
        <v>0.764</v>
      </c>
      <c r="M765" s="10">
        <f t="shared" si="1"/>
        <v>146088.5794</v>
      </c>
      <c r="N765" s="10">
        <f t="shared" si="2"/>
        <v>2443944.561</v>
      </c>
    </row>
    <row r="766">
      <c r="L766" s="6">
        <f t="shared" si="4"/>
        <v>0.765</v>
      </c>
      <c r="M766" s="10">
        <f t="shared" si="1"/>
        <v>146529.4151</v>
      </c>
      <c r="N766" s="10">
        <f t="shared" si="2"/>
        <v>2451319.388</v>
      </c>
    </row>
    <row r="767">
      <c r="L767" s="6">
        <f t="shared" si="4"/>
        <v>0.766</v>
      </c>
      <c r="M767" s="10">
        <f t="shared" si="1"/>
        <v>146972.6235</v>
      </c>
      <c r="N767" s="10">
        <f t="shared" si="2"/>
        <v>2458733.907</v>
      </c>
    </row>
    <row r="768">
      <c r="L768" s="6">
        <f t="shared" si="4"/>
        <v>0.767</v>
      </c>
      <c r="M768" s="10">
        <f t="shared" si="1"/>
        <v>147418.2275</v>
      </c>
      <c r="N768" s="10">
        <f t="shared" si="2"/>
        <v>2466188.505</v>
      </c>
    </row>
    <row r="769">
      <c r="L769" s="6">
        <f t="shared" si="4"/>
        <v>0.768</v>
      </c>
      <c r="M769" s="10">
        <f t="shared" si="1"/>
        <v>147866.2509</v>
      </c>
      <c r="N769" s="10">
        <f t="shared" si="2"/>
        <v>2473683.576</v>
      </c>
    </row>
    <row r="770">
      <c r="L770" s="6">
        <f t="shared" si="4"/>
        <v>0.769</v>
      </c>
      <c r="M770" s="10">
        <f t="shared" si="1"/>
        <v>148316.7173</v>
      </c>
      <c r="N770" s="10">
        <f t="shared" si="2"/>
        <v>2481219.516</v>
      </c>
    </row>
    <row r="771">
      <c r="L771" s="6">
        <f t="shared" si="4"/>
        <v>0.77</v>
      </c>
      <c r="M771" s="10">
        <f t="shared" si="1"/>
        <v>148769.6508</v>
      </c>
      <c r="N771" s="10">
        <f t="shared" si="2"/>
        <v>2488796.731</v>
      </c>
    </row>
    <row r="772">
      <c r="L772" s="6">
        <f t="shared" si="4"/>
        <v>0.771</v>
      </c>
      <c r="M772" s="10">
        <f t="shared" si="1"/>
        <v>149225.0761</v>
      </c>
      <c r="N772" s="10">
        <f t="shared" si="2"/>
        <v>2496415.63</v>
      </c>
    </row>
    <row r="773">
      <c r="L773" s="6">
        <f t="shared" si="4"/>
        <v>0.772</v>
      </c>
      <c r="M773" s="10">
        <f t="shared" si="1"/>
        <v>149683.0179</v>
      </c>
      <c r="N773" s="10">
        <f t="shared" si="2"/>
        <v>2504076.629</v>
      </c>
    </row>
    <row r="774">
      <c r="L774" s="6">
        <f t="shared" si="4"/>
        <v>0.773</v>
      </c>
      <c r="M774" s="10">
        <f t="shared" si="1"/>
        <v>150143.5014</v>
      </c>
      <c r="N774" s="10">
        <f t="shared" si="2"/>
        <v>2511780.147</v>
      </c>
    </row>
    <row r="775">
      <c r="L775" s="6">
        <f t="shared" si="4"/>
        <v>0.774</v>
      </c>
      <c r="M775" s="10">
        <f t="shared" si="1"/>
        <v>150606.5522</v>
      </c>
      <c r="N775" s="10">
        <f t="shared" si="2"/>
        <v>2519526.615</v>
      </c>
    </row>
    <row r="776">
      <c r="L776" s="6">
        <f t="shared" si="4"/>
        <v>0.775</v>
      </c>
      <c r="M776" s="10">
        <f t="shared" si="1"/>
        <v>151072.1961</v>
      </c>
      <c r="N776" s="10">
        <f t="shared" si="2"/>
        <v>2527316.463</v>
      </c>
    </row>
    <row r="777">
      <c r="L777" s="6">
        <f t="shared" si="4"/>
        <v>0.776</v>
      </c>
      <c r="M777" s="10">
        <f t="shared" si="1"/>
        <v>151540.4595</v>
      </c>
      <c r="N777" s="10">
        <f t="shared" si="2"/>
        <v>2535150.134</v>
      </c>
    </row>
    <row r="778">
      <c r="L778" s="6">
        <f t="shared" si="4"/>
        <v>0.777</v>
      </c>
      <c r="M778" s="10">
        <f t="shared" si="1"/>
        <v>152011.369</v>
      </c>
      <c r="N778" s="10">
        <f t="shared" si="2"/>
        <v>2543028.072</v>
      </c>
    </row>
    <row r="779">
      <c r="L779" s="6">
        <f t="shared" si="4"/>
        <v>0.778</v>
      </c>
      <c r="M779" s="10">
        <f t="shared" si="1"/>
        <v>152484.9518</v>
      </c>
      <c r="N779" s="10">
        <f t="shared" si="2"/>
        <v>2550950.731</v>
      </c>
    </row>
    <row r="780">
      <c r="L780" s="6">
        <f t="shared" si="4"/>
        <v>0.779</v>
      </c>
      <c r="M780" s="10">
        <f t="shared" si="1"/>
        <v>152961.2352</v>
      </c>
      <c r="N780" s="10">
        <f t="shared" si="2"/>
        <v>2558918.571</v>
      </c>
    </row>
    <row r="781">
      <c r="L781" s="6">
        <f t="shared" si="4"/>
        <v>0.78</v>
      </c>
      <c r="M781" s="10">
        <f t="shared" si="1"/>
        <v>153440.2472</v>
      </c>
      <c r="N781" s="10">
        <f t="shared" si="2"/>
        <v>2566932.056</v>
      </c>
    </row>
    <row r="782">
      <c r="L782" s="6">
        <f t="shared" si="4"/>
        <v>0.781</v>
      </c>
      <c r="M782" s="10">
        <f t="shared" si="1"/>
        <v>153922.016</v>
      </c>
      <c r="N782" s="10">
        <f t="shared" si="2"/>
        <v>2574991.662</v>
      </c>
    </row>
    <row r="783">
      <c r="L783" s="6">
        <f t="shared" si="4"/>
        <v>0.782</v>
      </c>
      <c r="M783" s="10">
        <f t="shared" si="1"/>
        <v>154406.5704</v>
      </c>
      <c r="N783" s="10">
        <f t="shared" si="2"/>
        <v>2583097.866</v>
      </c>
    </row>
    <row r="784">
      <c r="L784" s="6">
        <f t="shared" si="4"/>
        <v>0.783</v>
      </c>
      <c r="M784" s="10">
        <f t="shared" si="1"/>
        <v>154893.9394</v>
      </c>
      <c r="N784" s="10">
        <f t="shared" si="2"/>
        <v>2591251.158</v>
      </c>
    </row>
    <row r="785">
      <c r="L785" s="6">
        <f t="shared" si="4"/>
        <v>0.784</v>
      </c>
      <c r="M785" s="10">
        <f t="shared" si="1"/>
        <v>155384.1526</v>
      </c>
      <c r="N785" s="10">
        <f t="shared" si="2"/>
        <v>2599452.031</v>
      </c>
    </row>
    <row r="786">
      <c r="L786" s="6">
        <f t="shared" si="4"/>
        <v>0.785</v>
      </c>
      <c r="M786" s="10">
        <f t="shared" si="1"/>
        <v>155877.2401</v>
      </c>
      <c r="N786" s="10">
        <f t="shared" si="2"/>
        <v>2607700.988</v>
      </c>
    </row>
    <row r="787">
      <c r="L787" s="6">
        <f t="shared" si="4"/>
        <v>0.786</v>
      </c>
      <c r="M787" s="10">
        <f t="shared" si="1"/>
        <v>156373.2322</v>
      </c>
      <c r="N787" s="10">
        <f t="shared" si="2"/>
        <v>2615998.539</v>
      </c>
    </row>
    <row r="788">
      <c r="L788" s="6">
        <f t="shared" si="4"/>
        <v>0.787</v>
      </c>
      <c r="M788" s="10">
        <f t="shared" si="1"/>
        <v>156872.16</v>
      </c>
      <c r="N788" s="10">
        <f t="shared" si="2"/>
        <v>2624345.201</v>
      </c>
    </row>
    <row r="789">
      <c r="L789" s="6">
        <f t="shared" si="4"/>
        <v>0.788</v>
      </c>
      <c r="M789" s="10">
        <f t="shared" si="1"/>
        <v>157374.0549</v>
      </c>
      <c r="N789" s="10">
        <f t="shared" si="2"/>
        <v>2632741.498</v>
      </c>
    </row>
    <row r="790">
      <c r="L790" s="6">
        <f t="shared" si="4"/>
        <v>0.789</v>
      </c>
      <c r="M790" s="10">
        <f t="shared" si="1"/>
        <v>157878.9487</v>
      </c>
      <c r="N790" s="10">
        <f t="shared" si="2"/>
        <v>2641187.966</v>
      </c>
    </row>
    <row r="791">
      <c r="L791" s="6">
        <f t="shared" si="4"/>
        <v>0.79</v>
      </c>
      <c r="M791" s="10">
        <f t="shared" si="1"/>
        <v>158386.8738</v>
      </c>
      <c r="N791" s="10">
        <f t="shared" si="2"/>
        <v>2649685.145</v>
      </c>
    </row>
    <row r="792">
      <c r="L792" s="6">
        <f t="shared" si="4"/>
        <v>0.791</v>
      </c>
      <c r="M792" s="10">
        <f t="shared" si="1"/>
        <v>158897.8631</v>
      </c>
      <c r="N792" s="10">
        <f t="shared" si="2"/>
        <v>2658233.586</v>
      </c>
    </row>
    <row r="793">
      <c r="L793" s="6">
        <f t="shared" si="4"/>
        <v>0.792</v>
      </c>
      <c r="M793" s="10">
        <f t="shared" si="1"/>
        <v>159411.9501</v>
      </c>
      <c r="N793" s="10">
        <f t="shared" si="2"/>
        <v>2666833.847</v>
      </c>
    </row>
    <row r="794">
      <c r="L794" s="6">
        <f t="shared" si="4"/>
        <v>0.793</v>
      </c>
      <c r="M794" s="10">
        <f t="shared" si="1"/>
        <v>159929.1685</v>
      </c>
      <c r="N794" s="10">
        <f t="shared" si="2"/>
        <v>2675486.496</v>
      </c>
    </row>
    <row r="795">
      <c r="L795" s="6">
        <f t="shared" si="4"/>
        <v>0.794</v>
      </c>
      <c r="M795" s="10">
        <f t="shared" si="1"/>
        <v>160449.5529</v>
      </c>
      <c r="N795" s="10">
        <f t="shared" si="2"/>
        <v>2684192.109</v>
      </c>
    </row>
    <row r="796">
      <c r="L796" s="6">
        <f t="shared" si="4"/>
        <v>0.795</v>
      </c>
      <c r="M796" s="10">
        <f t="shared" si="1"/>
        <v>160973.1383</v>
      </c>
      <c r="N796" s="10">
        <f t="shared" si="2"/>
        <v>2692951.271</v>
      </c>
    </row>
    <row r="797">
      <c r="L797" s="6">
        <f t="shared" si="4"/>
        <v>0.796</v>
      </c>
      <c r="M797" s="10">
        <f t="shared" si="1"/>
        <v>161499.9602</v>
      </c>
      <c r="N797" s="10">
        <f t="shared" si="2"/>
        <v>2701764.578</v>
      </c>
    </row>
    <row r="798">
      <c r="L798" s="6">
        <f t="shared" si="4"/>
        <v>0.797</v>
      </c>
      <c r="M798" s="10">
        <f t="shared" si="1"/>
        <v>162030.0547</v>
      </c>
      <c r="N798" s="10">
        <f t="shared" si="2"/>
        <v>2710632.634</v>
      </c>
    </row>
    <row r="799">
      <c r="L799" s="6">
        <f t="shared" si="4"/>
        <v>0.798</v>
      </c>
      <c r="M799" s="10">
        <f t="shared" si="1"/>
        <v>162563.4586</v>
      </c>
      <c r="N799" s="10">
        <f t="shared" si="2"/>
        <v>2719556.053</v>
      </c>
    </row>
    <row r="800">
      <c r="L800" s="6">
        <f t="shared" si="4"/>
        <v>0.799</v>
      </c>
      <c r="M800" s="10">
        <f t="shared" si="1"/>
        <v>163100.2091</v>
      </c>
      <c r="N800" s="10">
        <f t="shared" si="2"/>
        <v>2728535.458</v>
      </c>
    </row>
    <row r="801">
      <c r="L801" s="6">
        <f t="shared" si="4"/>
        <v>0.8</v>
      </c>
      <c r="M801" s="10">
        <f t="shared" si="1"/>
        <v>163640.3442</v>
      </c>
      <c r="N801" s="10">
        <f t="shared" si="2"/>
        <v>2737571.483</v>
      </c>
    </row>
    <row r="802">
      <c r="L802" s="6">
        <f t="shared" si="4"/>
        <v>0.801</v>
      </c>
      <c r="M802" s="10">
        <f t="shared" si="1"/>
        <v>164183.9023</v>
      </c>
      <c r="N802" s="10">
        <f t="shared" si="2"/>
        <v>2746664.774</v>
      </c>
    </row>
    <row r="803">
      <c r="L803" s="6">
        <f t="shared" si="4"/>
        <v>0.802</v>
      </c>
      <c r="M803" s="10">
        <f t="shared" si="1"/>
        <v>164730.9226</v>
      </c>
      <c r="N803" s="10">
        <f t="shared" si="2"/>
        <v>2755815.984</v>
      </c>
    </row>
    <row r="804">
      <c r="L804" s="6">
        <f t="shared" si="4"/>
        <v>0.803</v>
      </c>
      <c r="M804" s="10">
        <f t="shared" si="1"/>
        <v>165281.4449</v>
      </c>
      <c r="N804" s="10">
        <f t="shared" si="2"/>
        <v>2765025.78</v>
      </c>
    </row>
    <row r="805">
      <c r="L805" s="6">
        <f t="shared" si="4"/>
        <v>0.804</v>
      </c>
      <c r="M805" s="10">
        <f t="shared" si="1"/>
        <v>165835.5097</v>
      </c>
      <c r="N805" s="10">
        <f t="shared" si="2"/>
        <v>2774294.838</v>
      </c>
    </row>
    <row r="806">
      <c r="L806" s="6">
        <f t="shared" si="4"/>
        <v>0.805</v>
      </c>
      <c r="M806" s="10">
        <f t="shared" si="1"/>
        <v>166393.158</v>
      </c>
      <c r="N806" s="10">
        <f t="shared" si="2"/>
        <v>2783623.846</v>
      </c>
    </row>
    <row r="807">
      <c r="L807" s="6">
        <f t="shared" si="4"/>
        <v>0.806</v>
      </c>
      <c r="M807" s="10">
        <f t="shared" si="1"/>
        <v>166954.4316</v>
      </c>
      <c r="N807" s="10">
        <f t="shared" si="2"/>
        <v>2793013.504</v>
      </c>
    </row>
    <row r="808">
      <c r="L808" s="6">
        <f t="shared" si="4"/>
        <v>0.807</v>
      </c>
      <c r="M808" s="10">
        <f t="shared" si="1"/>
        <v>167519.3732</v>
      </c>
      <c r="N808" s="10">
        <f t="shared" si="2"/>
        <v>2802464.522</v>
      </c>
    </row>
    <row r="809">
      <c r="L809" s="6">
        <f t="shared" si="4"/>
        <v>0.808</v>
      </c>
      <c r="M809" s="10">
        <f t="shared" si="1"/>
        <v>168088.0258</v>
      </c>
      <c r="N809" s="10">
        <f t="shared" si="2"/>
        <v>2811977.624</v>
      </c>
    </row>
    <row r="810">
      <c r="L810" s="6">
        <f t="shared" si="4"/>
        <v>0.809</v>
      </c>
      <c r="M810" s="10">
        <f t="shared" si="1"/>
        <v>168660.4336</v>
      </c>
      <c r="N810" s="10">
        <f t="shared" si="2"/>
        <v>2821553.545</v>
      </c>
    </row>
    <row r="811">
      <c r="L811" s="6">
        <f t="shared" si="4"/>
        <v>0.81</v>
      </c>
      <c r="M811" s="10">
        <f t="shared" si="1"/>
        <v>169236.6411</v>
      </c>
      <c r="N811" s="10">
        <f t="shared" si="2"/>
        <v>2831193.034</v>
      </c>
    </row>
    <row r="812">
      <c r="L812" s="6">
        <f t="shared" si="4"/>
        <v>0.811</v>
      </c>
      <c r="M812" s="10">
        <f t="shared" si="1"/>
        <v>169816.6938</v>
      </c>
      <c r="N812" s="10">
        <f t="shared" si="2"/>
        <v>2840896.851</v>
      </c>
    </row>
    <row r="813">
      <c r="L813" s="6">
        <f t="shared" si="4"/>
        <v>0.812</v>
      </c>
      <c r="M813" s="10">
        <f t="shared" si="1"/>
        <v>170400.6381</v>
      </c>
      <c r="N813" s="10">
        <f t="shared" si="2"/>
        <v>2850665.769</v>
      </c>
    </row>
    <row r="814">
      <c r="L814" s="6">
        <f t="shared" si="4"/>
        <v>0.813</v>
      </c>
      <c r="M814" s="10">
        <f t="shared" si="1"/>
        <v>170988.521</v>
      </c>
      <c r="N814" s="10">
        <f t="shared" si="2"/>
        <v>2860500.577</v>
      </c>
    </row>
    <row r="815">
      <c r="L815" s="6">
        <f t="shared" si="4"/>
        <v>0.814</v>
      </c>
      <c r="M815" s="10">
        <f t="shared" si="1"/>
        <v>171580.3903</v>
      </c>
      <c r="N815" s="10">
        <f t="shared" si="2"/>
        <v>2870402.075</v>
      </c>
    </row>
    <row r="816">
      <c r="L816" s="6">
        <f t="shared" si="4"/>
        <v>0.815</v>
      </c>
      <c r="M816" s="10">
        <f t="shared" si="1"/>
        <v>172176.2948</v>
      </c>
      <c r="N816" s="10">
        <f t="shared" si="2"/>
        <v>2880371.079</v>
      </c>
    </row>
    <row r="817">
      <c r="L817" s="6">
        <f t="shared" si="4"/>
        <v>0.816</v>
      </c>
      <c r="M817" s="10">
        <f t="shared" si="1"/>
        <v>172776.2841</v>
      </c>
      <c r="N817" s="10">
        <f t="shared" si="2"/>
        <v>2890408.417</v>
      </c>
    </row>
    <row r="818">
      <c r="L818" s="6">
        <f t="shared" si="4"/>
        <v>0.817</v>
      </c>
      <c r="M818" s="10">
        <f t="shared" si="1"/>
        <v>173380.4086</v>
      </c>
      <c r="N818" s="10">
        <f t="shared" si="2"/>
        <v>2900514.935</v>
      </c>
    </row>
    <row r="819">
      <c r="L819" s="6">
        <f t="shared" si="4"/>
        <v>0.818</v>
      </c>
      <c r="M819" s="10">
        <f t="shared" si="1"/>
        <v>173988.7196</v>
      </c>
      <c r="N819" s="10">
        <f t="shared" si="2"/>
        <v>2910691.491</v>
      </c>
    </row>
    <row r="820">
      <c r="L820" s="6">
        <f t="shared" si="4"/>
        <v>0.819</v>
      </c>
      <c r="M820" s="10">
        <f t="shared" si="1"/>
        <v>174601.2696</v>
      </c>
      <c r="N820" s="10">
        <f t="shared" si="2"/>
        <v>2920938.959</v>
      </c>
    </row>
    <row r="821">
      <c r="L821" s="6">
        <f t="shared" si="4"/>
        <v>0.82</v>
      </c>
      <c r="M821" s="10">
        <f t="shared" si="1"/>
        <v>175218.1116</v>
      </c>
      <c r="N821" s="10">
        <f t="shared" si="2"/>
        <v>2931258.23</v>
      </c>
    </row>
    <row r="822">
      <c r="L822" s="6">
        <f t="shared" si="4"/>
        <v>0.821</v>
      </c>
      <c r="M822" s="10">
        <f t="shared" si="1"/>
        <v>175839.2999</v>
      </c>
      <c r="N822" s="10">
        <f t="shared" si="2"/>
        <v>2941650.211</v>
      </c>
    </row>
    <row r="823">
      <c r="L823" s="6">
        <f t="shared" si="4"/>
        <v>0.822</v>
      </c>
      <c r="M823" s="10">
        <f t="shared" si="1"/>
        <v>176464.8895</v>
      </c>
      <c r="N823" s="10">
        <f t="shared" si="2"/>
        <v>2952115.823</v>
      </c>
    </row>
    <row r="824">
      <c r="L824" s="6">
        <f t="shared" si="4"/>
        <v>0.823</v>
      </c>
      <c r="M824" s="10">
        <f t="shared" si="1"/>
        <v>177094.9368</v>
      </c>
      <c r="N824" s="10">
        <f t="shared" si="2"/>
        <v>2962656.008</v>
      </c>
    </row>
    <row r="825">
      <c r="L825" s="6">
        <f t="shared" si="4"/>
        <v>0.824</v>
      </c>
      <c r="M825" s="10">
        <f t="shared" si="1"/>
        <v>177729.4989</v>
      </c>
      <c r="N825" s="10">
        <f t="shared" si="2"/>
        <v>2973271.722</v>
      </c>
    </row>
    <row r="826">
      <c r="L826" s="6">
        <f t="shared" si="4"/>
        <v>0.825</v>
      </c>
      <c r="M826" s="10">
        <f t="shared" si="1"/>
        <v>178368.634</v>
      </c>
      <c r="N826" s="10">
        <f t="shared" si="2"/>
        <v>2983963.939</v>
      </c>
    </row>
    <row r="827">
      <c r="L827" s="6">
        <f t="shared" si="4"/>
        <v>0.826</v>
      </c>
      <c r="M827" s="10">
        <f t="shared" si="1"/>
        <v>179012.4016</v>
      </c>
      <c r="N827" s="10">
        <f t="shared" si="2"/>
        <v>2994733.653</v>
      </c>
    </row>
    <row r="828">
      <c r="L828" s="6">
        <f t="shared" si="4"/>
        <v>0.827</v>
      </c>
      <c r="M828" s="10">
        <f t="shared" si="1"/>
        <v>179660.8621</v>
      </c>
      <c r="N828" s="10">
        <f t="shared" si="2"/>
        <v>3005581.876</v>
      </c>
    </row>
    <row r="829">
      <c r="L829" s="6">
        <f t="shared" si="4"/>
        <v>0.828</v>
      </c>
      <c r="M829" s="10">
        <f t="shared" si="1"/>
        <v>180314.077</v>
      </c>
      <c r="N829" s="10">
        <f t="shared" si="2"/>
        <v>3016509.637</v>
      </c>
    </row>
    <row r="830">
      <c r="L830" s="6">
        <f t="shared" si="4"/>
        <v>0.829</v>
      </c>
      <c r="M830" s="10">
        <f t="shared" si="1"/>
        <v>180972.1092</v>
      </c>
      <c r="N830" s="10">
        <f t="shared" si="2"/>
        <v>3027517.987</v>
      </c>
    </row>
    <row r="831">
      <c r="L831" s="6">
        <f t="shared" si="4"/>
        <v>0.83</v>
      </c>
      <c r="M831" s="10">
        <f t="shared" si="1"/>
        <v>181635.0226</v>
      </c>
      <c r="N831" s="10">
        <f t="shared" si="2"/>
        <v>3038607.996</v>
      </c>
    </row>
    <row r="832">
      <c r="L832" s="6">
        <f t="shared" si="4"/>
        <v>0.831</v>
      </c>
      <c r="M832" s="10">
        <f t="shared" si="1"/>
        <v>182302.8825</v>
      </c>
      <c r="N832" s="10">
        <f t="shared" si="2"/>
        <v>3049780.755</v>
      </c>
    </row>
    <row r="833">
      <c r="L833" s="6">
        <f t="shared" si="4"/>
        <v>0.832</v>
      </c>
      <c r="M833" s="10">
        <f t="shared" si="1"/>
        <v>182975.7552</v>
      </c>
      <c r="N833" s="10">
        <f t="shared" si="2"/>
        <v>3061037.375</v>
      </c>
    </row>
    <row r="834">
      <c r="L834" s="6">
        <f t="shared" si="4"/>
        <v>0.833</v>
      </c>
      <c r="M834" s="10">
        <f t="shared" si="1"/>
        <v>183653.7085</v>
      </c>
      <c r="N834" s="10">
        <f t="shared" si="2"/>
        <v>3072378.989</v>
      </c>
    </row>
    <row r="835">
      <c r="L835" s="6">
        <f t="shared" si="4"/>
        <v>0.834</v>
      </c>
      <c r="M835" s="10">
        <f t="shared" si="1"/>
        <v>184336.8115</v>
      </c>
      <c r="N835" s="10">
        <f t="shared" si="2"/>
        <v>3083806.753</v>
      </c>
    </row>
    <row r="836">
      <c r="L836" s="6">
        <f t="shared" si="4"/>
        <v>0.835</v>
      </c>
      <c r="M836" s="10">
        <f t="shared" si="1"/>
        <v>185025.1345</v>
      </c>
      <c r="N836" s="10">
        <f t="shared" si="2"/>
        <v>3095321.845</v>
      </c>
    </row>
    <row r="837">
      <c r="L837" s="6">
        <f t="shared" si="4"/>
        <v>0.836</v>
      </c>
      <c r="M837" s="10">
        <f t="shared" si="1"/>
        <v>185718.7494</v>
      </c>
      <c r="N837" s="10">
        <f t="shared" si="2"/>
        <v>3106925.465</v>
      </c>
    </row>
    <row r="838">
      <c r="L838" s="6">
        <f t="shared" si="4"/>
        <v>0.837</v>
      </c>
      <c r="M838" s="10">
        <f t="shared" si="1"/>
        <v>186417.7294</v>
      </c>
      <c r="N838" s="10">
        <f t="shared" si="2"/>
        <v>3118618.839</v>
      </c>
    </row>
    <row r="839">
      <c r="L839" s="6">
        <f t="shared" si="4"/>
        <v>0.838</v>
      </c>
      <c r="M839" s="10">
        <f t="shared" si="1"/>
        <v>187122.1493</v>
      </c>
      <c r="N839" s="10">
        <f t="shared" si="2"/>
        <v>3130403.216</v>
      </c>
    </row>
    <row r="840">
      <c r="L840" s="6">
        <f t="shared" si="4"/>
        <v>0.839</v>
      </c>
      <c r="M840" s="10">
        <f t="shared" si="1"/>
        <v>187832.085</v>
      </c>
      <c r="N840" s="10">
        <f t="shared" si="2"/>
        <v>3142279.871</v>
      </c>
    </row>
    <row r="841">
      <c r="L841" s="6">
        <f t="shared" si="4"/>
        <v>0.84</v>
      </c>
      <c r="M841" s="10">
        <f t="shared" si="1"/>
        <v>188547.6146</v>
      </c>
      <c r="N841" s="10">
        <f t="shared" si="2"/>
        <v>3154250.105</v>
      </c>
    </row>
    <row r="842">
      <c r="L842" s="6">
        <f t="shared" si="4"/>
        <v>0.841</v>
      </c>
      <c r="M842" s="10">
        <f t="shared" si="1"/>
        <v>189268.8171</v>
      </c>
      <c r="N842" s="10">
        <f t="shared" si="2"/>
        <v>3166315.244</v>
      </c>
    </row>
    <row r="843">
      <c r="L843" s="6">
        <f t="shared" si="4"/>
        <v>0.842</v>
      </c>
      <c r="M843" s="10">
        <f t="shared" si="1"/>
        <v>189995.7736</v>
      </c>
      <c r="N843" s="10">
        <f t="shared" si="2"/>
        <v>3178476.643</v>
      </c>
    </row>
    <row r="844">
      <c r="L844" s="6">
        <f t="shared" si="4"/>
        <v>0.843</v>
      </c>
      <c r="M844" s="10">
        <f t="shared" si="1"/>
        <v>190728.5668</v>
      </c>
      <c r="N844" s="10">
        <f t="shared" si="2"/>
        <v>3190735.684</v>
      </c>
    </row>
    <row r="845">
      <c r="L845" s="6">
        <f t="shared" si="4"/>
        <v>0.844</v>
      </c>
      <c r="M845" s="10">
        <f t="shared" si="1"/>
        <v>191467.2808</v>
      </c>
      <c r="N845" s="10">
        <f t="shared" si="2"/>
        <v>3203093.776</v>
      </c>
    </row>
    <row r="846">
      <c r="L846" s="6">
        <f t="shared" si="4"/>
        <v>0.845</v>
      </c>
      <c r="M846" s="10">
        <f t="shared" si="1"/>
        <v>192212.0019</v>
      </c>
      <c r="N846" s="10">
        <f t="shared" si="2"/>
        <v>3215552.361</v>
      </c>
    </row>
    <row r="847">
      <c r="L847" s="6">
        <f t="shared" si="4"/>
        <v>0.846</v>
      </c>
      <c r="M847" s="10">
        <f t="shared" si="1"/>
        <v>192962.8178</v>
      </c>
      <c r="N847" s="10">
        <f t="shared" si="2"/>
        <v>3228112.909</v>
      </c>
    </row>
    <row r="848">
      <c r="L848" s="6">
        <f t="shared" si="4"/>
        <v>0.847</v>
      </c>
      <c r="M848" s="10">
        <f t="shared" si="1"/>
        <v>193719.8185</v>
      </c>
      <c r="N848" s="10">
        <f t="shared" si="2"/>
        <v>3240776.921</v>
      </c>
    </row>
    <row r="849">
      <c r="L849" s="6">
        <f t="shared" si="4"/>
        <v>0.848</v>
      </c>
      <c r="M849" s="10">
        <f t="shared" si="1"/>
        <v>194483.0954</v>
      </c>
      <c r="N849" s="10">
        <f t="shared" si="2"/>
        <v>3253545.931</v>
      </c>
    </row>
    <row r="850">
      <c r="L850" s="6">
        <f t="shared" si="4"/>
        <v>0.849</v>
      </c>
      <c r="M850" s="10">
        <f t="shared" si="1"/>
        <v>195252.7423</v>
      </c>
      <c r="N850" s="10">
        <f t="shared" si="2"/>
        <v>3266421.505</v>
      </c>
    </row>
    <row r="851">
      <c r="L851" s="6">
        <f t="shared" si="4"/>
        <v>0.85</v>
      </c>
      <c r="M851" s="10">
        <f t="shared" si="1"/>
        <v>196028.8548</v>
      </c>
      <c r="N851" s="10">
        <f t="shared" si="2"/>
        <v>3279405.244</v>
      </c>
    </row>
    <row r="852">
      <c r="L852" s="6">
        <f t="shared" si="4"/>
        <v>0.851</v>
      </c>
      <c r="M852" s="10">
        <f t="shared" si="1"/>
        <v>196811.5306</v>
      </c>
      <c r="N852" s="10">
        <f t="shared" si="2"/>
        <v>3292498.781</v>
      </c>
    </row>
    <row r="853">
      <c r="L853" s="6">
        <f t="shared" si="4"/>
        <v>0.852</v>
      </c>
      <c r="M853" s="10">
        <f t="shared" si="1"/>
        <v>197600.8696</v>
      </c>
      <c r="N853" s="10">
        <f t="shared" si="2"/>
        <v>3305703.789</v>
      </c>
    </row>
    <row r="854">
      <c r="L854" s="6">
        <f t="shared" si="4"/>
        <v>0.853</v>
      </c>
      <c r="M854" s="10">
        <f t="shared" si="1"/>
        <v>198396.9739</v>
      </c>
      <c r="N854" s="10">
        <f t="shared" si="2"/>
        <v>3319021.974</v>
      </c>
    </row>
    <row r="855">
      <c r="L855" s="6">
        <f t="shared" si="4"/>
        <v>0.854</v>
      </c>
      <c r="M855" s="10">
        <f t="shared" si="1"/>
        <v>199199.9477</v>
      </c>
      <c r="N855" s="10">
        <f t="shared" si="2"/>
        <v>3332455.081</v>
      </c>
    </row>
    <row r="856">
      <c r="L856" s="6">
        <f t="shared" si="4"/>
        <v>0.855</v>
      </c>
      <c r="M856" s="10">
        <f t="shared" si="1"/>
        <v>200009.8978</v>
      </c>
      <c r="N856" s="10">
        <f t="shared" si="2"/>
        <v>3346004.894</v>
      </c>
    </row>
    <row r="857">
      <c r="L857" s="6">
        <f t="shared" si="4"/>
        <v>0.856</v>
      </c>
      <c r="M857" s="10">
        <f t="shared" si="1"/>
        <v>200826.9331</v>
      </c>
      <c r="N857" s="10">
        <f t="shared" si="2"/>
        <v>3359673.239</v>
      </c>
    </row>
    <row r="858">
      <c r="L858" s="6">
        <f t="shared" si="4"/>
        <v>0.857</v>
      </c>
      <c r="M858" s="10">
        <f t="shared" si="1"/>
        <v>201651.1652</v>
      </c>
      <c r="N858" s="10">
        <f t="shared" si="2"/>
        <v>3373461.98</v>
      </c>
    </row>
    <row r="859">
      <c r="L859" s="6">
        <f t="shared" si="4"/>
        <v>0.858</v>
      </c>
      <c r="M859" s="10">
        <f t="shared" si="1"/>
        <v>202482.7081</v>
      </c>
      <c r="N859" s="10">
        <f t="shared" si="2"/>
        <v>3387373.025</v>
      </c>
    </row>
    <row r="860">
      <c r="L860" s="6">
        <f t="shared" si="4"/>
        <v>0.859</v>
      </c>
      <c r="M860" s="10">
        <f t="shared" si="1"/>
        <v>203321.6785</v>
      </c>
      <c r="N860" s="10">
        <f t="shared" si="2"/>
        <v>3401408.326</v>
      </c>
    </row>
    <row r="861">
      <c r="L861" s="6">
        <f t="shared" si="4"/>
        <v>0.86</v>
      </c>
      <c r="M861" s="10">
        <f t="shared" si="1"/>
        <v>204168.1958</v>
      </c>
      <c r="N861" s="10">
        <f t="shared" si="2"/>
        <v>3415569.88</v>
      </c>
    </row>
    <row r="862">
      <c r="L862" s="6">
        <f t="shared" si="4"/>
        <v>0.861</v>
      </c>
      <c r="M862" s="10">
        <f t="shared" si="1"/>
        <v>205022.3821</v>
      </c>
      <c r="N862" s="10">
        <f t="shared" si="2"/>
        <v>3429859.73</v>
      </c>
    </row>
    <row r="863">
      <c r="L863" s="6">
        <f t="shared" si="4"/>
        <v>0.862</v>
      </c>
      <c r="M863" s="10">
        <f t="shared" si="1"/>
        <v>205884.3623</v>
      </c>
      <c r="N863" s="10">
        <f t="shared" si="2"/>
        <v>3444279.967</v>
      </c>
    </row>
    <row r="864">
      <c r="L864" s="6">
        <f t="shared" si="4"/>
        <v>0.863</v>
      </c>
      <c r="M864" s="10">
        <f t="shared" si="1"/>
        <v>206754.2646</v>
      </c>
      <c r="N864" s="10">
        <f t="shared" si="2"/>
        <v>3458832.732</v>
      </c>
    </row>
    <row r="865">
      <c r="L865" s="6">
        <f t="shared" si="4"/>
        <v>0.864</v>
      </c>
      <c r="M865" s="10">
        <f t="shared" si="1"/>
        <v>207632.2197</v>
      </c>
      <c r="N865" s="10">
        <f t="shared" si="2"/>
        <v>3473520.216</v>
      </c>
    </row>
    <row r="866">
      <c r="L866" s="6">
        <f t="shared" si="4"/>
        <v>0.865</v>
      </c>
      <c r="M866" s="10">
        <f t="shared" si="1"/>
        <v>208518.3619</v>
      </c>
      <c r="N866" s="10">
        <f t="shared" si="2"/>
        <v>3488344.663</v>
      </c>
    </row>
    <row r="867">
      <c r="L867" s="6">
        <f t="shared" si="4"/>
        <v>0.866</v>
      </c>
      <c r="M867" s="10">
        <f t="shared" si="1"/>
        <v>209412.8285</v>
      </c>
      <c r="N867" s="10">
        <f t="shared" si="2"/>
        <v>3503308.371</v>
      </c>
    </row>
    <row r="868">
      <c r="L868" s="6">
        <f t="shared" si="4"/>
        <v>0.867</v>
      </c>
      <c r="M868" s="10">
        <f t="shared" si="1"/>
        <v>210315.7603</v>
      </c>
      <c r="N868" s="10">
        <f t="shared" si="2"/>
        <v>3518413.693</v>
      </c>
    </row>
    <row r="869">
      <c r="L869" s="6">
        <f t="shared" si="4"/>
        <v>0.868</v>
      </c>
      <c r="M869" s="10">
        <f t="shared" si="1"/>
        <v>211227.3013</v>
      </c>
      <c r="N869" s="10">
        <f t="shared" si="2"/>
        <v>3533663.043</v>
      </c>
    </row>
    <row r="870">
      <c r="L870" s="6">
        <f t="shared" si="4"/>
        <v>0.869</v>
      </c>
      <c r="M870" s="10">
        <f t="shared" si="1"/>
        <v>212147.5993</v>
      </c>
      <c r="N870" s="10">
        <f t="shared" si="2"/>
        <v>3549058.889</v>
      </c>
    </row>
    <row r="871">
      <c r="L871" s="6">
        <f t="shared" si="4"/>
        <v>0.87</v>
      </c>
      <c r="M871" s="10">
        <f t="shared" si="1"/>
        <v>213076.8057</v>
      </c>
      <c r="N871" s="10">
        <f t="shared" si="2"/>
        <v>3564603.765</v>
      </c>
    </row>
    <row r="872">
      <c r="L872" s="6">
        <f t="shared" si="4"/>
        <v>0.871</v>
      </c>
      <c r="M872" s="10">
        <f t="shared" si="1"/>
        <v>214015.0756</v>
      </c>
      <c r="N872" s="10">
        <f t="shared" si="2"/>
        <v>3580300.266</v>
      </c>
    </row>
    <row r="873">
      <c r="L873" s="6">
        <f t="shared" si="4"/>
        <v>0.872</v>
      </c>
      <c r="M873" s="10">
        <f t="shared" si="1"/>
        <v>214962.5681</v>
      </c>
      <c r="N873" s="10">
        <f t="shared" si="2"/>
        <v>3596151.055</v>
      </c>
    </row>
    <row r="874">
      <c r="L874" s="6">
        <f t="shared" si="4"/>
        <v>0.873</v>
      </c>
      <c r="M874" s="10">
        <f t="shared" si="1"/>
        <v>215919.4463</v>
      </c>
      <c r="N874" s="10">
        <f t="shared" si="2"/>
        <v>3612158.859</v>
      </c>
    </row>
    <row r="875">
      <c r="L875" s="6">
        <f t="shared" si="4"/>
        <v>0.874</v>
      </c>
      <c r="M875" s="10">
        <f t="shared" si="1"/>
        <v>216885.8776</v>
      </c>
      <c r="N875" s="10">
        <f t="shared" si="2"/>
        <v>3628326.478</v>
      </c>
    </row>
    <row r="876">
      <c r="L876" s="6">
        <f t="shared" si="4"/>
        <v>0.875</v>
      </c>
      <c r="M876" s="10">
        <f t="shared" si="1"/>
        <v>217862.0336</v>
      </c>
      <c r="N876" s="10">
        <f t="shared" si="2"/>
        <v>3644656.784</v>
      </c>
    </row>
    <row r="877">
      <c r="L877" s="6">
        <f t="shared" si="4"/>
        <v>0.876</v>
      </c>
      <c r="M877" s="10">
        <f t="shared" si="1"/>
        <v>218848.0905</v>
      </c>
      <c r="N877" s="10">
        <f t="shared" si="2"/>
        <v>3661152.723</v>
      </c>
    </row>
    <row r="878">
      <c r="L878" s="6">
        <f t="shared" si="4"/>
        <v>0.877</v>
      </c>
      <c r="M878" s="10">
        <f t="shared" si="1"/>
        <v>219844.2289</v>
      </c>
      <c r="N878" s="10">
        <f t="shared" si="2"/>
        <v>3677817.318</v>
      </c>
    </row>
    <row r="879">
      <c r="L879" s="6">
        <f t="shared" si="4"/>
        <v>0.878</v>
      </c>
      <c r="M879" s="10">
        <f t="shared" si="1"/>
        <v>220850.6344</v>
      </c>
      <c r="N879" s="10">
        <f t="shared" si="2"/>
        <v>3694653.673</v>
      </c>
    </row>
    <row r="880">
      <c r="L880" s="6">
        <f t="shared" si="4"/>
        <v>0.879</v>
      </c>
      <c r="M880" s="10">
        <f t="shared" si="1"/>
        <v>221867.4974</v>
      </c>
      <c r="N880" s="10">
        <f t="shared" si="2"/>
        <v>3711664.975</v>
      </c>
    </row>
    <row r="881">
      <c r="L881" s="6">
        <f t="shared" si="4"/>
        <v>0.88</v>
      </c>
      <c r="M881" s="10">
        <f t="shared" si="1"/>
        <v>222895.0136</v>
      </c>
      <c r="N881" s="10">
        <f t="shared" si="2"/>
        <v>3728854.495</v>
      </c>
    </row>
    <row r="882">
      <c r="L882" s="6">
        <f t="shared" si="4"/>
        <v>0.881</v>
      </c>
      <c r="M882" s="10">
        <f t="shared" si="1"/>
        <v>223933.3838</v>
      </c>
      <c r="N882" s="10">
        <f t="shared" si="2"/>
        <v>3746225.595</v>
      </c>
    </row>
    <row r="883">
      <c r="L883" s="6">
        <f t="shared" si="4"/>
        <v>0.882</v>
      </c>
      <c r="M883" s="10">
        <f t="shared" si="1"/>
        <v>224982.8146</v>
      </c>
      <c r="N883" s="10">
        <f t="shared" si="2"/>
        <v>3763781.728</v>
      </c>
    </row>
    <row r="884">
      <c r="L884" s="6">
        <f t="shared" si="4"/>
        <v>0.883</v>
      </c>
      <c r="M884" s="10">
        <f t="shared" si="1"/>
        <v>226043.5179</v>
      </c>
      <c r="N884" s="10">
        <f t="shared" si="2"/>
        <v>3781526.443</v>
      </c>
    </row>
    <row r="885">
      <c r="L885" s="6">
        <f t="shared" si="4"/>
        <v>0.884</v>
      </c>
      <c r="M885" s="10">
        <f t="shared" si="1"/>
        <v>227115.7118</v>
      </c>
      <c r="N885" s="10">
        <f t="shared" si="2"/>
        <v>3799463.385</v>
      </c>
    </row>
    <row r="886">
      <c r="L886" s="6">
        <f t="shared" si="4"/>
        <v>0.885</v>
      </c>
      <c r="M886" s="10">
        <f t="shared" si="1"/>
        <v>228199.6205</v>
      </c>
      <c r="N886" s="10">
        <f t="shared" si="2"/>
        <v>3817596.306</v>
      </c>
    </row>
    <row r="887">
      <c r="L887" s="6">
        <f t="shared" si="4"/>
        <v>0.886</v>
      </c>
      <c r="M887" s="10">
        <f t="shared" si="1"/>
        <v>229295.4743</v>
      </c>
      <c r="N887" s="10">
        <f t="shared" si="2"/>
        <v>3835929.06</v>
      </c>
    </row>
    <row r="888">
      <c r="L888" s="6">
        <f t="shared" si="4"/>
        <v>0.887</v>
      </c>
      <c r="M888" s="10">
        <f t="shared" si="1"/>
        <v>230403.5104</v>
      </c>
      <c r="N888" s="10">
        <f t="shared" si="2"/>
        <v>3854465.614</v>
      </c>
    </row>
    <row r="889">
      <c r="L889" s="6">
        <f t="shared" si="4"/>
        <v>0.888</v>
      </c>
      <c r="M889" s="10">
        <f t="shared" si="1"/>
        <v>231523.9726</v>
      </c>
      <c r="N889" s="10">
        <f t="shared" si="2"/>
        <v>3873210.047</v>
      </c>
    </row>
    <row r="890">
      <c r="L890" s="6">
        <f t="shared" si="4"/>
        <v>0.889</v>
      </c>
      <c r="M890" s="10">
        <f t="shared" si="1"/>
        <v>232657.112</v>
      </c>
      <c r="N890" s="10">
        <f t="shared" si="2"/>
        <v>3892166.559</v>
      </c>
    </row>
    <row r="891">
      <c r="L891" s="6">
        <f t="shared" si="4"/>
        <v>0.89</v>
      </c>
      <c r="M891" s="10">
        <f t="shared" si="1"/>
        <v>233803.1869</v>
      </c>
      <c r="N891" s="10">
        <f t="shared" si="2"/>
        <v>3911339.47</v>
      </c>
    </row>
    <row r="892">
      <c r="L892" s="6">
        <f t="shared" si="4"/>
        <v>0.891</v>
      </c>
      <c r="M892" s="10">
        <f t="shared" si="1"/>
        <v>234962.4632</v>
      </c>
      <c r="N892" s="10">
        <f t="shared" si="2"/>
        <v>3930733.232</v>
      </c>
    </row>
    <row r="893">
      <c r="L893" s="6">
        <f t="shared" si="4"/>
        <v>0.892</v>
      </c>
      <c r="M893" s="10">
        <f t="shared" si="1"/>
        <v>236135.215</v>
      </c>
      <c r="N893" s="10">
        <f t="shared" si="2"/>
        <v>3950352.427</v>
      </c>
    </row>
    <row r="894">
      <c r="L894" s="6">
        <f t="shared" si="4"/>
        <v>0.893</v>
      </c>
      <c r="M894" s="10">
        <f t="shared" si="1"/>
        <v>237321.7244</v>
      </c>
      <c r="N894" s="10">
        <f t="shared" si="2"/>
        <v>3970201.775</v>
      </c>
    </row>
    <row r="895">
      <c r="L895" s="6">
        <f t="shared" si="4"/>
        <v>0.894</v>
      </c>
      <c r="M895" s="10">
        <f t="shared" si="1"/>
        <v>238522.2822</v>
      </c>
      <c r="N895" s="10">
        <f t="shared" si="2"/>
        <v>3990286.143</v>
      </c>
    </row>
    <row r="896">
      <c r="L896" s="6">
        <f t="shared" si="4"/>
        <v>0.895</v>
      </c>
      <c r="M896" s="10">
        <f t="shared" si="1"/>
        <v>239737.1881</v>
      </c>
      <c r="N896" s="10">
        <f t="shared" si="2"/>
        <v>4010610.543</v>
      </c>
    </row>
    <row r="897">
      <c r="L897" s="6">
        <f t="shared" si="4"/>
        <v>0.896</v>
      </c>
      <c r="M897" s="10">
        <f t="shared" si="1"/>
        <v>240966.7512</v>
      </c>
      <c r="N897" s="10">
        <f t="shared" si="2"/>
        <v>4031180.146</v>
      </c>
    </row>
    <row r="898">
      <c r="L898" s="6">
        <f t="shared" si="4"/>
        <v>0.897</v>
      </c>
      <c r="M898" s="10">
        <f t="shared" si="1"/>
        <v>242211.2901</v>
      </c>
      <c r="N898" s="10">
        <f t="shared" si="2"/>
        <v>4052000.282</v>
      </c>
    </row>
    <row r="899">
      <c r="L899" s="6">
        <f t="shared" si="4"/>
        <v>0.898</v>
      </c>
      <c r="M899" s="10">
        <f t="shared" si="1"/>
        <v>243471.1337</v>
      </c>
      <c r="N899" s="10">
        <f t="shared" si="2"/>
        <v>4073076.453</v>
      </c>
    </row>
    <row r="900">
      <c r="L900" s="6">
        <f t="shared" si="4"/>
        <v>0.899</v>
      </c>
      <c r="M900" s="10">
        <f t="shared" si="1"/>
        <v>244746.6212</v>
      </c>
      <c r="N900" s="10">
        <f t="shared" si="2"/>
        <v>4094414.334</v>
      </c>
    </row>
    <row r="901">
      <c r="L901" s="6">
        <f t="shared" si="4"/>
        <v>0.9</v>
      </c>
      <c r="M901" s="10">
        <f t="shared" si="1"/>
        <v>246038.1028</v>
      </c>
      <c r="N901" s="10">
        <f t="shared" si="2"/>
        <v>4116019.784</v>
      </c>
    </row>
    <row r="902">
      <c r="L902" s="6">
        <f t="shared" si="4"/>
        <v>0.901</v>
      </c>
      <c r="M902" s="10">
        <f t="shared" si="1"/>
        <v>247345.9402</v>
      </c>
      <c r="N902" s="10">
        <f t="shared" si="2"/>
        <v>4137898.852</v>
      </c>
    </row>
    <row r="903">
      <c r="L903" s="6">
        <f t="shared" si="4"/>
        <v>0.902</v>
      </c>
      <c r="M903" s="10">
        <f t="shared" si="1"/>
        <v>248670.5068</v>
      </c>
      <c r="N903" s="10">
        <f t="shared" si="2"/>
        <v>4160057.787</v>
      </c>
    </row>
    <row r="904">
      <c r="L904" s="6">
        <f t="shared" si="4"/>
        <v>0.903</v>
      </c>
      <c r="M904" s="10">
        <f t="shared" si="1"/>
        <v>250012.1885</v>
      </c>
      <c r="N904" s="10">
        <f t="shared" si="2"/>
        <v>4182503.045</v>
      </c>
    </row>
    <row r="905">
      <c r="L905" s="6">
        <f t="shared" si="4"/>
        <v>0.904</v>
      </c>
      <c r="M905" s="10">
        <f t="shared" si="1"/>
        <v>251371.3844</v>
      </c>
      <c r="N905" s="10">
        <f t="shared" si="2"/>
        <v>4205241.299</v>
      </c>
    </row>
    <row r="906">
      <c r="L906" s="6">
        <f t="shared" si="4"/>
        <v>0.905</v>
      </c>
      <c r="M906" s="10">
        <f t="shared" si="1"/>
        <v>252748.5066</v>
      </c>
      <c r="N906" s="10">
        <f t="shared" si="2"/>
        <v>4228279.449</v>
      </c>
    </row>
    <row r="907">
      <c r="L907" s="6">
        <f t="shared" si="4"/>
        <v>0.906</v>
      </c>
      <c r="M907" s="10">
        <f t="shared" si="1"/>
        <v>254143.982</v>
      </c>
      <c r="N907" s="10">
        <f t="shared" si="2"/>
        <v>4251624.629</v>
      </c>
    </row>
    <row r="908">
      <c r="L908" s="6">
        <f t="shared" si="4"/>
        <v>0.907</v>
      </c>
      <c r="M908" s="10">
        <f t="shared" si="1"/>
        <v>255558.2516</v>
      </c>
      <c r="N908" s="10">
        <f t="shared" si="2"/>
        <v>4275284.225</v>
      </c>
    </row>
    <row r="909">
      <c r="L909" s="6">
        <f t="shared" si="4"/>
        <v>0.908</v>
      </c>
      <c r="M909" s="10">
        <f t="shared" si="1"/>
        <v>256991.7725</v>
      </c>
      <c r="N909" s="10">
        <f t="shared" si="2"/>
        <v>4299265.876</v>
      </c>
    </row>
    <row r="910">
      <c r="L910" s="6">
        <f t="shared" si="4"/>
        <v>0.909</v>
      </c>
      <c r="M910" s="10">
        <f t="shared" si="1"/>
        <v>258445.0174</v>
      </c>
      <c r="N910" s="10">
        <f t="shared" si="2"/>
        <v>4323577.496</v>
      </c>
    </row>
    <row r="911">
      <c r="L911" s="6">
        <f t="shared" si="4"/>
        <v>0.91</v>
      </c>
      <c r="M911" s="10">
        <f t="shared" si="1"/>
        <v>259918.4763</v>
      </c>
      <c r="N911" s="10">
        <f t="shared" si="2"/>
        <v>4348227.28</v>
      </c>
    </row>
    <row r="912">
      <c r="L912" s="6">
        <f t="shared" si="4"/>
        <v>0.911</v>
      </c>
      <c r="M912" s="10">
        <f t="shared" si="1"/>
        <v>261412.6569</v>
      </c>
      <c r="N912" s="10">
        <f t="shared" si="2"/>
        <v>4373223.72</v>
      </c>
    </row>
    <row r="913">
      <c r="L913" s="6">
        <f t="shared" si="4"/>
        <v>0.912</v>
      </c>
      <c r="M913" s="10">
        <f t="shared" si="1"/>
        <v>262928.0852</v>
      </c>
      <c r="N913" s="10">
        <f t="shared" si="2"/>
        <v>4398575.619</v>
      </c>
    </row>
    <row r="914">
      <c r="L914" s="6">
        <f t="shared" si="4"/>
        <v>0.913</v>
      </c>
      <c r="M914" s="10">
        <f t="shared" si="1"/>
        <v>264465.307</v>
      </c>
      <c r="N914" s="10">
        <f t="shared" si="2"/>
        <v>4424292.105</v>
      </c>
    </row>
    <row r="915">
      <c r="L915" s="6">
        <f t="shared" si="4"/>
        <v>0.914</v>
      </c>
      <c r="M915" s="10">
        <f t="shared" si="1"/>
        <v>266024.8884</v>
      </c>
      <c r="N915" s="10">
        <f t="shared" si="2"/>
        <v>4450382.649</v>
      </c>
    </row>
    <row r="916">
      <c r="L916" s="6">
        <f t="shared" si="4"/>
        <v>0.915</v>
      </c>
      <c r="M916" s="10">
        <f t="shared" si="1"/>
        <v>267607.417</v>
      </c>
      <c r="N916" s="10">
        <f t="shared" si="2"/>
        <v>4476857.08</v>
      </c>
    </row>
    <row r="917">
      <c r="L917" s="6">
        <f t="shared" si="4"/>
        <v>0.916</v>
      </c>
      <c r="M917" s="10">
        <f t="shared" si="1"/>
        <v>269213.5027</v>
      </c>
      <c r="N917" s="10">
        <f t="shared" si="2"/>
        <v>4503725.604</v>
      </c>
    </row>
    <row r="918">
      <c r="L918" s="6">
        <f t="shared" si="4"/>
        <v>0.917</v>
      </c>
      <c r="M918" s="10">
        <f t="shared" si="1"/>
        <v>270843.7794</v>
      </c>
      <c r="N918" s="10">
        <f t="shared" si="2"/>
        <v>4530998.823</v>
      </c>
    </row>
    <row r="919">
      <c r="L919" s="6">
        <f t="shared" si="4"/>
        <v>0.918</v>
      </c>
      <c r="M919" s="10">
        <f t="shared" si="1"/>
        <v>272498.9055</v>
      </c>
      <c r="N919" s="10">
        <f t="shared" si="2"/>
        <v>4558687.753</v>
      </c>
    </row>
    <row r="920">
      <c r="L920" s="6">
        <f t="shared" si="4"/>
        <v>0.919</v>
      </c>
      <c r="M920" s="10">
        <f t="shared" si="1"/>
        <v>274179.5659</v>
      </c>
      <c r="N920" s="10">
        <f t="shared" si="2"/>
        <v>4586803.851</v>
      </c>
    </row>
    <row r="921">
      <c r="L921" s="6">
        <f t="shared" si="4"/>
        <v>0.92</v>
      </c>
      <c r="M921" s="10">
        <f t="shared" si="1"/>
        <v>275886.4728</v>
      </c>
      <c r="N921" s="10">
        <f t="shared" si="2"/>
        <v>4615359.033</v>
      </c>
    </row>
    <row r="922">
      <c r="L922" s="6">
        <f t="shared" si="4"/>
        <v>0.921</v>
      </c>
      <c r="M922" s="10">
        <f t="shared" si="1"/>
        <v>277620.3676</v>
      </c>
      <c r="N922" s="10">
        <f t="shared" si="2"/>
        <v>4644365.7</v>
      </c>
    </row>
    <row r="923">
      <c r="L923" s="6">
        <f t="shared" si="4"/>
        <v>0.922</v>
      </c>
      <c r="M923" s="10">
        <f t="shared" si="1"/>
        <v>279382.0221</v>
      </c>
      <c r="N923" s="10">
        <f t="shared" si="2"/>
        <v>4673836.765</v>
      </c>
    </row>
    <row r="924">
      <c r="L924" s="6">
        <f t="shared" si="4"/>
        <v>0.923</v>
      </c>
      <c r="M924" s="10">
        <f t="shared" si="1"/>
        <v>281172.2405</v>
      </c>
      <c r="N924" s="10">
        <f t="shared" si="2"/>
        <v>4703785.679</v>
      </c>
    </row>
    <row r="925">
      <c r="L925" s="6">
        <f t="shared" si="4"/>
        <v>0.924</v>
      </c>
      <c r="M925" s="10">
        <f t="shared" si="1"/>
        <v>282991.8609</v>
      </c>
      <c r="N925" s="10">
        <f t="shared" si="2"/>
        <v>4734226.466</v>
      </c>
    </row>
    <row r="926">
      <c r="L926" s="6">
        <f t="shared" si="4"/>
        <v>0.925</v>
      </c>
      <c r="M926" s="10">
        <f t="shared" si="1"/>
        <v>284841.7573</v>
      </c>
      <c r="N926" s="10">
        <f t="shared" si="2"/>
        <v>4765173.747</v>
      </c>
    </row>
    <row r="927">
      <c r="L927" s="6">
        <f t="shared" si="4"/>
        <v>0.926</v>
      </c>
      <c r="M927" s="10">
        <f t="shared" si="1"/>
        <v>286722.8418</v>
      </c>
      <c r="N927" s="10">
        <f t="shared" si="2"/>
        <v>4796642.78</v>
      </c>
    </row>
    <row r="928">
      <c r="L928" s="6">
        <f t="shared" si="4"/>
        <v>0.927</v>
      </c>
      <c r="M928" s="10">
        <f t="shared" si="1"/>
        <v>288636.0667</v>
      </c>
      <c r="N928" s="10">
        <f t="shared" si="2"/>
        <v>4828649.495</v>
      </c>
    </row>
    <row r="929">
      <c r="L929" s="6">
        <f t="shared" si="4"/>
        <v>0.928</v>
      </c>
      <c r="M929" s="10">
        <f t="shared" si="1"/>
        <v>290582.4266</v>
      </c>
      <c r="N929" s="10">
        <f t="shared" si="2"/>
        <v>4861210.533</v>
      </c>
    </row>
    <row r="930">
      <c r="L930" s="6">
        <f t="shared" si="4"/>
        <v>0.929</v>
      </c>
      <c r="M930" s="10">
        <f t="shared" si="1"/>
        <v>292562.9614</v>
      </c>
      <c r="N930" s="10">
        <f t="shared" si="2"/>
        <v>4894343.288</v>
      </c>
    </row>
    <row r="931">
      <c r="L931" s="6">
        <f t="shared" si="4"/>
        <v>0.93</v>
      </c>
      <c r="M931" s="10">
        <f t="shared" si="1"/>
        <v>294578.7584</v>
      </c>
      <c r="N931" s="10">
        <f t="shared" si="2"/>
        <v>4928065.952</v>
      </c>
    </row>
    <row r="932">
      <c r="L932" s="6">
        <f t="shared" si="4"/>
        <v>0.931</v>
      </c>
      <c r="M932" s="10">
        <f t="shared" si="1"/>
        <v>296630.9558</v>
      </c>
      <c r="N932" s="10">
        <f t="shared" si="2"/>
        <v>4962397.566</v>
      </c>
    </row>
    <row r="933">
      <c r="L933" s="6">
        <f t="shared" si="4"/>
        <v>0.932</v>
      </c>
      <c r="M933" s="10">
        <f t="shared" si="1"/>
        <v>298720.7454</v>
      </c>
      <c r="N933" s="10">
        <f t="shared" si="2"/>
        <v>4997358.068</v>
      </c>
    </row>
    <row r="934">
      <c r="L934" s="6">
        <f t="shared" si="4"/>
        <v>0.933</v>
      </c>
      <c r="M934" s="10">
        <f t="shared" si="1"/>
        <v>300849.3764</v>
      </c>
      <c r="N934" s="10">
        <f t="shared" si="2"/>
        <v>5032968.353</v>
      </c>
    </row>
    <row r="935">
      <c r="L935" s="6">
        <f t="shared" si="4"/>
        <v>0.934</v>
      </c>
      <c r="M935" s="10">
        <f t="shared" si="1"/>
        <v>303018.1583</v>
      </c>
      <c r="N935" s="10">
        <f t="shared" si="2"/>
        <v>5069250.333</v>
      </c>
    </row>
    <row r="936">
      <c r="L936" s="6">
        <f t="shared" si="4"/>
        <v>0.935</v>
      </c>
      <c r="M936" s="10">
        <f t="shared" si="1"/>
        <v>305228.4658</v>
      </c>
      <c r="N936" s="10">
        <f t="shared" si="2"/>
        <v>5106227.001</v>
      </c>
    </row>
    <row r="937">
      <c r="L937" s="6">
        <f t="shared" si="4"/>
        <v>0.936</v>
      </c>
      <c r="M937" s="10">
        <f t="shared" si="1"/>
        <v>307481.7422</v>
      </c>
      <c r="N937" s="10">
        <f t="shared" si="2"/>
        <v>5143922.504</v>
      </c>
    </row>
    <row r="938">
      <c r="L938" s="6">
        <f t="shared" si="4"/>
        <v>0.937</v>
      </c>
      <c r="M938" s="10">
        <f t="shared" si="1"/>
        <v>309779.5044</v>
      </c>
      <c r="N938" s="10">
        <f t="shared" si="2"/>
        <v>5182362.221</v>
      </c>
    </row>
    <row r="939">
      <c r="L939" s="6">
        <f t="shared" si="4"/>
        <v>0.938</v>
      </c>
      <c r="M939" s="10">
        <f t="shared" si="1"/>
        <v>312123.348</v>
      </c>
      <c r="N939" s="10">
        <f t="shared" si="2"/>
        <v>5221572.841</v>
      </c>
    </row>
    <row r="940">
      <c r="L940" s="6">
        <f t="shared" si="4"/>
        <v>0.939</v>
      </c>
      <c r="M940" s="10">
        <f t="shared" si="1"/>
        <v>314514.9523</v>
      </c>
      <c r="N940" s="10">
        <f t="shared" si="2"/>
        <v>5261582.459</v>
      </c>
    </row>
    <row r="941">
      <c r="L941" s="6">
        <f t="shared" si="4"/>
        <v>0.94</v>
      </c>
      <c r="M941" s="10">
        <f t="shared" si="1"/>
        <v>316956.0864</v>
      </c>
      <c r="N941" s="10">
        <f t="shared" si="2"/>
        <v>5302420.671</v>
      </c>
    </row>
    <row r="942">
      <c r="L942" s="6">
        <f t="shared" si="4"/>
        <v>0.941</v>
      </c>
      <c r="M942" s="10">
        <f t="shared" si="1"/>
        <v>319448.6158</v>
      </c>
      <c r="N942" s="10">
        <f t="shared" si="2"/>
        <v>5344118.685</v>
      </c>
    </row>
    <row r="943">
      <c r="L943" s="6">
        <f t="shared" si="4"/>
        <v>0.942</v>
      </c>
      <c r="M943" s="10">
        <f t="shared" si="1"/>
        <v>321994.5088</v>
      </c>
      <c r="N943" s="10">
        <f t="shared" si="2"/>
        <v>5386709.429</v>
      </c>
    </row>
    <row r="944">
      <c r="L944" s="6">
        <f t="shared" si="4"/>
        <v>0.943</v>
      </c>
      <c r="M944" s="10">
        <f t="shared" si="1"/>
        <v>324595.8446</v>
      </c>
      <c r="N944" s="10">
        <f t="shared" si="2"/>
        <v>5430227.688</v>
      </c>
    </row>
    <row r="945">
      <c r="L945" s="6">
        <f t="shared" si="4"/>
        <v>0.944</v>
      </c>
      <c r="M945" s="10">
        <f t="shared" si="1"/>
        <v>327254.8214</v>
      </c>
      <c r="N945" s="10">
        <f t="shared" si="2"/>
        <v>5474710.234</v>
      </c>
    </row>
    <row r="946">
      <c r="L946" s="6">
        <f t="shared" si="4"/>
        <v>0.945</v>
      </c>
      <c r="M946" s="10">
        <f t="shared" si="1"/>
        <v>329973.7656</v>
      </c>
      <c r="N946" s="10">
        <f t="shared" si="2"/>
        <v>5520195.984</v>
      </c>
    </row>
    <row r="947">
      <c r="L947" s="6">
        <f t="shared" si="4"/>
        <v>0.946</v>
      </c>
      <c r="M947" s="10">
        <f t="shared" si="1"/>
        <v>332755.1412</v>
      </c>
      <c r="N947" s="10">
        <f t="shared" si="2"/>
        <v>5566726.165</v>
      </c>
    </row>
    <row r="948">
      <c r="L948" s="6">
        <f t="shared" si="4"/>
        <v>0.947</v>
      </c>
      <c r="M948" s="10">
        <f t="shared" si="1"/>
        <v>335601.5617</v>
      </c>
      <c r="N948" s="10">
        <f t="shared" si="2"/>
        <v>5614344.492</v>
      </c>
    </row>
    <row r="949">
      <c r="L949" s="6">
        <f t="shared" si="4"/>
        <v>0.948</v>
      </c>
      <c r="M949" s="10">
        <f t="shared" si="1"/>
        <v>338515.8011</v>
      </c>
      <c r="N949" s="10">
        <f t="shared" si="2"/>
        <v>5663097.375</v>
      </c>
    </row>
    <row r="950">
      <c r="L950" s="6">
        <f t="shared" si="4"/>
        <v>0.949</v>
      </c>
      <c r="M950" s="10">
        <f t="shared" si="1"/>
        <v>341500.8077</v>
      </c>
      <c r="N950" s="10">
        <f t="shared" si="2"/>
        <v>5713034.138</v>
      </c>
    </row>
    <row r="951">
      <c r="L951" s="6">
        <f t="shared" si="4"/>
        <v>0.95</v>
      </c>
      <c r="M951" s="10">
        <f t="shared" si="1"/>
        <v>344559.7186</v>
      </c>
      <c r="N951" s="10">
        <f t="shared" si="2"/>
        <v>5764207.26</v>
      </c>
    </row>
    <row r="952">
      <c r="L952" s="6">
        <f t="shared" si="4"/>
        <v>0.951</v>
      </c>
      <c r="M952" s="10">
        <f t="shared" si="1"/>
        <v>347695.8757</v>
      </c>
      <c r="N952" s="10">
        <f t="shared" si="2"/>
        <v>5816672.649</v>
      </c>
    </row>
    <row r="953">
      <c r="L953" s="6">
        <f t="shared" si="4"/>
        <v>0.952</v>
      </c>
      <c r="M953" s="10">
        <f t="shared" si="1"/>
        <v>350912.8438</v>
      </c>
      <c r="N953" s="10">
        <f t="shared" si="2"/>
        <v>5870489.941</v>
      </c>
    </row>
    <row r="954">
      <c r="L954" s="6">
        <f t="shared" si="4"/>
        <v>0.953</v>
      </c>
      <c r="M954" s="10">
        <f t="shared" si="1"/>
        <v>354214.4301</v>
      </c>
      <c r="N954" s="10">
        <f t="shared" si="2"/>
        <v>5925722.826</v>
      </c>
    </row>
    <row r="955">
      <c r="L955" s="6">
        <f t="shared" si="4"/>
        <v>0.954</v>
      </c>
      <c r="M955" s="10">
        <f t="shared" si="1"/>
        <v>357604.7065</v>
      </c>
      <c r="N955" s="10">
        <f t="shared" si="2"/>
        <v>5982439.426</v>
      </c>
    </row>
    <row r="956">
      <c r="L956" s="6">
        <f t="shared" si="4"/>
        <v>0.955</v>
      </c>
      <c r="M956" s="10">
        <f t="shared" si="1"/>
        <v>361088.0341</v>
      </c>
      <c r="N956" s="10">
        <f t="shared" si="2"/>
        <v>6040712.699</v>
      </c>
    </row>
    <row r="957">
      <c r="L957" s="6">
        <f t="shared" si="4"/>
        <v>0.956</v>
      </c>
      <c r="M957" s="10">
        <f t="shared" si="1"/>
        <v>364669.091</v>
      </c>
      <c r="N957" s="10">
        <f t="shared" si="2"/>
        <v>6100620.903</v>
      </c>
    </row>
    <row r="958">
      <c r="L958" s="6">
        <f t="shared" si="4"/>
        <v>0.957</v>
      </c>
      <c r="M958" s="10">
        <f t="shared" si="1"/>
        <v>368352.9025</v>
      </c>
      <c r="N958" s="10">
        <f t="shared" si="2"/>
        <v>6162248.111</v>
      </c>
    </row>
    <row r="959">
      <c r="L959" s="6">
        <f t="shared" si="4"/>
        <v>0.958</v>
      </c>
      <c r="M959" s="10">
        <f t="shared" si="1"/>
        <v>372144.8764</v>
      </c>
      <c r="N959" s="10">
        <f t="shared" si="2"/>
        <v>6225684.787</v>
      </c>
    </row>
    <row r="960">
      <c r="L960" s="6">
        <f t="shared" si="4"/>
        <v>0.959</v>
      </c>
      <c r="M960" s="10">
        <f t="shared" si="1"/>
        <v>376050.8413</v>
      </c>
      <c r="N960" s="10">
        <f t="shared" si="2"/>
        <v>6291028.441</v>
      </c>
    </row>
    <row r="961">
      <c r="L961" s="6">
        <f t="shared" si="4"/>
        <v>0.96</v>
      </c>
      <c r="M961" s="10">
        <f t="shared" si="1"/>
        <v>380077.091</v>
      </c>
      <c r="N961" s="10">
        <f t="shared" si="2"/>
        <v>6358384.363</v>
      </c>
    </row>
    <row r="962">
      <c r="L962" s="6">
        <f t="shared" si="4"/>
        <v>0.961</v>
      </c>
      <c r="M962" s="10">
        <f t="shared" si="1"/>
        <v>384230.4341</v>
      </c>
      <c r="N962" s="10">
        <f t="shared" si="2"/>
        <v>6427866.457</v>
      </c>
    </row>
    <row r="963">
      <c r="L963" s="6">
        <f t="shared" si="4"/>
        <v>0.962</v>
      </c>
      <c r="M963" s="10">
        <f t="shared" si="1"/>
        <v>388518.2508</v>
      </c>
      <c r="N963" s="10">
        <f t="shared" si="2"/>
        <v>6499598.186</v>
      </c>
    </row>
    <row r="964">
      <c r="L964" s="6">
        <f t="shared" si="4"/>
        <v>0.963</v>
      </c>
      <c r="M964" s="10">
        <f t="shared" si="1"/>
        <v>392948.557</v>
      </c>
      <c r="N964" s="10">
        <f t="shared" si="2"/>
        <v>6573713.649</v>
      </c>
    </row>
    <row r="965">
      <c r="L965" s="6">
        <f t="shared" si="4"/>
        <v>0.964</v>
      </c>
      <c r="M965" s="10">
        <f t="shared" si="1"/>
        <v>397530.0784</v>
      </c>
      <c r="N965" s="10">
        <f t="shared" si="2"/>
        <v>6650358.821</v>
      </c>
    </row>
    <row r="966">
      <c r="L966" s="6">
        <f t="shared" si="4"/>
        <v>0.965</v>
      </c>
      <c r="M966" s="10">
        <f t="shared" si="1"/>
        <v>402272.3346</v>
      </c>
      <c r="N966" s="10">
        <f t="shared" si="2"/>
        <v>6729692.957</v>
      </c>
    </row>
    <row r="967">
      <c r="L967" s="6">
        <f t="shared" si="4"/>
        <v>0.966</v>
      </c>
      <c r="M967" s="10">
        <f t="shared" si="1"/>
        <v>407185.7369</v>
      </c>
      <c r="N967" s="10">
        <f t="shared" si="2"/>
        <v>6811890.229</v>
      </c>
    </row>
    <row r="968">
      <c r="L968" s="6">
        <f t="shared" si="4"/>
        <v>0.967</v>
      </c>
      <c r="M968" s="10">
        <f t="shared" si="1"/>
        <v>412281.7005</v>
      </c>
      <c r="N968" s="10">
        <f t="shared" si="2"/>
        <v>6897141.606</v>
      </c>
    </row>
    <row r="969">
      <c r="L969" s="6">
        <f t="shared" si="4"/>
        <v>0.968</v>
      </c>
      <c r="M969" s="10">
        <f t="shared" si="1"/>
        <v>417572.7755</v>
      </c>
      <c r="N969" s="10">
        <f t="shared" si="2"/>
        <v>6985657.04</v>
      </c>
    </row>
    <row r="970">
      <c r="L970" s="6">
        <f t="shared" si="4"/>
        <v>0.969</v>
      </c>
      <c r="M970" s="10">
        <f t="shared" si="1"/>
        <v>423072.7991</v>
      </c>
      <c r="N970" s="10">
        <f t="shared" si="2"/>
        <v>7077668.016</v>
      </c>
    </row>
    <row r="971">
      <c r="L971" s="6">
        <f t="shared" si="4"/>
        <v>0.97</v>
      </c>
      <c r="M971" s="10">
        <f t="shared" si="1"/>
        <v>428797.0741</v>
      </c>
      <c r="N971" s="10">
        <f t="shared" si="2"/>
        <v>7173430.538</v>
      </c>
    </row>
    <row r="972">
      <c r="L972" s="6">
        <f t="shared" si="4"/>
        <v>0.971</v>
      </c>
      <c r="M972" s="10">
        <f t="shared" si="1"/>
        <v>434762.5793</v>
      </c>
      <c r="N972" s="10">
        <f t="shared" si="2"/>
        <v>7273228.647</v>
      </c>
    </row>
    <row r="973">
      <c r="L973" s="6">
        <f t="shared" si="4"/>
        <v>0.972</v>
      </c>
      <c r="M973" s="10">
        <f t="shared" si="1"/>
        <v>440988.2177</v>
      </c>
      <c r="N973" s="10">
        <f t="shared" si="2"/>
        <v>7377378.576</v>
      </c>
    </row>
    <row r="974">
      <c r="L974" s="6">
        <f t="shared" si="4"/>
        <v>0.973</v>
      </c>
      <c r="M974" s="10">
        <f t="shared" si="1"/>
        <v>447495.1132</v>
      </c>
      <c r="N974" s="10">
        <f t="shared" si="2"/>
        <v>7486233.709</v>
      </c>
    </row>
    <row r="975">
      <c r="L975" s="6">
        <f t="shared" si="4"/>
        <v>0.974</v>
      </c>
      <c r="M975" s="10">
        <f t="shared" si="1"/>
        <v>454306.9644</v>
      </c>
      <c r="N975" s="10">
        <f t="shared" si="2"/>
        <v>7600190.507</v>
      </c>
    </row>
    <row r="976">
      <c r="L976" s="6">
        <f t="shared" si="4"/>
        <v>0.975</v>
      </c>
      <c r="M976" s="10">
        <f t="shared" si="1"/>
        <v>461450.472</v>
      </c>
      <c r="N976" s="10">
        <f t="shared" si="2"/>
        <v>7719695.651</v>
      </c>
    </row>
    <row r="977">
      <c r="L977" s="6">
        <f t="shared" si="4"/>
        <v>0.976</v>
      </c>
      <c r="M977" s="10">
        <f t="shared" si="1"/>
        <v>468955.8597</v>
      </c>
      <c r="N977" s="10">
        <f t="shared" si="2"/>
        <v>7845254.756</v>
      </c>
    </row>
    <row r="978">
      <c r="L978" s="6">
        <f t="shared" si="4"/>
        <v>0.977</v>
      </c>
      <c r="M978" s="10">
        <f t="shared" si="1"/>
        <v>476857.5041</v>
      </c>
      <c r="N978" s="10">
        <f t="shared" si="2"/>
        <v>7977442.918</v>
      </c>
    </row>
    <row r="979">
      <c r="L979" s="6">
        <f t="shared" si="4"/>
        <v>0.978</v>
      </c>
      <c r="M979" s="10">
        <f t="shared" si="1"/>
        <v>485194.7206</v>
      </c>
      <c r="N979" s="10">
        <f t="shared" si="2"/>
        <v>8116917.851</v>
      </c>
    </row>
    <row r="980">
      <c r="L980" s="6">
        <f t="shared" si="4"/>
        <v>0.979</v>
      </c>
      <c r="M980" s="10">
        <f t="shared" si="1"/>
        <v>494012.7324</v>
      </c>
      <c r="N980" s="10">
        <f t="shared" si="2"/>
        <v>8264436.105</v>
      </c>
    </row>
    <row r="981">
      <c r="L981" s="6">
        <f t="shared" si="4"/>
        <v>0.98</v>
      </c>
      <c r="M981" s="10">
        <f t="shared" si="1"/>
        <v>503363.8922</v>
      </c>
      <c r="N981" s="10">
        <f t="shared" si="2"/>
        <v>8420873.494</v>
      </c>
    </row>
    <row r="982">
      <c r="L982" s="6">
        <f t="shared" si="4"/>
        <v>0.981</v>
      </c>
      <c r="M982" s="10">
        <f t="shared" si="1"/>
        <v>513309.2297</v>
      </c>
      <c r="N982" s="10">
        <f t="shared" si="2"/>
        <v>8587251</v>
      </c>
    </row>
    <row r="983">
      <c r="L983" s="6">
        <f t="shared" si="4"/>
        <v>0.982</v>
      </c>
      <c r="M983" s="10">
        <f t="shared" si="1"/>
        <v>523920.4387</v>
      </c>
      <c r="N983" s="10">
        <f t="shared" si="2"/>
        <v>8764768.002</v>
      </c>
    </row>
    <row r="984">
      <c r="L984" s="6">
        <f t="shared" si="4"/>
        <v>0.983</v>
      </c>
      <c r="M984" s="10">
        <f t="shared" si="1"/>
        <v>535282.4587</v>
      </c>
      <c r="N984" s="10">
        <f t="shared" si="2"/>
        <v>8954845.468</v>
      </c>
    </row>
    <row r="985">
      <c r="L985" s="6">
        <f t="shared" si="4"/>
        <v>0.984</v>
      </c>
      <c r="M985" s="10">
        <f t="shared" si="1"/>
        <v>547496.8767</v>
      </c>
      <c r="N985" s="10">
        <f t="shared" si="2"/>
        <v>9159182.867</v>
      </c>
    </row>
    <row r="986">
      <c r="L986" s="6">
        <f t="shared" si="4"/>
        <v>0.985</v>
      </c>
      <c r="M986" s="10">
        <f t="shared" si="1"/>
        <v>560686.4808</v>
      </c>
      <c r="N986" s="10">
        <f t="shared" si="2"/>
        <v>9379834.348</v>
      </c>
    </row>
    <row r="987">
      <c r="L987" s="6">
        <f t="shared" si="4"/>
        <v>0.986</v>
      </c>
      <c r="M987" s="10">
        <f t="shared" si="1"/>
        <v>575001.4618</v>
      </c>
      <c r="N987" s="10">
        <f t="shared" si="2"/>
        <v>9619312.478</v>
      </c>
    </row>
    <row r="988">
      <c r="L988" s="6">
        <f t="shared" si="4"/>
        <v>0.987</v>
      </c>
      <c r="M988" s="10">
        <f t="shared" si="1"/>
        <v>590628.0265</v>
      </c>
      <c r="N988" s="10">
        <f t="shared" si="2"/>
        <v>9880732.35</v>
      </c>
    </row>
    <row r="989">
      <c r="L989" s="6">
        <f t="shared" si="4"/>
        <v>0.988</v>
      </c>
      <c r="M989" s="10">
        <f t="shared" si="1"/>
        <v>607800.6333</v>
      </c>
      <c r="N989" s="10">
        <f t="shared" si="2"/>
        <v>10168016.26</v>
      </c>
    </row>
    <row r="990">
      <c r="L990" s="6">
        <f t="shared" si="4"/>
        <v>0.989</v>
      </c>
      <c r="M990" s="10">
        <f t="shared" si="1"/>
        <v>626819.8232</v>
      </c>
      <c r="N990" s="10">
        <f t="shared" si="2"/>
        <v>10486192.03</v>
      </c>
    </row>
    <row r="991">
      <c r="L991" s="6">
        <f t="shared" si="4"/>
        <v>0.99</v>
      </c>
      <c r="M991" s="10">
        <f t="shared" si="1"/>
        <v>648078.9939</v>
      </c>
      <c r="N991" s="10">
        <f t="shared" si="2"/>
        <v>10841840.88</v>
      </c>
    </row>
    <row r="992">
      <c r="L992" s="6">
        <f t="shared" si="4"/>
        <v>0.991</v>
      </c>
      <c r="M992" s="10">
        <f t="shared" si="1"/>
        <v>672106.0349</v>
      </c>
      <c r="N992" s="10">
        <f t="shared" si="2"/>
        <v>11243793.97</v>
      </c>
    </row>
    <row r="993">
      <c r="L993" s="6">
        <f t="shared" si="4"/>
        <v>0.992</v>
      </c>
      <c r="M993" s="10">
        <f t="shared" si="1"/>
        <v>699630.8411</v>
      </c>
      <c r="N993" s="10">
        <f t="shared" si="2"/>
        <v>11704261.86</v>
      </c>
    </row>
    <row r="994">
      <c r="L994" s="6">
        <f t="shared" si="4"/>
        <v>0.993</v>
      </c>
      <c r="M994" s="10">
        <f t="shared" si="1"/>
        <v>731700.5008</v>
      </c>
      <c r="N994" s="10">
        <f t="shared" si="2"/>
        <v>12240761.5</v>
      </c>
    </row>
    <row r="995">
      <c r="L995" s="6">
        <f t="shared" si="4"/>
        <v>0.994</v>
      </c>
      <c r="M995" s="10">
        <f t="shared" si="1"/>
        <v>769888.6608</v>
      </c>
      <c r="N995" s="10">
        <f t="shared" si="2"/>
        <v>12879618.74</v>
      </c>
    </row>
    <row r="996">
      <c r="L996" s="6">
        <f t="shared" si="4"/>
        <v>0.995</v>
      </c>
      <c r="M996" s="10">
        <f t="shared" si="1"/>
        <v>816708.2081</v>
      </c>
      <c r="N996" s="10">
        <f t="shared" si="2"/>
        <v>13662872.15</v>
      </c>
    </row>
    <row r="997">
      <c r="L997" s="6">
        <f t="shared" si="4"/>
        <v>0.996</v>
      </c>
      <c r="M997" s="10">
        <f t="shared" si="1"/>
        <v>876517.6386</v>
      </c>
      <c r="N997" s="10">
        <f t="shared" si="2"/>
        <v>14663435.87</v>
      </c>
    </row>
    <row r="998">
      <c r="L998" s="6">
        <f t="shared" si="4"/>
        <v>0.997</v>
      </c>
      <c r="M998" s="10">
        <f t="shared" si="1"/>
        <v>957840.6806</v>
      </c>
      <c r="N998" s="10">
        <f t="shared" si="2"/>
        <v>16023905.02</v>
      </c>
    </row>
    <row r="999">
      <c r="L999" s="6">
        <f t="shared" si="4"/>
        <v>0.998</v>
      </c>
      <c r="M999" s="10">
        <f t="shared" si="1"/>
        <v>1080894.315</v>
      </c>
      <c r="N999" s="10">
        <f t="shared" si="2"/>
        <v>18082493.45</v>
      </c>
    </row>
    <row r="1000">
      <c r="L1000" s="6">
        <f t="shared" si="4"/>
        <v>0.999</v>
      </c>
      <c r="M1000" s="10">
        <f t="shared" si="1"/>
        <v>1315712.286</v>
      </c>
      <c r="N1000" s="10">
        <f t="shared" si="2"/>
        <v>22010809.45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" t="s">
        <v>4</v>
      </c>
      <c r="B1" s="4" t="s">
        <v>8</v>
      </c>
      <c r="D1" s="4" t="s">
        <v>4</v>
      </c>
      <c r="E1" s="4" t="s">
        <v>194</v>
      </c>
      <c r="F1" s="4" t="s">
        <v>290</v>
      </c>
      <c r="G1" s="4" t="s">
        <v>291</v>
      </c>
      <c r="I1" s="4" t="s">
        <v>125</v>
      </c>
      <c r="J1" s="6">
        <f>LN(H10)/LN(H9)</f>
        <v>0.2960778787</v>
      </c>
      <c r="K1" s="6">
        <f>(LN(F10)-LN(G10))/(LN(F9)-LN(G9))</f>
        <v>0.2960778787</v>
      </c>
    </row>
    <row r="2">
      <c r="A2" s="1" t="s">
        <v>5</v>
      </c>
      <c r="B2" s="46" t="s">
        <v>124</v>
      </c>
      <c r="D2" s="4" t="s">
        <v>292</v>
      </c>
      <c r="E2" s="4">
        <v>0.097</v>
      </c>
      <c r="F2" s="4">
        <v>4.44</v>
      </c>
      <c r="G2" s="4">
        <v>29.86</v>
      </c>
      <c r="I2" s="4" t="s">
        <v>293</v>
      </c>
      <c r="J2" s="10">
        <f t="shared" ref="J2:K2" si="1">F10/POW(F9,$J$1)</f>
        <v>1015.536769</v>
      </c>
      <c r="K2" s="10">
        <f t="shared" si="1"/>
        <v>1015.536769</v>
      </c>
    </row>
    <row r="3">
      <c r="D3" s="4" t="s">
        <v>294</v>
      </c>
      <c r="E3" s="4">
        <v>0.295</v>
      </c>
      <c r="F3" s="4">
        <v>9.69</v>
      </c>
      <c r="G3" s="4">
        <v>31.22</v>
      </c>
      <c r="I3" s="4" t="s">
        <v>295</v>
      </c>
      <c r="J3" s="10">
        <f>J2/$B$9</f>
        <v>1173.648872</v>
      </c>
    </row>
    <row r="4">
      <c r="A4" s="4"/>
      <c r="B4" s="4"/>
      <c r="D4" s="4" t="s">
        <v>296</v>
      </c>
      <c r="E4" s="4">
        <v>0.192</v>
      </c>
      <c r="F4" s="4">
        <v>21.91</v>
      </c>
      <c r="G4" s="4">
        <v>16.89</v>
      </c>
      <c r="I4" s="4" t="s">
        <v>297</v>
      </c>
      <c r="J4" s="25">
        <f>J3*'Measure conversion'!C2</f>
        <v>1173.648872</v>
      </c>
    </row>
    <row r="5">
      <c r="A5" s="4"/>
      <c r="B5" s="4"/>
      <c r="D5" s="4" t="s">
        <v>298</v>
      </c>
      <c r="E5" s="4">
        <v>0.416</v>
      </c>
      <c r="F5" s="4">
        <v>6.24</v>
      </c>
      <c r="G5" s="4">
        <v>13.18</v>
      </c>
    </row>
    <row r="6">
      <c r="A6" s="4"/>
      <c r="B6" s="4"/>
    </row>
    <row r="7">
      <c r="A7" s="4" t="s">
        <v>299</v>
      </c>
      <c r="B7" s="4">
        <v>0.795575174455487</v>
      </c>
      <c r="F7" s="4" t="s">
        <v>300</v>
      </c>
      <c r="G7" s="4" t="s">
        <v>301</v>
      </c>
      <c r="H7" s="4" t="s">
        <v>302</v>
      </c>
    </row>
    <row r="8">
      <c r="A8" s="4" t="s">
        <v>303</v>
      </c>
      <c r="B8" s="4">
        <v>1.60934</v>
      </c>
      <c r="E8" s="4" t="s">
        <v>304</v>
      </c>
      <c r="F8" s="10">
        <f t="shared" ref="F8:G8" si="2">SUMPRODUCT($E$2:$E$5,F2:F5)</f>
        <v>10.09179</v>
      </c>
      <c r="G8" s="10">
        <f t="shared" si="2"/>
        <v>20.83208</v>
      </c>
      <c r="H8" s="6">
        <f t="shared" ref="H8:H10" si="3">F8/G8</f>
        <v>0.4844350636</v>
      </c>
    </row>
    <row r="9">
      <c r="A9" s="4" t="s">
        <v>305</v>
      </c>
      <c r="B9" s="4">
        <v>0.865281595827165</v>
      </c>
      <c r="E9" s="4" t="s">
        <v>306</v>
      </c>
      <c r="F9" s="4">
        <v>700.0</v>
      </c>
      <c r="G9" s="4">
        <v>250.0</v>
      </c>
      <c r="H9" s="6">
        <f t="shared" si="3"/>
        <v>2.8</v>
      </c>
    </row>
    <row r="10">
      <c r="A10" s="4"/>
      <c r="B10" s="4"/>
      <c r="E10" s="4" t="s">
        <v>307</v>
      </c>
      <c r="F10" s="10">
        <f t="shared" ref="F10:G10" si="4">F8*F9</f>
        <v>7064.253</v>
      </c>
      <c r="G10" s="10">
        <f t="shared" si="4"/>
        <v>5208.02</v>
      </c>
      <c r="H10" s="6">
        <f t="shared" si="3"/>
        <v>1.356418178</v>
      </c>
    </row>
    <row r="11">
      <c r="F11" s="10">
        <f t="shared" ref="F11:G11" si="5">F10/40000</f>
        <v>0.176606325</v>
      </c>
      <c r="G11" s="10">
        <f t="shared" si="5"/>
        <v>0.1302005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13"/>
    <col customWidth="1" min="3" max="3" width="26.13"/>
    <col customWidth="1" min="4" max="4" width="6.0"/>
    <col customWidth="1" min="5" max="5" width="10.0"/>
    <col customWidth="1" min="6" max="6" width="36.38"/>
    <col customWidth="1" min="7" max="7" width="24.5"/>
    <col customWidth="1" min="8" max="8" width="13.75"/>
    <col customWidth="1" min="11" max="11" width="67.25"/>
  </cols>
  <sheetData>
    <row r="1">
      <c r="A1" s="1" t="s">
        <v>63</v>
      </c>
      <c r="B1" s="4" t="s">
        <v>8</v>
      </c>
      <c r="C1" s="47" t="s">
        <v>308</v>
      </c>
      <c r="D1" s="1" t="s">
        <v>227</v>
      </c>
      <c r="E1" s="1" t="s">
        <v>17</v>
      </c>
      <c r="F1" s="48" t="s">
        <v>309</v>
      </c>
      <c r="G1" s="49" t="s">
        <v>310</v>
      </c>
      <c r="H1" s="1" t="s">
        <v>311</v>
      </c>
      <c r="M1" s="1" t="s">
        <v>312</v>
      </c>
      <c r="N1" s="48" t="s">
        <v>313</v>
      </c>
      <c r="O1" s="1" t="s">
        <v>227</v>
      </c>
      <c r="P1" s="1" t="s">
        <v>17</v>
      </c>
    </row>
    <row r="2">
      <c r="A2" s="1" t="s">
        <v>68</v>
      </c>
      <c r="B2" s="15" t="s">
        <v>314</v>
      </c>
      <c r="C2" s="6">
        <f t="shared" ref="C2:C302" si="1">F2/$B$6</f>
        <v>0.04109309309</v>
      </c>
      <c r="D2" s="6" t="s">
        <v>235</v>
      </c>
      <c r="E2" s="6" t="s">
        <v>236</v>
      </c>
      <c r="F2" s="6">
        <f t="shared" ref="F2:F302" si="2">AVERAGEIFS($N$2:$N$1570,$O$2:$O$1570,D2,$P$2:$P$1570,E2)</f>
        <v>1.3684</v>
      </c>
      <c r="G2" s="7">
        <v>0.082089914</v>
      </c>
      <c r="H2" s="6">
        <f>G2*'Measure conversion'!$C$2</f>
        <v>0.082089914</v>
      </c>
      <c r="M2" s="50" t="s">
        <v>315</v>
      </c>
      <c r="N2" s="51">
        <v>1.264</v>
      </c>
      <c r="O2" s="6" t="str">
        <f t="shared" ref="O2:O1570" si="3">LEFT(M2,3)</f>
        <v>Jan</v>
      </c>
      <c r="P2" s="6" t="str">
        <f t="shared" ref="P2:P1570" si="4">RIGHT(M2,4)</f>
        <v>1995</v>
      </c>
    </row>
    <row r="3">
      <c r="A3" s="1" t="s">
        <v>85</v>
      </c>
      <c r="B3" s="4" t="s">
        <v>316</v>
      </c>
      <c r="C3" s="6">
        <f t="shared" si="1"/>
        <v>0.04347597598</v>
      </c>
      <c r="D3" s="6" t="s">
        <v>240</v>
      </c>
      <c r="E3" s="6" t="s">
        <v>236</v>
      </c>
      <c r="F3" s="6">
        <f t="shared" si="2"/>
        <v>1.44775</v>
      </c>
      <c r="G3" s="7">
        <v>0.082089914</v>
      </c>
      <c r="H3" s="6">
        <f>G3*'Measure conversion'!$C$2</f>
        <v>0.082089914</v>
      </c>
      <c r="M3" s="50" t="s">
        <v>317</v>
      </c>
      <c r="N3" s="51">
        <v>1.267</v>
      </c>
      <c r="O3" s="6" t="str">
        <f t="shared" si="3"/>
        <v>Jan</v>
      </c>
      <c r="P3" s="6" t="str">
        <f t="shared" si="4"/>
        <v>1995</v>
      </c>
    </row>
    <row r="4">
      <c r="A4" s="1"/>
      <c r="C4" s="6">
        <f t="shared" si="1"/>
        <v>0.05261261261</v>
      </c>
      <c r="D4" s="6" t="s">
        <v>242</v>
      </c>
      <c r="E4" s="6" t="s">
        <v>236</v>
      </c>
      <c r="F4" s="6">
        <f t="shared" si="2"/>
        <v>1.752</v>
      </c>
      <c r="G4" s="7">
        <v>0.082089914</v>
      </c>
      <c r="H4" s="6">
        <f>G4*'Measure conversion'!$C$2</f>
        <v>0.082089914</v>
      </c>
      <c r="M4" s="50" t="s">
        <v>318</v>
      </c>
      <c r="N4" s="51">
        <v>1.268</v>
      </c>
      <c r="O4" s="6" t="str">
        <f t="shared" si="3"/>
        <v>Jan</v>
      </c>
      <c r="P4" s="6" t="str">
        <f t="shared" si="4"/>
        <v>1995</v>
      </c>
    </row>
    <row r="5">
      <c r="A5" s="1" t="s">
        <v>96</v>
      </c>
      <c r="C5" s="6">
        <f t="shared" si="1"/>
        <v>0.05256006006</v>
      </c>
      <c r="D5" s="6" t="s">
        <v>243</v>
      </c>
      <c r="E5" s="6" t="s">
        <v>236</v>
      </c>
      <c r="F5" s="6">
        <f t="shared" si="2"/>
        <v>1.75025</v>
      </c>
      <c r="G5" s="7">
        <v>0.082089914</v>
      </c>
      <c r="H5" s="6">
        <f>G5*'Measure conversion'!$C$2</f>
        <v>0.082089914</v>
      </c>
      <c r="M5" s="50" t="s">
        <v>319</v>
      </c>
      <c r="N5" s="51">
        <v>1.257</v>
      </c>
      <c r="O5" s="6" t="str">
        <f t="shared" si="3"/>
        <v>Jan</v>
      </c>
      <c r="P5" s="6" t="str">
        <f t="shared" si="4"/>
        <v>1995</v>
      </c>
    </row>
    <row r="6">
      <c r="A6" s="1" t="s">
        <v>320</v>
      </c>
      <c r="B6" s="4">
        <v>33.3</v>
      </c>
      <c r="C6" s="6">
        <f t="shared" si="1"/>
        <v>0.04957957958</v>
      </c>
      <c r="D6" s="6" t="s">
        <v>245</v>
      </c>
      <c r="E6" s="6" t="s">
        <v>236</v>
      </c>
      <c r="F6" s="6">
        <f t="shared" si="2"/>
        <v>1.651</v>
      </c>
      <c r="G6" s="7">
        <v>0.082089914</v>
      </c>
      <c r="H6" s="6">
        <f>G6*'Measure conversion'!$C$2</f>
        <v>0.082089914</v>
      </c>
      <c r="M6" s="50" t="s">
        <v>321</v>
      </c>
      <c r="N6" s="51">
        <v>1.254</v>
      </c>
      <c r="O6" s="6" t="str">
        <f t="shared" si="3"/>
        <v>Jan</v>
      </c>
      <c r="P6" s="6" t="str">
        <f t="shared" si="4"/>
        <v>1995</v>
      </c>
    </row>
    <row r="7">
      <c r="A7" s="1" t="s">
        <v>68</v>
      </c>
      <c r="B7" s="30" t="s">
        <v>322</v>
      </c>
      <c r="C7" s="6">
        <f t="shared" si="1"/>
        <v>0.04869369369</v>
      </c>
      <c r="D7" s="6" t="s">
        <v>246</v>
      </c>
      <c r="E7" s="6" t="s">
        <v>236</v>
      </c>
      <c r="F7" s="6">
        <f t="shared" si="2"/>
        <v>1.6215</v>
      </c>
      <c r="G7" s="7">
        <v>0.081652854</v>
      </c>
      <c r="H7" s="6">
        <f>G7*'Measure conversion'!$C$2</f>
        <v>0.081652854</v>
      </c>
      <c r="M7" s="50" t="s">
        <v>323</v>
      </c>
      <c r="N7" s="51">
        <v>1.249</v>
      </c>
      <c r="O7" s="6" t="str">
        <f t="shared" si="3"/>
        <v>Feb</v>
      </c>
      <c r="P7" s="6" t="str">
        <f t="shared" si="4"/>
        <v>1995</v>
      </c>
    </row>
    <row r="8">
      <c r="A8" s="3"/>
      <c r="C8" s="6">
        <f t="shared" si="1"/>
        <v>0.05136336336</v>
      </c>
      <c r="D8" s="6" t="s">
        <v>247</v>
      </c>
      <c r="E8" s="6" t="s">
        <v>236</v>
      </c>
      <c r="F8" s="6">
        <f t="shared" si="2"/>
        <v>1.7104</v>
      </c>
      <c r="G8" s="7">
        <v>0.085405875</v>
      </c>
      <c r="H8" s="6">
        <f>G8*'Measure conversion'!$C$2</f>
        <v>0.085405875</v>
      </c>
      <c r="M8" s="50" t="s">
        <v>324</v>
      </c>
      <c r="N8" s="51">
        <v>1.247</v>
      </c>
      <c r="O8" s="6" t="str">
        <f t="shared" si="3"/>
        <v>Feb</v>
      </c>
      <c r="P8" s="6" t="str">
        <f t="shared" si="4"/>
        <v>1995</v>
      </c>
    </row>
    <row r="9">
      <c r="A9" s="3"/>
      <c r="C9" s="6">
        <f t="shared" si="1"/>
        <v>0.05032282282</v>
      </c>
      <c r="D9" s="6" t="s">
        <v>248</v>
      </c>
      <c r="E9" s="6" t="s">
        <v>236</v>
      </c>
      <c r="F9" s="6">
        <f t="shared" si="2"/>
        <v>1.67575</v>
      </c>
      <c r="G9" s="7">
        <v>0.08335649</v>
      </c>
      <c r="H9" s="6">
        <f>G9*'Measure conversion'!$C$2</f>
        <v>0.08335649</v>
      </c>
      <c r="M9" s="50" t="s">
        <v>325</v>
      </c>
      <c r="N9" s="51">
        <v>1.244</v>
      </c>
      <c r="O9" s="6" t="str">
        <f t="shared" si="3"/>
        <v>Feb</v>
      </c>
      <c r="P9" s="6" t="str">
        <f t="shared" si="4"/>
        <v>1995</v>
      </c>
    </row>
    <row r="10">
      <c r="A10" s="3"/>
      <c r="C10" s="6">
        <f t="shared" si="1"/>
        <v>0.05482732733</v>
      </c>
      <c r="D10" s="6" t="s">
        <v>249</v>
      </c>
      <c r="E10" s="6" t="s">
        <v>236</v>
      </c>
      <c r="F10" s="6">
        <f t="shared" si="2"/>
        <v>1.82575</v>
      </c>
      <c r="G10" s="7">
        <v>0.090157609</v>
      </c>
      <c r="H10" s="6">
        <f>G10*'Measure conversion'!$C$2</f>
        <v>0.090157609</v>
      </c>
      <c r="M10" s="50" t="s">
        <v>329</v>
      </c>
      <c r="N10" s="51">
        <v>1.24</v>
      </c>
      <c r="O10" s="6" t="str">
        <f t="shared" si="3"/>
        <v>Feb</v>
      </c>
      <c r="P10" s="6" t="str">
        <f t="shared" si="4"/>
        <v>1995</v>
      </c>
    </row>
    <row r="11">
      <c r="A11" s="3"/>
      <c r="C11" s="6">
        <f t="shared" si="1"/>
        <v>0.05441441441</v>
      </c>
      <c r="D11" s="6" t="s">
        <v>250</v>
      </c>
      <c r="E11" s="6" t="s">
        <v>236</v>
      </c>
      <c r="F11" s="6">
        <f t="shared" si="2"/>
        <v>1.812</v>
      </c>
      <c r="G11" s="7">
        <v>0.089117398</v>
      </c>
      <c r="H11" s="6">
        <f>G11*'Measure conversion'!$C$2</f>
        <v>0.089117398</v>
      </c>
      <c r="M11" s="50" t="s">
        <v>336</v>
      </c>
      <c r="N11" s="51">
        <v>1.24</v>
      </c>
      <c r="O11" s="6" t="str">
        <f t="shared" si="3"/>
        <v>Mar</v>
      </c>
      <c r="P11" s="6" t="str">
        <f t="shared" si="4"/>
        <v>1995</v>
      </c>
    </row>
    <row r="12">
      <c r="A12" s="3"/>
      <c r="C12" s="6">
        <f t="shared" si="1"/>
        <v>0.05303303303</v>
      </c>
      <c r="D12" s="6" t="s">
        <v>251</v>
      </c>
      <c r="E12" s="6" t="s">
        <v>236</v>
      </c>
      <c r="F12" s="6">
        <f t="shared" si="2"/>
        <v>1.766</v>
      </c>
      <c r="G12" s="7">
        <v>0.08695178</v>
      </c>
      <c r="H12" s="6">
        <f>G12*'Measure conversion'!$C$2</f>
        <v>0.08695178</v>
      </c>
      <c r="M12" s="50" t="s">
        <v>339</v>
      </c>
      <c r="N12" s="51">
        <v>1.229</v>
      </c>
      <c r="O12" s="6" t="str">
        <f t="shared" si="3"/>
        <v>Mar</v>
      </c>
      <c r="P12" s="6" t="str">
        <f t="shared" si="4"/>
        <v>1995</v>
      </c>
    </row>
    <row r="13">
      <c r="A13" s="3"/>
      <c r="C13" s="6">
        <f t="shared" si="1"/>
        <v>0.05040540541</v>
      </c>
      <c r="D13" s="6" t="s">
        <v>252</v>
      </c>
      <c r="E13" s="6" t="s">
        <v>236</v>
      </c>
      <c r="F13" s="6">
        <f t="shared" si="2"/>
        <v>1.6785</v>
      </c>
      <c r="G13" s="7">
        <v>0.08286599</v>
      </c>
      <c r="H13" s="6">
        <f>G13*'Measure conversion'!$C$2</f>
        <v>0.08286599</v>
      </c>
      <c r="M13" s="50" t="s">
        <v>340</v>
      </c>
      <c r="N13" s="51">
        <v>1.227</v>
      </c>
      <c r="O13" s="6" t="str">
        <f t="shared" si="3"/>
        <v>Mar</v>
      </c>
      <c r="P13" s="6" t="str">
        <f t="shared" si="4"/>
        <v>1995</v>
      </c>
    </row>
    <row r="14">
      <c r="A14" s="3"/>
      <c r="C14" s="6">
        <f t="shared" si="1"/>
        <v>0.04807207207</v>
      </c>
      <c r="D14" s="6" t="s">
        <v>235</v>
      </c>
      <c r="E14" s="6" t="s">
        <v>253</v>
      </c>
      <c r="F14" s="6">
        <f t="shared" si="2"/>
        <v>1.6008</v>
      </c>
      <c r="G14" s="7">
        <v>0.078468834</v>
      </c>
      <c r="H14" s="6">
        <f>G14*'Measure conversion'!$C$2</f>
        <v>0.078468834</v>
      </c>
      <c r="M14" s="50" t="s">
        <v>341</v>
      </c>
      <c r="N14" s="51">
        <v>1.22</v>
      </c>
      <c r="O14" s="6" t="str">
        <f t="shared" si="3"/>
        <v>Mar</v>
      </c>
      <c r="P14" s="6" t="str">
        <f t="shared" si="4"/>
        <v>1995</v>
      </c>
    </row>
    <row r="15">
      <c r="A15" s="3"/>
      <c r="C15" s="6">
        <f t="shared" si="1"/>
        <v>0.04916666667</v>
      </c>
      <c r="D15" s="6" t="s">
        <v>240</v>
      </c>
      <c r="E15" s="6" t="s">
        <v>253</v>
      </c>
      <c r="F15" s="6">
        <f t="shared" si="2"/>
        <v>1.63725</v>
      </c>
      <c r="G15" s="7">
        <v>0.079624501</v>
      </c>
      <c r="H15" s="6">
        <f>G15*'Measure conversion'!$C$2</f>
        <v>0.079624501</v>
      </c>
      <c r="M15" s="50" t="s">
        <v>342</v>
      </c>
      <c r="N15" s="51">
        <v>1.216</v>
      </c>
      <c r="O15" s="6" t="str">
        <f t="shared" si="3"/>
        <v>Apr</v>
      </c>
      <c r="P15" s="6" t="str">
        <f t="shared" si="4"/>
        <v>1995</v>
      </c>
    </row>
    <row r="16">
      <c r="A16" s="3"/>
      <c r="C16" s="6">
        <f t="shared" si="1"/>
        <v>0.05084084084</v>
      </c>
      <c r="D16" s="6" t="s">
        <v>242</v>
      </c>
      <c r="E16" s="6" t="s">
        <v>253</v>
      </c>
      <c r="F16" s="6">
        <f t="shared" si="2"/>
        <v>1.693</v>
      </c>
      <c r="G16" s="7">
        <v>0.082001417</v>
      </c>
      <c r="H16" s="6">
        <f>G16*'Measure conversion'!$C$2</f>
        <v>0.082001417</v>
      </c>
      <c r="M16" s="50" t="s">
        <v>345</v>
      </c>
      <c r="N16" s="51">
        <v>1.239</v>
      </c>
      <c r="O16" s="6" t="str">
        <f t="shared" si="3"/>
        <v>Apr</v>
      </c>
      <c r="P16" s="6" t="str">
        <f t="shared" si="4"/>
        <v>1995</v>
      </c>
    </row>
    <row r="17">
      <c r="A17" s="3"/>
      <c r="C17" s="6">
        <f t="shared" si="1"/>
        <v>0.05383183183</v>
      </c>
      <c r="D17" s="6" t="s">
        <v>243</v>
      </c>
      <c r="E17" s="6" t="s">
        <v>253</v>
      </c>
      <c r="F17" s="6">
        <f t="shared" si="2"/>
        <v>1.7926</v>
      </c>
      <c r="G17" s="7">
        <v>0.086384617</v>
      </c>
      <c r="H17" s="6">
        <f>G17*'Measure conversion'!$C$2</f>
        <v>0.086384617</v>
      </c>
      <c r="M17" s="50" t="s">
        <v>349</v>
      </c>
      <c r="N17" s="51">
        <v>1.24</v>
      </c>
      <c r="O17" s="6" t="str">
        <f t="shared" si="3"/>
        <v>Apr</v>
      </c>
      <c r="P17" s="6" t="str">
        <f t="shared" si="4"/>
        <v>1995</v>
      </c>
    </row>
    <row r="18">
      <c r="A18" s="3"/>
      <c r="C18" s="6">
        <f t="shared" si="1"/>
        <v>0.05848348348</v>
      </c>
      <c r="D18" s="6" t="s">
        <v>245</v>
      </c>
      <c r="E18" s="6" t="s">
        <v>253</v>
      </c>
      <c r="F18" s="6">
        <f t="shared" si="2"/>
        <v>1.9475</v>
      </c>
      <c r="G18" s="7">
        <v>0.093168474</v>
      </c>
      <c r="H18" s="6">
        <f>G18*'Measure conversion'!$C$2</f>
        <v>0.093168474</v>
      </c>
      <c r="M18" s="50" t="s">
        <v>350</v>
      </c>
      <c r="N18" s="51">
        <v>1.259</v>
      </c>
      <c r="O18" s="6" t="str">
        <f t="shared" si="3"/>
        <v>Apr</v>
      </c>
      <c r="P18" s="6" t="str">
        <f t="shared" si="4"/>
        <v>1995</v>
      </c>
    </row>
    <row r="19">
      <c r="A19" s="3"/>
      <c r="C19" s="6">
        <f t="shared" si="1"/>
        <v>0.05786036036</v>
      </c>
      <c r="D19" s="6" t="s">
        <v>246</v>
      </c>
      <c r="E19" s="6" t="s">
        <v>253</v>
      </c>
      <c r="F19" s="6">
        <f t="shared" si="2"/>
        <v>1.92675</v>
      </c>
      <c r="G19" s="7">
        <v>0.091786389</v>
      </c>
      <c r="H19" s="6">
        <f>G19*'Measure conversion'!$C$2</f>
        <v>0.091786389</v>
      </c>
      <c r="M19" s="50" t="s">
        <v>352</v>
      </c>
      <c r="N19" s="51">
        <v>1.259</v>
      </c>
      <c r="O19" s="6" t="str">
        <f t="shared" si="3"/>
        <v>May</v>
      </c>
      <c r="P19" s="6" t="str">
        <f t="shared" si="4"/>
        <v>1995</v>
      </c>
    </row>
    <row r="20">
      <c r="A20" s="3"/>
      <c r="C20" s="6">
        <f t="shared" si="1"/>
        <v>0.05315315315</v>
      </c>
      <c r="D20" s="6" t="s">
        <v>247</v>
      </c>
      <c r="E20" s="6" t="s">
        <v>253</v>
      </c>
      <c r="F20" s="6">
        <f t="shared" si="2"/>
        <v>1.77</v>
      </c>
      <c r="G20" s="7">
        <v>0.084514537</v>
      </c>
      <c r="H20" s="6">
        <f>G20*'Measure conversion'!$C$2</f>
        <v>0.084514537</v>
      </c>
      <c r="M20" s="50" t="s">
        <v>353</v>
      </c>
      <c r="N20" s="51">
        <v>1.271</v>
      </c>
      <c r="O20" s="6" t="str">
        <f t="shared" si="3"/>
        <v>May</v>
      </c>
      <c r="P20" s="6" t="str">
        <f t="shared" si="4"/>
        <v>1995</v>
      </c>
    </row>
    <row r="21">
      <c r="A21" s="3"/>
      <c r="C21" s="6">
        <f t="shared" si="1"/>
        <v>0.0468018018</v>
      </c>
      <c r="D21" s="6" t="s">
        <v>248</v>
      </c>
      <c r="E21" s="6" t="s">
        <v>253</v>
      </c>
      <c r="F21" s="6">
        <f t="shared" si="2"/>
        <v>1.5585</v>
      </c>
      <c r="G21" s="7">
        <v>0.074856264</v>
      </c>
      <c r="H21" s="6">
        <f>G21*'Measure conversion'!$C$2</f>
        <v>0.074856264</v>
      </c>
      <c r="M21" s="50" t="s">
        <v>354</v>
      </c>
      <c r="N21" s="51">
        <v>1.281</v>
      </c>
      <c r="O21" s="6" t="str">
        <f t="shared" si="3"/>
        <v>May</v>
      </c>
      <c r="P21" s="6" t="str">
        <f t="shared" si="4"/>
        <v>1995</v>
      </c>
    </row>
    <row r="22">
      <c r="A22" s="3"/>
      <c r="C22" s="6">
        <f t="shared" si="1"/>
        <v>0.04993993994</v>
      </c>
      <c r="D22" s="6" t="s">
        <v>249</v>
      </c>
      <c r="E22" s="6" t="s">
        <v>253</v>
      </c>
      <c r="F22" s="6">
        <f t="shared" si="2"/>
        <v>1.663</v>
      </c>
      <c r="G22" s="7">
        <v>0.079477601</v>
      </c>
      <c r="H22" s="6">
        <f>G22*'Measure conversion'!$C$2</f>
        <v>0.079477601</v>
      </c>
      <c r="M22" s="50" t="s">
        <v>355</v>
      </c>
      <c r="N22" s="51">
        <v>1.282</v>
      </c>
      <c r="O22" s="6" t="str">
        <f t="shared" si="3"/>
        <v>May</v>
      </c>
      <c r="P22" s="6" t="str">
        <f t="shared" si="4"/>
        <v>1995</v>
      </c>
    </row>
    <row r="23">
      <c r="A23" s="3"/>
      <c r="C23" s="6">
        <f t="shared" si="1"/>
        <v>0.04642642643</v>
      </c>
      <c r="D23" s="6" t="s">
        <v>250</v>
      </c>
      <c r="E23" s="6" t="s">
        <v>253</v>
      </c>
      <c r="F23" s="6">
        <f t="shared" si="2"/>
        <v>1.546</v>
      </c>
      <c r="G23" s="7">
        <v>0.074048251</v>
      </c>
      <c r="H23" s="6">
        <f>G23*'Measure conversion'!$C$2</f>
        <v>0.074048251</v>
      </c>
      <c r="M23" s="50" t="s">
        <v>356</v>
      </c>
      <c r="N23" s="51">
        <v>1.277</v>
      </c>
      <c r="O23" s="6" t="str">
        <f t="shared" si="3"/>
        <v>May</v>
      </c>
      <c r="P23" s="6" t="str">
        <f t="shared" si="4"/>
        <v>1995</v>
      </c>
    </row>
    <row r="24">
      <c r="A24" s="3"/>
      <c r="C24" s="6">
        <f t="shared" si="1"/>
        <v>0.04075825826</v>
      </c>
      <c r="D24" s="6" t="s">
        <v>251</v>
      </c>
      <c r="E24" s="6" t="s">
        <v>253</v>
      </c>
      <c r="F24" s="6">
        <f t="shared" si="2"/>
        <v>1.35725</v>
      </c>
      <c r="G24" s="7">
        <v>0.065466796</v>
      </c>
      <c r="H24" s="6">
        <f>G24*'Measure conversion'!$C$2</f>
        <v>0.065466796</v>
      </c>
      <c r="M24" s="50" t="s">
        <v>357</v>
      </c>
      <c r="N24" s="51">
        <v>1.27</v>
      </c>
      <c r="O24" s="6" t="str">
        <f t="shared" si="3"/>
        <v>Jun</v>
      </c>
      <c r="P24" s="6" t="str">
        <f t="shared" si="4"/>
        <v>1995</v>
      </c>
    </row>
    <row r="25">
      <c r="A25" s="3"/>
      <c r="C25" s="6">
        <f t="shared" si="1"/>
        <v>0.03477477477</v>
      </c>
      <c r="D25" s="6" t="s">
        <v>252</v>
      </c>
      <c r="E25" s="6" t="s">
        <v>253</v>
      </c>
      <c r="F25" s="6">
        <f t="shared" si="2"/>
        <v>1.158</v>
      </c>
      <c r="G25" s="7">
        <v>0.056361955</v>
      </c>
      <c r="H25" s="6">
        <f>G25*'Measure conversion'!$C$2</f>
        <v>0.056361955</v>
      </c>
      <c r="M25" s="50" t="s">
        <v>358</v>
      </c>
      <c r="N25" s="51">
        <v>1.264</v>
      </c>
      <c r="O25" s="6" t="str">
        <f t="shared" si="3"/>
        <v>Jun</v>
      </c>
      <c r="P25" s="6" t="str">
        <f t="shared" si="4"/>
        <v>1995</v>
      </c>
    </row>
    <row r="26">
      <c r="A26" s="3"/>
      <c r="C26" s="6">
        <f t="shared" si="1"/>
        <v>0.03559309309</v>
      </c>
      <c r="D26" s="6" t="s">
        <v>235</v>
      </c>
      <c r="E26" s="6" t="s">
        <v>254</v>
      </c>
      <c r="F26" s="6">
        <f t="shared" si="2"/>
        <v>1.18525</v>
      </c>
      <c r="G26" s="7">
        <v>0.057268581</v>
      </c>
      <c r="H26" s="6">
        <f>G26*'Measure conversion'!$C$2</f>
        <v>0.057268581</v>
      </c>
      <c r="M26" s="50" t="s">
        <v>359</v>
      </c>
      <c r="N26" s="51">
        <v>1.261</v>
      </c>
      <c r="O26" s="6" t="str">
        <f t="shared" si="3"/>
        <v>Jun</v>
      </c>
      <c r="P26" s="6" t="str">
        <f t="shared" si="4"/>
        <v>1995</v>
      </c>
    </row>
    <row r="27">
      <c r="A27" s="3"/>
      <c r="C27" s="6">
        <f t="shared" si="1"/>
        <v>0.03825075075</v>
      </c>
      <c r="D27" s="6" t="s">
        <v>240</v>
      </c>
      <c r="E27" s="6" t="s">
        <v>254</v>
      </c>
      <c r="F27" s="6">
        <f t="shared" si="2"/>
        <v>1.27375</v>
      </c>
      <c r="G27" s="7">
        <v>0.060984388</v>
      </c>
      <c r="H27" s="6">
        <f>G27*'Measure conversion'!$C$2</f>
        <v>0.060984388</v>
      </c>
      <c r="M27" s="50" t="s">
        <v>360</v>
      </c>
      <c r="N27" s="51">
        <v>1.255</v>
      </c>
      <c r="O27" s="6" t="str">
        <f t="shared" si="3"/>
        <v>Jun</v>
      </c>
      <c r="P27" s="6" t="str">
        <f t="shared" si="4"/>
        <v>1995</v>
      </c>
    </row>
    <row r="28">
      <c r="A28" s="3"/>
      <c r="C28" s="6">
        <f t="shared" si="1"/>
        <v>0.04387387387</v>
      </c>
      <c r="D28" s="6" t="s">
        <v>242</v>
      </c>
      <c r="E28" s="6" t="s">
        <v>254</v>
      </c>
      <c r="F28" s="6">
        <f t="shared" si="2"/>
        <v>1.461</v>
      </c>
      <c r="G28" s="7">
        <v>0.06930452</v>
      </c>
      <c r="H28" s="6">
        <f>G28*'Measure conversion'!$C$2</f>
        <v>0.06930452</v>
      </c>
      <c r="M28" s="50" t="s">
        <v>361</v>
      </c>
      <c r="N28" s="51">
        <v>1.25</v>
      </c>
      <c r="O28" s="6" t="str">
        <f t="shared" si="3"/>
        <v>Jul</v>
      </c>
      <c r="P28" s="6" t="str">
        <f t="shared" si="4"/>
        <v>1995</v>
      </c>
    </row>
    <row r="29">
      <c r="A29" s="3"/>
      <c r="C29" s="6">
        <f t="shared" si="1"/>
        <v>0.04835435435</v>
      </c>
      <c r="D29" s="6" t="s">
        <v>243</v>
      </c>
      <c r="E29" s="6" t="s">
        <v>254</v>
      </c>
      <c r="F29" s="6">
        <f t="shared" si="2"/>
        <v>1.6102</v>
      </c>
      <c r="G29" s="7">
        <v>0.075797979</v>
      </c>
      <c r="H29" s="6">
        <f>G29*'Measure conversion'!$C$2</f>
        <v>0.075797979</v>
      </c>
      <c r="M29" s="50" t="s">
        <v>362</v>
      </c>
      <c r="N29" s="51">
        <v>1.24</v>
      </c>
      <c r="O29" s="6" t="str">
        <f t="shared" si="3"/>
        <v>Jul</v>
      </c>
      <c r="P29" s="6" t="str">
        <f t="shared" si="4"/>
        <v>1995</v>
      </c>
    </row>
    <row r="30">
      <c r="A30" s="3"/>
      <c r="C30" s="6">
        <f t="shared" si="1"/>
        <v>0.04707957958</v>
      </c>
      <c r="D30" s="6" t="s">
        <v>245</v>
      </c>
      <c r="E30" s="6" t="s">
        <v>254</v>
      </c>
      <c r="F30" s="6">
        <f t="shared" si="2"/>
        <v>1.56775</v>
      </c>
      <c r="G30" s="7">
        <v>0.073996051</v>
      </c>
      <c r="H30" s="6">
        <f>G30*'Measure conversion'!$C$2</f>
        <v>0.073996051</v>
      </c>
      <c r="M30" s="50" t="s">
        <v>363</v>
      </c>
      <c r="N30" s="51">
        <v>1.226</v>
      </c>
      <c r="O30" s="6" t="str">
        <f t="shared" si="3"/>
        <v>Jul</v>
      </c>
      <c r="P30" s="6" t="str">
        <f t="shared" si="4"/>
        <v>1995</v>
      </c>
    </row>
    <row r="31">
      <c r="A31" s="3"/>
      <c r="C31" s="6">
        <f t="shared" si="1"/>
        <v>0.04763513514</v>
      </c>
      <c r="D31" s="6" t="s">
        <v>246</v>
      </c>
      <c r="E31" s="6" t="s">
        <v>254</v>
      </c>
      <c r="F31" s="6">
        <f t="shared" si="2"/>
        <v>1.58625</v>
      </c>
      <c r="G31" s="7">
        <v>0.074756364</v>
      </c>
      <c r="H31" s="6">
        <f>G31*'Measure conversion'!$C$2</f>
        <v>0.074756364</v>
      </c>
      <c r="M31" s="50" t="s">
        <v>364</v>
      </c>
      <c r="N31" s="51">
        <v>1.214</v>
      </c>
      <c r="O31" s="6" t="str">
        <f t="shared" si="3"/>
        <v>Jul</v>
      </c>
      <c r="P31" s="6" t="str">
        <f t="shared" si="4"/>
        <v>1995</v>
      </c>
    </row>
    <row r="32">
      <c r="A32" s="3"/>
      <c r="C32" s="6">
        <f t="shared" si="1"/>
        <v>0.04807207207</v>
      </c>
      <c r="D32" s="6" t="s">
        <v>247</v>
      </c>
      <c r="E32" s="6" t="s">
        <v>254</v>
      </c>
      <c r="F32" s="6">
        <f t="shared" si="2"/>
        <v>1.6008</v>
      </c>
      <c r="G32" s="7">
        <v>0.075271807</v>
      </c>
      <c r="H32" s="6">
        <f>G32*'Measure conversion'!$C$2</f>
        <v>0.075271807</v>
      </c>
      <c r="M32" s="50" t="s">
        <v>365</v>
      </c>
      <c r="N32" s="51">
        <v>1.198</v>
      </c>
      <c r="O32" s="6" t="str">
        <f t="shared" si="3"/>
        <v>Jul</v>
      </c>
      <c r="P32" s="6" t="str">
        <f t="shared" si="4"/>
        <v>1995</v>
      </c>
    </row>
    <row r="33">
      <c r="A33" s="3"/>
      <c r="C33" s="6">
        <f t="shared" si="1"/>
        <v>0.0476951952</v>
      </c>
      <c r="D33" s="6" t="s">
        <v>248</v>
      </c>
      <c r="E33" s="6" t="s">
        <v>254</v>
      </c>
      <c r="F33" s="6">
        <f t="shared" si="2"/>
        <v>1.58825</v>
      </c>
      <c r="G33" s="7">
        <v>0.074600064</v>
      </c>
      <c r="H33" s="6">
        <f>G33*'Measure conversion'!$C$2</f>
        <v>0.074600064</v>
      </c>
      <c r="M33" s="50" t="s">
        <v>366</v>
      </c>
      <c r="N33" s="51">
        <v>1.187</v>
      </c>
      <c r="O33" s="6" t="str">
        <f t="shared" si="3"/>
        <v>Aug</v>
      </c>
      <c r="P33" s="6" t="str">
        <f t="shared" si="4"/>
        <v>1995</v>
      </c>
    </row>
    <row r="34">
      <c r="A34" s="3"/>
      <c r="C34" s="6">
        <f t="shared" si="1"/>
        <v>0.04742942943</v>
      </c>
      <c r="D34" s="6" t="s">
        <v>249</v>
      </c>
      <c r="E34" s="6" t="s">
        <v>254</v>
      </c>
      <c r="F34" s="6">
        <f t="shared" si="2"/>
        <v>1.5794</v>
      </c>
      <c r="G34" s="7">
        <v>0.073999158</v>
      </c>
      <c r="H34" s="6">
        <f>G34*'Measure conversion'!$C$2</f>
        <v>0.073999158</v>
      </c>
      <c r="M34" s="50" t="s">
        <v>367</v>
      </c>
      <c r="N34" s="51">
        <v>1.179</v>
      </c>
      <c r="O34" s="6" t="str">
        <f t="shared" si="3"/>
        <v>Aug</v>
      </c>
      <c r="P34" s="6" t="str">
        <f t="shared" si="4"/>
        <v>1995</v>
      </c>
    </row>
    <row r="35">
      <c r="A35" s="3"/>
      <c r="C35" s="6">
        <f t="shared" si="1"/>
        <v>0.04598348348</v>
      </c>
      <c r="D35" s="6" t="s">
        <v>250</v>
      </c>
      <c r="E35" s="6" t="s">
        <v>254</v>
      </c>
      <c r="F35" s="6">
        <f t="shared" si="2"/>
        <v>1.53125</v>
      </c>
      <c r="G35" s="7">
        <v>0.071675664</v>
      </c>
      <c r="H35" s="6">
        <f>G35*'Measure conversion'!$C$2</f>
        <v>0.071675664</v>
      </c>
      <c r="M35" s="50" t="s">
        <v>368</v>
      </c>
      <c r="N35" s="51">
        <v>1.169</v>
      </c>
      <c r="O35" s="6" t="str">
        <f t="shared" si="3"/>
        <v>Aug</v>
      </c>
      <c r="P35" s="6" t="str">
        <f t="shared" si="4"/>
        <v>1995</v>
      </c>
    </row>
    <row r="36">
      <c r="A36" s="3"/>
      <c r="C36" s="6">
        <f t="shared" si="1"/>
        <v>0.04737987988</v>
      </c>
      <c r="D36" s="6" t="s">
        <v>251</v>
      </c>
      <c r="E36" s="6" t="s">
        <v>254</v>
      </c>
      <c r="F36" s="6">
        <f t="shared" si="2"/>
        <v>1.57775</v>
      </c>
      <c r="G36" s="7">
        <v>0.073787606</v>
      </c>
      <c r="H36" s="6">
        <f>G36*'Measure conversion'!$C$2</f>
        <v>0.073787606</v>
      </c>
      <c r="M36" s="50" t="s">
        <v>369</v>
      </c>
      <c r="N36" s="51">
        <v>1.169</v>
      </c>
      <c r="O36" s="6" t="str">
        <f t="shared" si="3"/>
        <v>Aug</v>
      </c>
      <c r="P36" s="6" t="str">
        <f t="shared" si="4"/>
        <v>1995</v>
      </c>
    </row>
    <row r="37">
      <c r="A37" s="3"/>
      <c r="C37" s="6">
        <f t="shared" si="1"/>
        <v>0.04612012012</v>
      </c>
      <c r="D37" s="6" t="s">
        <v>252</v>
      </c>
      <c r="E37" s="6" t="s">
        <v>254</v>
      </c>
      <c r="F37" s="6">
        <f t="shared" si="2"/>
        <v>1.5358</v>
      </c>
      <c r="G37" s="7">
        <v>0.072083331</v>
      </c>
      <c r="H37" s="6">
        <f>G37*'Measure conversion'!$C$2</f>
        <v>0.072083331</v>
      </c>
      <c r="M37" s="50" t="s">
        <v>370</v>
      </c>
      <c r="N37" s="51">
        <v>1.167</v>
      </c>
      <c r="O37" s="6" t="str">
        <f t="shared" si="3"/>
        <v>Sep</v>
      </c>
      <c r="P37" s="6" t="str">
        <f t="shared" si="4"/>
        <v>1995</v>
      </c>
    </row>
    <row r="38">
      <c r="A38" s="3"/>
      <c r="C38" s="6">
        <f t="shared" si="1"/>
        <v>0.04843843844</v>
      </c>
      <c r="D38" s="6" t="s">
        <v>235</v>
      </c>
      <c r="E38" s="6" t="s">
        <v>255</v>
      </c>
      <c r="F38" s="6">
        <f t="shared" si="2"/>
        <v>1.613</v>
      </c>
      <c r="G38" s="7">
        <v>0.074914554</v>
      </c>
      <c r="H38" s="6">
        <f>G38*'Measure conversion'!$C$2</f>
        <v>0.074914554</v>
      </c>
      <c r="M38" s="50" t="s">
        <v>371</v>
      </c>
      <c r="N38" s="51">
        <v>1.154</v>
      </c>
      <c r="O38" s="6" t="str">
        <f t="shared" si="3"/>
        <v>Sep</v>
      </c>
      <c r="P38" s="6" t="str">
        <f t="shared" si="4"/>
        <v>1995</v>
      </c>
    </row>
    <row r="39">
      <c r="A39" s="3"/>
      <c r="C39" s="6">
        <f t="shared" si="1"/>
        <v>0.0541966967</v>
      </c>
      <c r="D39" s="6" t="s">
        <v>240</v>
      </c>
      <c r="E39" s="6" t="s">
        <v>255</v>
      </c>
      <c r="F39" s="6">
        <f t="shared" si="2"/>
        <v>1.80475</v>
      </c>
      <c r="G39" s="7">
        <v>0.082789333</v>
      </c>
      <c r="H39" s="6">
        <f>G39*'Measure conversion'!$C$2</f>
        <v>0.082789333</v>
      </c>
      <c r="M39" s="50" t="s">
        <v>372</v>
      </c>
      <c r="N39" s="51">
        <v>1.154</v>
      </c>
      <c r="O39" s="6" t="str">
        <f t="shared" si="3"/>
        <v>Sep</v>
      </c>
      <c r="P39" s="6" t="str">
        <f t="shared" si="4"/>
        <v>1995</v>
      </c>
    </row>
    <row r="40">
      <c r="A40" s="3"/>
      <c r="C40" s="6">
        <f t="shared" si="1"/>
        <v>0.06314714715</v>
      </c>
      <c r="D40" s="6" t="s">
        <v>242</v>
      </c>
      <c r="E40" s="6" t="s">
        <v>255</v>
      </c>
      <c r="F40" s="6">
        <f t="shared" si="2"/>
        <v>2.1028</v>
      </c>
      <c r="G40" s="7">
        <v>0.095902312</v>
      </c>
      <c r="H40" s="6">
        <f>G40*'Measure conversion'!$C$2</f>
        <v>0.095902312</v>
      </c>
      <c r="M40" s="50" t="s">
        <v>373</v>
      </c>
      <c r="N40" s="51">
        <v>1.147</v>
      </c>
      <c r="O40" s="6" t="str">
        <f t="shared" si="3"/>
        <v>Sep</v>
      </c>
      <c r="P40" s="6" t="str">
        <f t="shared" si="4"/>
        <v>1995</v>
      </c>
    </row>
    <row r="41">
      <c r="A41" s="3"/>
      <c r="C41" s="6">
        <f t="shared" si="1"/>
        <v>0.0613963964</v>
      </c>
      <c r="D41" s="6" t="s">
        <v>243</v>
      </c>
      <c r="E41" s="6" t="s">
        <v>255</v>
      </c>
      <c r="F41" s="6">
        <f t="shared" si="2"/>
        <v>2.0445</v>
      </c>
      <c r="G41" s="7">
        <v>0.093163351</v>
      </c>
      <c r="H41" s="6">
        <f>G41*'Measure conversion'!$C$2</f>
        <v>0.093163351</v>
      </c>
      <c r="M41" s="50" t="s">
        <v>374</v>
      </c>
      <c r="N41" s="51">
        <v>1.167</v>
      </c>
      <c r="O41" s="6" t="str">
        <f t="shared" si="3"/>
        <v>Oct</v>
      </c>
      <c r="P41" s="6" t="str">
        <f t="shared" si="4"/>
        <v>1995</v>
      </c>
    </row>
    <row r="42">
      <c r="A42" s="3"/>
      <c r="C42" s="6">
        <f t="shared" si="1"/>
        <v>0.05530780781</v>
      </c>
      <c r="D42" s="6" t="s">
        <v>245</v>
      </c>
      <c r="E42" s="6" t="s">
        <v>255</v>
      </c>
      <c r="F42" s="6">
        <f t="shared" si="2"/>
        <v>1.84175</v>
      </c>
      <c r="G42" s="7">
        <v>0.084434241</v>
      </c>
      <c r="H42" s="6">
        <f>G42*'Measure conversion'!$C$2</f>
        <v>0.084434241</v>
      </c>
      <c r="M42" s="50" t="s">
        <v>375</v>
      </c>
      <c r="N42" s="51">
        <v>1.17</v>
      </c>
      <c r="O42" s="6" t="str">
        <f t="shared" si="3"/>
        <v>Oct</v>
      </c>
      <c r="P42" s="6" t="str">
        <f t="shared" si="4"/>
        <v>1995</v>
      </c>
    </row>
    <row r="43">
      <c r="A43" s="3"/>
      <c r="C43" s="6">
        <f t="shared" si="1"/>
        <v>0.05297297297</v>
      </c>
      <c r="D43" s="6" t="s">
        <v>246</v>
      </c>
      <c r="E43" s="6" t="s">
        <v>255</v>
      </c>
      <c r="F43" s="6">
        <f t="shared" si="2"/>
        <v>1.764</v>
      </c>
      <c r="G43" s="7">
        <v>0.081072413</v>
      </c>
      <c r="H43" s="6">
        <f>G43*'Measure conversion'!$C$2</f>
        <v>0.081072413</v>
      </c>
      <c r="M43" s="50" t="s">
        <v>376</v>
      </c>
      <c r="N43" s="51">
        <v>1.175</v>
      </c>
      <c r="O43" s="6" t="str">
        <f t="shared" si="3"/>
        <v>Oct</v>
      </c>
      <c r="P43" s="6" t="str">
        <f t="shared" si="4"/>
        <v>1995</v>
      </c>
    </row>
    <row r="44">
      <c r="A44" s="3"/>
      <c r="C44" s="6">
        <f t="shared" si="1"/>
        <v>0.05235735736</v>
      </c>
      <c r="D44" s="6" t="s">
        <v>247</v>
      </c>
      <c r="E44" s="6" t="s">
        <v>255</v>
      </c>
      <c r="F44" s="6">
        <f t="shared" si="2"/>
        <v>1.7435</v>
      </c>
      <c r="G44" s="7">
        <v>0.080089859</v>
      </c>
      <c r="H44" s="6">
        <f>G44*'Measure conversion'!$C$2</f>
        <v>0.080089859</v>
      </c>
      <c r="M44" s="50" t="s">
        <v>377</v>
      </c>
      <c r="N44" s="51">
        <v>1.178</v>
      </c>
      <c r="O44" s="6" t="str">
        <f t="shared" si="3"/>
        <v>Oct</v>
      </c>
      <c r="P44" s="6" t="str">
        <f t="shared" si="4"/>
        <v>1995</v>
      </c>
    </row>
    <row r="45">
      <c r="A45" s="3"/>
      <c r="C45" s="6">
        <f t="shared" si="1"/>
        <v>0.05605855856</v>
      </c>
      <c r="D45" s="6" t="s">
        <v>248</v>
      </c>
      <c r="E45" s="6" t="s">
        <v>255</v>
      </c>
      <c r="F45" s="6">
        <f t="shared" si="2"/>
        <v>1.86675</v>
      </c>
      <c r="G45" s="7">
        <v>0.085549075</v>
      </c>
      <c r="H45" s="6">
        <f>G45*'Measure conversion'!$C$2</f>
        <v>0.085549075</v>
      </c>
      <c r="M45" s="50" t="s">
        <v>378</v>
      </c>
      <c r="N45" s="51">
        <v>1.169</v>
      </c>
      <c r="O45" s="6" t="str">
        <f t="shared" si="3"/>
        <v>Oct</v>
      </c>
      <c r="P45" s="6" t="str">
        <f t="shared" si="4"/>
        <v>1995</v>
      </c>
    </row>
    <row r="46">
      <c r="A46" s="3"/>
      <c r="C46" s="6">
        <f t="shared" si="1"/>
        <v>0.06071471471</v>
      </c>
      <c r="D46" s="6" t="s">
        <v>249</v>
      </c>
      <c r="E46" s="6" t="s">
        <v>255</v>
      </c>
      <c r="F46" s="6">
        <f t="shared" si="2"/>
        <v>2.0218</v>
      </c>
      <c r="G46" s="7">
        <v>0.092331975</v>
      </c>
      <c r="H46" s="6">
        <f>G46*'Measure conversion'!$C$2</f>
        <v>0.092331975</v>
      </c>
      <c r="M46" s="50" t="s">
        <v>379</v>
      </c>
      <c r="N46" s="51">
        <v>1.167</v>
      </c>
      <c r="O46" s="6" t="str">
        <f t="shared" si="3"/>
        <v>Nov</v>
      </c>
      <c r="P46" s="6" t="str">
        <f t="shared" si="4"/>
        <v>1995</v>
      </c>
    </row>
    <row r="47">
      <c r="A47" s="3"/>
      <c r="C47" s="6">
        <f t="shared" si="1"/>
        <v>0.05379129129</v>
      </c>
      <c r="D47" s="6" t="s">
        <v>250</v>
      </c>
      <c r="E47" s="6" t="s">
        <v>255</v>
      </c>
      <c r="F47" s="6">
        <f t="shared" si="2"/>
        <v>1.79125</v>
      </c>
      <c r="G47" s="7">
        <v>0.081975805</v>
      </c>
      <c r="H47" s="6">
        <f>G47*'Measure conversion'!$C$2</f>
        <v>0.081975805</v>
      </c>
      <c r="M47" s="50" t="s">
        <v>380</v>
      </c>
      <c r="N47" s="51">
        <v>1.173</v>
      </c>
      <c r="O47" s="6" t="str">
        <f t="shared" si="3"/>
        <v>Nov</v>
      </c>
      <c r="P47" s="6" t="str">
        <f t="shared" si="4"/>
        <v>1995</v>
      </c>
    </row>
    <row r="48">
      <c r="A48" s="3"/>
      <c r="C48" s="6">
        <f t="shared" si="1"/>
        <v>0.05081081081</v>
      </c>
      <c r="D48" s="6" t="s">
        <v>251</v>
      </c>
      <c r="E48" s="6" t="s">
        <v>255</v>
      </c>
      <c r="F48" s="6">
        <f t="shared" si="2"/>
        <v>1.692</v>
      </c>
      <c r="G48" s="7">
        <v>0.077739026</v>
      </c>
      <c r="H48" s="6">
        <f>G48*'Measure conversion'!$C$2</f>
        <v>0.077739026</v>
      </c>
      <c r="M48" s="50" t="s">
        <v>381</v>
      </c>
      <c r="N48" s="51">
        <v>1.17</v>
      </c>
      <c r="O48" s="6" t="str">
        <f t="shared" si="3"/>
        <v>Nov</v>
      </c>
      <c r="P48" s="6" t="str">
        <f t="shared" si="4"/>
        <v>1995</v>
      </c>
    </row>
    <row r="49">
      <c r="A49" s="3"/>
      <c r="C49" s="6">
        <f t="shared" si="1"/>
        <v>0.04904504505</v>
      </c>
      <c r="D49" s="6" t="s">
        <v>252</v>
      </c>
      <c r="E49" s="6" t="s">
        <v>255</v>
      </c>
      <c r="F49" s="6">
        <f t="shared" si="2"/>
        <v>1.6332</v>
      </c>
      <c r="G49" s="7">
        <v>0.075274121</v>
      </c>
      <c r="H49" s="6">
        <f>G49*'Measure conversion'!$C$2</f>
        <v>0.075274121</v>
      </c>
      <c r="M49" s="50" t="s">
        <v>382</v>
      </c>
      <c r="N49" s="51">
        <v>1.166</v>
      </c>
      <c r="O49" s="6" t="str">
        <f t="shared" si="3"/>
        <v>Nov</v>
      </c>
      <c r="P49" s="6" t="str">
        <f t="shared" si="4"/>
        <v>1995</v>
      </c>
    </row>
    <row r="50">
      <c r="A50" s="3"/>
      <c r="C50" s="6">
        <f t="shared" si="1"/>
        <v>0.0503003003</v>
      </c>
      <c r="D50" s="6" t="s">
        <v>235</v>
      </c>
      <c r="E50" s="6" t="s">
        <v>256</v>
      </c>
      <c r="F50" s="6">
        <f t="shared" si="2"/>
        <v>1.675</v>
      </c>
      <c r="G50" s="7">
        <v>0.076504174</v>
      </c>
      <c r="H50" s="6">
        <f>G50*'Measure conversion'!$C$2</f>
        <v>0.076504174</v>
      </c>
      <c r="M50" s="50" t="s">
        <v>383</v>
      </c>
      <c r="N50" s="51">
        <v>1.157</v>
      </c>
      <c r="O50" s="6" t="str">
        <f t="shared" si="3"/>
        <v>Dec</v>
      </c>
      <c r="P50" s="6" t="str">
        <f t="shared" si="4"/>
        <v>1995</v>
      </c>
    </row>
    <row r="51">
      <c r="A51" s="3"/>
      <c r="C51" s="6">
        <f t="shared" si="1"/>
        <v>0.05608858859</v>
      </c>
      <c r="D51" s="6" t="s">
        <v>240</v>
      </c>
      <c r="E51" s="6" t="s">
        <v>256</v>
      </c>
      <c r="F51" s="6">
        <f t="shared" si="2"/>
        <v>1.86775</v>
      </c>
      <c r="G51" s="7">
        <v>0.084371298</v>
      </c>
      <c r="H51" s="6">
        <f>G51*'Measure conversion'!$C$2</f>
        <v>0.084371298</v>
      </c>
      <c r="M51" s="50" t="s">
        <v>384</v>
      </c>
      <c r="N51" s="51">
        <v>1.153</v>
      </c>
      <c r="O51" s="6" t="str">
        <f t="shared" si="3"/>
        <v>Dec</v>
      </c>
      <c r="P51" s="6" t="str">
        <f t="shared" si="4"/>
        <v>1995</v>
      </c>
    </row>
    <row r="52">
      <c r="A52" s="3"/>
      <c r="C52" s="6">
        <f t="shared" si="1"/>
        <v>0.06294294294</v>
      </c>
      <c r="D52" s="6" t="s">
        <v>242</v>
      </c>
      <c r="E52" s="6" t="s">
        <v>256</v>
      </c>
      <c r="F52" s="6">
        <f t="shared" si="2"/>
        <v>2.096</v>
      </c>
      <c r="G52" s="7">
        <v>0.094151153</v>
      </c>
      <c r="H52" s="6">
        <f>G52*'Measure conversion'!$C$2</f>
        <v>0.094151153</v>
      </c>
      <c r="M52" s="50" t="s">
        <v>385</v>
      </c>
      <c r="N52" s="51">
        <v>1.155</v>
      </c>
      <c r="O52" s="6" t="str">
        <f t="shared" si="3"/>
        <v>Dec</v>
      </c>
      <c r="P52" s="6" t="str">
        <f t="shared" si="4"/>
        <v>1995</v>
      </c>
    </row>
    <row r="53">
      <c r="A53" s="3"/>
      <c r="C53" s="6">
        <f t="shared" si="1"/>
        <v>0.06422672673</v>
      </c>
      <c r="D53" s="6" t="s">
        <v>243</v>
      </c>
      <c r="E53" s="6" t="s">
        <v>256</v>
      </c>
      <c r="F53" s="6">
        <f t="shared" si="2"/>
        <v>2.13875</v>
      </c>
      <c r="G53" s="7">
        <v>0.095677629</v>
      </c>
      <c r="H53" s="6">
        <f>G53*'Measure conversion'!$C$2</f>
        <v>0.095677629</v>
      </c>
      <c r="M53" s="50" t="s">
        <v>386</v>
      </c>
      <c r="N53" s="51">
        <v>1.161</v>
      </c>
      <c r="O53" s="6" t="str">
        <f t="shared" si="3"/>
        <v>Dec</v>
      </c>
      <c r="P53" s="6" t="str">
        <f t="shared" si="4"/>
        <v>1995</v>
      </c>
    </row>
    <row r="54">
      <c r="A54" s="3"/>
      <c r="C54" s="6">
        <f t="shared" si="1"/>
        <v>0.06761561562</v>
      </c>
      <c r="D54" s="6" t="s">
        <v>245</v>
      </c>
      <c r="E54" s="6" t="s">
        <v>256</v>
      </c>
      <c r="F54" s="6">
        <f t="shared" si="2"/>
        <v>2.2516</v>
      </c>
      <c r="G54" s="7">
        <v>0.100251567</v>
      </c>
      <c r="H54" s="6">
        <f>G54*'Measure conversion'!$C$2</f>
        <v>0.100251567</v>
      </c>
      <c r="M54" s="50" t="s">
        <v>387</v>
      </c>
      <c r="N54" s="51">
        <v>1.155</v>
      </c>
      <c r="O54" s="6" t="str">
        <f t="shared" si="3"/>
        <v>Jan</v>
      </c>
      <c r="P54" s="6" t="str">
        <f t="shared" si="4"/>
        <v>1996</v>
      </c>
    </row>
    <row r="55">
      <c r="A55" s="3"/>
      <c r="C55" s="6">
        <f t="shared" si="1"/>
        <v>0.06832582583</v>
      </c>
      <c r="D55" s="6" t="s">
        <v>246</v>
      </c>
      <c r="E55" s="6" t="s">
        <v>256</v>
      </c>
      <c r="F55" s="6">
        <f t="shared" si="2"/>
        <v>2.27525</v>
      </c>
      <c r="G55" s="7">
        <v>0.100923324</v>
      </c>
      <c r="H55" s="6">
        <f>G55*'Measure conversion'!$C$2</f>
        <v>0.100923324</v>
      </c>
      <c r="M55" s="50" t="s">
        <v>388</v>
      </c>
      <c r="N55" s="51">
        <v>1.152</v>
      </c>
      <c r="O55" s="6" t="str">
        <f t="shared" si="3"/>
        <v>Jan</v>
      </c>
      <c r="P55" s="6" t="str">
        <f t="shared" si="4"/>
        <v>1996</v>
      </c>
    </row>
    <row r="56">
      <c r="A56" s="3"/>
      <c r="C56" s="6">
        <f t="shared" si="1"/>
        <v>0.06565315315</v>
      </c>
      <c r="D56" s="6" t="s">
        <v>247</v>
      </c>
      <c r="E56" s="6" t="s">
        <v>256</v>
      </c>
      <c r="F56" s="6">
        <f t="shared" si="2"/>
        <v>2.18625</v>
      </c>
      <c r="G56" s="7">
        <v>0.097180324</v>
      </c>
      <c r="H56" s="6">
        <f>G56*'Measure conversion'!$C$2</f>
        <v>0.097180324</v>
      </c>
      <c r="M56" s="50" t="s">
        <v>389</v>
      </c>
      <c r="N56" s="51">
        <v>1.167</v>
      </c>
      <c r="O56" s="6" t="str">
        <f t="shared" si="3"/>
        <v>Jan</v>
      </c>
      <c r="P56" s="6" t="str">
        <f t="shared" si="4"/>
        <v>1996</v>
      </c>
    </row>
    <row r="57">
      <c r="A57" s="3"/>
      <c r="C57" s="6">
        <f t="shared" si="1"/>
        <v>0.06261861862</v>
      </c>
      <c r="D57" s="6" t="s">
        <v>248</v>
      </c>
      <c r="E57" s="6" t="s">
        <v>256</v>
      </c>
      <c r="F57" s="6">
        <f t="shared" si="2"/>
        <v>2.0852</v>
      </c>
      <c r="G57" s="7">
        <v>0.092861156</v>
      </c>
      <c r="H57" s="6">
        <f>G57*'Measure conversion'!$C$2</f>
        <v>0.092861156</v>
      </c>
      <c r="M57" s="50" t="s">
        <v>390</v>
      </c>
      <c r="N57" s="51">
        <v>1.168</v>
      </c>
      <c r="O57" s="6" t="str">
        <f t="shared" si="3"/>
        <v>Jan</v>
      </c>
      <c r="P57" s="6" t="str">
        <f t="shared" si="4"/>
        <v>1996</v>
      </c>
    </row>
    <row r="58">
      <c r="A58" s="3"/>
      <c r="C58" s="6">
        <f t="shared" si="1"/>
        <v>0.06213963964</v>
      </c>
      <c r="D58" s="6" t="s">
        <v>249</v>
      </c>
      <c r="E58" s="6" t="s">
        <v>256</v>
      </c>
      <c r="F58" s="6">
        <f t="shared" si="2"/>
        <v>2.06925</v>
      </c>
      <c r="G58" s="7">
        <v>0.091532755</v>
      </c>
      <c r="H58" s="6">
        <f>G58*'Measure conversion'!$C$2</f>
        <v>0.091532755</v>
      </c>
      <c r="M58" s="50" t="s">
        <v>391</v>
      </c>
      <c r="N58" s="51">
        <v>1.166</v>
      </c>
      <c r="O58" s="6" t="str">
        <f t="shared" si="3"/>
        <v>Jan</v>
      </c>
      <c r="P58" s="6" t="str">
        <f t="shared" si="4"/>
        <v>1996</v>
      </c>
    </row>
    <row r="59">
      <c r="A59" s="3"/>
      <c r="C59" s="6">
        <f t="shared" si="1"/>
        <v>0.06997747748</v>
      </c>
      <c r="D59" s="6" t="s">
        <v>250</v>
      </c>
      <c r="E59" s="6" t="s">
        <v>256</v>
      </c>
      <c r="F59" s="6">
        <f t="shared" si="2"/>
        <v>2.33025</v>
      </c>
      <c r="G59" s="7">
        <v>0.102128863</v>
      </c>
      <c r="H59" s="6">
        <f>G59*'Measure conversion'!$C$2</f>
        <v>0.102128863</v>
      </c>
      <c r="M59" s="50" t="s">
        <v>392</v>
      </c>
      <c r="N59" s="51">
        <v>1.161</v>
      </c>
      <c r="O59" s="6" t="str">
        <f t="shared" si="3"/>
        <v>Feb</v>
      </c>
      <c r="P59" s="6" t="str">
        <f t="shared" si="4"/>
        <v>1996</v>
      </c>
    </row>
    <row r="60">
      <c r="A60" s="3"/>
      <c r="C60" s="6">
        <f t="shared" si="1"/>
        <v>0.06918918919</v>
      </c>
      <c r="D60" s="6" t="s">
        <v>251</v>
      </c>
      <c r="E60" s="6" t="s">
        <v>256</v>
      </c>
      <c r="F60" s="6">
        <f t="shared" si="2"/>
        <v>2.304</v>
      </c>
      <c r="G60" s="7">
        <v>0.10126851</v>
      </c>
      <c r="H60" s="6">
        <f>G60*'Measure conversion'!$C$2</f>
        <v>0.10126851</v>
      </c>
      <c r="M60" s="50" t="s">
        <v>393</v>
      </c>
      <c r="N60" s="51">
        <v>1.163</v>
      </c>
      <c r="O60" s="6" t="str">
        <f t="shared" si="3"/>
        <v>Feb</v>
      </c>
      <c r="P60" s="6" t="str">
        <f t="shared" si="4"/>
        <v>1996</v>
      </c>
    </row>
    <row r="61">
      <c r="A61" s="3"/>
      <c r="C61" s="6">
        <f t="shared" si="1"/>
        <v>0.06295795796</v>
      </c>
      <c r="D61" s="6" t="s">
        <v>252</v>
      </c>
      <c r="E61" s="6" t="s">
        <v>256</v>
      </c>
      <c r="F61" s="6">
        <f t="shared" si="2"/>
        <v>2.0965</v>
      </c>
      <c r="G61" s="7">
        <v>0.092584022</v>
      </c>
      <c r="H61" s="6">
        <f>G61*'Measure conversion'!$C$2</f>
        <v>0.092584022</v>
      </c>
      <c r="M61" s="50" t="s">
        <v>394</v>
      </c>
      <c r="N61" s="51">
        <v>1.178</v>
      </c>
      <c r="O61" s="6" t="str">
        <f t="shared" si="3"/>
        <v>Feb</v>
      </c>
      <c r="P61" s="6" t="str">
        <f t="shared" si="4"/>
        <v>1996</v>
      </c>
    </row>
    <row r="62">
      <c r="A62" s="3"/>
      <c r="C62" s="6">
        <f t="shared" si="1"/>
        <v>0.05909309309</v>
      </c>
      <c r="D62" s="6" t="s">
        <v>235</v>
      </c>
      <c r="E62" s="6" t="s">
        <v>257</v>
      </c>
      <c r="F62" s="6">
        <f t="shared" si="2"/>
        <v>1.9678</v>
      </c>
      <c r="G62" s="7">
        <v>0.086647573</v>
      </c>
      <c r="H62" s="6">
        <f>G62*'Measure conversion'!$C$2</f>
        <v>0.086647573</v>
      </c>
      <c r="M62" s="50" t="s">
        <v>395</v>
      </c>
      <c r="N62" s="51">
        <v>1.202</v>
      </c>
      <c r="O62" s="6" t="str">
        <f t="shared" si="3"/>
        <v>Feb</v>
      </c>
      <c r="P62" s="6" t="str">
        <f t="shared" si="4"/>
        <v>1996</v>
      </c>
    </row>
    <row r="63">
      <c r="A63" s="3"/>
      <c r="C63" s="6">
        <f t="shared" si="1"/>
        <v>0.06358858859</v>
      </c>
      <c r="D63" s="6" t="s">
        <v>240</v>
      </c>
      <c r="E63" s="6" t="s">
        <v>257</v>
      </c>
      <c r="F63" s="6">
        <f t="shared" si="2"/>
        <v>2.1175</v>
      </c>
      <c r="G63" s="7">
        <v>0.092488125</v>
      </c>
      <c r="H63" s="6">
        <f>G63*'Measure conversion'!$C$2</f>
        <v>0.092488125</v>
      </c>
      <c r="M63" s="50" t="s">
        <v>396</v>
      </c>
      <c r="N63" s="51">
        <v>1.218</v>
      </c>
      <c r="O63" s="6" t="str">
        <f t="shared" si="3"/>
        <v>Mar</v>
      </c>
      <c r="P63" s="6" t="str">
        <f t="shared" si="4"/>
        <v>1996</v>
      </c>
    </row>
    <row r="64">
      <c r="A64" s="3"/>
      <c r="C64" s="6">
        <f t="shared" si="1"/>
        <v>0.0690990991</v>
      </c>
      <c r="D64" s="6" t="s">
        <v>242</v>
      </c>
      <c r="E64" s="6" t="s">
        <v>257</v>
      </c>
      <c r="F64" s="6">
        <f t="shared" si="2"/>
        <v>2.301</v>
      </c>
      <c r="G64" s="7">
        <v>0.099578001</v>
      </c>
      <c r="H64" s="6">
        <f>G64*'Measure conversion'!$C$2</f>
        <v>0.099578001</v>
      </c>
      <c r="M64" s="50" t="s">
        <v>397</v>
      </c>
      <c r="N64" s="51">
        <v>1.239</v>
      </c>
      <c r="O64" s="6" t="str">
        <f t="shared" si="3"/>
        <v>Mar</v>
      </c>
      <c r="P64" s="6" t="str">
        <f t="shared" si="4"/>
        <v>1996</v>
      </c>
    </row>
    <row r="65">
      <c r="A65" s="3"/>
      <c r="C65" s="6">
        <f t="shared" si="1"/>
        <v>0.07661411411</v>
      </c>
      <c r="D65" s="6" t="s">
        <v>243</v>
      </c>
      <c r="E65" s="6" t="s">
        <v>257</v>
      </c>
      <c r="F65" s="6">
        <f t="shared" si="2"/>
        <v>2.55125</v>
      </c>
      <c r="G65" s="7">
        <v>0.109387914</v>
      </c>
      <c r="H65" s="6">
        <f>G65*'Measure conversion'!$C$2</f>
        <v>0.109387914</v>
      </c>
      <c r="M65" s="50" t="s">
        <v>398</v>
      </c>
      <c r="N65" s="51">
        <v>1.251</v>
      </c>
      <c r="O65" s="6" t="str">
        <f t="shared" si="3"/>
        <v>Mar</v>
      </c>
      <c r="P65" s="6" t="str">
        <f t="shared" si="4"/>
        <v>1996</v>
      </c>
    </row>
    <row r="66">
      <c r="A66" s="3"/>
      <c r="C66" s="6">
        <f t="shared" si="1"/>
        <v>0.07431831832</v>
      </c>
      <c r="D66" s="6" t="s">
        <v>245</v>
      </c>
      <c r="E66" s="6" t="s">
        <v>257</v>
      </c>
      <c r="F66" s="6">
        <f t="shared" si="2"/>
        <v>2.4748</v>
      </c>
      <c r="G66" s="7">
        <v>0.10636715</v>
      </c>
      <c r="H66" s="6">
        <f>G66*'Measure conversion'!$C$2</f>
        <v>0.10636715</v>
      </c>
      <c r="M66" s="50" t="s">
        <v>399</v>
      </c>
      <c r="N66" s="51">
        <v>1.261</v>
      </c>
      <c r="O66" s="6" t="str">
        <f t="shared" si="3"/>
        <v>Mar</v>
      </c>
      <c r="P66" s="6" t="str">
        <f t="shared" si="4"/>
        <v>1996</v>
      </c>
    </row>
    <row r="67">
      <c r="A67" s="3"/>
      <c r="C67" s="6">
        <f t="shared" si="1"/>
        <v>0.0709984985</v>
      </c>
      <c r="D67" s="6" t="s">
        <v>246</v>
      </c>
      <c r="E67" s="6" t="s">
        <v>257</v>
      </c>
      <c r="F67" s="6">
        <f t="shared" si="2"/>
        <v>2.36425</v>
      </c>
      <c r="G67" s="7">
        <v>0.101898461</v>
      </c>
      <c r="H67" s="6">
        <f>G67*'Measure conversion'!$C$2</f>
        <v>0.101898461</v>
      </c>
      <c r="M67" s="50" t="s">
        <v>400</v>
      </c>
      <c r="N67" s="51">
        <v>1.291</v>
      </c>
      <c r="O67" s="6" t="str">
        <f t="shared" si="3"/>
        <v>Apr</v>
      </c>
      <c r="P67" s="6" t="str">
        <f t="shared" si="4"/>
        <v>1996</v>
      </c>
    </row>
    <row r="68">
      <c r="A68" s="3"/>
      <c r="C68" s="6">
        <f t="shared" si="1"/>
        <v>0.07553303303</v>
      </c>
      <c r="D68" s="6" t="s">
        <v>247</v>
      </c>
      <c r="E68" s="6" t="s">
        <v>257</v>
      </c>
      <c r="F68" s="6">
        <f t="shared" si="2"/>
        <v>2.51525</v>
      </c>
      <c r="G68" s="7">
        <v>0.107606981</v>
      </c>
      <c r="H68" s="6">
        <f>G68*'Measure conversion'!$C$2</f>
        <v>0.107606981</v>
      </c>
      <c r="M68" s="50" t="s">
        <v>401</v>
      </c>
      <c r="N68" s="51">
        <v>1.328</v>
      </c>
      <c r="O68" s="6" t="str">
        <f t="shared" si="3"/>
        <v>Apr</v>
      </c>
      <c r="P68" s="6" t="str">
        <f t="shared" si="4"/>
        <v>1996</v>
      </c>
    </row>
    <row r="69">
      <c r="A69" s="3"/>
      <c r="C69" s="6">
        <f t="shared" si="1"/>
        <v>0.0803963964</v>
      </c>
      <c r="D69" s="6" t="s">
        <v>248</v>
      </c>
      <c r="E69" s="6" t="s">
        <v>257</v>
      </c>
      <c r="F69" s="6">
        <f t="shared" si="2"/>
        <v>2.6772</v>
      </c>
      <c r="G69" s="7">
        <v>0.113797117</v>
      </c>
      <c r="H69" s="6">
        <f>G69*'Measure conversion'!$C$2</f>
        <v>0.113797117</v>
      </c>
      <c r="M69" s="50" t="s">
        <v>402</v>
      </c>
      <c r="N69" s="51">
        <v>1.379</v>
      </c>
      <c r="O69" s="6" t="str">
        <f t="shared" si="3"/>
        <v>Apr</v>
      </c>
      <c r="P69" s="6" t="str">
        <f t="shared" si="4"/>
        <v>1996</v>
      </c>
    </row>
    <row r="70">
      <c r="A70" s="3"/>
      <c r="C70" s="6">
        <f t="shared" si="1"/>
        <v>0.0897972973</v>
      </c>
      <c r="D70" s="6" t="s">
        <v>249</v>
      </c>
      <c r="E70" s="6" t="s">
        <v>257</v>
      </c>
      <c r="F70" s="6">
        <f t="shared" si="2"/>
        <v>2.99025</v>
      </c>
      <c r="G70" s="7">
        <v>0.125716605</v>
      </c>
      <c r="H70" s="6">
        <f>G70*'Measure conversion'!$C$2</f>
        <v>0.125716605</v>
      </c>
      <c r="M70" s="50" t="s">
        <v>403</v>
      </c>
      <c r="N70" s="51">
        <v>1.494</v>
      </c>
      <c r="O70" s="6" t="str">
        <f t="shared" si="3"/>
        <v>Apr</v>
      </c>
      <c r="P70" s="6" t="str">
        <f t="shared" si="4"/>
        <v>1996</v>
      </c>
    </row>
    <row r="71">
      <c r="A71" s="3"/>
      <c r="C71" s="6">
        <f t="shared" si="1"/>
        <v>0.08656456456</v>
      </c>
      <c r="D71" s="6" t="s">
        <v>250</v>
      </c>
      <c r="E71" s="6" t="s">
        <v>257</v>
      </c>
      <c r="F71" s="6">
        <f t="shared" si="2"/>
        <v>2.8826</v>
      </c>
      <c r="G71" s="7">
        <v>0.120290248</v>
      </c>
      <c r="H71" s="6">
        <f>G71*'Measure conversion'!$C$2</f>
        <v>0.120290248</v>
      </c>
      <c r="M71" s="50" t="s">
        <v>404</v>
      </c>
      <c r="N71" s="51">
        <v>1.549</v>
      </c>
      <c r="O71" s="6" t="str">
        <f t="shared" si="3"/>
        <v>Apr</v>
      </c>
      <c r="P71" s="6" t="str">
        <f t="shared" si="4"/>
        <v>1996</v>
      </c>
    </row>
    <row r="72">
      <c r="A72" s="3"/>
      <c r="C72" s="6">
        <f t="shared" si="1"/>
        <v>0.07587087087</v>
      </c>
      <c r="D72" s="6" t="s">
        <v>251</v>
      </c>
      <c r="E72" s="6" t="s">
        <v>257</v>
      </c>
      <c r="F72" s="6">
        <f t="shared" si="2"/>
        <v>2.5265</v>
      </c>
      <c r="G72" s="7">
        <v>0.106385942</v>
      </c>
      <c r="H72" s="6">
        <f>G72*'Measure conversion'!$C$2</f>
        <v>0.106385942</v>
      </c>
      <c r="M72" s="50" t="s">
        <v>405</v>
      </c>
      <c r="N72" s="51">
        <v>1.549</v>
      </c>
      <c r="O72" s="6" t="str">
        <f t="shared" si="3"/>
        <v>May</v>
      </c>
      <c r="P72" s="6" t="str">
        <f t="shared" si="4"/>
        <v>1996</v>
      </c>
    </row>
    <row r="73">
      <c r="A73" s="3"/>
      <c r="C73" s="6">
        <f t="shared" si="1"/>
        <v>0.06827327327</v>
      </c>
      <c r="D73" s="6" t="s">
        <v>252</v>
      </c>
      <c r="E73" s="6" t="s">
        <v>257</v>
      </c>
      <c r="F73" s="6">
        <f t="shared" si="2"/>
        <v>2.2735</v>
      </c>
      <c r="G73" s="7">
        <v>0.096664651</v>
      </c>
      <c r="H73" s="6">
        <f>G73*'Measure conversion'!$C$2</f>
        <v>0.096664651</v>
      </c>
      <c r="M73" s="50" t="s">
        <v>406</v>
      </c>
      <c r="N73" s="51">
        <v>1.543</v>
      </c>
      <c r="O73" s="6" t="str">
        <f t="shared" si="3"/>
        <v>May</v>
      </c>
      <c r="P73" s="6" t="str">
        <f t="shared" si="4"/>
        <v>1996</v>
      </c>
    </row>
    <row r="74">
      <c r="A74" s="3"/>
      <c r="C74" s="6">
        <f t="shared" si="1"/>
        <v>0.07144144144</v>
      </c>
      <c r="D74" s="6" t="s">
        <v>235</v>
      </c>
      <c r="E74" s="6" t="s">
        <v>258</v>
      </c>
      <c r="F74" s="6">
        <f t="shared" si="2"/>
        <v>2.379</v>
      </c>
      <c r="G74" s="7">
        <v>0.100148876</v>
      </c>
      <c r="H74" s="6">
        <f>G74*'Measure conversion'!$C$2</f>
        <v>0.100148876</v>
      </c>
      <c r="M74" s="50" t="s">
        <v>407</v>
      </c>
      <c r="N74" s="51">
        <v>1.531</v>
      </c>
      <c r="O74" s="6" t="str">
        <f t="shared" si="3"/>
        <v>May</v>
      </c>
      <c r="P74" s="6" t="str">
        <f t="shared" si="4"/>
        <v>1996</v>
      </c>
    </row>
    <row r="75">
      <c r="A75" s="3"/>
      <c r="C75" s="6">
        <f t="shared" si="1"/>
        <v>0.07490990991</v>
      </c>
      <c r="D75" s="6" t="s">
        <v>240</v>
      </c>
      <c r="E75" s="6" t="s">
        <v>258</v>
      </c>
      <c r="F75" s="6">
        <f t="shared" si="2"/>
        <v>2.4945</v>
      </c>
      <c r="G75" s="7">
        <v>0.104022574</v>
      </c>
      <c r="H75" s="6">
        <f>G75*'Measure conversion'!$C$2</f>
        <v>0.104022574</v>
      </c>
      <c r="M75" s="50" t="s">
        <v>408</v>
      </c>
      <c r="N75" s="51">
        <v>1.519</v>
      </c>
      <c r="O75" s="6" t="str">
        <f t="shared" si="3"/>
        <v>May</v>
      </c>
      <c r="P75" s="6" t="str">
        <f t="shared" si="4"/>
        <v>1996</v>
      </c>
    </row>
    <row r="76">
      <c r="A76" s="3"/>
      <c r="C76" s="6">
        <f t="shared" si="1"/>
        <v>0.07744744745</v>
      </c>
      <c r="D76" s="6" t="s">
        <v>242</v>
      </c>
      <c r="E76" s="6" t="s">
        <v>258</v>
      </c>
      <c r="F76" s="6">
        <f t="shared" si="2"/>
        <v>2.579</v>
      </c>
      <c r="G76" s="7">
        <v>0.106789122</v>
      </c>
      <c r="H76" s="6">
        <f>G76*'Measure conversion'!$C$2</f>
        <v>0.106789122</v>
      </c>
      <c r="M76" s="50" t="s">
        <v>409</v>
      </c>
      <c r="N76" s="51">
        <v>1.521</v>
      </c>
      <c r="O76" s="6" t="str">
        <f t="shared" si="3"/>
        <v>Jun</v>
      </c>
      <c r="P76" s="6" t="str">
        <f t="shared" si="4"/>
        <v>1996</v>
      </c>
    </row>
    <row r="77">
      <c r="A77" s="3"/>
      <c r="C77" s="6">
        <f t="shared" si="1"/>
        <v>0.08647147147</v>
      </c>
      <c r="D77" s="6" t="s">
        <v>243</v>
      </c>
      <c r="E77" s="6" t="s">
        <v>258</v>
      </c>
      <c r="F77" s="6">
        <f t="shared" si="2"/>
        <v>2.8795</v>
      </c>
      <c r="G77" s="7">
        <v>0.118297461</v>
      </c>
      <c r="H77" s="6">
        <f>G77*'Measure conversion'!$C$2</f>
        <v>0.118297461</v>
      </c>
      <c r="M77" s="50" t="s">
        <v>410</v>
      </c>
      <c r="N77" s="51">
        <v>1.505</v>
      </c>
      <c r="O77" s="6" t="str">
        <f t="shared" si="3"/>
        <v>Jun</v>
      </c>
      <c r="P77" s="6" t="str">
        <f t="shared" si="4"/>
        <v>1996</v>
      </c>
    </row>
    <row r="78">
      <c r="A78" s="3"/>
      <c r="C78" s="6">
        <f t="shared" si="1"/>
        <v>0.09881681682</v>
      </c>
      <c r="D78" s="6" t="s">
        <v>245</v>
      </c>
      <c r="E78" s="6" t="s">
        <v>258</v>
      </c>
      <c r="F78" s="6">
        <f t="shared" si="2"/>
        <v>3.2906</v>
      </c>
      <c r="G78" s="7">
        <v>0.134808734</v>
      </c>
      <c r="H78" s="6">
        <f>G78*'Measure conversion'!$C$2</f>
        <v>0.134808734</v>
      </c>
      <c r="M78" s="50" t="s">
        <v>411</v>
      </c>
      <c r="N78" s="51">
        <v>1.492</v>
      </c>
      <c r="O78" s="6" t="str">
        <f t="shared" si="3"/>
        <v>Jun</v>
      </c>
      <c r="P78" s="6" t="str">
        <f t="shared" si="4"/>
        <v>1996</v>
      </c>
    </row>
    <row r="79">
      <c r="A79" s="3"/>
      <c r="C79" s="6">
        <f t="shared" si="1"/>
        <v>0.09650900901</v>
      </c>
      <c r="D79" s="6" t="s">
        <v>246</v>
      </c>
      <c r="E79" s="6" t="s">
        <v>258</v>
      </c>
      <c r="F79" s="6">
        <f t="shared" si="2"/>
        <v>3.21375</v>
      </c>
      <c r="G79" s="7">
        <v>0.131550421</v>
      </c>
      <c r="H79" s="6">
        <f>G79*'Measure conversion'!$C$2</f>
        <v>0.131550421</v>
      </c>
      <c r="M79" s="50" t="s">
        <v>413</v>
      </c>
      <c r="N79" s="51">
        <v>1.48</v>
      </c>
      <c r="O79" s="6" t="str">
        <f t="shared" si="3"/>
        <v>Jun</v>
      </c>
      <c r="P79" s="6" t="str">
        <f t="shared" si="4"/>
        <v>1996</v>
      </c>
    </row>
    <row r="80">
      <c r="A80" s="3"/>
      <c r="C80" s="6">
        <f t="shared" si="1"/>
        <v>0.09652252252</v>
      </c>
      <c r="D80" s="6" t="s">
        <v>247</v>
      </c>
      <c r="E80" s="6" t="s">
        <v>258</v>
      </c>
      <c r="F80" s="6">
        <f t="shared" si="2"/>
        <v>3.2142</v>
      </c>
      <c r="G80" s="7">
        <v>0.131221347</v>
      </c>
      <c r="H80" s="6">
        <f>G80*'Measure conversion'!$C$2</f>
        <v>0.131221347</v>
      </c>
      <c r="M80" s="50" t="s">
        <v>414</v>
      </c>
      <c r="N80" s="51">
        <v>1.465</v>
      </c>
      <c r="O80" s="6" t="str">
        <f t="shared" si="3"/>
        <v>Jul</v>
      </c>
      <c r="P80" s="6" t="str">
        <f t="shared" si="4"/>
        <v>1996</v>
      </c>
    </row>
    <row r="81">
      <c r="A81" s="3"/>
      <c r="C81" s="6">
        <f t="shared" si="1"/>
        <v>0.09506756757</v>
      </c>
      <c r="D81" s="6" t="s">
        <v>248</v>
      </c>
      <c r="E81" s="6" t="s">
        <v>258</v>
      </c>
      <c r="F81" s="6">
        <f t="shared" si="2"/>
        <v>3.16575</v>
      </c>
      <c r="G81" s="7">
        <v>0.128966644</v>
      </c>
      <c r="H81" s="6">
        <f>G81*'Measure conversion'!$C$2</f>
        <v>0.128966644</v>
      </c>
      <c r="M81" s="50" t="s">
        <v>415</v>
      </c>
      <c r="N81" s="51">
        <v>1.456</v>
      </c>
      <c r="O81" s="6" t="str">
        <f t="shared" si="3"/>
        <v>Jul</v>
      </c>
      <c r="P81" s="6" t="str">
        <f t="shared" si="4"/>
        <v>1996</v>
      </c>
    </row>
    <row r="82">
      <c r="A82" s="3"/>
      <c r="C82" s="6">
        <f t="shared" si="1"/>
        <v>0.08683933934</v>
      </c>
      <c r="D82" s="6" t="s">
        <v>249</v>
      </c>
      <c r="E82" s="6" t="s">
        <v>258</v>
      </c>
      <c r="F82" s="6">
        <f t="shared" si="2"/>
        <v>2.89175</v>
      </c>
      <c r="G82" s="7">
        <v>0.11799288</v>
      </c>
      <c r="H82" s="6">
        <f>G82*'Measure conversion'!$C$2</f>
        <v>0.11799288</v>
      </c>
      <c r="M82" s="50" t="s">
        <v>417</v>
      </c>
      <c r="N82" s="51">
        <v>1.448</v>
      </c>
      <c r="O82" s="6" t="str">
        <f t="shared" si="3"/>
        <v>Jul</v>
      </c>
      <c r="P82" s="6" t="str">
        <f t="shared" si="4"/>
        <v>1996</v>
      </c>
    </row>
    <row r="83">
      <c r="A83" s="3"/>
      <c r="C83" s="6">
        <f t="shared" si="1"/>
        <v>0.07651051051</v>
      </c>
      <c r="D83" s="6" t="s">
        <v>250</v>
      </c>
      <c r="E83" s="6" t="s">
        <v>258</v>
      </c>
      <c r="F83" s="6">
        <f t="shared" si="2"/>
        <v>2.5478</v>
      </c>
      <c r="G83" s="7">
        <v>0.104232825</v>
      </c>
      <c r="H83" s="6">
        <f>G83*'Measure conversion'!$C$2</f>
        <v>0.104232825</v>
      </c>
      <c r="M83" s="50" t="s">
        <v>420</v>
      </c>
      <c r="N83" s="51">
        <v>1.432</v>
      </c>
      <c r="O83" s="6" t="str">
        <f t="shared" si="3"/>
        <v>Jul</v>
      </c>
      <c r="P83" s="6" t="str">
        <f t="shared" si="4"/>
        <v>1996</v>
      </c>
    </row>
    <row r="84">
      <c r="A84" s="3"/>
      <c r="C84" s="6">
        <f t="shared" si="1"/>
        <v>0.07393393393</v>
      </c>
      <c r="D84" s="6" t="s">
        <v>251</v>
      </c>
      <c r="E84" s="6" t="s">
        <v>258</v>
      </c>
      <c r="F84" s="6">
        <f t="shared" si="2"/>
        <v>2.462</v>
      </c>
      <c r="G84" s="7">
        <v>0.100991999</v>
      </c>
      <c r="H84" s="6">
        <f>G84*'Measure conversion'!$C$2</f>
        <v>0.100991999</v>
      </c>
      <c r="M84" s="50" t="s">
        <v>423</v>
      </c>
      <c r="N84" s="51">
        <v>1.413</v>
      </c>
      <c r="O84" s="6" t="str">
        <f t="shared" si="3"/>
        <v>Jul</v>
      </c>
      <c r="P84" s="6" t="str">
        <f t="shared" si="4"/>
        <v>1996</v>
      </c>
    </row>
    <row r="85">
      <c r="A85" s="3"/>
      <c r="C85" s="6">
        <f t="shared" si="1"/>
        <v>0.07633633634</v>
      </c>
      <c r="D85" s="6" t="s">
        <v>252</v>
      </c>
      <c r="E85" s="6" t="s">
        <v>258</v>
      </c>
      <c r="F85" s="6">
        <f t="shared" si="2"/>
        <v>2.542</v>
      </c>
      <c r="G85" s="7">
        <v>0.104355328</v>
      </c>
      <c r="H85" s="6">
        <f>G85*'Measure conversion'!$C$2</f>
        <v>0.104355328</v>
      </c>
      <c r="M85" s="50" t="s">
        <v>424</v>
      </c>
      <c r="N85" s="51">
        <v>1.39</v>
      </c>
      <c r="O85" s="6" t="str">
        <f t="shared" si="3"/>
        <v>Aug</v>
      </c>
      <c r="P85" s="6" t="str">
        <f t="shared" si="4"/>
        <v>1996</v>
      </c>
    </row>
    <row r="86">
      <c r="A86" s="3"/>
      <c r="C86" s="6">
        <f t="shared" si="1"/>
        <v>0.0772012012</v>
      </c>
      <c r="D86" s="6" t="s">
        <v>235</v>
      </c>
      <c r="E86" s="6" t="s">
        <v>259</v>
      </c>
      <c r="F86" s="6">
        <f t="shared" si="2"/>
        <v>2.5708</v>
      </c>
      <c r="G86" s="7">
        <v>0.104561384</v>
      </c>
      <c r="H86" s="6">
        <f>G86*'Measure conversion'!$C$2</f>
        <v>0.104561384</v>
      </c>
      <c r="M86" s="50" t="s">
        <v>428</v>
      </c>
      <c r="N86" s="51">
        <v>1.369</v>
      </c>
      <c r="O86" s="6" t="str">
        <f t="shared" si="3"/>
        <v>Aug</v>
      </c>
      <c r="P86" s="6" t="str">
        <f t="shared" si="4"/>
        <v>1996</v>
      </c>
    </row>
    <row r="87">
      <c r="A87" s="3"/>
      <c r="C87" s="6">
        <f t="shared" si="1"/>
        <v>0.08012762763</v>
      </c>
      <c r="D87" s="6" t="s">
        <v>240</v>
      </c>
      <c r="E87" s="6" t="s">
        <v>259</v>
      </c>
      <c r="F87" s="6">
        <f t="shared" si="2"/>
        <v>2.66825</v>
      </c>
      <c r="G87" s="7">
        <v>0.107457069</v>
      </c>
      <c r="H87" s="6">
        <f>G87*'Measure conversion'!$C$2</f>
        <v>0.107457069</v>
      </c>
      <c r="M87" s="50" t="s">
        <v>429</v>
      </c>
      <c r="N87" s="51">
        <v>1.352</v>
      </c>
      <c r="O87" s="6" t="str">
        <f t="shared" si="3"/>
        <v>Aug</v>
      </c>
      <c r="P87" s="6" t="str">
        <f t="shared" si="4"/>
        <v>1996</v>
      </c>
    </row>
    <row r="88">
      <c r="A88" s="3"/>
      <c r="C88" s="6">
        <f t="shared" si="1"/>
        <v>0.09187687688</v>
      </c>
      <c r="D88" s="6" t="s">
        <v>242</v>
      </c>
      <c r="E88" s="6" t="s">
        <v>259</v>
      </c>
      <c r="F88" s="6">
        <f t="shared" si="2"/>
        <v>3.0595</v>
      </c>
      <c r="G88" s="7">
        <v>0.122189208</v>
      </c>
      <c r="H88" s="6">
        <f>G88*'Measure conversion'!$C$2</f>
        <v>0.122189208</v>
      </c>
      <c r="M88" s="50" t="s">
        <v>430</v>
      </c>
      <c r="N88" s="51">
        <v>1.354</v>
      </c>
      <c r="O88" s="6" t="str">
        <f t="shared" si="3"/>
        <v>Aug</v>
      </c>
      <c r="P88" s="6" t="str">
        <f t="shared" si="4"/>
        <v>1996</v>
      </c>
    </row>
    <row r="89">
      <c r="A89" s="3"/>
      <c r="C89" s="6">
        <f t="shared" si="1"/>
        <v>0.09885885886</v>
      </c>
      <c r="D89" s="6" t="s">
        <v>243</v>
      </c>
      <c r="E89" s="6" t="s">
        <v>259</v>
      </c>
      <c r="F89" s="6">
        <f t="shared" si="2"/>
        <v>3.292</v>
      </c>
      <c r="G89" s="7">
        <v>0.130554495</v>
      </c>
      <c r="H89" s="6">
        <f>G89*'Measure conversion'!$C$2</f>
        <v>0.130554495</v>
      </c>
      <c r="M89" s="50" t="s">
        <v>431</v>
      </c>
      <c r="N89" s="51">
        <v>1.314</v>
      </c>
      <c r="O89" s="6" t="str">
        <f t="shared" si="3"/>
        <v>Sep</v>
      </c>
      <c r="P89" s="6" t="str">
        <f t="shared" si="4"/>
        <v>1996</v>
      </c>
    </row>
    <row r="90">
      <c r="A90" s="3"/>
      <c r="C90" s="6">
        <f t="shared" si="1"/>
        <v>0.1032582583</v>
      </c>
      <c r="D90" s="6" t="s">
        <v>245</v>
      </c>
      <c r="E90" s="6" t="s">
        <v>259</v>
      </c>
      <c r="F90" s="6">
        <f t="shared" si="2"/>
        <v>3.4385</v>
      </c>
      <c r="G90" s="7">
        <v>0.136357029</v>
      </c>
      <c r="H90" s="6">
        <f>G90*'Measure conversion'!$C$2</f>
        <v>0.136357029</v>
      </c>
      <c r="M90" s="50" t="s">
        <v>432</v>
      </c>
      <c r="N90" s="51">
        <v>1.304</v>
      </c>
      <c r="O90" s="6" t="str">
        <f t="shared" si="3"/>
        <v>Sep</v>
      </c>
      <c r="P90" s="6" t="str">
        <f t="shared" si="4"/>
        <v>1996</v>
      </c>
    </row>
    <row r="91">
      <c r="A91" s="3"/>
      <c r="C91" s="6">
        <f t="shared" si="1"/>
        <v>0.09851351351</v>
      </c>
      <c r="D91" s="6" t="s">
        <v>246</v>
      </c>
      <c r="E91" s="6" t="s">
        <v>259</v>
      </c>
      <c r="F91" s="6">
        <f t="shared" si="2"/>
        <v>3.2805</v>
      </c>
      <c r="G91" s="7">
        <v>0.130343111</v>
      </c>
      <c r="H91" s="6">
        <f>G91*'Measure conversion'!$C$2</f>
        <v>0.130343111</v>
      </c>
      <c r="M91" s="50" t="s">
        <v>433</v>
      </c>
      <c r="N91" s="51">
        <v>1.306</v>
      </c>
      <c r="O91" s="6" t="str">
        <f t="shared" si="3"/>
        <v>Sep</v>
      </c>
      <c r="P91" s="6" t="str">
        <f t="shared" si="4"/>
        <v>1996</v>
      </c>
    </row>
    <row r="92">
      <c r="A92" s="3"/>
      <c r="C92" s="6">
        <f t="shared" si="1"/>
        <v>0.09386786787</v>
      </c>
      <c r="D92" s="6" t="s">
        <v>247</v>
      </c>
      <c r="E92" s="6" t="s">
        <v>259</v>
      </c>
      <c r="F92" s="6">
        <f t="shared" si="2"/>
        <v>3.1258</v>
      </c>
      <c r="G92" s="7">
        <v>0.124252549</v>
      </c>
      <c r="H92" s="6">
        <f>G92*'Measure conversion'!$C$2</f>
        <v>0.124252549</v>
      </c>
      <c r="M92" s="50" t="s">
        <v>434</v>
      </c>
      <c r="N92" s="51">
        <v>1.299</v>
      </c>
      <c r="O92" s="6" t="str">
        <f t="shared" si="3"/>
        <v>Sep</v>
      </c>
      <c r="P92" s="6" t="str">
        <f t="shared" si="4"/>
        <v>1996</v>
      </c>
    </row>
    <row r="93">
      <c r="A93" s="3"/>
      <c r="C93" s="6">
        <f t="shared" si="1"/>
        <v>0.08706456456</v>
      </c>
      <c r="D93" s="6" t="s">
        <v>248</v>
      </c>
      <c r="E93" s="6" t="s">
        <v>259</v>
      </c>
      <c r="F93" s="6">
        <f t="shared" si="2"/>
        <v>2.89925</v>
      </c>
      <c r="G93" s="7">
        <v>0.115385165</v>
      </c>
      <c r="H93" s="6">
        <f>G93*'Measure conversion'!$C$2</f>
        <v>0.115385165</v>
      </c>
      <c r="M93" s="50" t="s">
        <v>435</v>
      </c>
      <c r="N93" s="51">
        <v>1.288</v>
      </c>
      <c r="O93" s="6" t="str">
        <f t="shared" si="3"/>
        <v>Sep</v>
      </c>
      <c r="P93" s="6" t="str">
        <f t="shared" si="4"/>
        <v>1996</v>
      </c>
    </row>
    <row r="94">
      <c r="A94" s="3"/>
      <c r="C94" s="6">
        <f t="shared" si="1"/>
        <v>0.0862987988</v>
      </c>
      <c r="D94" s="6" t="s">
        <v>249</v>
      </c>
      <c r="E94" s="6" t="s">
        <v>259</v>
      </c>
      <c r="F94" s="6">
        <f t="shared" si="2"/>
        <v>2.87375</v>
      </c>
      <c r="G94" s="7">
        <v>0.113979953</v>
      </c>
      <c r="H94" s="6">
        <f>G94*'Measure conversion'!$C$2</f>
        <v>0.113979953</v>
      </c>
      <c r="M94" s="50" t="s">
        <v>436</v>
      </c>
      <c r="N94" s="51">
        <v>1.273</v>
      </c>
      <c r="O94" s="6" t="str">
        <f t="shared" si="3"/>
        <v>Oct</v>
      </c>
      <c r="P94" s="6" t="str">
        <f t="shared" si="4"/>
        <v>1996</v>
      </c>
    </row>
    <row r="95">
      <c r="A95" s="3"/>
      <c r="C95" s="6">
        <f t="shared" si="1"/>
        <v>0.09203603604</v>
      </c>
      <c r="D95" s="6" t="s">
        <v>250</v>
      </c>
      <c r="E95" s="6" t="s">
        <v>259</v>
      </c>
      <c r="F95" s="6">
        <f t="shared" si="2"/>
        <v>3.0648</v>
      </c>
      <c r="G95" s="7">
        <v>0.1209814</v>
      </c>
      <c r="H95" s="6">
        <f>G95*'Measure conversion'!$C$2</f>
        <v>0.1209814</v>
      </c>
      <c r="M95" s="50" t="s">
        <v>437</v>
      </c>
      <c r="N95" s="51">
        <v>1.26</v>
      </c>
      <c r="O95" s="6" t="str">
        <f t="shared" si="3"/>
        <v>Oct</v>
      </c>
      <c r="P95" s="6" t="str">
        <f t="shared" si="4"/>
        <v>1996</v>
      </c>
    </row>
    <row r="96">
      <c r="A96" s="3"/>
      <c r="C96" s="6">
        <f t="shared" si="1"/>
        <v>0.1005255255</v>
      </c>
      <c r="D96" s="6" t="s">
        <v>251</v>
      </c>
      <c r="E96" s="6" t="s">
        <v>259</v>
      </c>
      <c r="F96" s="6">
        <f t="shared" si="2"/>
        <v>3.3475</v>
      </c>
      <c r="G96" s="7">
        <v>0.13175362</v>
      </c>
      <c r="H96" s="6">
        <f>G96*'Measure conversion'!$C$2</f>
        <v>0.13175362</v>
      </c>
      <c r="M96" s="50" t="s">
        <v>441</v>
      </c>
      <c r="N96" s="51">
        <v>1.24</v>
      </c>
      <c r="O96" s="6" t="str">
        <f t="shared" si="3"/>
        <v>Oct</v>
      </c>
      <c r="P96" s="6" t="str">
        <f t="shared" si="4"/>
        <v>1996</v>
      </c>
    </row>
    <row r="97">
      <c r="A97" s="3"/>
      <c r="C97" s="6">
        <f t="shared" si="1"/>
        <v>0.0993033033</v>
      </c>
      <c r="D97" s="6" t="s">
        <v>252</v>
      </c>
      <c r="E97" s="6" t="s">
        <v>259</v>
      </c>
      <c r="F97" s="6">
        <f t="shared" si="2"/>
        <v>3.3068</v>
      </c>
      <c r="G97" s="7">
        <v>0.129974118</v>
      </c>
      <c r="H97" s="6">
        <f>G97*'Measure conversion'!$C$2</f>
        <v>0.129974118</v>
      </c>
      <c r="M97" s="50" t="s">
        <v>442</v>
      </c>
      <c r="N97" s="51">
        <v>1.217</v>
      </c>
      <c r="O97" s="6" t="str">
        <f t="shared" si="3"/>
        <v>Oct</v>
      </c>
      <c r="P97" s="6" t="str">
        <f t="shared" si="4"/>
        <v>1996</v>
      </c>
    </row>
    <row r="98">
      <c r="A98" s="3"/>
      <c r="C98" s="6">
        <f t="shared" si="1"/>
        <v>0.09753753754</v>
      </c>
      <c r="D98" s="6" t="s">
        <v>235</v>
      </c>
      <c r="E98" s="6" t="s">
        <v>260</v>
      </c>
      <c r="F98" s="6">
        <f t="shared" si="2"/>
        <v>3.248</v>
      </c>
      <c r="G98" s="7">
        <v>0.127253481</v>
      </c>
      <c r="H98" s="6">
        <f>G98*'Measure conversion'!$C$2</f>
        <v>0.127253481</v>
      </c>
      <c r="M98" s="50" t="s">
        <v>444</v>
      </c>
      <c r="N98" s="51">
        <v>1.2</v>
      </c>
      <c r="O98" s="6" t="str">
        <f t="shared" si="3"/>
        <v>Nov</v>
      </c>
      <c r="P98" s="6" t="str">
        <f t="shared" si="4"/>
        <v>1996</v>
      </c>
    </row>
    <row r="99">
      <c r="A99" s="3"/>
      <c r="C99" s="6">
        <f t="shared" si="1"/>
        <v>0.0956006006</v>
      </c>
      <c r="D99" s="6" t="s">
        <v>240</v>
      </c>
      <c r="E99" s="6" t="s">
        <v>260</v>
      </c>
      <c r="F99" s="6">
        <f t="shared" si="2"/>
        <v>3.1835</v>
      </c>
      <c r="G99" s="7">
        <v>0.124246887</v>
      </c>
      <c r="H99" s="6">
        <f>G99*'Measure conversion'!$C$2</f>
        <v>0.124246887</v>
      </c>
      <c r="M99" s="50" t="s">
        <v>447</v>
      </c>
      <c r="N99" s="51">
        <v>1.172</v>
      </c>
      <c r="O99" s="6" t="str">
        <f t="shared" si="3"/>
        <v>Nov</v>
      </c>
      <c r="P99" s="6" t="str">
        <f t="shared" si="4"/>
        <v>1996</v>
      </c>
    </row>
    <row r="100">
      <c r="A100" s="3"/>
      <c r="C100" s="6">
        <f t="shared" si="1"/>
        <v>0.106966967</v>
      </c>
      <c r="D100" s="6" t="s">
        <v>242</v>
      </c>
      <c r="E100" s="6" t="s">
        <v>260</v>
      </c>
      <c r="F100" s="6">
        <f t="shared" si="2"/>
        <v>3.562</v>
      </c>
      <c r="G100" s="7">
        <v>0.137859136</v>
      </c>
      <c r="H100" s="6">
        <f>G100*'Measure conversion'!$C$2</f>
        <v>0.137859136</v>
      </c>
      <c r="M100" s="50" t="s">
        <v>448</v>
      </c>
      <c r="N100" s="51">
        <v>1.169</v>
      </c>
      <c r="O100" s="6" t="str">
        <f t="shared" si="3"/>
        <v>Nov</v>
      </c>
      <c r="P100" s="6" t="str">
        <f t="shared" si="4"/>
        <v>1996</v>
      </c>
    </row>
    <row r="101">
      <c r="A101" s="3"/>
      <c r="C101" s="6">
        <f t="shared" si="1"/>
        <v>0.1140915916</v>
      </c>
      <c r="D101" s="6" t="s">
        <v>243</v>
      </c>
      <c r="E101" s="6" t="s">
        <v>260</v>
      </c>
      <c r="F101" s="6">
        <f t="shared" si="2"/>
        <v>3.79925</v>
      </c>
      <c r="G101" s="7">
        <v>0.145940992</v>
      </c>
      <c r="H101" s="6">
        <f>G101*'Measure conversion'!$C$2</f>
        <v>0.145940992</v>
      </c>
      <c r="M101" s="50" t="s">
        <v>449</v>
      </c>
      <c r="N101" s="51">
        <v>1.172</v>
      </c>
      <c r="O101" s="6" t="str">
        <f t="shared" si="3"/>
        <v>Nov</v>
      </c>
      <c r="P101" s="6" t="str">
        <f t="shared" si="4"/>
        <v>1996</v>
      </c>
    </row>
    <row r="102">
      <c r="A102" s="3"/>
      <c r="C102" s="6">
        <f t="shared" si="1"/>
        <v>0.1191666667</v>
      </c>
      <c r="D102" s="6" t="s">
        <v>245</v>
      </c>
      <c r="E102" s="6" t="s">
        <v>260</v>
      </c>
      <c r="F102" s="6">
        <f t="shared" si="2"/>
        <v>3.96825</v>
      </c>
      <c r="G102" s="7">
        <v>0.151007222</v>
      </c>
      <c r="H102" s="6">
        <f>G102*'Measure conversion'!$C$2</f>
        <v>0.151007222</v>
      </c>
      <c r="M102" s="50" t="s">
        <v>450</v>
      </c>
      <c r="N102" s="51">
        <v>1.174</v>
      </c>
      <c r="O102" s="6" t="str">
        <f t="shared" si="3"/>
        <v>Dec</v>
      </c>
      <c r="P102" s="6" t="str">
        <f t="shared" si="4"/>
        <v>1996</v>
      </c>
    </row>
    <row r="103">
      <c r="A103" s="3"/>
      <c r="C103" s="6">
        <f t="shared" si="1"/>
        <v>0.1346606607</v>
      </c>
      <c r="D103" s="6" t="s">
        <v>246</v>
      </c>
      <c r="E103" s="6" t="s">
        <v>260</v>
      </c>
      <c r="F103" s="6">
        <f t="shared" si="2"/>
        <v>4.4842</v>
      </c>
      <c r="G103" s="7">
        <v>0.168921262</v>
      </c>
      <c r="H103" s="6">
        <f>G103*'Measure conversion'!$C$2</f>
        <v>0.168921262</v>
      </c>
      <c r="M103" s="50" t="s">
        <v>451</v>
      </c>
      <c r="N103" s="51">
        <v>1.182</v>
      </c>
      <c r="O103" s="6" t="str">
        <f t="shared" si="3"/>
        <v>Dec</v>
      </c>
      <c r="P103" s="6" t="str">
        <f t="shared" si="4"/>
        <v>1996</v>
      </c>
    </row>
    <row r="104">
      <c r="A104" s="3"/>
      <c r="C104" s="6">
        <f t="shared" si="1"/>
        <v>0.1339864865</v>
      </c>
      <c r="D104" s="6" t="s">
        <v>247</v>
      </c>
      <c r="E104" s="6" t="s">
        <v>260</v>
      </c>
      <c r="F104" s="6">
        <f t="shared" si="2"/>
        <v>4.46175</v>
      </c>
      <c r="G104" s="7">
        <v>0.168286195</v>
      </c>
      <c r="H104" s="6">
        <f>G104*'Measure conversion'!$C$2</f>
        <v>0.168286195</v>
      </c>
      <c r="M104" s="50" t="s">
        <v>452</v>
      </c>
      <c r="N104" s="51">
        <v>1.191</v>
      </c>
      <c r="O104" s="6" t="str">
        <f t="shared" si="3"/>
        <v>Dec</v>
      </c>
      <c r="P104" s="6" t="str">
        <f t="shared" si="4"/>
        <v>1996</v>
      </c>
    </row>
    <row r="105">
      <c r="A105" s="3"/>
      <c r="C105" s="6">
        <f t="shared" si="1"/>
        <v>0.122484985</v>
      </c>
      <c r="D105" s="6" t="s">
        <v>248</v>
      </c>
      <c r="E105" s="6" t="s">
        <v>260</v>
      </c>
      <c r="F105" s="6">
        <f t="shared" si="2"/>
        <v>4.07875</v>
      </c>
      <c r="G105" s="7">
        <v>0.1540994</v>
      </c>
      <c r="H105" s="6">
        <f>G105*'Measure conversion'!$C$2</f>
        <v>0.1540994</v>
      </c>
      <c r="M105" s="50" t="s">
        <v>453</v>
      </c>
      <c r="N105" s="51">
        <v>1.202</v>
      </c>
      <c r="O105" s="6" t="str">
        <f t="shared" si="3"/>
        <v>Dec</v>
      </c>
      <c r="P105" s="6" t="str">
        <f t="shared" si="4"/>
        <v>1996</v>
      </c>
    </row>
    <row r="106">
      <c r="A106" s="3"/>
      <c r="C106" s="6">
        <f t="shared" si="1"/>
        <v>0.1138918919</v>
      </c>
      <c r="D106" s="6" t="s">
        <v>249</v>
      </c>
      <c r="E106" s="6" t="s">
        <v>260</v>
      </c>
      <c r="F106" s="6">
        <f t="shared" si="2"/>
        <v>3.7926</v>
      </c>
      <c r="G106" s="7">
        <v>0.143881039</v>
      </c>
      <c r="H106" s="6">
        <f>G106*'Measure conversion'!$C$2</f>
        <v>0.143881039</v>
      </c>
      <c r="M106" s="50" t="s">
        <v>454</v>
      </c>
      <c r="N106" s="51">
        <v>1.207</v>
      </c>
      <c r="O106" s="6" t="str">
        <f t="shared" si="3"/>
        <v>Dec</v>
      </c>
      <c r="P106" s="6" t="str">
        <f t="shared" si="4"/>
        <v>1996</v>
      </c>
    </row>
    <row r="107">
      <c r="A107" s="3"/>
      <c r="C107" s="6">
        <f t="shared" si="1"/>
        <v>0.1017717718</v>
      </c>
      <c r="D107" s="6" t="s">
        <v>250</v>
      </c>
      <c r="E107" s="6" t="s">
        <v>260</v>
      </c>
      <c r="F107" s="6">
        <f t="shared" si="2"/>
        <v>3.389</v>
      </c>
      <c r="G107" s="7">
        <v>0.129239129</v>
      </c>
      <c r="H107" s="6">
        <f>G107*'Measure conversion'!$C$2</f>
        <v>0.129239129</v>
      </c>
      <c r="M107" s="50" t="s">
        <v>455</v>
      </c>
      <c r="N107" s="51">
        <v>1.227</v>
      </c>
      <c r="O107" s="6" t="str">
        <f t="shared" si="3"/>
        <v>Jan</v>
      </c>
      <c r="P107" s="6" t="str">
        <f t="shared" si="4"/>
        <v>1997</v>
      </c>
    </row>
    <row r="108">
      <c r="A108" s="3"/>
      <c r="C108" s="6">
        <f t="shared" si="1"/>
        <v>0.07375375375</v>
      </c>
      <c r="D108" s="6" t="s">
        <v>251</v>
      </c>
      <c r="E108" s="6" t="s">
        <v>260</v>
      </c>
      <c r="F108" s="6">
        <f t="shared" si="2"/>
        <v>2.456</v>
      </c>
      <c r="G108" s="7">
        <v>0.095621054</v>
      </c>
      <c r="H108" s="6">
        <f>G108*'Measure conversion'!$C$2</f>
        <v>0.095621054</v>
      </c>
      <c r="M108" s="50" t="s">
        <v>456</v>
      </c>
      <c r="N108" s="51">
        <v>1.251</v>
      </c>
      <c r="O108" s="6" t="str">
        <f t="shared" si="3"/>
        <v>Jan</v>
      </c>
      <c r="P108" s="6" t="str">
        <f t="shared" si="4"/>
        <v>1997</v>
      </c>
    </row>
    <row r="109">
      <c r="A109" s="3"/>
      <c r="C109" s="6">
        <f t="shared" si="1"/>
        <v>0.05473873874</v>
      </c>
      <c r="D109" s="6" t="s">
        <v>252</v>
      </c>
      <c r="E109" s="6" t="s">
        <v>260</v>
      </c>
      <c r="F109" s="6">
        <f t="shared" si="2"/>
        <v>1.8228</v>
      </c>
      <c r="G109" s="7">
        <v>0.072466505</v>
      </c>
      <c r="H109" s="6">
        <f>G109*'Measure conversion'!$C$2</f>
        <v>0.072466505</v>
      </c>
      <c r="M109" s="50" t="s">
        <v>457</v>
      </c>
      <c r="N109" s="51">
        <v>1.262</v>
      </c>
      <c r="O109" s="6" t="str">
        <f t="shared" si="3"/>
        <v>Jan</v>
      </c>
      <c r="P109" s="6" t="str">
        <f t="shared" si="4"/>
        <v>1997</v>
      </c>
    </row>
    <row r="110">
      <c r="A110" s="3"/>
      <c r="C110" s="6">
        <f t="shared" si="1"/>
        <v>0.06021771772</v>
      </c>
      <c r="D110" s="6" t="s">
        <v>235</v>
      </c>
      <c r="E110" s="6" t="s">
        <v>261</v>
      </c>
      <c r="F110" s="6">
        <f t="shared" si="2"/>
        <v>2.00525</v>
      </c>
      <c r="G110" s="7">
        <v>0.079005703</v>
      </c>
      <c r="H110" s="6">
        <f>G110*'Measure conversion'!$C$2</f>
        <v>0.079005703</v>
      </c>
      <c r="M110" s="50" t="s">
        <v>458</v>
      </c>
      <c r="N110" s="51">
        <v>1.264</v>
      </c>
      <c r="O110" s="6" t="str">
        <f t="shared" si="3"/>
        <v>Jan</v>
      </c>
      <c r="P110" s="6" t="str">
        <f t="shared" si="4"/>
        <v>1997</v>
      </c>
    </row>
    <row r="111">
      <c r="A111" s="3"/>
      <c r="C111" s="6">
        <f t="shared" si="1"/>
        <v>0.06666666667</v>
      </c>
      <c r="D111" s="6" t="s">
        <v>240</v>
      </c>
      <c r="E111" s="6" t="s">
        <v>261</v>
      </c>
      <c r="F111" s="6">
        <f t="shared" si="2"/>
        <v>2.22</v>
      </c>
      <c r="G111" s="7">
        <v>0.086776696</v>
      </c>
      <c r="H111" s="6">
        <f>G111*'Measure conversion'!$C$2</f>
        <v>0.086776696</v>
      </c>
      <c r="M111" s="50" t="s">
        <v>459</v>
      </c>
      <c r="N111" s="51">
        <v>1.277</v>
      </c>
      <c r="O111" s="6" t="str">
        <f t="shared" si="3"/>
        <v>Feb</v>
      </c>
      <c r="P111" s="6" t="str">
        <f t="shared" si="4"/>
        <v>1997</v>
      </c>
    </row>
    <row r="112">
      <c r="A112" s="3"/>
      <c r="C112" s="6">
        <f t="shared" si="1"/>
        <v>0.06575975976</v>
      </c>
      <c r="D112" s="6" t="s">
        <v>242</v>
      </c>
      <c r="E112" s="6" t="s">
        <v>261</v>
      </c>
      <c r="F112" s="6">
        <f t="shared" si="2"/>
        <v>2.1898</v>
      </c>
      <c r="G112" s="7">
        <v>0.08564278</v>
      </c>
      <c r="H112" s="6">
        <f>G112*'Measure conversion'!$C$2</f>
        <v>0.08564278</v>
      </c>
      <c r="M112" s="50" t="s">
        <v>460</v>
      </c>
      <c r="N112" s="51">
        <v>1.291</v>
      </c>
      <c r="O112" s="6" t="str">
        <f t="shared" si="3"/>
        <v>Feb</v>
      </c>
      <c r="P112" s="6" t="str">
        <f t="shared" si="4"/>
        <v>1997</v>
      </c>
    </row>
    <row r="113">
      <c r="A113" s="3"/>
      <c r="C113" s="6">
        <f t="shared" si="1"/>
        <v>0.07</v>
      </c>
      <c r="D113" s="6" t="s">
        <v>243</v>
      </c>
      <c r="E113" s="6" t="s">
        <v>261</v>
      </c>
      <c r="F113" s="6">
        <f t="shared" si="2"/>
        <v>2.331</v>
      </c>
      <c r="G113" s="7">
        <v>0.090775516</v>
      </c>
      <c r="H113" s="6">
        <f>G113*'Measure conversion'!$C$2</f>
        <v>0.090775516</v>
      </c>
      <c r="M113" s="50" t="s">
        <v>461</v>
      </c>
      <c r="N113" s="51">
        <v>1.289</v>
      </c>
      <c r="O113" s="6" t="str">
        <f t="shared" si="3"/>
        <v>Feb</v>
      </c>
      <c r="P113" s="6" t="str">
        <f t="shared" si="4"/>
        <v>1997</v>
      </c>
    </row>
    <row r="114">
      <c r="A114" s="3"/>
      <c r="C114" s="6">
        <f t="shared" si="1"/>
        <v>0.07462462462</v>
      </c>
      <c r="D114" s="6" t="s">
        <v>245</v>
      </c>
      <c r="E114" s="6" t="s">
        <v>261</v>
      </c>
      <c r="F114" s="6">
        <f t="shared" si="2"/>
        <v>2.485</v>
      </c>
      <c r="G114" s="7">
        <v>0.096203881</v>
      </c>
      <c r="H114" s="6">
        <f>G114*'Measure conversion'!$C$2</f>
        <v>0.096203881</v>
      </c>
      <c r="M114" s="50" t="s">
        <v>462</v>
      </c>
      <c r="N114" s="51">
        <v>1.295</v>
      </c>
      <c r="O114" s="6" t="str">
        <f t="shared" si="3"/>
        <v>Feb</v>
      </c>
      <c r="P114" s="6" t="str">
        <f t="shared" si="4"/>
        <v>1997</v>
      </c>
    </row>
    <row r="115">
      <c r="A115" s="3"/>
      <c r="C115" s="6">
        <f t="shared" si="1"/>
        <v>0.08777777778</v>
      </c>
      <c r="D115" s="6" t="s">
        <v>246</v>
      </c>
      <c r="E115" s="6" t="s">
        <v>261</v>
      </c>
      <c r="F115" s="6">
        <f t="shared" si="2"/>
        <v>2.923</v>
      </c>
      <c r="G115" s="7">
        <v>0.112326203</v>
      </c>
      <c r="H115" s="6">
        <f>G115*'Measure conversion'!$C$2</f>
        <v>0.112326203</v>
      </c>
      <c r="M115" s="50" t="s">
        <v>463</v>
      </c>
      <c r="N115" s="51">
        <v>1.295</v>
      </c>
      <c r="O115" s="6" t="str">
        <f t="shared" si="3"/>
        <v>Mar</v>
      </c>
      <c r="P115" s="6" t="str">
        <f t="shared" si="4"/>
        <v>1997</v>
      </c>
    </row>
    <row r="116">
      <c r="A116" s="3"/>
      <c r="C116" s="6">
        <f t="shared" si="1"/>
        <v>0.08626126126</v>
      </c>
      <c r="D116" s="6" t="s">
        <v>247</v>
      </c>
      <c r="E116" s="6" t="s">
        <v>261</v>
      </c>
      <c r="F116" s="6">
        <f t="shared" si="2"/>
        <v>2.8725</v>
      </c>
      <c r="G116" s="7">
        <v>0.110363491</v>
      </c>
      <c r="H116" s="6">
        <f>G116*'Measure conversion'!$C$2</f>
        <v>0.110363491</v>
      </c>
      <c r="M116" s="50" t="s">
        <v>464</v>
      </c>
      <c r="N116" s="51">
        <v>1.313</v>
      </c>
      <c r="O116" s="6" t="str">
        <f t="shared" si="3"/>
        <v>Mar</v>
      </c>
      <c r="P116" s="6" t="str">
        <f t="shared" si="4"/>
        <v>1997</v>
      </c>
    </row>
    <row r="117">
      <c r="A117" s="3"/>
      <c r="C117" s="6">
        <f t="shared" si="1"/>
        <v>0.0903963964</v>
      </c>
      <c r="D117" s="6" t="s">
        <v>248</v>
      </c>
      <c r="E117" s="6" t="s">
        <v>261</v>
      </c>
      <c r="F117" s="6">
        <f t="shared" si="2"/>
        <v>3.0102</v>
      </c>
      <c r="G117" s="7">
        <v>0.115427725</v>
      </c>
      <c r="H117" s="6">
        <f>G117*'Measure conversion'!$C$2</f>
        <v>0.115427725</v>
      </c>
      <c r="M117" s="50" t="s">
        <v>465</v>
      </c>
      <c r="N117" s="51">
        <v>1.325</v>
      </c>
      <c r="O117" s="6" t="str">
        <f t="shared" si="3"/>
        <v>Mar</v>
      </c>
      <c r="P117" s="6" t="str">
        <f t="shared" si="4"/>
        <v>1997</v>
      </c>
    </row>
    <row r="118">
      <c r="A118" s="3"/>
      <c r="C118" s="6">
        <f t="shared" si="1"/>
        <v>0.09376876877</v>
      </c>
      <c r="D118" s="6" t="s">
        <v>249</v>
      </c>
      <c r="E118" s="6" t="s">
        <v>261</v>
      </c>
      <c r="F118" s="6">
        <f t="shared" si="2"/>
        <v>3.1225</v>
      </c>
      <c r="G118" s="7">
        <v>0.11949845</v>
      </c>
      <c r="H118" s="6">
        <f>G118*'Measure conversion'!$C$2</f>
        <v>0.11949845</v>
      </c>
      <c r="M118" s="50" t="s">
        <v>466</v>
      </c>
      <c r="N118" s="51">
        <v>1.338</v>
      </c>
      <c r="O118" s="6" t="str">
        <f t="shared" si="3"/>
        <v>Mar</v>
      </c>
      <c r="P118" s="6" t="str">
        <f t="shared" si="4"/>
        <v>1997</v>
      </c>
    </row>
    <row r="119">
      <c r="A119" s="3"/>
      <c r="C119" s="6">
        <f t="shared" si="1"/>
        <v>0.09051801802</v>
      </c>
      <c r="D119" s="6" t="s">
        <v>250</v>
      </c>
      <c r="E119" s="6" t="s">
        <v>261</v>
      </c>
      <c r="F119" s="6">
        <f t="shared" si="2"/>
        <v>3.01425</v>
      </c>
      <c r="G119" s="7">
        <v>0.115311153</v>
      </c>
      <c r="H119" s="6">
        <f>G119*'Measure conversion'!$C$2</f>
        <v>0.115311153</v>
      </c>
      <c r="M119" s="50" t="s">
        <v>467</v>
      </c>
      <c r="N119" s="51">
        <v>1.362</v>
      </c>
      <c r="O119" s="6" t="str">
        <f t="shared" si="3"/>
        <v>Mar</v>
      </c>
      <c r="P119" s="6" t="str">
        <f t="shared" si="4"/>
        <v>1997</v>
      </c>
    </row>
    <row r="120">
      <c r="A120" s="3"/>
      <c r="C120" s="6">
        <f t="shared" si="1"/>
        <v>0.08882882883</v>
      </c>
      <c r="D120" s="6" t="s">
        <v>251</v>
      </c>
      <c r="E120" s="6" t="s">
        <v>261</v>
      </c>
      <c r="F120" s="6">
        <f t="shared" si="2"/>
        <v>2.958</v>
      </c>
      <c r="G120" s="7">
        <v>0.113626031</v>
      </c>
      <c r="H120" s="6">
        <f>G120*'Measure conversion'!$C$2</f>
        <v>0.113626031</v>
      </c>
      <c r="M120" s="50" t="s">
        <v>468</v>
      </c>
      <c r="N120" s="51">
        <v>1.383</v>
      </c>
      <c r="O120" s="6" t="str">
        <f t="shared" si="3"/>
        <v>Apr</v>
      </c>
      <c r="P120" s="6" t="str">
        <f t="shared" si="4"/>
        <v>1997</v>
      </c>
    </row>
    <row r="121">
      <c r="A121" s="3"/>
      <c r="C121" s="6">
        <f t="shared" si="1"/>
        <v>0.08753753754</v>
      </c>
      <c r="D121" s="6" t="s">
        <v>252</v>
      </c>
      <c r="E121" s="6" t="s">
        <v>261</v>
      </c>
      <c r="F121" s="6">
        <f t="shared" si="2"/>
        <v>2.915</v>
      </c>
      <c r="G121" s="7">
        <v>0.112459431</v>
      </c>
      <c r="H121" s="6">
        <f>G121*'Measure conversion'!$C$2</f>
        <v>0.112459431</v>
      </c>
      <c r="M121" s="50" t="s">
        <v>469</v>
      </c>
      <c r="N121" s="51">
        <v>1.395</v>
      </c>
      <c r="O121" s="6" t="str">
        <f t="shared" si="3"/>
        <v>Apr</v>
      </c>
      <c r="P121" s="6" t="str">
        <f t="shared" si="4"/>
        <v>1997</v>
      </c>
    </row>
    <row r="122">
      <c r="A122" s="3"/>
      <c r="C122" s="6">
        <f t="shared" si="1"/>
        <v>0.09059309309</v>
      </c>
      <c r="D122" s="6" t="s">
        <v>235</v>
      </c>
      <c r="E122" s="6" t="s">
        <v>262</v>
      </c>
      <c r="F122" s="6">
        <f t="shared" si="2"/>
        <v>3.01675</v>
      </c>
      <c r="G122" s="7">
        <v>0.115961522</v>
      </c>
      <c r="H122" s="6">
        <f>G122*'Measure conversion'!$C$2</f>
        <v>0.115961522</v>
      </c>
      <c r="M122" s="50" t="s">
        <v>470</v>
      </c>
      <c r="N122" s="51">
        <v>1.392</v>
      </c>
      <c r="O122" s="6" t="str">
        <f t="shared" si="3"/>
        <v>Apr</v>
      </c>
      <c r="P122" s="6" t="str">
        <f t="shared" si="4"/>
        <v>1997</v>
      </c>
    </row>
    <row r="123">
      <c r="A123" s="3"/>
      <c r="C123" s="6">
        <f t="shared" si="1"/>
        <v>0.08843843844</v>
      </c>
      <c r="D123" s="6" t="s">
        <v>240</v>
      </c>
      <c r="E123" s="6" t="s">
        <v>262</v>
      </c>
      <c r="F123" s="6">
        <f t="shared" si="2"/>
        <v>2.945</v>
      </c>
      <c r="G123" s="7">
        <v>0.112917016</v>
      </c>
      <c r="H123" s="6">
        <f>G123*'Measure conversion'!$C$2</f>
        <v>0.112917016</v>
      </c>
      <c r="M123" s="50" t="s">
        <v>471</v>
      </c>
      <c r="N123" s="51">
        <v>1.385</v>
      </c>
      <c r="O123" s="6" t="str">
        <f t="shared" si="3"/>
        <v>Apr</v>
      </c>
      <c r="P123" s="6" t="str">
        <f t="shared" si="4"/>
        <v>1997</v>
      </c>
    </row>
    <row r="124">
      <c r="A124" s="3"/>
      <c r="C124" s="6">
        <f t="shared" si="1"/>
        <v>0.0917957958</v>
      </c>
      <c r="D124" s="6" t="s">
        <v>242</v>
      </c>
      <c r="E124" s="6" t="s">
        <v>262</v>
      </c>
      <c r="F124" s="6">
        <f t="shared" si="2"/>
        <v>3.0568</v>
      </c>
      <c r="G124" s="7">
        <v>0.116747426</v>
      </c>
      <c r="H124" s="6">
        <f>G124*'Measure conversion'!$C$2</f>
        <v>0.116747426</v>
      </c>
      <c r="M124" s="50" t="s">
        <v>472</v>
      </c>
      <c r="N124" s="51">
        <v>1.377</v>
      </c>
      <c r="O124" s="6" t="str">
        <f t="shared" si="3"/>
        <v>May</v>
      </c>
      <c r="P124" s="6" t="str">
        <f t="shared" si="4"/>
        <v>1997</v>
      </c>
    </row>
    <row r="125">
      <c r="A125" s="3"/>
      <c r="C125" s="6">
        <f t="shared" si="1"/>
        <v>0.09280780781</v>
      </c>
      <c r="D125" s="6" t="s">
        <v>243</v>
      </c>
      <c r="E125" s="6" t="s">
        <v>262</v>
      </c>
      <c r="F125" s="6">
        <f t="shared" si="2"/>
        <v>3.0905</v>
      </c>
      <c r="G125" s="7">
        <v>0.117667224</v>
      </c>
      <c r="H125" s="6">
        <f>G125*'Measure conversion'!$C$2</f>
        <v>0.117667224</v>
      </c>
      <c r="M125" s="50" t="s">
        <v>473</v>
      </c>
      <c r="N125" s="51">
        <v>1.371</v>
      </c>
      <c r="O125" s="6" t="str">
        <f t="shared" si="3"/>
        <v>May</v>
      </c>
      <c r="P125" s="6" t="str">
        <f t="shared" si="4"/>
        <v>1997</v>
      </c>
    </row>
    <row r="126">
      <c r="A126" s="3"/>
      <c r="C126" s="6">
        <f t="shared" si="1"/>
        <v>0.09278078078</v>
      </c>
      <c r="D126" s="6" t="s">
        <v>245</v>
      </c>
      <c r="E126" s="6" t="s">
        <v>262</v>
      </c>
      <c r="F126" s="6">
        <f t="shared" si="2"/>
        <v>3.0896</v>
      </c>
      <c r="G126" s="7">
        <v>0.117564781</v>
      </c>
      <c r="H126" s="6">
        <f>G126*'Measure conversion'!$C$2</f>
        <v>0.117564781</v>
      </c>
      <c r="M126" s="50" t="s">
        <v>474</v>
      </c>
      <c r="N126" s="51">
        <v>1.363</v>
      </c>
      <c r="O126" s="6" t="str">
        <f t="shared" si="3"/>
        <v>May</v>
      </c>
      <c r="P126" s="6" t="str">
        <f t="shared" si="4"/>
        <v>1997</v>
      </c>
    </row>
    <row r="127">
      <c r="A127" s="3"/>
      <c r="C127" s="6">
        <f t="shared" si="1"/>
        <v>0.0926951952</v>
      </c>
      <c r="D127" s="6" t="s">
        <v>246</v>
      </c>
      <c r="E127" s="6" t="s">
        <v>262</v>
      </c>
      <c r="F127" s="6">
        <f t="shared" si="2"/>
        <v>3.08675</v>
      </c>
      <c r="G127" s="7">
        <v>0.117462386</v>
      </c>
      <c r="H127" s="6">
        <f>G127*'Measure conversion'!$C$2</f>
        <v>0.117462386</v>
      </c>
      <c r="M127" s="50" t="s">
        <v>475</v>
      </c>
      <c r="N127" s="51">
        <v>1.354</v>
      </c>
      <c r="O127" s="6" t="str">
        <f t="shared" si="3"/>
        <v>May</v>
      </c>
      <c r="P127" s="6" t="str">
        <f t="shared" si="4"/>
        <v>1997</v>
      </c>
    </row>
    <row r="128">
      <c r="A128" s="3"/>
      <c r="C128" s="6">
        <f t="shared" si="1"/>
        <v>0.0937987988</v>
      </c>
      <c r="D128" s="6" t="s">
        <v>247</v>
      </c>
      <c r="E128" s="6" t="s">
        <v>262</v>
      </c>
      <c r="F128" s="6">
        <f t="shared" si="2"/>
        <v>3.1235</v>
      </c>
      <c r="G128" s="7">
        <v>0.118773838</v>
      </c>
      <c r="H128" s="6">
        <f>G128*'Measure conversion'!$C$2</f>
        <v>0.118773838</v>
      </c>
      <c r="M128" s="50" t="s">
        <v>476</v>
      </c>
      <c r="N128" s="51">
        <v>1.347</v>
      </c>
      <c r="O128" s="6" t="str">
        <f t="shared" si="3"/>
        <v>Jun</v>
      </c>
      <c r="P128" s="6" t="str">
        <f t="shared" si="4"/>
        <v>1997</v>
      </c>
    </row>
    <row r="129">
      <c r="A129" s="3"/>
      <c r="C129" s="6">
        <f t="shared" si="1"/>
        <v>0.09428228228</v>
      </c>
      <c r="D129" s="6" t="s">
        <v>248</v>
      </c>
      <c r="E129" s="6" t="s">
        <v>262</v>
      </c>
      <c r="F129" s="6">
        <f t="shared" si="2"/>
        <v>3.1396</v>
      </c>
      <c r="G129" s="7">
        <v>0.119260114</v>
      </c>
      <c r="H129" s="6">
        <f>G129*'Measure conversion'!$C$2</f>
        <v>0.119260114</v>
      </c>
      <c r="M129" s="50" t="s">
        <v>477</v>
      </c>
      <c r="N129" s="51">
        <v>1.337</v>
      </c>
      <c r="O129" s="6" t="str">
        <f t="shared" si="3"/>
        <v>Jun</v>
      </c>
      <c r="P129" s="6" t="str">
        <f t="shared" si="4"/>
        <v>1997</v>
      </c>
    </row>
    <row r="130">
      <c r="A130" s="3"/>
      <c r="C130" s="6">
        <f t="shared" si="1"/>
        <v>0.0906006006</v>
      </c>
      <c r="D130" s="6" t="s">
        <v>249</v>
      </c>
      <c r="E130" s="6" t="s">
        <v>262</v>
      </c>
      <c r="F130" s="6">
        <f t="shared" si="2"/>
        <v>3.017</v>
      </c>
      <c r="G130" s="7">
        <v>0.114608672</v>
      </c>
      <c r="H130" s="6">
        <f>G130*'Measure conversion'!$C$2</f>
        <v>0.114608672</v>
      </c>
      <c r="M130" s="50" t="s">
        <v>478</v>
      </c>
      <c r="N130" s="51">
        <v>1.33</v>
      </c>
      <c r="O130" s="6" t="str">
        <f t="shared" si="3"/>
        <v>Jun</v>
      </c>
      <c r="P130" s="6" t="str">
        <f t="shared" si="4"/>
        <v>1997</v>
      </c>
    </row>
    <row r="131">
      <c r="A131" s="3"/>
      <c r="C131" s="6">
        <f t="shared" si="1"/>
        <v>0.09303303303</v>
      </c>
      <c r="D131" s="6" t="s">
        <v>250</v>
      </c>
      <c r="E131" s="6" t="s">
        <v>262</v>
      </c>
      <c r="F131" s="6">
        <f t="shared" si="2"/>
        <v>3.098</v>
      </c>
      <c r="G131" s="7">
        <v>0.117589066</v>
      </c>
      <c r="H131" s="6">
        <f>G131*'Measure conversion'!$C$2</f>
        <v>0.117589066</v>
      </c>
      <c r="M131" s="50" t="s">
        <v>479</v>
      </c>
      <c r="N131" s="51">
        <v>1.319</v>
      </c>
      <c r="O131" s="6" t="str">
        <f t="shared" si="3"/>
        <v>Jun</v>
      </c>
      <c r="P131" s="6" t="str">
        <f t="shared" si="4"/>
        <v>1997</v>
      </c>
    </row>
    <row r="132">
      <c r="A132" s="3"/>
      <c r="C132" s="6">
        <f t="shared" si="1"/>
        <v>0.0947987988</v>
      </c>
      <c r="D132" s="6" t="s">
        <v>251</v>
      </c>
      <c r="E132" s="6" t="s">
        <v>262</v>
      </c>
      <c r="F132" s="6">
        <f t="shared" si="2"/>
        <v>3.1568</v>
      </c>
      <c r="G132" s="7">
        <v>0.119860117</v>
      </c>
      <c r="H132" s="6">
        <f>G132*'Measure conversion'!$C$2</f>
        <v>0.119860117</v>
      </c>
      <c r="M132" s="50" t="s">
        <v>480</v>
      </c>
      <c r="N132" s="51">
        <v>1.289</v>
      </c>
      <c r="O132" s="6" t="str">
        <f t="shared" si="3"/>
        <v>Jun</v>
      </c>
      <c r="P132" s="6" t="str">
        <f t="shared" si="4"/>
        <v>1997</v>
      </c>
    </row>
    <row r="133">
      <c r="A133" s="3"/>
      <c r="C133" s="6">
        <f t="shared" si="1"/>
        <v>0.0975975976</v>
      </c>
      <c r="D133" s="6" t="s">
        <v>252</v>
      </c>
      <c r="E133" s="6" t="s">
        <v>262</v>
      </c>
      <c r="F133" s="6">
        <f t="shared" si="2"/>
        <v>3.25</v>
      </c>
      <c r="G133" s="7">
        <v>0.123368471</v>
      </c>
      <c r="H133" s="6">
        <f>G133*'Measure conversion'!$C$2</f>
        <v>0.123368471</v>
      </c>
      <c r="M133" s="50" t="s">
        <v>481</v>
      </c>
      <c r="N133" s="51">
        <v>1.284</v>
      </c>
      <c r="O133" s="6" t="str">
        <f t="shared" si="3"/>
        <v>Jul</v>
      </c>
      <c r="P133" s="6" t="str">
        <f t="shared" si="4"/>
        <v>1997</v>
      </c>
    </row>
    <row r="134">
      <c r="A134" s="3"/>
      <c r="C134" s="6">
        <f t="shared" si="1"/>
        <v>0.1003603604</v>
      </c>
      <c r="D134" s="6" t="s">
        <v>235</v>
      </c>
      <c r="E134" s="6" t="s">
        <v>263</v>
      </c>
      <c r="F134" s="6">
        <f t="shared" si="2"/>
        <v>3.342</v>
      </c>
      <c r="G134" s="7">
        <v>0.126021278</v>
      </c>
      <c r="H134" s="6">
        <f>G134*'Measure conversion'!$C$2</f>
        <v>0.126021278</v>
      </c>
      <c r="M134" s="50" t="s">
        <v>482</v>
      </c>
      <c r="N134" s="51">
        <v>1.278</v>
      </c>
      <c r="O134" s="6" t="str">
        <f t="shared" si="3"/>
        <v>Jul</v>
      </c>
      <c r="P134" s="6" t="str">
        <f t="shared" si="4"/>
        <v>1997</v>
      </c>
    </row>
    <row r="135">
      <c r="A135" s="3"/>
      <c r="C135" s="6">
        <f t="shared" si="1"/>
        <v>0.105990991</v>
      </c>
      <c r="D135" s="6" t="s">
        <v>240</v>
      </c>
      <c r="E135" s="6" t="s">
        <v>263</v>
      </c>
      <c r="F135" s="6">
        <f t="shared" si="2"/>
        <v>3.5295</v>
      </c>
      <c r="G135" s="7">
        <v>0.132151999</v>
      </c>
      <c r="H135" s="6">
        <f>G135*'Measure conversion'!$C$2</f>
        <v>0.132151999</v>
      </c>
      <c r="M135" s="50" t="s">
        <v>483</v>
      </c>
      <c r="N135" s="51">
        <v>1.269</v>
      </c>
      <c r="O135" s="6" t="str">
        <f t="shared" si="3"/>
        <v>Jul</v>
      </c>
      <c r="P135" s="6" t="str">
        <f t="shared" si="4"/>
        <v>1997</v>
      </c>
    </row>
    <row r="136">
      <c r="A136" s="3"/>
      <c r="C136" s="6">
        <f t="shared" si="1"/>
        <v>0.1187837838</v>
      </c>
      <c r="D136" s="6" t="s">
        <v>242</v>
      </c>
      <c r="E136" s="6" t="s">
        <v>263</v>
      </c>
      <c r="F136" s="6">
        <f t="shared" si="2"/>
        <v>3.9555</v>
      </c>
      <c r="G136" s="7">
        <v>0.146692867</v>
      </c>
      <c r="H136" s="6">
        <f>G136*'Measure conversion'!$C$2</f>
        <v>0.146692867</v>
      </c>
      <c r="M136" s="50" t="s">
        <v>484</v>
      </c>
      <c r="N136" s="51">
        <v>1.257</v>
      </c>
      <c r="O136" s="6" t="str">
        <f t="shared" si="3"/>
        <v>Jul</v>
      </c>
      <c r="P136" s="6" t="str">
        <f t="shared" si="4"/>
        <v>1997</v>
      </c>
    </row>
    <row r="137">
      <c r="A137" s="3"/>
      <c r="C137" s="6">
        <f t="shared" si="1"/>
        <v>0.1249249249</v>
      </c>
      <c r="D137" s="6" t="s">
        <v>243</v>
      </c>
      <c r="E137" s="6" t="s">
        <v>263</v>
      </c>
      <c r="F137" s="6">
        <f t="shared" si="2"/>
        <v>4.16</v>
      </c>
      <c r="G137" s="7">
        <v>0.152927489</v>
      </c>
      <c r="H137" s="6">
        <f>G137*'Measure conversion'!$C$2</f>
        <v>0.152927489</v>
      </c>
      <c r="M137" s="50" t="s">
        <v>488</v>
      </c>
      <c r="N137" s="51">
        <v>1.282</v>
      </c>
      <c r="O137" s="6" t="str">
        <f t="shared" si="3"/>
        <v>Aug</v>
      </c>
      <c r="P137" s="6" t="str">
        <f t="shared" si="4"/>
        <v>1997</v>
      </c>
    </row>
    <row r="138">
      <c r="A138" s="3"/>
      <c r="C138" s="6">
        <f t="shared" si="1"/>
        <v>0.1255615616</v>
      </c>
      <c r="D138" s="6" t="s">
        <v>245</v>
      </c>
      <c r="E138" s="6" t="s">
        <v>263</v>
      </c>
      <c r="F138" s="6">
        <f t="shared" si="2"/>
        <v>4.1812</v>
      </c>
      <c r="G138" s="7">
        <v>0.154036148</v>
      </c>
      <c r="H138" s="6">
        <f>G138*'Measure conversion'!$C$2</f>
        <v>0.154036148</v>
      </c>
      <c r="M138" s="50" t="s">
        <v>494</v>
      </c>
      <c r="N138" s="51">
        <v>1.329</v>
      </c>
      <c r="O138" s="6" t="str">
        <f t="shared" si="3"/>
        <v>Aug</v>
      </c>
      <c r="P138" s="6" t="str">
        <f t="shared" si="4"/>
        <v>1997</v>
      </c>
    </row>
    <row r="139">
      <c r="A139" s="3"/>
      <c r="C139" s="6">
        <f t="shared" si="1"/>
        <v>0.1176651652</v>
      </c>
      <c r="D139" s="6" t="s">
        <v>246</v>
      </c>
      <c r="E139" s="6" t="s">
        <v>263</v>
      </c>
      <c r="F139" s="6">
        <f t="shared" si="2"/>
        <v>3.91825</v>
      </c>
      <c r="G139" s="7">
        <v>0.144676567</v>
      </c>
      <c r="H139" s="6">
        <f>G139*'Measure conversion'!$C$2</f>
        <v>0.144676567</v>
      </c>
      <c r="M139" s="50" t="s">
        <v>495</v>
      </c>
      <c r="N139" s="51">
        <v>1.362</v>
      </c>
      <c r="O139" s="6" t="str">
        <f t="shared" si="3"/>
        <v>Aug</v>
      </c>
      <c r="P139" s="6" t="str">
        <f t="shared" si="4"/>
        <v>1997</v>
      </c>
    </row>
    <row r="140">
      <c r="A140" s="3"/>
      <c r="C140" s="6">
        <f t="shared" si="1"/>
        <v>0.114039039</v>
      </c>
      <c r="D140" s="6" t="s">
        <v>247</v>
      </c>
      <c r="E140" s="6" t="s">
        <v>263</v>
      </c>
      <c r="F140" s="6">
        <f t="shared" si="2"/>
        <v>3.7975</v>
      </c>
      <c r="G140" s="7">
        <v>0.140270188</v>
      </c>
      <c r="H140" s="6">
        <f>G140*'Measure conversion'!$C$2</f>
        <v>0.140270188</v>
      </c>
      <c r="M140" s="50" t="s">
        <v>496</v>
      </c>
      <c r="N140" s="51">
        <v>1.394</v>
      </c>
      <c r="O140" s="6" t="str">
        <f t="shared" si="3"/>
        <v>Aug</v>
      </c>
      <c r="P140" s="6" t="str">
        <f t="shared" si="4"/>
        <v>1997</v>
      </c>
    </row>
    <row r="141">
      <c r="A141" s="3"/>
      <c r="C141" s="6">
        <f t="shared" si="1"/>
        <v>0.1134294294</v>
      </c>
      <c r="D141" s="6" t="s">
        <v>248</v>
      </c>
      <c r="E141" s="6" t="s">
        <v>263</v>
      </c>
      <c r="F141" s="6">
        <f t="shared" si="2"/>
        <v>3.7772</v>
      </c>
      <c r="G141" s="7">
        <v>0.139512555</v>
      </c>
      <c r="H141" s="6">
        <f>G141*'Measure conversion'!$C$2</f>
        <v>0.139512555</v>
      </c>
      <c r="M141" s="50" t="s">
        <v>499</v>
      </c>
      <c r="N141" s="51">
        <v>1.414</v>
      </c>
      <c r="O141" s="6" t="str">
        <f t="shared" si="3"/>
        <v>Sep</v>
      </c>
      <c r="P141" s="6" t="str">
        <f t="shared" si="4"/>
        <v>1997</v>
      </c>
    </row>
    <row r="142">
      <c r="A142" s="3"/>
      <c r="C142" s="6">
        <f t="shared" si="1"/>
        <v>0.1178528529</v>
      </c>
      <c r="D142" s="6" t="s">
        <v>249</v>
      </c>
      <c r="E142" s="6" t="s">
        <v>263</v>
      </c>
      <c r="F142" s="6">
        <f t="shared" si="2"/>
        <v>3.9245</v>
      </c>
      <c r="G142" s="7">
        <v>0.14458468</v>
      </c>
      <c r="H142" s="6">
        <f>G142*'Measure conversion'!$C$2</f>
        <v>0.14458468</v>
      </c>
      <c r="M142" s="50" t="s">
        <v>500</v>
      </c>
      <c r="N142" s="51">
        <v>1.431</v>
      </c>
      <c r="O142" s="6" t="str">
        <f t="shared" si="3"/>
        <v>Sep</v>
      </c>
      <c r="P142" s="6" t="str">
        <f t="shared" si="4"/>
        <v>1997</v>
      </c>
    </row>
    <row r="143">
      <c r="A143" s="3"/>
      <c r="C143" s="6">
        <f t="shared" si="1"/>
        <v>0.1154234234</v>
      </c>
      <c r="D143" s="6" t="s">
        <v>250</v>
      </c>
      <c r="E143" s="6" t="s">
        <v>263</v>
      </c>
      <c r="F143" s="6">
        <f t="shared" si="2"/>
        <v>3.8436</v>
      </c>
      <c r="G143" s="7">
        <v>0.141314792</v>
      </c>
      <c r="H143" s="6">
        <f>G143*'Measure conversion'!$C$2</f>
        <v>0.141314792</v>
      </c>
      <c r="M143" s="50" t="s">
        <v>501</v>
      </c>
      <c r="N143" s="51">
        <v>1.449</v>
      </c>
      <c r="O143" s="6" t="str">
        <f t="shared" si="3"/>
        <v>Sep</v>
      </c>
      <c r="P143" s="6" t="str">
        <f t="shared" si="4"/>
        <v>1997</v>
      </c>
    </row>
    <row r="144">
      <c r="A144" s="3"/>
      <c r="C144" s="6">
        <f t="shared" si="1"/>
        <v>0.1141066066</v>
      </c>
      <c r="D144" s="6" t="s">
        <v>251</v>
      </c>
      <c r="E144" s="6" t="s">
        <v>263</v>
      </c>
      <c r="F144" s="6">
        <f t="shared" si="2"/>
        <v>3.79975</v>
      </c>
      <c r="G144" s="7">
        <v>0.140187483</v>
      </c>
      <c r="H144" s="6">
        <f>G144*'Measure conversion'!$C$2</f>
        <v>0.140187483</v>
      </c>
      <c r="M144" s="50" t="s">
        <v>502</v>
      </c>
      <c r="N144" s="51">
        <v>1.448</v>
      </c>
      <c r="O144" s="6" t="str">
        <f t="shared" si="3"/>
        <v>Sep</v>
      </c>
      <c r="P144" s="6" t="str">
        <f t="shared" si="4"/>
        <v>1997</v>
      </c>
    </row>
    <row r="145">
      <c r="A145" s="3"/>
      <c r="C145" s="6">
        <f t="shared" si="1"/>
        <v>0.1080930931</v>
      </c>
      <c r="D145" s="6" t="s">
        <v>252</v>
      </c>
      <c r="E145" s="6" t="s">
        <v>263</v>
      </c>
      <c r="F145" s="6">
        <f t="shared" si="2"/>
        <v>3.5995</v>
      </c>
      <c r="G145" s="7">
        <v>0.133281137</v>
      </c>
      <c r="H145" s="6">
        <f>G145*'Measure conversion'!$C$2</f>
        <v>0.133281137</v>
      </c>
      <c r="M145" s="50" t="s">
        <v>503</v>
      </c>
      <c r="N145" s="51">
        <v>1.441</v>
      </c>
      <c r="O145" s="6" t="str">
        <f t="shared" si="3"/>
        <v>Sep</v>
      </c>
      <c r="P145" s="6" t="str">
        <f t="shared" si="4"/>
        <v>1997</v>
      </c>
    </row>
    <row r="146">
      <c r="A146" s="3"/>
      <c r="C146" s="6">
        <f t="shared" si="1"/>
        <v>0.1110930931</v>
      </c>
      <c r="D146" s="6" t="s">
        <v>235</v>
      </c>
      <c r="E146" s="6" t="s">
        <v>276</v>
      </c>
      <c r="F146" s="6">
        <f t="shared" si="2"/>
        <v>3.6994</v>
      </c>
      <c r="G146" s="7">
        <v>0.136067956</v>
      </c>
      <c r="H146" s="6">
        <f>G146*'Measure conversion'!$C$2</f>
        <v>0.136067956</v>
      </c>
      <c r="M146" s="50" t="s">
        <v>504</v>
      </c>
      <c r="N146" s="51">
        <v>1.442</v>
      </c>
      <c r="O146" s="6" t="str">
        <f t="shared" si="3"/>
        <v>Oct</v>
      </c>
      <c r="P146" s="6" t="str">
        <f t="shared" si="4"/>
        <v>1997</v>
      </c>
    </row>
    <row r="147">
      <c r="A147" s="3"/>
      <c r="C147" s="6">
        <f t="shared" si="1"/>
        <v>0.1195195195</v>
      </c>
      <c r="D147" s="6" t="s">
        <v>240</v>
      </c>
      <c r="E147" s="6" t="s">
        <v>276</v>
      </c>
      <c r="F147" s="6">
        <f t="shared" si="2"/>
        <v>3.98</v>
      </c>
      <c r="G147" s="7">
        <v>0.145354366</v>
      </c>
      <c r="H147" s="6">
        <f>G147*'Measure conversion'!$C$2</f>
        <v>0.145354366</v>
      </c>
      <c r="M147" s="50" t="s">
        <v>505</v>
      </c>
      <c r="N147" s="51">
        <v>1.424</v>
      </c>
      <c r="O147" s="6" t="str">
        <f t="shared" si="3"/>
        <v>Oct</v>
      </c>
      <c r="P147" s="6" t="str">
        <f t="shared" si="4"/>
        <v>1997</v>
      </c>
    </row>
    <row r="148">
      <c r="A148" s="3"/>
      <c r="C148" s="6">
        <f t="shared" si="1"/>
        <v>0.1311411411</v>
      </c>
      <c r="D148" s="6" t="s">
        <v>242</v>
      </c>
      <c r="E148" s="6" t="s">
        <v>276</v>
      </c>
      <c r="F148" s="6">
        <f t="shared" si="2"/>
        <v>4.367</v>
      </c>
      <c r="G148" s="7">
        <v>0.158562666</v>
      </c>
      <c r="H148" s="6">
        <f>G148*'Measure conversion'!$C$2</f>
        <v>0.158562666</v>
      </c>
      <c r="M148" s="50" t="s">
        <v>506</v>
      </c>
      <c r="N148" s="51">
        <v>1.417</v>
      </c>
      <c r="O148" s="6" t="str">
        <f t="shared" si="3"/>
        <v>Oct</v>
      </c>
      <c r="P148" s="6" t="str">
        <f t="shared" si="4"/>
        <v>1997</v>
      </c>
    </row>
    <row r="149">
      <c r="A149" s="3"/>
      <c r="C149" s="6">
        <f t="shared" si="1"/>
        <v>0.1274834835</v>
      </c>
      <c r="D149" s="6" t="s">
        <v>243</v>
      </c>
      <c r="E149" s="6" t="s">
        <v>276</v>
      </c>
      <c r="F149" s="6">
        <f t="shared" si="2"/>
        <v>4.2452</v>
      </c>
      <c r="G149" s="7">
        <v>0.153447698</v>
      </c>
      <c r="H149" s="6">
        <f>G149*'Measure conversion'!$C$2</f>
        <v>0.153447698</v>
      </c>
      <c r="M149" s="50" t="s">
        <v>507</v>
      </c>
      <c r="N149" s="51">
        <v>1.408</v>
      </c>
      <c r="O149" s="6" t="str">
        <f t="shared" si="3"/>
        <v>Oct</v>
      </c>
      <c r="P149" s="6" t="str">
        <f t="shared" si="4"/>
        <v>1997</v>
      </c>
    </row>
    <row r="150">
      <c r="A150" s="3"/>
      <c r="C150" s="6">
        <f t="shared" si="1"/>
        <v>0.1293393393</v>
      </c>
      <c r="D150" s="6" t="s">
        <v>245</v>
      </c>
      <c r="E150" s="6" t="s">
        <v>276</v>
      </c>
      <c r="F150" s="6">
        <f t="shared" si="2"/>
        <v>4.307</v>
      </c>
      <c r="G150" s="7">
        <v>0.155729627</v>
      </c>
      <c r="H150" s="6">
        <f>G150*'Measure conversion'!$C$2</f>
        <v>0.155729627</v>
      </c>
      <c r="M150" s="50" t="s">
        <v>508</v>
      </c>
      <c r="N150" s="51">
        <v>1.398</v>
      </c>
      <c r="O150" s="6" t="str">
        <f t="shared" si="3"/>
        <v>Nov</v>
      </c>
      <c r="P150" s="6" t="str">
        <f t="shared" si="4"/>
        <v>1997</v>
      </c>
    </row>
    <row r="151">
      <c r="A151" s="3"/>
      <c r="C151" s="6">
        <f t="shared" si="1"/>
        <v>0.1226726727</v>
      </c>
      <c r="D151" s="6" t="s">
        <v>246</v>
      </c>
      <c r="E151" s="6" t="s">
        <v>276</v>
      </c>
      <c r="F151" s="6">
        <f t="shared" si="2"/>
        <v>4.085</v>
      </c>
      <c r="G151" s="7">
        <v>0.147955146</v>
      </c>
      <c r="H151" s="6">
        <f>G151*'Measure conversion'!$C$2</f>
        <v>0.147955146</v>
      </c>
      <c r="M151" s="50" t="s">
        <v>509</v>
      </c>
      <c r="N151" s="51">
        <v>1.385</v>
      </c>
      <c r="O151" s="6" t="str">
        <f t="shared" si="3"/>
        <v>Nov</v>
      </c>
      <c r="P151" s="6" t="str">
        <f t="shared" si="4"/>
        <v>1997</v>
      </c>
    </row>
    <row r="152">
      <c r="A152" s="3"/>
      <c r="C152" s="6">
        <f t="shared" si="1"/>
        <v>0.1133273273</v>
      </c>
      <c r="D152" s="6" t="s">
        <v>247</v>
      </c>
      <c r="E152" s="6" t="s">
        <v>276</v>
      </c>
      <c r="F152" s="6">
        <f t="shared" si="2"/>
        <v>3.7738</v>
      </c>
      <c r="G152" s="7">
        <v>0.136426565</v>
      </c>
      <c r="H152" s="6">
        <f>G152*'Measure conversion'!$C$2</f>
        <v>0.136426565</v>
      </c>
      <c r="M152" s="50" t="s">
        <v>510</v>
      </c>
      <c r="N152" s="51">
        <v>1.373</v>
      </c>
      <c r="O152" s="6" t="str">
        <f t="shared" si="3"/>
        <v>Nov</v>
      </c>
      <c r="P152" s="6" t="str">
        <f t="shared" si="4"/>
        <v>1997</v>
      </c>
    </row>
    <row r="153">
      <c r="A153" s="3"/>
      <c r="C153" s="6">
        <f t="shared" si="1"/>
        <v>0.1220045045</v>
      </c>
      <c r="D153" s="6" t="s">
        <v>248</v>
      </c>
      <c r="E153" s="6" t="s">
        <v>276</v>
      </c>
      <c r="F153" s="6">
        <f t="shared" si="2"/>
        <v>4.06275</v>
      </c>
      <c r="G153" s="7">
        <v>0.146324915</v>
      </c>
      <c r="H153" s="6">
        <f>G153*'Measure conversion'!$C$2</f>
        <v>0.146324915</v>
      </c>
      <c r="M153" s="50" t="s">
        <v>511</v>
      </c>
      <c r="N153" s="51">
        <v>1.363</v>
      </c>
      <c r="O153" s="6" t="str">
        <f t="shared" si="3"/>
        <v>Nov</v>
      </c>
      <c r="P153" s="6" t="str">
        <f t="shared" si="4"/>
        <v>1997</v>
      </c>
    </row>
    <row r="154">
      <c r="A154" s="3"/>
      <c r="C154" s="6">
        <f t="shared" si="1"/>
        <v>0.1250750751</v>
      </c>
      <c r="D154" s="6" t="s">
        <v>249</v>
      </c>
      <c r="E154" s="6" t="s">
        <v>276</v>
      </c>
      <c r="F154" s="6">
        <f t="shared" si="2"/>
        <v>4.165</v>
      </c>
      <c r="G154" s="7">
        <v>0.149176185</v>
      </c>
      <c r="H154" s="6">
        <f>G154*'Measure conversion'!$C$2</f>
        <v>0.149176185</v>
      </c>
      <c r="M154" s="50" t="s">
        <v>512</v>
      </c>
      <c r="N154" s="51">
        <v>1.355</v>
      </c>
      <c r="O154" s="6" t="str">
        <f t="shared" si="3"/>
        <v>Dec</v>
      </c>
      <c r="P154" s="6" t="str">
        <f t="shared" si="4"/>
        <v>1997</v>
      </c>
    </row>
    <row r="155">
      <c r="A155" s="3"/>
      <c r="C155" s="6">
        <f t="shared" si="1"/>
        <v>0.1324864865</v>
      </c>
      <c r="D155" s="6" t="s">
        <v>250</v>
      </c>
      <c r="E155" s="6" t="s">
        <v>276</v>
      </c>
      <c r="F155" s="6">
        <f t="shared" si="2"/>
        <v>4.4118</v>
      </c>
      <c r="G155" s="7">
        <v>0.157107969</v>
      </c>
      <c r="H155" s="6">
        <f>G155*'Measure conversion'!$C$2</f>
        <v>0.157107969</v>
      </c>
      <c r="M155" s="50" t="s">
        <v>513</v>
      </c>
      <c r="N155" s="51">
        <v>1.338</v>
      </c>
      <c r="O155" s="6" t="str">
        <f t="shared" si="3"/>
        <v>Dec</v>
      </c>
      <c r="P155" s="6" t="str">
        <f t="shared" si="4"/>
        <v>1997</v>
      </c>
    </row>
    <row r="156">
      <c r="A156" s="3"/>
      <c r="C156" s="6">
        <f t="shared" si="1"/>
        <v>0.1154954955</v>
      </c>
      <c r="D156" s="6" t="s">
        <v>251</v>
      </c>
      <c r="E156" s="6" t="s">
        <v>276</v>
      </c>
      <c r="F156" s="6">
        <f t="shared" si="2"/>
        <v>3.846</v>
      </c>
      <c r="G156" s="7">
        <v>0.138293366</v>
      </c>
      <c r="H156" s="6">
        <f>G156*'Measure conversion'!$C$2</f>
        <v>0.138293366</v>
      </c>
      <c r="M156" s="50" t="s">
        <v>514</v>
      </c>
      <c r="N156" s="51">
        <v>1.329</v>
      </c>
      <c r="O156" s="6" t="str">
        <f t="shared" si="3"/>
        <v>Dec</v>
      </c>
      <c r="P156" s="6" t="str">
        <f t="shared" si="4"/>
        <v>1997</v>
      </c>
    </row>
    <row r="157">
      <c r="A157" s="3"/>
      <c r="C157" s="6">
        <f t="shared" si="1"/>
        <v>0.1075075075</v>
      </c>
      <c r="D157" s="6" t="s">
        <v>252</v>
      </c>
      <c r="E157" s="6" t="s">
        <v>276</v>
      </c>
      <c r="F157" s="6">
        <f t="shared" si="2"/>
        <v>3.58</v>
      </c>
      <c r="G157" s="7">
        <v>0.129918435</v>
      </c>
      <c r="H157" s="6">
        <f>G157*'Measure conversion'!$C$2</f>
        <v>0.129918435</v>
      </c>
      <c r="M157" s="50" t="s">
        <v>515</v>
      </c>
      <c r="N157" s="51">
        <v>1.318</v>
      </c>
      <c r="O157" s="6" t="str">
        <f t="shared" si="3"/>
        <v>Dec</v>
      </c>
      <c r="P157" s="6" t="str">
        <f t="shared" si="4"/>
        <v>1997</v>
      </c>
    </row>
    <row r="158">
      <c r="A158" s="3"/>
      <c r="C158" s="6">
        <f t="shared" si="1"/>
        <v>0.1090540541</v>
      </c>
      <c r="D158" s="6" t="s">
        <v>235</v>
      </c>
      <c r="E158" s="6" t="s">
        <v>277</v>
      </c>
      <c r="F158" s="6">
        <f t="shared" si="2"/>
        <v>3.6315</v>
      </c>
      <c r="G158" s="7">
        <v>0.130736268</v>
      </c>
      <c r="H158" s="6">
        <f>G158*'Measure conversion'!$C$2</f>
        <v>0.130736268</v>
      </c>
      <c r="M158" s="50" t="s">
        <v>516</v>
      </c>
      <c r="N158" s="51">
        <v>1.309</v>
      </c>
      <c r="O158" s="6" t="str">
        <f t="shared" si="3"/>
        <v>Dec</v>
      </c>
      <c r="P158" s="6" t="str">
        <f t="shared" si="4"/>
        <v>1997</v>
      </c>
    </row>
    <row r="159">
      <c r="A159" s="3"/>
      <c r="C159" s="6">
        <f t="shared" si="1"/>
        <v>0.12246997</v>
      </c>
      <c r="D159" s="6" t="s">
        <v>240</v>
      </c>
      <c r="E159" s="6" t="s">
        <v>277</v>
      </c>
      <c r="F159" s="6">
        <f t="shared" si="2"/>
        <v>4.07825</v>
      </c>
      <c r="G159" s="7">
        <v>0.145620785</v>
      </c>
      <c r="H159" s="6">
        <f>G159*'Measure conversion'!$C$2</f>
        <v>0.145620785</v>
      </c>
      <c r="M159" s="50" t="s">
        <v>517</v>
      </c>
      <c r="N159" s="51">
        <v>1.301</v>
      </c>
      <c r="O159" s="6" t="str">
        <f t="shared" si="3"/>
        <v>Jan</v>
      </c>
      <c r="P159" s="6" t="str">
        <f t="shared" si="4"/>
        <v>1998</v>
      </c>
    </row>
    <row r="160">
      <c r="A160" s="3"/>
      <c r="C160" s="6">
        <f t="shared" si="1"/>
        <v>0.1244369369</v>
      </c>
      <c r="D160" s="6" t="s">
        <v>242</v>
      </c>
      <c r="E160" s="6" t="s">
        <v>277</v>
      </c>
      <c r="F160" s="6">
        <f t="shared" si="2"/>
        <v>4.14375</v>
      </c>
      <c r="G160" s="7">
        <v>0.147866188</v>
      </c>
      <c r="H160" s="6">
        <f>G160*'Measure conversion'!$C$2</f>
        <v>0.147866188</v>
      </c>
      <c r="M160" s="50" t="s">
        <v>518</v>
      </c>
      <c r="N160" s="51">
        <v>1.283</v>
      </c>
      <c r="O160" s="6" t="str">
        <f t="shared" si="3"/>
        <v>Jan</v>
      </c>
      <c r="P160" s="6" t="str">
        <f t="shared" si="4"/>
        <v>1998</v>
      </c>
    </row>
    <row r="161">
      <c r="A161" s="3"/>
      <c r="C161" s="6">
        <f t="shared" si="1"/>
        <v>0.1196216216</v>
      </c>
      <c r="D161" s="6" t="s">
        <v>243</v>
      </c>
      <c r="E161" s="6" t="s">
        <v>277</v>
      </c>
      <c r="F161" s="6">
        <f t="shared" si="2"/>
        <v>3.9834</v>
      </c>
      <c r="G161" s="7">
        <v>0.142140929</v>
      </c>
      <c r="H161" s="6">
        <f>G161*'Measure conversion'!$C$2</f>
        <v>0.142140929</v>
      </c>
      <c r="M161" s="50" t="s">
        <v>519</v>
      </c>
      <c r="N161" s="51">
        <v>1.261</v>
      </c>
      <c r="O161" s="6" t="str">
        <f t="shared" si="3"/>
        <v>Jan</v>
      </c>
      <c r="P161" s="6" t="str">
        <f t="shared" si="4"/>
        <v>1998</v>
      </c>
    </row>
    <row r="162">
      <c r="A162" s="3"/>
      <c r="C162" s="6">
        <f t="shared" si="1"/>
        <v>0.1202777778</v>
      </c>
      <c r="D162" s="6" t="s">
        <v>245</v>
      </c>
      <c r="E162" s="6" t="s">
        <v>277</v>
      </c>
      <c r="F162" s="6">
        <f t="shared" si="2"/>
        <v>4.00525</v>
      </c>
      <c r="G162" s="7">
        <v>0.142690414</v>
      </c>
      <c r="H162" s="6">
        <f>G162*'Measure conversion'!$C$2</f>
        <v>0.142690414</v>
      </c>
      <c r="M162" s="50" t="s">
        <v>520</v>
      </c>
      <c r="N162" s="51">
        <v>1.24</v>
      </c>
      <c r="O162" s="6" t="str">
        <f t="shared" si="3"/>
        <v>Jan</v>
      </c>
      <c r="P162" s="6" t="str">
        <f t="shared" si="4"/>
        <v>1998</v>
      </c>
    </row>
    <row r="163">
      <c r="A163" s="3"/>
      <c r="C163" s="6">
        <f t="shared" si="1"/>
        <v>0.1201951952</v>
      </c>
      <c r="D163" s="6" t="s">
        <v>246</v>
      </c>
      <c r="E163" s="6" t="s">
        <v>277</v>
      </c>
      <c r="F163" s="6">
        <f t="shared" si="2"/>
        <v>4.0025</v>
      </c>
      <c r="G163" s="7">
        <v>0.142499814</v>
      </c>
      <c r="H163" s="6">
        <f>G163*'Measure conversion'!$C$2</f>
        <v>0.142499814</v>
      </c>
      <c r="M163" s="50" t="s">
        <v>521</v>
      </c>
      <c r="N163" s="51">
        <v>1.223</v>
      </c>
      <c r="O163" s="6" t="str">
        <f t="shared" si="3"/>
        <v>Feb</v>
      </c>
      <c r="P163" s="6" t="str">
        <f t="shared" si="4"/>
        <v>1998</v>
      </c>
    </row>
    <row r="164">
      <c r="A164" s="3"/>
      <c r="C164" s="6">
        <f t="shared" si="1"/>
        <v>0.1203603604</v>
      </c>
      <c r="D164" s="6" t="s">
        <v>247</v>
      </c>
      <c r="E164" s="6" t="s">
        <v>277</v>
      </c>
      <c r="F164" s="6">
        <f t="shared" si="2"/>
        <v>4.008</v>
      </c>
      <c r="G164" s="7">
        <v>0.142698833</v>
      </c>
      <c r="H164" s="6">
        <f>G164*'Measure conversion'!$C$2</f>
        <v>0.142698833</v>
      </c>
      <c r="M164" s="50" t="s">
        <v>522</v>
      </c>
      <c r="N164" s="51">
        <v>1.195</v>
      </c>
      <c r="O164" s="6" t="str">
        <f t="shared" si="3"/>
        <v>Feb</v>
      </c>
      <c r="P164" s="6" t="str">
        <f t="shared" si="4"/>
        <v>1998</v>
      </c>
    </row>
    <row r="165">
      <c r="A165" s="3"/>
      <c r="C165" s="6">
        <f t="shared" si="1"/>
        <v>0.1162387387</v>
      </c>
      <c r="D165" s="6" t="s">
        <v>248</v>
      </c>
      <c r="E165" s="6" t="s">
        <v>277</v>
      </c>
      <c r="F165" s="6">
        <f t="shared" si="2"/>
        <v>3.87075</v>
      </c>
      <c r="G165" s="7">
        <v>0.137867196</v>
      </c>
      <c r="H165" s="6">
        <f>G165*'Measure conversion'!$C$2</f>
        <v>0.137867196</v>
      </c>
      <c r="M165" s="50" t="s">
        <v>523</v>
      </c>
      <c r="N165" s="51">
        <v>1.166</v>
      </c>
      <c r="O165" s="6" t="str">
        <f t="shared" si="3"/>
        <v>Feb</v>
      </c>
      <c r="P165" s="6" t="str">
        <f t="shared" si="4"/>
        <v>1998</v>
      </c>
    </row>
    <row r="166">
      <c r="A166" s="3"/>
      <c r="C166" s="6">
        <f t="shared" si="1"/>
        <v>0.1183723724</v>
      </c>
      <c r="D166" s="6" t="s">
        <v>249</v>
      </c>
      <c r="E166" s="6" t="s">
        <v>277</v>
      </c>
      <c r="F166" s="6">
        <f t="shared" si="2"/>
        <v>3.9418</v>
      </c>
      <c r="G166" s="7">
        <v>0.140136879</v>
      </c>
      <c r="H166" s="6">
        <f>G166*'Measure conversion'!$C$2</f>
        <v>0.140136879</v>
      </c>
      <c r="M166" s="50" t="s">
        <v>524</v>
      </c>
      <c r="N166" s="51">
        <v>1.137</v>
      </c>
      <c r="O166" s="6" t="str">
        <f t="shared" si="3"/>
        <v>Feb</v>
      </c>
      <c r="P166" s="6" t="str">
        <f t="shared" si="4"/>
        <v>1998</v>
      </c>
    </row>
    <row r="167">
      <c r="A167" s="3"/>
      <c r="C167" s="6">
        <f t="shared" si="1"/>
        <v>0.1135510511</v>
      </c>
      <c r="D167" s="6" t="s">
        <v>250</v>
      </c>
      <c r="E167" s="6" t="s">
        <v>277</v>
      </c>
      <c r="F167" s="6">
        <f t="shared" si="2"/>
        <v>3.78125</v>
      </c>
      <c r="G167" s="7">
        <v>0.134331331</v>
      </c>
      <c r="H167" s="6">
        <f>G167*'Measure conversion'!$C$2</f>
        <v>0.134331331</v>
      </c>
      <c r="M167" s="50" t="s">
        <v>525</v>
      </c>
      <c r="N167" s="51">
        <v>1.107</v>
      </c>
      <c r="O167" s="6" t="str">
        <f t="shared" si="3"/>
        <v>Mar</v>
      </c>
      <c r="P167" s="6" t="str">
        <f t="shared" si="4"/>
        <v>1998</v>
      </c>
    </row>
    <row r="168">
      <c r="A168" s="3"/>
      <c r="C168" s="6">
        <f t="shared" si="1"/>
        <v>0.1079204204</v>
      </c>
      <c r="D168" s="6" t="s">
        <v>251</v>
      </c>
      <c r="E168" s="6" t="s">
        <v>277</v>
      </c>
      <c r="F168" s="6">
        <f t="shared" si="2"/>
        <v>3.59375</v>
      </c>
      <c r="G168" s="7">
        <v>0.128027859</v>
      </c>
      <c r="H168" s="6">
        <f>G168*'Measure conversion'!$C$2</f>
        <v>0.128027859</v>
      </c>
      <c r="M168" s="50" t="s">
        <v>526</v>
      </c>
      <c r="N168" s="51">
        <v>1.074</v>
      </c>
      <c r="O168" s="6" t="str">
        <f t="shared" si="3"/>
        <v>Mar</v>
      </c>
      <c r="P168" s="6" t="str">
        <f t="shared" si="4"/>
        <v>1998</v>
      </c>
    </row>
    <row r="169">
      <c r="A169" s="3"/>
      <c r="C169" s="6">
        <f t="shared" si="1"/>
        <v>0.1079339339</v>
      </c>
      <c r="D169" s="6" t="s">
        <v>252</v>
      </c>
      <c r="E169" s="6" t="s">
        <v>277</v>
      </c>
      <c r="F169" s="6">
        <f t="shared" si="2"/>
        <v>3.5942</v>
      </c>
      <c r="G169" s="7">
        <v>0.128356502</v>
      </c>
      <c r="H169" s="6">
        <f>G169*'Measure conversion'!$C$2</f>
        <v>0.128356502</v>
      </c>
      <c r="M169" s="50" t="s">
        <v>527</v>
      </c>
      <c r="N169" s="51">
        <v>1.075</v>
      </c>
      <c r="O169" s="6" t="str">
        <f t="shared" si="3"/>
        <v>Mar</v>
      </c>
      <c r="P169" s="6" t="str">
        <f t="shared" si="4"/>
        <v>1998</v>
      </c>
    </row>
    <row r="170">
      <c r="A170" s="3"/>
      <c r="C170" s="6">
        <f t="shared" si="1"/>
        <v>0.1086561562</v>
      </c>
      <c r="D170" s="6" t="s">
        <v>235</v>
      </c>
      <c r="E170" s="6" t="s">
        <v>278</v>
      </c>
      <c r="F170" s="6">
        <f t="shared" si="2"/>
        <v>3.61825</v>
      </c>
      <c r="G170" s="7">
        <v>0.128534197</v>
      </c>
      <c r="H170" s="6">
        <f>G170*'Measure conversion'!$C$2</f>
        <v>0.128534197</v>
      </c>
      <c r="M170" s="50" t="s">
        <v>528</v>
      </c>
      <c r="N170" s="51">
        <v>1.074</v>
      </c>
      <c r="O170" s="6" t="str">
        <f t="shared" si="3"/>
        <v>Mar</v>
      </c>
      <c r="P170" s="6" t="str">
        <f t="shared" si="4"/>
        <v>1998</v>
      </c>
    </row>
    <row r="171">
      <c r="A171" s="3"/>
      <c r="C171" s="6">
        <f t="shared" si="1"/>
        <v>0.1104204204</v>
      </c>
      <c r="D171" s="6" t="s">
        <v>240</v>
      </c>
      <c r="E171" s="6" t="s">
        <v>278</v>
      </c>
      <c r="F171" s="6">
        <f t="shared" si="2"/>
        <v>3.677</v>
      </c>
      <c r="G171" s="7">
        <v>0.129965772</v>
      </c>
      <c r="H171" s="6">
        <f>G171*'Measure conversion'!$C$2</f>
        <v>0.129965772</v>
      </c>
      <c r="M171" s="50" t="s">
        <v>529</v>
      </c>
      <c r="N171" s="51">
        <v>1.102</v>
      </c>
      <c r="O171" s="6" t="str">
        <f t="shared" si="3"/>
        <v>Mar</v>
      </c>
      <c r="P171" s="6" t="str">
        <f t="shared" si="4"/>
        <v>1998</v>
      </c>
    </row>
    <row r="172">
      <c r="A172" s="3"/>
      <c r="C172" s="6">
        <f t="shared" si="1"/>
        <v>0.1181741742</v>
      </c>
      <c r="D172" s="6" t="s">
        <v>242</v>
      </c>
      <c r="E172" s="6" t="s">
        <v>278</v>
      </c>
      <c r="F172" s="6">
        <f t="shared" si="2"/>
        <v>3.9352</v>
      </c>
      <c r="G172" s="7">
        <v>0.138436594</v>
      </c>
      <c r="H172" s="6">
        <f>G172*'Measure conversion'!$C$2</f>
        <v>0.138436594</v>
      </c>
      <c r="M172" s="50" t="s">
        <v>530</v>
      </c>
      <c r="N172" s="51">
        <v>1.103</v>
      </c>
      <c r="O172" s="6" t="str">
        <f t="shared" si="3"/>
        <v>Apr</v>
      </c>
      <c r="P172" s="6" t="str">
        <f t="shared" si="4"/>
        <v>1998</v>
      </c>
    </row>
    <row r="173">
      <c r="A173" s="3"/>
      <c r="C173" s="6">
        <f t="shared" si="1"/>
        <v>0.124954955</v>
      </c>
      <c r="D173" s="6" t="s">
        <v>243</v>
      </c>
      <c r="E173" s="6" t="s">
        <v>278</v>
      </c>
      <c r="F173" s="6">
        <f t="shared" si="2"/>
        <v>4.161</v>
      </c>
      <c r="G173" s="7">
        <v>0.14573551</v>
      </c>
      <c r="H173" s="6">
        <f>G173*'Measure conversion'!$C$2</f>
        <v>0.14573551</v>
      </c>
      <c r="M173" s="50" t="s">
        <v>531</v>
      </c>
      <c r="N173" s="51">
        <v>1.126</v>
      </c>
      <c r="O173" s="6" t="str">
        <f t="shared" si="3"/>
        <v>Apr</v>
      </c>
      <c r="P173" s="6" t="str">
        <f t="shared" si="4"/>
        <v>1998</v>
      </c>
    </row>
    <row r="174">
      <c r="A174" s="3"/>
      <c r="C174" s="6">
        <f t="shared" si="1"/>
        <v>0.1252627628</v>
      </c>
      <c r="D174" s="6" t="s">
        <v>245</v>
      </c>
      <c r="E174" s="6" t="s">
        <v>278</v>
      </c>
      <c r="F174" s="6">
        <f t="shared" si="2"/>
        <v>4.17125</v>
      </c>
      <c r="G174" s="7">
        <v>0.145688276</v>
      </c>
      <c r="H174" s="6">
        <f>G174*'Measure conversion'!$C$2</f>
        <v>0.145688276</v>
      </c>
      <c r="M174" s="50" t="s">
        <v>532</v>
      </c>
      <c r="N174" s="51">
        <v>1.122</v>
      </c>
      <c r="O174" s="6" t="str">
        <f t="shared" si="3"/>
        <v>Apr</v>
      </c>
      <c r="P174" s="6" t="str">
        <f t="shared" si="4"/>
        <v>1998</v>
      </c>
    </row>
    <row r="175">
      <c r="A175" s="3"/>
      <c r="C175" s="6">
        <f t="shared" si="1"/>
        <v>0.1235375375</v>
      </c>
      <c r="D175" s="6" t="s">
        <v>246</v>
      </c>
      <c r="E175" s="6" t="s">
        <v>278</v>
      </c>
      <c r="F175" s="6">
        <f t="shared" si="2"/>
        <v>4.1138</v>
      </c>
      <c r="G175" s="7">
        <v>0.143334447</v>
      </c>
      <c r="H175" s="6">
        <f>G175*'Measure conversion'!$C$2</f>
        <v>0.143334447</v>
      </c>
      <c r="M175" s="50" t="s">
        <v>533</v>
      </c>
      <c r="N175" s="51">
        <v>1.144</v>
      </c>
      <c r="O175" s="6" t="str">
        <f t="shared" si="3"/>
        <v>Apr</v>
      </c>
      <c r="P175" s="6" t="str">
        <f t="shared" si="4"/>
        <v>1998</v>
      </c>
    </row>
    <row r="176">
      <c r="A176" s="3"/>
      <c r="C176" s="6">
        <f t="shared" si="1"/>
        <v>0.1219444444</v>
      </c>
      <c r="D176" s="6" t="s">
        <v>247</v>
      </c>
      <c r="E176" s="6" t="s">
        <v>278</v>
      </c>
      <c r="F176" s="6">
        <f t="shared" si="2"/>
        <v>4.06075</v>
      </c>
      <c r="G176" s="7">
        <v>0.141500755</v>
      </c>
      <c r="H176" s="6">
        <f>G176*'Measure conversion'!$C$2</f>
        <v>0.141500755</v>
      </c>
      <c r="M176" s="50" t="s">
        <v>534</v>
      </c>
      <c r="N176" s="51">
        <v>1.217</v>
      </c>
      <c r="O176" s="6" t="str">
        <f t="shared" si="3"/>
        <v>May</v>
      </c>
      <c r="P176" s="6" t="str">
        <f t="shared" si="4"/>
        <v>1998</v>
      </c>
    </row>
    <row r="177">
      <c r="A177" s="3"/>
      <c r="C177" s="6">
        <f t="shared" si="1"/>
        <v>0.1174774775</v>
      </c>
      <c r="D177" s="6" t="s">
        <v>248</v>
      </c>
      <c r="E177" s="6" t="s">
        <v>278</v>
      </c>
      <c r="F177" s="6">
        <f t="shared" si="2"/>
        <v>3.912</v>
      </c>
      <c r="G177" s="7">
        <v>0.136362374</v>
      </c>
      <c r="H177" s="6">
        <f>G177*'Measure conversion'!$C$2</f>
        <v>0.136362374</v>
      </c>
      <c r="M177" s="50" t="s">
        <v>535</v>
      </c>
      <c r="N177" s="51">
        <v>1.229</v>
      </c>
      <c r="O177" s="6" t="str">
        <f t="shared" si="3"/>
        <v>May</v>
      </c>
      <c r="P177" s="6" t="str">
        <f t="shared" si="4"/>
        <v>1998</v>
      </c>
    </row>
    <row r="178">
      <c r="A178" s="3"/>
      <c r="C178" s="6">
        <f t="shared" si="1"/>
        <v>0.1133093093</v>
      </c>
      <c r="D178" s="6" t="s">
        <v>249</v>
      </c>
      <c r="E178" s="6" t="s">
        <v>278</v>
      </c>
      <c r="F178" s="6">
        <f t="shared" si="2"/>
        <v>3.7732</v>
      </c>
      <c r="G178" s="7">
        <v>0.131483673</v>
      </c>
      <c r="H178" s="6">
        <f>G178*'Measure conversion'!$C$2</f>
        <v>0.131483673</v>
      </c>
      <c r="M178" s="50" t="s">
        <v>536</v>
      </c>
      <c r="N178" s="51">
        <v>1.25</v>
      </c>
      <c r="O178" s="6" t="str">
        <f t="shared" si="3"/>
        <v>May</v>
      </c>
      <c r="P178" s="6" t="str">
        <f t="shared" si="4"/>
        <v>1998</v>
      </c>
    </row>
    <row r="179">
      <c r="A179" s="3"/>
      <c r="C179" s="6">
        <f t="shared" si="1"/>
        <v>0.1061786787</v>
      </c>
      <c r="D179" s="6" t="s">
        <v>250</v>
      </c>
      <c r="E179" s="6" t="s">
        <v>278</v>
      </c>
      <c r="F179" s="6">
        <f t="shared" si="2"/>
        <v>3.53575</v>
      </c>
      <c r="G179" s="7">
        <v>0.123307393</v>
      </c>
      <c r="H179" s="6">
        <f>G179*'Measure conversion'!$C$2</f>
        <v>0.123307393</v>
      </c>
      <c r="M179" s="50" t="s">
        <v>537</v>
      </c>
      <c r="N179" s="51">
        <v>1.252</v>
      </c>
      <c r="O179" s="6" t="str">
        <f t="shared" si="3"/>
        <v>May</v>
      </c>
      <c r="P179" s="6" t="str">
        <f t="shared" si="4"/>
        <v>1998</v>
      </c>
    </row>
    <row r="180">
      <c r="A180" s="3"/>
      <c r="C180" s="6">
        <f t="shared" si="1"/>
        <v>0.09564564565</v>
      </c>
      <c r="D180" s="6" t="s">
        <v>251</v>
      </c>
      <c r="E180" s="6" t="s">
        <v>278</v>
      </c>
      <c r="F180" s="6">
        <f t="shared" si="2"/>
        <v>3.185</v>
      </c>
      <c r="G180" s="7">
        <v>0.111837685</v>
      </c>
      <c r="H180" s="6">
        <f>G180*'Measure conversion'!$C$2</f>
        <v>0.111837685</v>
      </c>
      <c r="M180" s="50" t="s">
        <v>538</v>
      </c>
      <c r="N180" s="51">
        <v>1.241</v>
      </c>
      <c r="O180" s="6" t="str">
        <f t="shared" si="3"/>
        <v>Jun</v>
      </c>
      <c r="P180" s="6" t="str">
        <f t="shared" si="4"/>
        <v>1998</v>
      </c>
    </row>
    <row r="181">
      <c r="A181" s="3"/>
      <c r="C181" s="6">
        <f t="shared" si="1"/>
        <v>0.08609009009</v>
      </c>
      <c r="D181" s="6" t="s">
        <v>252</v>
      </c>
      <c r="E181" s="6" t="s">
        <v>278</v>
      </c>
      <c r="F181" s="6">
        <f t="shared" si="2"/>
        <v>2.8668</v>
      </c>
      <c r="G181" s="7">
        <v>0.101390353</v>
      </c>
      <c r="H181" s="6">
        <f>G181*'Measure conversion'!$C$2</f>
        <v>0.101390353</v>
      </c>
      <c r="M181" s="50" t="s">
        <v>539</v>
      </c>
      <c r="N181" s="51">
        <v>1.227</v>
      </c>
      <c r="O181" s="6" t="str">
        <f t="shared" si="3"/>
        <v>Jun</v>
      </c>
      <c r="P181" s="6" t="str">
        <f t="shared" si="4"/>
        <v>1998</v>
      </c>
    </row>
    <row r="182">
      <c r="A182" s="3"/>
      <c r="C182" s="6">
        <f t="shared" si="1"/>
        <v>0.07649399399</v>
      </c>
      <c r="D182" s="6" t="s">
        <v>235</v>
      </c>
      <c r="E182" s="6" t="s">
        <v>279</v>
      </c>
      <c r="F182" s="6">
        <f t="shared" si="2"/>
        <v>2.54725</v>
      </c>
      <c r="G182" s="7">
        <v>0.090005381</v>
      </c>
      <c r="H182" s="6">
        <f>G182*'Measure conversion'!$C$2</f>
        <v>0.090005381</v>
      </c>
      <c r="M182" s="50" t="s">
        <v>540</v>
      </c>
      <c r="N182" s="51">
        <v>1.224</v>
      </c>
      <c r="O182" s="6" t="str">
        <f t="shared" si="3"/>
        <v>Jun</v>
      </c>
      <c r="P182" s="6" t="str">
        <f t="shared" si="4"/>
        <v>1998</v>
      </c>
    </row>
    <row r="183">
      <c r="A183" s="3"/>
      <c r="C183" s="6">
        <f t="shared" si="1"/>
        <v>0.08126876877</v>
      </c>
      <c r="D183" s="6" t="s">
        <v>240</v>
      </c>
      <c r="E183" s="6" t="s">
        <v>279</v>
      </c>
      <c r="F183" s="6">
        <f t="shared" si="2"/>
        <v>2.70625</v>
      </c>
      <c r="G183" s="7">
        <v>0.095279887</v>
      </c>
      <c r="H183" s="6">
        <f>G183*'Measure conversion'!$C$2</f>
        <v>0.095279887</v>
      </c>
      <c r="M183" s="50" t="s">
        <v>541</v>
      </c>
      <c r="N183" s="51">
        <v>1.212</v>
      </c>
      <c r="O183" s="6" t="str">
        <f t="shared" si="3"/>
        <v>Jun</v>
      </c>
      <c r="P183" s="6" t="str">
        <f t="shared" si="4"/>
        <v>1998</v>
      </c>
    </row>
    <row r="184">
      <c r="A184" s="3"/>
      <c r="C184" s="6">
        <f t="shared" si="1"/>
        <v>0.1002342342</v>
      </c>
      <c r="D184" s="6" t="s">
        <v>242</v>
      </c>
      <c r="E184" s="6" t="s">
        <v>279</v>
      </c>
      <c r="F184" s="6">
        <f t="shared" si="2"/>
        <v>3.3378</v>
      </c>
      <c r="G184" s="7">
        <v>0.116556703</v>
      </c>
      <c r="H184" s="6">
        <f>G184*'Measure conversion'!$C$2</f>
        <v>0.116556703</v>
      </c>
      <c r="M184" s="50" t="s">
        <v>542</v>
      </c>
      <c r="N184" s="51">
        <v>1.208</v>
      </c>
      <c r="O184" s="6" t="str">
        <f t="shared" si="3"/>
        <v>Jun</v>
      </c>
      <c r="P184" s="6" t="str">
        <f t="shared" si="4"/>
        <v>1998</v>
      </c>
    </row>
    <row r="185">
      <c r="A185" s="3"/>
      <c r="C185" s="6">
        <f t="shared" si="1"/>
        <v>0.0963963964</v>
      </c>
      <c r="D185" s="6" t="s">
        <v>243</v>
      </c>
      <c r="E185" s="6" t="s">
        <v>279</v>
      </c>
      <c r="F185" s="6">
        <f t="shared" si="2"/>
        <v>3.21</v>
      </c>
      <c r="G185" s="7">
        <v>0.111641808</v>
      </c>
      <c r="H185" s="6">
        <f>G185*'Measure conversion'!$C$2</f>
        <v>0.111641808</v>
      </c>
      <c r="M185" s="50" t="s">
        <v>543</v>
      </c>
      <c r="N185" s="51">
        <v>1.204</v>
      </c>
      <c r="O185" s="6" t="str">
        <f t="shared" si="3"/>
        <v>Jul</v>
      </c>
      <c r="P185" s="6" t="str">
        <f t="shared" si="4"/>
        <v>1998</v>
      </c>
    </row>
    <row r="186">
      <c r="A186" s="3"/>
      <c r="C186" s="6">
        <f t="shared" si="1"/>
        <v>0.1126651652</v>
      </c>
      <c r="D186" s="6" t="s">
        <v>245</v>
      </c>
      <c r="E186" s="6" t="s">
        <v>279</v>
      </c>
      <c r="F186" s="6">
        <f t="shared" si="2"/>
        <v>3.75175</v>
      </c>
      <c r="G186" s="7">
        <v>0.129770535</v>
      </c>
      <c r="H186" s="6">
        <f>G186*'Measure conversion'!$C$2</f>
        <v>0.129770535</v>
      </c>
      <c r="M186" s="50" t="s">
        <v>544</v>
      </c>
      <c r="N186" s="51">
        <v>1.2</v>
      </c>
      <c r="O186" s="6" t="str">
        <f t="shared" si="3"/>
        <v>Jul</v>
      </c>
      <c r="P186" s="6" t="str">
        <f t="shared" si="4"/>
        <v>1998</v>
      </c>
    </row>
    <row r="187">
      <c r="A187" s="3"/>
      <c r="C187" s="6">
        <f t="shared" si="1"/>
        <v>0.1064564565</v>
      </c>
      <c r="D187" s="6" t="s">
        <v>246</v>
      </c>
      <c r="E187" s="6" t="s">
        <v>279</v>
      </c>
      <c r="F187" s="6">
        <f t="shared" si="2"/>
        <v>3.545</v>
      </c>
      <c r="G187" s="7">
        <v>0.122241942</v>
      </c>
      <c r="H187" s="6">
        <f>G187*'Measure conversion'!$C$2</f>
        <v>0.122241942</v>
      </c>
      <c r="M187" s="50" t="s">
        <v>545</v>
      </c>
      <c r="N187" s="51">
        <v>1.196</v>
      </c>
      <c r="O187" s="6" t="str">
        <f t="shared" si="3"/>
        <v>Jul</v>
      </c>
      <c r="P187" s="6" t="str">
        <f t="shared" si="4"/>
        <v>1998</v>
      </c>
    </row>
    <row r="188">
      <c r="A188" s="3"/>
      <c r="C188" s="6">
        <f t="shared" si="1"/>
        <v>0.1127702703</v>
      </c>
      <c r="D188" s="6" t="s">
        <v>247</v>
      </c>
      <c r="E188" s="6" t="s">
        <v>279</v>
      </c>
      <c r="F188" s="6">
        <f t="shared" si="2"/>
        <v>3.75525</v>
      </c>
      <c r="G188" s="7">
        <v>0.129365309</v>
      </c>
      <c r="H188" s="6">
        <f>G188*'Measure conversion'!$C$2</f>
        <v>0.129365309</v>
      </c>
      <c r="M188" s="50" t="s">
        <v>546</v>
      </c>
      <c r="N188" s="51">
        <v>1.195</v>
      </c>
      <c r="O188" s="6" t="str">
        <f t="shared" si="3"/>
        <v>Jul</v>
      </c>
      <c r="P188" s="6" t="str">
        <f t="shared" si="4"/>
        <v>1998</v>
      </c>
    </row>
    <row r="189">
      <c r="A189" s="3"/>
      <c r="C189" s="6">
        <f t="shared" si="1"/>
        <v>0.1062942943</v>
      </c>
      <c r="D189" s="6" t="s">
        <v>248</v>
      </c>
      <c r="E189" s="6" t="s">
        <v>279</v>
      </c>
      <c r="F189" s="6">
        <f t="shared" si="2"/>
        <v>3.5396</v>
      </c>
      <c r="G189" s="7">
        <v>0.12176112</v>
      </c>
      <c r="H189" s="6">
        <f>G189*'Measure conversion'!$C$2</f>
        <v>0.12176112</v>
      </c>
      <c r="M189" s="50" t="s">
        <v>547</v>
      </c>
      <c r="N189" s="51">
        <v>1.186</v>
      </c>
      <c r="O189" s="6" t="str">
        <f t="shared" si="3"/>
        <v>Aug</v>
      </c>
      <c r="P189" s="6" t="str">
        <f t="shared" si="4"/>
        <v>1998</v>
      </c>
    </row>
    <row r="190">
      <c r="A190" s="3"/>
      <c r="C190" s="6">
        <f t="shared" si="1"/>
        <v>0.09374624625</v>
      </c>
      <c r="D190" s="6" t="s">
        <v>249</v>
      </c>
      <c r="E190" s="6" t="s">
        <v>279</v>
      </c>
      <c r="F190" s="6">
        <f t="shared" si="2"/>
        <v>3.12175</v>
      </c>
      <c r="G190" s="7">
        <v>0.107565392</v>
      </c>
      <c r="H190" s="6">
        <f>G190*'Measure conversion'!$C$2</f>
        <v>0.107565392</v>
      </c>
      <c r="M190" s="50" t="s">
        <v>548</v>
      </c>
      <c r="N190" s="51">
        <v>1.179</v>
      </c>
      <c r="O190" s="6" t="str">
        <f t="shared" si="3"/>
        <v>Aug</v>
      </c>
      <c r="P190" s="6" t="str">
        <f t="shared" si="4"/>
        <v>1998</v>
      </c>
    </row>
    <row r="191">
      <c r="A191" s="3"/>
      <c r="C191" s="6">
        <f t="shared" si="1"/>
        <v>0.08686936937</v>
      </c>
      <c r="D191" s="6" t="s">
        <v>250</v>
      </c>
      <c r="E191" s="6" t="s">
        <v>279</v>
      </c>
      <c r="F191" s="6">
        <f t="shared" si="2"/>
        <v>2.89275</v>
      </c>
      <c r="G191" s="7">
        <v>0.099772856</v>
      </c>
      <c r="H191" s="6">
        <f>G191*'Measure conversion'!$C$2</f>
        <v>0.099772856</v>
      </c>
      <c r="M191" s="50" t="s">
        <v>549</v>
      </c>
      <c r="N191" s="51">
        <v>1.175</v>
      </c>
      <c r="O191" s="6" t="str">
        <f t="shared" si="3"/>
        <v>Aug</v>
      </c>
      <c r="P191" s="6" t="str">
        <f t="shared" si="4"/>
        <v>1998</v>
      </c>
    </row>
    <row r="192">
      <c r="A192" s="3"/>
      <c r="C192" s="6">
        <f t="shared" si="1"/>
        <v>0.08305105105</v>
      </c>
      <c r="D192" s="6" t="s">
        <v>251</v>
      </c>
      <c r="E192" s="6" t="s">
        <v>279</v>
      </c>
      <c r="F192" s="6">
        <f t="shared" si="2"/>
        <v>2.7656</v>
      </c>
      <c r="G192" s="7">
        <v>0.095607638</v>
      </c>
      <c r="H192" s="6">
        <f>G192*'Measure conversion'!$C$2</f>
        <v>0.095607638</v>
      </c>
      <c r="M192" s="50" t="s">
        <v>550</v>
      </c>
      <c r="N192" s="51">
        <v>1.167</v>
      </c>
      <c r="O192" s="6" t="str">
        <f t="shared" si="3"/>
        <v>Aug</v>
      </c>
      <c r="P192" s="6" t="str">
        <f t="shared" si="4"/>
        <v>1998</v>
      </c>
    </row>
    <row r="193">
      <c r="A193" s="3"/>
      <c r="C193" s="6">
        <f t="shared" si="1"/>
        <v>0.08178678679</v>
      </c>
      <c r="D193" s="6" t="s">
        <v>252</v>
      </c>
      <c r="E193" s="6" t="s">
        <v>279</v>
      </c>
      <c r="F193" s="6">
        <f t="shared" si="2"/>
        <v>2.7235</v>
      </c>
      <c r="G193" s="7">
        <v>0.094251418</v>
      </c>
      <c r="H193" s="6">
        <f>G193*'Measure conversion'!$C$2</f>
        <v>0.094251418</v>
      </c>
      <c r="M193" s="50" t="s">
        <v>551</v>
      </c>
      <c r="N193" s="51">
        <v>1.157</v>
      </c>
      <c r="O193" s="6" t="str">
        <f t="shared" si="3"/>
        <v>Aug</v>
      </c>
      <c r="P193" s="6" t="str">
        <f t="shared" si="4"/>
        <v>1998</v>
      </c>
    </row>
    <row r="194">
      <c r="A194" s="3"/>
      <c r="C194" s="6">
        <f t="shared" si="1"/>
        <v>0.08312312312</v>
      </c>
      <c r="D194" s="6" t="s">
        <v>235</v>
      </c>
      <c r="E194" s="6" t="s">
        <v>280</v>
      </c>
      <c r="F194" s="6">
        <f t="shared" si="2"/>
        <v>2.768</v>
      </c>
      <c r="G194" s="7">
        <v>0.095478149</v>
      </c>
      <c r="H194" s="6">
        <f>G194*'Measure conversion'!$C$2</f>
        <v>0.095478149</v>
      </c>
      <c r="M194" s="50" t="s">
        <v>552</v>
      </c>
      <c r="N194" s="51">
        <v>1.152</v>
      </c>
      <c r="O194" s="6" t="str">
        <f t="shared" si="3"/>
        <v>Sep</v>
      </c>
      <c r="P194" s="6" t="str">
        <f t="shared" si="4"/>
        <v>1998</v>
      </c>
    </row>
    <row r="195">
      <c r="A195" s="3"/>
      <c r="C195" s="6">
        <f t="shared" si="1"/>
        <v>0.07276876877</v>
      </c>
      <c r="D195" s="6" t="s">
        <v>240</v>
      </c>
      <c r="E195" s="6" t="s">
        <v>280</v>
      </c>
      <c r="F195" s="6">
        <f t="shared" si="2"/>
        <v>2.4232</v>
      </c>
      <c r="G195" s="7">
        <v>0.083454593</v>
      </c>
      <c r="H195" s="6">
        <f>G195*'Measure conversion'!$C$2</f>
        <v>0.083454593</v>
      </c>
      <c r="M195" s="50" t="s">
        <v>553</v>
      </c>
      <c r="N195" s="51">
        <v>1.141</v>
      </c>
      <c r="O195" s="6" t="str">
        <f t="shared" si="3"/>
        <v>Sep</v>
      </c>
      <c r="P195" s="6" t="str">
        <f t="shared" si="4"/>
        <v>1998</v>
      </c>
    </row>
    <row r="196">
      <c r="A196" s="3"/>
      <c r="C196" s="6">
        <f t="shared" si="1"/>
        <v>0.07882882883</v>
      </c>
      <c r="D196" s="6" t="s">
        <v>242</v>
      </c>
      <c r="E196" s="6" t="s">
        <v>280</v>
      </c>
      <c r="F196" s="6">
        <f t="shared" si="2"/>
        <v>2.625</v>
      </c>
      <c r="G196" s="7">
        <v>0.089995851</v>
      </c>
      <c r="H196" s="6">
        <f>G196*'Measure conversion'!$C$2</f>
        <v>0.089995851</v>
      </c>
      <c r="M196" s="50" t="s">
        <v>554</v>
      </c>
      <c r="N196" s="51">
        <v>1.171</v>
      </c>
      <c r="O196" s="6" t="str">
        <f t="shared" si="3"/>
        <v>Sep</v>
      </c>
      <c r="P196" s="6" t="str">
        <f t="shared" si="4"/>
        <v>1998</v>
      </c>
    </row>
    <row r="197">
      <c r="A197" s="3"/>
      <c r="C197" s="6">
        <f t="shared" si="1"/>
        <v>0.08312312312</v>
      </c>
      <c r="D197" s="6" t="s">
        <v>243</v>
      </c>
      <c r="E197" s="6" t="s">
        <v>280</v>
      </c>
      <c r="F197" s="6">
        <f t="shared" si="2"/>
        <v>2.768</v>
      </c>
      <c r="G197" s="7">
        <v>0.094522686</v>
      </c>
      <c r="H197" s="6">
        <f>G197*'Measure conversion'!$C$2</f>
        <v>0.094522686</v>
      </c>
      <c r="M197" s="50" t="s">
        <v>555</v>
      </c>
      <c r="N197" s="51">
        <v>1.166</v>
      </c>
      <c r="O197" s="6" t="str">
        <f t="shared" si="3"/>
        <v>Sep</v>
      </c>
      <c r="P197" s="6" t="str">
        <f t="shared" si="4"/>
        <v>1998</v>
      </c>
    </row>
    <row r="198">
      <c r="A198" s="3"/>
      <c r="C198" s="6">
        <f t="shared" si="1"/>
        <v>0.08408408408</v>
      </c>
      <c r="D198" s="6" t="s">
        <v>245</v>
      </c>
      <c r="E198" s="6" t="s">
        <v>280</v>
      </c>
      <c r="F198" s="6">
        <f t="shared" si="2"/>
        <v>2.8</v>
      </c>
      <c r="G198" s="7">
        <v>0.095357482</v>
      </c>
      <c r="H198" s="6">
        <f>G198*'Measure conversion'!$C$2</f>
        <v>0.095357482</v>
      </c>
      <c r="M198" s="50" t="s">
        <v>556</v>
      </c>
      <c r="N198" s="51">
        <v>1.159</v>
      </c>
      <c r="O198" s="6" t="str">
        <f t="shared" si="3"/>
        <v>Oct</v>
      </c>
      <c r="P198" s="6" t="str">
        <f t="shared" si="4"/>
        <v>1998</v>
      </c>
    </row>
    <row r="199">
      <c r="A199" s="3"/>
      <c r="C199" s="6">
        <f t="shared" si="1"/>
        <v>0.08632882883</v>
      </c>
      <c r="D199" s="6" t="s">
        <v>246</v>
      </c>
      <c r="E199" s="6" t="s">
        <v>280</v>
      </c>
      <c r="F199" s="6">
        <f t="shared" si="2"/>
        <v>2.87475</v>
      </c>
      <c r="G199" s="7">
        <v>0.097586417</v>
      </c>
      <c r="H199" s="6">
        <f>G199*'Measure conversion'!$C$2</f>
        <v>0.097586417</v>
      </c>
      <c r="M199" s="50" t="s">
        <v>557</v>
      </c>
      <c r="N199" s="51">
        <v>1.151</v>
      </c>
      <c r="O199" s="6" t="str">
        <f t="shared" si="3"/>
        <v>Oct</v>
      </c>
      <c r="P199" s="6" t="str">
        <f t="shared" si="4"/>
        <v>1998</v>
      </c>
    </row>
    <row r="200">
      <c r="A200" s="3"/>
      <c r="C200" s="6">
        <f t="shared" si="1"/>
        <v>0.08578078078</v>
      </c>
      <c r="D200" s="6" t="s">
        <v>247</v>
      </c>
      <c r="E200" s="6" t="s">
        <v>280</v>
      </c>
      <c r="F200" s="6">
        <f t="shared" si="2"/>
        <v>2.8565</v>
      </c>
      <c r="G200" s="7">
        <v>0.096854883</v>
      </c>
      <c r="H200" s="6">
        <f>G200*'Measure conversion'!$C$2</f>
        <v>0.096854883</v>
      </c>
      <c r="M200" s="50" t="s">
        <v>558</v>
      </c>
      <c r="N200" s="51">
        <v>1.149</v>
      </c>
      <c r="O200" s="6" t="str">
        <f t="shared" si="3"/>
        <v>Oct</v>
      </c>
      <c r="P200" s="6" t="str">
        <f t="shared" si="4"/>
        <v>1998</v>
      </c>
    </row>
    <row r="201">
      <c r="A201" s="3"/>
      <c r="C201" s="6">
        <f t="shared" si="1"/>
        <v>0.08084084084</v>
      </c>
      <c r="D201" s="6" t="s">
        <v>248</v>
      </c>
      <c r="E201" s="6" t="s">
        <v>280</v>
      </c>
      <c r="F201" s="6">
        <f t="shared" si="2"/>
        <v>2.692</v>
      </c>
      <c r="G201" s="7">
        <v>0.091238824</v>
      </c>
      <c r="H201" s="6">
        <f>G201*'Measure conversion'!$C$2</f>
        <v>0.091238824</v>
      </c>
      <c r="M201" s="50" t="s">
        <v>559</v>
      </c>
      <c r="N201" s="51">
        <v>1.15</v>
      </c>
      <c r="O201" s="6" t="str">
        <f t="shared" si="3"/>
        <v>Oct</v>
      </c>
      <c r="P201" s="6" t="str">
        <f t="shared" si="4"/>
        <v>1998</v>
      </c>
    </row>
    <row r="202">
      <c r="A202" s="3"/>
      <c r="C202" s="6">
        <f t="shared" si="1"/>
        <v>0.08247747748</v>
      </c>
      <c r="D202" s="6" t="s">
        <v>249</v>
      </c>
      <c r="E202" s="6" t="s">
        <v>280</v>
      </c>
      <c r="F202" s="6">
        <f t="shared" si="2"/>
        <v>2.7465</v>
      </c>
      <c r="G202" s="7">
        <v>0.09285139</v>
      </c>
      <c r="H202" s="6">
        <f>G202*'Measure conversion'!$C$2</f>
        <v>0.09285139</v>
      </c>
      <c r="M202" s="50" t="s">
        <v>560</v>
      </c>
      <c r="N202" s="51">
        <v>1.147</v>
      </c>
      <c r="O202" s="6" t="str">
        <f t="shared" si="3"/>
        <v>Nov</v>
      </c>
      <c r="P202" s="6" t="str">
        <f t="shared" si="4"/>
        <v>1998</v>
      </c>
    </row>
    <row r="203">
      <c r="A203" s="3"/>
      <c r="C203" s="6">
        <f t="shared" si="1"/>
        <v>0.08429429429</v>
      </c>
      <c r="D203" s="6" t="s">
        <v>250</v>
      </c>
      <c r="E203" s="6" t="s">
        <v>280</v>
      </c>
      <c r="F203" s="6">
        <f t="shared" si="2"/>
        <v>2.807</v>
      </c>
      <c r="G203" s="7">
        <v>0.094486093</v>
      </c>
      <c r="H203" s="6">
        <f>G203*'Measure conversion'!$C$2</f>
        <v>0.094486093</v>
      </c>
      <c r="M203" s="50" t="s">
        <v>561</v>
      </c>
      <c r="N203" s="51">
        <v>1.144</v>
      </c>
      <c r="O203" s="6" t="str">
        <f t="shared" si="3"/>
        <v>Nov</v>
      </c>
      <c r="P203" s="6" t="str">
        <f t="shared" si="4"/>
        <v>1998</v>
      </c>
    </row>
    <row r="204">
      <c r="A204" s="3"/>
      <c r="C204" s="6">
        <f t="shared" si="1"/>
        <v>0.08202702703</v>
      </c>
      <c r="D204" s="6" t="s">
        <v>251</v>
      </c>
      <c r="E204" s="6" t="s">
        <v>280</v>
      </c>
      <c r="F204" s="6">
        <f t="shared" si="2"/>
        <v>2.7315</v>
      </c>
      <c r="G204" s="7">
        <v>0.092200935</v>
      </c>
      <c r="H204" s="6">
        <f>G204*'Measure conversion'!$C$2</f>
        <v>0.092200935</v>
      </c>
      <c r="M204" s="50" t="s">
        <v>562</v>
      </c>
      <c r="N204" s="51">
        <v>1.146</v>
      </c>
      <c r="O204" s="6" t="str">
        <f t="shared" si="3"/>
        <v>Nov</v>
      </c>
      <c r="P204" s="6" t="str">
        <f t="shared" si="4"/>
        <v>1998</v>
      </c>
    </row>
    <row r="205">
      <c r="A205" s="3"/>
      <c r="C205" s="6">
        <f t="shared" si="1"/>
        <v>0.08051051051</v>
      </c>
      <c r="D205" s="6" t="s">
        <v>252</v>
      </c>
      <c r="E205" s="6" t="s">
        <v>280</v>
      </c>
      <c r="F205" s="6">
        <f t="shared" si="2"/>
        <v>2.681</v>
      </c>
      <c r="G205" s="7">
        <v>0.090702983</v>
      </c>
      <c r="H205" s="6">
        <f>G205*'Measure conversion'!$C$2</f>
        <v>0.090702983</v>
      </c>
      <c r="M205" s="50" t="s">
        <v>563</v>
      </c>
      <c r="N205" s="51">
        <v>1.165</v>
      </c>
      <c r="O205" s="6" t="str">
        <f t="shared" si="3"/>
        <v>Nov</v>
      </c>
      <c r="P205" s="6" t="str">
        <f t="shared" si="4"/>
        <v>1998</v>
      </c>
    </row>
    <row r="206">
      <c r="A206" s="3"/>
      <c r="C206" s="6">
        <f t="shared" si="1"/>
        <v>0.08378978979</v>
      </c>
      <c r="D206" s="6" t="s">
        <v>235</v>
      </c>
      <c r="E206" s="6" t="s">
        <v>281</v>
      </c>
      <c r="F206" s="6">
        <f t="shared" si="2"/>
        <v>2.7902</v>
      </c>
      <c r="G206" s="7">
        <v>0.093770773</v>
      </c>
      <c r="H206" s="6">
        <f>G206*'Measure conversion'!$C$2</f>
        <v>0.093770773</v>
      </c>
      <c r="M206" s="50" t="s">
        <v>564</v>
      </c>
      <c r="N206" s="51">
        <v>1.164</v>
      </c>
      <c r="O206" s="6" t="str">
        <f t="shared" si="3"/>
        <v>Nov</v>
      </c>
      <c r="P206" s="6" t="str">
        <f t="shared" si="4"/>
        <v>1998</v>
      </c>
    </row>
    <row r="207">
      <c r="A207" s="3"/>
      <c r="C207" s="6">
        <f t="shared" si="1"/>
        <v>0.08673423423</v>
      </c>
      <c r="D207" s="6" t="s">
        <v>240</v>
      </c>
      <c r="E207" s="6" t="s">
        <v>281</v>
      </c>
      <c r="F207" s="6">
        <f t="shared" si="2"/>
        <v>2.88825</v>
      </c>
      <c r="G207" s="7">
        <v>0.096408615</v>
      </c>
      <c r="H207" s="6">
        <f>G207*'Measure conversion'!$C$2</f>
        <v>0.096408615</v>
      </c>
      <c r="M207" s="50" t="s">
        <v>565</v>
      </c>
      <c r="N207" s="51">
        <v>1.151</v>
      </c>
      <c r="O207" s="6" t="str">
        <f t="shared" si="3"/>
        <v>Dec</v>
      </c>
      <c r="P207" s="6" t="str">
        <f t="shared" si="4"/>
        <v>1998</v>
      </c>
    </row>
    <row r="208">
      <c r="A208" s="3"/>
      <c r="C208" s="6">
        <f t="shared" si="1"/>
        <v>0.09012012012</v>
      </c>
      <c r="D208" s="6" t="s">
        <v>242</v>
      </c>
      <c r="E208" s="6" t="s">
        <v>281</v>
      </c>
      <c r="F208" s="6">
        <f t="shared" si="2"/>
        <v>3.001</v>
      </c>
      <c r="G208" s="7">
        <v>0.099773047</v>
      </c>
      <c r="H208" s="6">
        <f>G208*'Measure conversion'!$C$2</f>
        <v>0.099773047</v>
      </c>
      <c r="M208" s="50" t="s">
        <v>566</v>
      </c>
      <c r="N208" s="51">
        <v>1.142</v>
      </c>
      <c r="O208" s="6" t="str">
        <f t="shared" si="3"/>
        <v>Dec</v>
      </c>
      <c r="P208" s="6" t="str">
        <f t="shared" si="4"/>
        <v>1998</v>
      </c>
    </row>
    <row r="209">
      <c r="A209" s="3"/>
      <c r="C209" s="6">
        <f t="shared" si="1"/>
        <v>0.09034534535</v>
      </c>
      <c r="D209" s="6" t="s">
        <v>243</v>
      </c>
      <c r="E209" s="6" t="s">
        <v>281</v>
      </c>
      <c r="F209" s="6">
        <f t="shared" si="2"/>
        <v>3.0085</v>
      </c>
      <c r="G209" s="7">
        <v>0.099701804</v>
      </c>
      <c r="H209" s="6">
        <f>G209*'Measure conversion'!$C$2</f>
        <v>0.099701804</v>
      </c>
      <c r="M209" s="50" t="s">
        <v>567</v>
      </c>
      <c r="N209" s="51">
        <v>1.145</v>
      </c>
      <c r="O209" s="6" t="str">
        <f t="shared" si="3"/>
        <v>Dec</v>
      </c>
      <c r="P209" s="6" t="str">
        <f t="shared" si="4"/>
        <v>1998</v>
      </c>
    </row>
    <row r="210">
      <c r="A210" s="3"/>
      <c r="C210" s="6">
        <f t="shared" si="1"/>
        <v>0.09137537538</v>
      </c>
      <c r="D210" s="6" t="s">
        <v>245</v>
      </c>
      <c r="E210" s="6" t="s">
        <v>281</v>
      </c>
      <c r="F210" s="6">
        <f t="shared" si="2"/>
        <v>3.0428</v>
      </c>
      <c r="G210" s="7">
        <v>0.100723218</v>
      </c>
      <c r="H210" s="6">
        <f>G210*'Measure conversion'!$C$2</f>
        <v>0.100723218</v>
      </c>
      <c r="M210" s="50" t="s">
        <v>568</v>
      </c>
      <c r="N210" s="51">
        <v>1.142</v>
      </c>
      <c r="O210" s="6" t="str">
        <f t="shared" si="3"/>
        <v>Dec</v>
      </c>
      <c r="P210" s="6" t="str">
        <f t="shared" si="4"/>
        <v>1998</v>
      </c>
    </row>
    <row r="211">
      <c r="A211" s="3"/>
      <c r="C211" s="6">
        <f t="shared" si="1"/>
        <v>0.09077327327</v>
      </c>
      <c r="D211" s="6" t="s">
        <v>246</v>
      </c>
      <c r="E211" s="6" t="s">
        <v>281</v>
      </c>
      <c r="F211" s="6">
        <f t="shared" si="2"/>
        <v>3.02275</v>
      </c>
      <c r="G211" s="7">
        <v>0.09995797</v>
      </c>
      <c r="H211" s="6">
        <f>G211*'Measure conversion'!$C$2</f>
        <v>0.09995797</v>
      </c>
      <c r="M211" s="50" t="s">
        <v>569</v>
      </c>
      <c r="N211" s="51">
        <v>1.138</v>
      </c>
      <c r="O211" s="6" t="str">
        <f t="shared" si="3"/>
        <v>Jan</v>
      </c>
      <c r="P211" s="6" t="str">
        <f t="shared" si="4"/>
        <v>1999</v>
      </c>
    </row>
    <row r="212">
      <c r="A212" s="3"/>
      <c r="C212" s="6">
        <f t="shared" si="1"/>
        <v>0.08859459459</v>
      </c>
      <c r="D212" s="6" t="s">
        <v>247</v>
      </c>
      <c r="E212" s="6" t="s">
        <v>281</v>
      </c>
      <c r="F212" s="6">
        <f t="shared" si="2"/>
        <v>2.9502</v>
      </c>
      <c r="G212" s="7">
        <v>0.097303749</v>
      </c>
      <c r="H212" s="6">
        <f>G212*'Measure conversion'!$C$2</f>
        <v>0.097303749</v>
      </c>
      <c r="M212" s="50" t="s">
        <v>570</v>
      </c>
      <c r="N212" s="51">
        <v>1.135</v>
      </c>
      <c r="O212" s="6" t="str">
        <f t="shared" si="3"/>
        <v>Jan</v>
      </c>
      <c r="P212" s="6" t="str">
        <f t="shared" si="4"/>
        <v>1999</v>
      </c>
    </row>
    <row r="213">
      <c r="A213" s="3"/>
      <c r="C213" s="6">
        <f t="shared" si="1"/>
        <v>0.09058558559</v>
      </c>
      <c r="D213" s="6" t="s">
        <v>248</v>
      </c>
      <c r="E213" s="6" t="s">
        <v>281</v>
      </c>
      <c r="F213" s="6">
        <f t="shared" si="2"/>
        <v>3.0165</v>
      </c>
      <c r="G213" s="7">
        <v>0.099281485</v>
      </c>
      <c r="H213" s="6">
        <f>G213*'Measure conversion'!$C$2</f>
        <v>0.099281485</v>
      </c>
      <c r="M213" s="50" t="s">
        <v>571</v>
      </c>
      <c r="N213" s="51">
        <v>1.13</v>
      </c>
      <c r="O213" s="6" t="str">
        <f t="shared" si="3"/>
        <v>Jan</v>
      </c>
      <c r="P213" s="6" t="str">
        <f t="shared" si="4"/>
        <v>1999</v>
      </c>
    </row>
    <row r="214">
      <c r="A214" s="3"/>
      <c r="C214" s="6">
        <f t="shared" si="1"/>
        <v>0.09501501502</v>
      </c>
      <c r="D214" s="6" t="s">
        <v>249</v>
      </c>
      <c r="E214" s="6" t="s">
        <v>281</v>
      </c>
      <c r="F214" s="6">
        <f t="shared" si="2"/>
        <v>3.164</v>
      </c>
      <c r="G214" s="7">
        <v>0.103637558</v>
      </c>
      <c r="H214" s="6">
        <f>G214*'Measure conversion'!$C$2</f>
        <v>0.103637558</v>
      </c>
      <c r="M214" s="50" t="s">
        <v>572</v>
      </c>
      <c r="N214" s="51">
        <v>1.124</v>
      </c>
      <c r="O214" s="6" t="str">
        <f t="shared" si="3"/>
        <v>Jan</v>
      </c>
      <c r="P214" s="6" t="str">
        <f t="shared" si="4"/>
        <v>1999</v>
      </c>
    </row>
    <row r="215">
      <c r="A215" s="3"/>
      <c r="C215" s="6">
        <f t="shared" si="1"/>
        <v>0.0924984985</v>
      </c>
      <c r="D215" s="6" t="s">
        <v>250</v>
      </c>
      <c r="E215" s="6" t="s">
        <v>281</v>
      </c>
      <c r="F215" s="6">
        <f t="shared" si="2"/>
        <v>3.0802</v>
      </c>
      <c r="G215" s="7">
        <v>0.100586018</v>
      </c>
      <c r="H215" s="6">
        <f>G215*'Measure conversion'!$C$2</f>
        <v>0.100586018</v>
      </c>
      <c r="M215" s="50" t="s">
        <v>573</v>
      </c>
      <c r="N215" s="51">
        <v>1.115</v>
      </c>
      <c r="O215" s="6" t="str">
        <f t="shared" si="3"/>
        <v>Feb</v>
      </c>
      <c r="P215" s="6" t="str">
        <f t="shared" si="4"/>
        <v>1999</v>
      </c>
    </row>
    <row r="216">
      <c r="A216" s="3"/>
      <c r="C216" s="6">
        <f t="shared" si="1"/>
        <v>0.09714714715</v>
      </c>
      <c r="D216" s="6" t="s">
        <v>251</v>
      </c>
      <c r="E216" s="6" t="s">
        <v>281</v>
      </c>
      <c r="F216" s="6">
        <f t="shared" si="2"/>
        <v>3.235</v>
      </c>
      <c r="G216" s="7">
        <v>0.105584334</v>
      </c>
      <c r="H216" s="6">
        <f>G216*'Measure conversion'!$C$2</f>
        <v>0.105584334</v>
      </c>
      <c r="M216" s="50" t="s">
        <v>574</v>
      </c>
      <c r="N216" s="51">
        <v>1.11</v>
      </c>
      <c r="O216" s="6" t="str">
        <f t="shared" si="3"/>
        <v>Feb</v>
      </c>
      <c r="P216" s="6" t="str">
        <f t="shared" si="4"/>
        <v>1999</v>
      </c>
    </row>
    <row r="217">
      <c r="A217" s="3"/>
      <c r="C217" s="6">
        <f t="shared" si="1"/>
        <v>0.09398648649</v>
      </c>
      <c r="D217" s="6" t="s">
        <v>252</v>
      </c>
      <c r="E217" s="6" t="s">
        <v>281</v>
      </c>
      <c r="F217" s="6">
        <f t="shared" si="2"/>
        <v>3.12975</v>
      </c>
      <c r="G217" s="7">
        <v>0.102119997</v>
      </c>
      <c r="H217" s="6">
        <f>G217*'Measure conversion'!$C$2</f>
        <v>0.102119997</v>
      </c>
      <c r="M217" s="50" t="s">
        <v>575</v>
      </c>
      <c r="N217" s="51">
        <v>1.108</v>
      </c>
      <c r="O217" s="6" t="str">
        <f t="shared" si="3"/>
        <v>Feb</v>
      </c>
      <c r="P217" s="6" t="str">
        <f t="shared" si="4"/>
        <v>1999</v>
      </c>
    </row>
    <row r="218">
      <c r="A218" s="3"/>
      <c r="C218" s="6">
        <f t="shared" si="1"/>
        <v>0.09638438438</v>
      </c>
      <c r="D218" s="6" t="s">
        <v>235</v>
      </c>
      <c r="E218" s="6" t="s">
        <v>282</v>
      </c>
      <c r="F218" s="6">
        <f t="shared" si="2"/>
        <v>3.2096</v>
      </c>
      <c r="G218" s="7">
        <v>0.104043499</v>
      </c>
      <c r="H218" s="6">
        <f>G218*'Measure conversion'!$C$2</f>
        <v>0.104043499</v>
      </c>
      <c r="M218" s="50" t="s">
        <v>576</v>
      </c>
      <c r="N218" s="51">
        <v>1.122</v>
      </c>
      <c r="O218" s="6" t="str">
        <f t="shared" si="3"/>
        <v>Feb</v>
      </c>
      <c r="P218" s="6" t="str">
        <f t="shared" si="4"/>
        <v>1999</v>
      </c>
    </row>
    <row r="219">
      <c r="A219" s="3"/>
      <c r="C219" s="6">
        <f t="shared" si="1"/>
        <v>0.1008783784</v>
      </c>
      <c r="D219" s="6" t="s">
        <v>240</v>
      </c>
      <c r="E219" s="6" t="s">
        <v>282</v>
      </c>
      <c r="F219" s="6">
        <f t="shared" si="2"/>
        <v>3.35925</v>
      </c>
      <c r="G219" s="7">
        <v>0.108059513</v>
      </c>
      <c r="H219" s="6">
        <f>G219*'Measure conversion'!$C$2</f>
        <v>0.108059513</v>
      </c>
      <c r="M219" s="50" t="s">
        <v>577</v>
      </c>
      <c r="N219" s="51">
        <v>1.127</v>
      </c>
      <c r="O219" s="6" t="str">
        <f t="shared" si="3"/>
        <v>Mar</v>
      </c>
      <c r="P219" s="6" t="str">
        <f t="shared" si="4"/>
        <v>1999</v>
      </c>
    </row>
    <row r="220">
      <c r="A220" s="3"/>
      <c r="C220" s="6">
        <f t="shared" si="1"/>
        <v>0.1025975976</v>
      </c>
      <c r="D220" s="6" t="s">
        <v>242</v>
      </c>
      <c r="E220" s="6" t="s">
        <v>282</v>
      </c>
      <c r="F220" s="6">
        <f t="shared" si="2"/>
        <v>3.4165</v>
      </c>
      <c r="G220" s="7">
        <v>0.109494029</v>
      </c>
      <c r="H220" s="6">
        <f>G220*'Measure conversion'!$C$2</f>
        <v>0.109494029</v>
      </c>
      <c r="M220" s="50" t="s">
        <v>578</v>
      </c>
      <c r="N220" s="51">
        <v>1.171</v>
      </c>
      <c r="O220" s="6" t="str">
        <f t="shared" si="3"/>
        <v>Mar</v>
      </c>
      <c r="P220" s="6" t="str">
        <f t="shared" si="4"/>
        <v>1999</v>
      </c>
    </row>
    <row r="221">
      <c r="A221" s="3"/>
      <c r="C221" s="6">
        <f t="shared" si="1"/>
        <v>0.1068588589</v>
      </c>
      <c r="D221" s="6" t="s">
        <v>243</v>
      </c>
      <c r="E221" s="6" t="s">
        <v>282</v>
      </c>
      <c r="F221" s="6">
        <f t="shared" si="2"/>
        <v>3.5584</v>
      </c>
      <c r="G221" s="7">
        <v>0.113523201</v>
      </c>
      <c r="H221" s="6">
        <f>G221*'Measure conversion'!$C$2</f>
        <v>0.113523201</v>
      </c>
      <c r="M221" s="50" t="s">
        <v>579</v>
      </c>
      <c r="N221" s="51">
        <v>1.2</v>
      </c>
      <c r="O221" s="6" t="str">
        <f t="shared" si="3"/>
        <v>Mar</v>
      </c>
      <c r="P221" s="6" t="str">
        <f t="shared" si="4"/>
        <v>1999</v>
      </c>
    </row>
    <row r="222">
      <c r="A222" s="3"/>
      <c r="C222" s="6">
        <f t="shared" si="1"/>
        <v>0.1087462462</v>
      </c>
      <c r="D222" s="6" t="s">
        <v>245</v>
      </c>
      <c r="E222" s="6" t="s">
        <v>282</v>
      </c>
      <c r="F222" s="6">
        <f t="shared" si="2"/>
        <v>3.62125</v>
      </c>
      <c r="G222" s="7">
        <v>0.115547676</v>
      </c>
      <c r="H222" s="6">
        <f>G222*'Measure conversion'!$C$2</f>
        <v>0.115547676</v>
      </c>
      <c r="M222" s="50" t="s">
        <v>580</v>
      </c>
      <c r="N222" s="51">
        <v>1.239</v>
      </c>
      <c r="O222" s="6" t="str">
        <f t="shared" si="3"/>
        <v>Mar</v>
      </c>
      <c r="P222" s="6" t="str">
        <f t="shared" si="4"/>
        <v>1999</v>
      </c>
    </row>
    <row r="223">
      <c r="A223" s="3"/>
      <c r="C223" s="6">
        <f t="shared" si="1"/>
        <v>0.1081306306</v>
      </c>
      <c r="D223" s="6" t="s">
        <v>246</v>
      </c>
      <c r="E223" s="6" t="s">
        <v>282</v>
      </c>
      <c r="F223" s="6">
        <f t="shared" si="2"/>
        <v>3.60075</v>
      </c>
      <c r="G223" s="7">
        <v>0.114751087</v>
      </c>
      <c r="H223" s="6">
        <f>G223*'Measure conversion'!$C$2</f>
        <v>0.114751087</v>
      </c>
      <c r="M223" s="50" t="s">
        <v>581</v>
      </c>
      <c r="N223" s="51">
        <v>1.467</v>
      </c>
      <c r="O223" s="6" t="str">
        <f t="shared" si="3"/>
        <v>Mar</v>
      </c>
      <c r="P223" s="6" t="str">
        <f t="shared" si="4"/>
        <v>1999</v>
      </c>
    </row>
    <row r="224">
      <c r="A224" s="3"/>
      <c r="C224" s="6">
        <f t="shared" si="1"/>
        <v>0.106006006</v>
      </c>
      <c r="D224" s="6" t="s">
        <v>247</v>
      </c>
      <c r="E224" s="6" t="s">
        <v>282</v>
      </c>
      <c r="F224" s="6">
        <f t="shared" si="2"/>
        <v>3.53</v>
      </c>
      <c r="G224" s="7">
        <v>0.112341732</v>
      </c>
      <c r="H224" s="6">
        <f>G224*'Measure conversion'!$C$2</f>
        <v>0.112341732</v>
      </c>
      <c r="M224" s="50" t="s">
        <v>582</v>
      </c>
      <c r="N224" s="51">
        <v>1.598</v>
      </c>
      <c r="O224" s="6" t="str">
        <f t="shared" si="3"/>
        <v>Apr</v>
      </c>
      <c r="P224" s="6" t="str">
        <f t="shared" si="4"/>
        <v>1999</v>
      </c>
    </row>
    <row r="225">
      <c r="A225" s="3"/>
      <c r="C225" s="6">
        <f t="shared" si="1"/>
        <v>0.104542042</v>
      </c>
      <c r="D225" s="6" t="s">
        <v>248</v>
      </c>
      <c r="E225" s="6" t="s">
        <v>282</v>
      </c>
      <c r="F225" s="6">
        <f t="shared" si="2"/>
        <v>3.48125</v>
      </c>
      <c r="G225" s="7">
        <v>0.110535134</v>
      </c>
      <c r="H225" s="6">
        <f>G225*'Measure conversion'!$C$2</f>
        <v>0.110535134</v>
      </c>
      <c r="M225" s="50" t="s">
        <v>583</v>
      </c>
      <c r="N225" s="51">
        <v>1.637</v>
      </c>
      <c r="O225" s="6" t="str">
        <f t="shared" si="3"/>
        <v>Apr</v>
      </c>
      <c r="P225" s="6" t="str">
        <f t="shared" si="4"/>
        <v>1999</v>
      </c>
    </row>
    <row r="226">
      <c r="A226" s="3"/>
      <c r="C226" s="6">
        <f t="shared" si="1"/>
        <v>0.1055405405</v>
      </c>
      <c r="D226" s="6" t="s">
        <v>249</v>
      </c>
      <c r="E226" s="6" t="s">
        <v>282</v>
      </c>
      <c r="F226" s="6">
        <f t="shared" si="2"/>
        <v>3.5145</v>
      </c>
      <c r="G226" s="7">
        <v>0.111155983</v>
      </c>
      <c r="H226" s="6">
        <f>G226*'Measure conversion'!$C$2</f>
        <v>0.111155983</v>
      </c>
      <c r="M226" s="50" t="s">
        <v>584</v>
      </c>
      <c r="N226" s="51">
        <v>1.607</v>
      </c>
      <c r="O226" s="6" t="str">
        <f t="shared" si="3"/>
        <v>Apr</v>
      </c>
      <c r="P226" s="6" t="str">
        <f t="shared" si="4"/>
        <v>1999</v>
      </c>
    </row>
    <row r="227">
      <c r="A227" s="3"/>
      <c r="C227" s="6">
        <f t="shared" si="1"/>
        <v>0.1106966967</v>
      </c>
      <c r="D227" s="6" t="s">
        <v>250</v>
      </c>
      <c r="E227" s="6" t="s">
        <v>282</v>
      </c>
      <c r="F227" s="6">
        <f t="shared" si="2"/>
        <v>3.6862</v>
      </c>
      <c r="G227" s="7">
        <v>0.116095384</v>
      </c>
      <c r="H227" s="6">
        <f>G227*'Measure conversion'!$C$2</f>
        <v>0.116095384</v>
      </c>
      <c r="M227" s="50" t="s">
        <v>585</v>
      </c>
      <c r="N227" s="51">
        <v>1.58</v>
      </c>
      <c r="O227" s="6" t="str">
        <f t="shared" si="3"/>
        <v>Apr</v>
      </c>
      <c r="P227" s="6" t="str">
        <f t="shared" si="4"/>
        <v>1999</v>
      </c>
    </row>
    <row r="228">
      <c r="A228" s="3"/>
      <c r="C228" s="6">
        <f t="shared" si="1"/>
        <v>0.1068318318</v>
      </c>
      <c r="D228" s="6" t="s">
        <v>251</v>
      </c>
      <c r="E228" s="6" t="s">
        <v>282</v>
      </c>
      <c r="F228" s="6">
        <f t="shared" si="2"/>
        <v>3.5575</v>
      </c>
      <c r="G228" s="7">
        <v>0.112298806</v>
      </c>
      <c r="H228" s="6">
        <f>G228*'Measure conversion'!$C$2</f>
        <v>0.112298806</v>
      </c>
      <c r="M228" s="50" t="s">
        <v>586</v>
      </c>
      <c r="N228" s="51">
        <v>1.555</v>
      </c>
      <c r="O228" s="6" t="str">
        <f t="shared" si="3"/>
        <v>May</v>
      </c>
      <c r="P228" s="6" t="str">
        <f t="shared" si="4"/>
        <v>1999</v>
      </c>
    </row>
    <row r="229">
      <c r="A229" s="3"/>
      <c r="C229" s="6">
        <f t="shared" si="1"/>
        <v>0.09885885886</v>
      </c>
      <c r="D229" s="6" t="s">
        <v>252</v>
      </c>
      <c r="E229" s="6" t="s">
        <v>282</v>
      </c>
      <c r="F229" s="6">
        <f t="shared" si="2"/>
        <v>3.292</v>
      </c>
      <c r="G229" s="7">
        <v>0.104280813</v>
      </c>
      <c r="H229" s="6">
        <f>G229*'Measure conversion'!$C$2</f>
        <v>0.104280813</v>
      </c>
      <c r="M229" s="50" t="s">
        <v>587</v>
      </c>
      <c r="N229" s="51">
        <v>1.521</v>
      </c>
      <c r="O229" s="6" t="str">
        <f t="shared" si="3"/>
        <v>May</v>
      </c>
      <c r="P229" s="6" t="str">
        <f t="shared" si="4"/>
        <v>1999</v>
      </c>
    </row>
    <row r="230">
      <c r="A230" s="3"/>
      <c r="C230" s="6">
        <f t="shared" si="1"/>
        <v>0.09475975976</v>
      </c>
      <c r="D230" s="6" t="s">
        <v>235</v>
      </c>
      <c r="E230" s="6" t="s">
        <v>283</v>
      </c>
      <c r="F230" s="6">
        <f t="shared" si="2"/>
        <v>3.1555</v>
      </c>
      <c r="G230" s="7">
        <v>0.099755539</v>
      </c>
      <c r="H230" s="6">
        <f>G230*'Measure conversion'!$C$2</f>
        <v>0.099755539</v>
      </c>
      <c r="M230" s="50" t="s">
        <v>588</v>
      </c>
      <c r="N230" s="51">
        <v>1.493</v>
      </c>
      <c r="O230" s="6" t="str">
        <f t="shared" si="3"/>
        <v>May</v>
      </c>
      <c r="P230" s="6" t="str">
        <f t="shared" si="4"/>
        <v>1999</v>
      </c>
    </row>
    <row r="231">
      <c r="A231" s="3"/>
      <c r="C231" s="6">
        <f t="shared" si="1"/>
        <v>0.09482732733</v>
      </c>
      <c r="D231" s="6" t="s">
        <v>240</v>
      </c>
      <c r="E231" s="6" t="s">
        <v>283</v>
      </c>
      <c r="F231" s="6">
        <f t="shared" si="2"/>
        <v>3.15775</v>
      </c>
      <c r="G231" s="7">
        <v>0.099566172</v>
      </c>
      <c r="H231" s="6">
        <f>G231*'Measure conversion'!$C$2</f>
        <v>0.099566172</v>
      </c>
      <c r="M231" s="50" t="s">
        <v>589</v>
      </c>
      <c r="N231" s="51">
        <v>1.434</v>
      </c>
      <c r="O231" s="6" t="str">
        <f t="shared" si="3"/>
        <v>May</v>
      </c>
      <c r="P231" s="6" t="str">
        <f t="shared" si="4"/>
        <v>1999</v>
      </c>
    </row>
    <row r="232">
      <c r="A232" s="3"/>
      <c r="C232" s="6">
        <f t="shared" si="1"/>
        <v>0.09813063063</v>
      </c>
      <c r="D232" s="6" t="s">
        <v>242</v>
      </c>
      <c r="E232" s="6" t="s">
        <v>283</v>
      </c>
      <c r="F232" s="6">
        <f t="shared" si="2"/>
        <v>3.26775</v>
      </c>
      <c r="G232" s="7">
        <v>0.102159239</v>
      </c>
      <c r="H232" s="6">
        <f>G232*'Measure conversion'!$C$2</f>
        <v>0.102159239</v>
      </c>
      <c r="M232" s="50" t="s">
        <v>590</v>
      </c>
      <c r="N232" s="51">
        <v>1.383</v>
      </c>
      <c r="O232" s="6" t="str">
        <f t="shared" si="3"/>
        <v>May</v>
      </c>
      <c r="P232" s="6" t="str">
        <f t="shared" si="4"/>
        <v>1999</v>
      </c>
    </row>
    <row r="233">
      <c r="A233" s="3"/>
      <c r="C233" s="6">
        <f t="shared" si="1"/>
        <v>0.1147087087</v>
      </c>
      <c r="D233" s="6" t="s">
        <v>243</v>
      </c>
      <c r="E233" s="6" t="s">
        <v>283</v>
      </c>
      <c r="F233" s="6">
        <f t="shared" si="2"/>
        <v>3.8198</v>
      </c>
      <c r="G233" s="7">
        <v>0.118264229</v>
      </c>
      <c r="H233" s="6">
        <f>G233*'Measure conversion'!$C$2</f>
        <v>0.118264229</v>
      </c>
      <c r="M233" s="50" t="s">
        <v>591</v>
      </c>
      <c r="N233" s="51">
        <v>1.358</v>
      </c>
      <c r="O233" s="6" t="str">
        <f t="shared" si="3"/>
        <v>Jun</v>
      </c>
      <c r="P233" s="6" t="str">
        <f t="shared" si="4"/>
        <v>1999</v>
      </c>
    </row>
    <row r="234">
      <c r="A234" s="3"/>
      <c r="C234" s="6">
        <f t="shared" si="1"/>
        <v>0.1185135135</v>
      </c>
      <c r="D234" s="6" t="s">
        <v>245</v>
      </c>
      <c r="E234" s="6" t="s">
        <v>283</v>
      </c>
      <c r="F234" s="6">
        <f t="shared" si="2"/>
        <v>3.9465</v>
      </c>
      <c r="G234" s="7">
        <v>0.121912481</v>
      </c>
      <c r="H234" s="6">
        <f>G234*'Measure conversion'!$C$2</f>
        <v>0.121912481</v>
      </c>
      <c r="M234" s="50" t="s">
        <v>592</v>
      </c>
      <c r="N234" s="51">
        <v>1.345</v>
      </c>
      <c r="O234" s="6" t="str">
        <f t="shared" si="3"/>
        <v>Jun</v>
      </c>
      <c r="P234" s="6" t="str">
        <f t="shared" si="4"/>
        <v>1999</v>
      </c>
    </row>
    <row r="235">
      <c r="A235" s="3"/>
      <c r="C235" s="6">
        <f t="shared" si="1"/>
        <v>0.1116066066</v>
      </c>
      <c r="D235" s="6" t="s">
        <v>246</v>
      </c>
      <c r="E235" s="6" t="s">
        <v>283</v>
      </c>
      <c r="F235" s="6">
        <f t="shared" si="2"/>
        <v>3.7165</v>
      </c>
      <c r="G235" s="7">
        <v>0.114735764</v>
      </c>
      <c r="H235" s="6">
        <f>G235*'Measure conversion'!$C$2</f>
        <v>0.114735764</v>
      </c>
      <c r="M235" s="50" t="s">
        <v>593</v>
      </c>
      <c r="N235" s="51">
        <v>1.354</v>
      </c>
      <c r="O235" s="6" t="str">
        <f t="shared" si="3"/>
        <v>Jun</v>
      </c>
      <c r="P235" s="6" t="str">
        <f t="shared" si="4"/>
        <v>1999</v>
      </c>
    </row>
    <row r="236">
      <c r="A236" s="3"/>
      <c r="C236" s="6">
        <f t="shared" si="1"/>
        <v>0.1079459459</v>
      </c>
      <c r="D236" s="6" t="s">
        <v>247</v>
      </c>
      <c r="E236" s="6" t="s">
        <v>283</v>
      </c>
      <c r="F236" s="6">
        <f t="shared" si="2"/>
        <v>3.5946</v>
      </c>
      <c r="G236" s="7">
        <v>0.111072867</v>
      </c>
      <c r="H236" s="6">
        <f>G236*'Measure conversion'!$C$2</f>
        <v>0.111072867</v>
      </c>
      <c r="M236" s="50" t="s">
        <v>594</v>
      </c>
      <c r="N236" s="51">
        <v>1.346</v>
      </c>
      <c r="O236" s="6" t="str">
        <f t="shared" si="3"/>
        <v>Jun</v>
      </c>
      <c r="P236" s="6" t="str">
        <f t="shared" si="4"/>
        <v>1999</v>
      </c>
    </row>
    <row r="237">
      <c r="A237" s="3"/>
      <c r="C237" s="6">
        <f t="shared" si="1"/>
        <v>0.1045570571</v>
      </c>
      <c r="D237" s="6" t="s">
        <v>248</v>
      </c>
      <c r="E237" s="6" t="s">
        <v>283</v>
      </c>
      <c r="F237" s="6">
        <f t="shared" si="2"/>
        <v>3.48175</v>
      </c>
      <c r="G237" s="7">
        <v>0.107595356</v>
      </c>
      <c r="H237" s="6">
        <f>G237*'Measure conversion'!$C$2</f>
        <v>0.107595356</v>
      </c>
      <c r="M237" s="50" t="s">
        <v>595</v>
      </c>
      <c r="N237" s="51">
        <v>1.337</v>
      </c>
      <c r="O237" s="6" t="str">
        <f t="shared" si="3"/>
        <v>Jul</v>
      </c>
      <c r="P237" s="6" t="str">
        <f t="shared" si="4"/>
        <v>1999</v>
      </c>
    </row>
    <row r="238">
      <c r="A238" s="3"/>
      <c r="C238" s="6">
        <f t="shared" si="1"/>
        <v>0.1083903904</v>
      </c>
      <c r="D238" s="6" t="s">
        <v>249</v>
      </c>
      <c r="E238" s="6" t="s">
        <v>283</v>
      </c>
      <c r="F238" s="6">
        <f t="shared" si="2"/>
        <v>3.6094</v>
      </c>
      <c r="G238" s="7">
        <v>0.111066416</v>
      </c>
      <c r="H238" s="6">
        <f>G238*'Measure conversion'!$C$2</f>
        <v>0.111066416</v>
      </c>
      <c r="M238" s="50" t="s">
        <v>596</v>
      </c>
      <c r="N238" s="51">
        <v>1.392</v>
      </c>
      <c r="O238" s="6" t="str">
        <f t="shared" si="3"/>
        <v>Jul</v>
      </c>
      <c r="P238" s="6" t="str">
        <f t="shared" si="4"/>
        <v>1999</v>
      </c>
    </row>
    <row r="239">
      <c r="A239" s="3"/>
      <c r="C239" s="6">
        <f t="shared" si="1"/>
        <v>0.1213063063</v>
      </c>
      <c r="D239" s="6" t="s">
        <v>250</v>
      </c>
      <c r="E239" s="6" t="s">
        <v>283</v>
      </c>
      <c r="F239" s="6">
        <f t="shared" si="2"/>
        <v>4.0395</v>
      </c>
      <c r="G239" s="7">
        <v>0.123409975</v>
      </c>
      <c r="H239" s="6">
        <f>G239*'Measure conversion'!$C$2</f>
        <v>0.123409975</v>
      </c>
      <c r="M239" s="50" t="s">
        <v>597</v>
      </c>
      <c r="N239" s="51">
        <v>1.474</v>
      </c>
      <c r="O239" s="6" t="str">
        <f t="shared" si="3"/>
        <v>Jul</v>
      </c>
      <c r="P239" s="6" t="str">
        <f t="shared" si="4"/>
        <v>1999</v>
      </c>
    </row>
    <row r="240">
      <c r="A240" s="3"/>
      <c r="C240" s="6">
        <f t="shared" si="1"/>
        <v>0.1161711712</v>
      </c>
      <c r="D240" s="6" t="s">
        <v>251</v>
      </c>
      <c r="E240" s="6" t="s">
        <v>283</v>
      </c>
      <c r="F240" s="6">
        <f t="shared" si="2"/>
        <v>3.8685</v>
      </c>
      <c r="G240" s="7">
        <v>0.11852573</v>
      </c>
      <c r="H240" s="6">
        <f>G240*'Measure conversion'!$C$2</f>
        <v>0.11852573</v>
      </c>
      <c r="M240" s="50" t="s">
        <v>598</v>
      </c>
      <c r="N240" s="51">
        <v>1.49</v>
      </c>
      <c r="O240" s="6" t="str">
        <f t="shared" si="3"/>
        <v>Jul</v>
      </c>
      <c r="P240" s="6" t="str">
        <f t="shared" si="4"/>
        <v>1999</v>
      </c>
    </row>
    <row r="241">
      <c r="A241" s="3"/>
      <c r="C241" s="6">
        <f t="shared" si="1"/>
        <v>0.106048048</v>
      </c>
      <c r="D241" s="6" t="s">
        <v>252</v>
      </c>
      <c r="E241" s="6" t="s">
        <v>283</v>
      </c>
      <c r="F241" s="6">
        <f t="shared" si="2"/>
        <v>3.5314</v>
      </c>
      <c r="G241" s="7">
        <v>0.108739188</v>
      </c>
      <c r="H241" s="6">
        <f>G241*'Measure conversion'!$C$2</f>
        <v>0.108739188</v>
      </c>
      <c r="M241" s="50" t="s">
        <v>599</v>
      </c>
      <c r="N241" s="51">
        <v>1.509</v>
      </c>
      <c r="O241" s="6" t="str">
        <f t="shared" si="3"/>
        <v>Aug</v>
      </c>
      <c r="P241" s="6" t="str">
        <f t="shared" si="4"/>
        <v>1999</v>
      </c>
    </row>
    <row r="242">
      <c r="A242" s="3"/>
      <c r="C242" s="6">
        <f t="shared" si="1"/>
        <v>0.1024249249</v>
      </c>
      <c r="D242" s="6" t="s">
        <v>235</v>
      </c>
      <c r="E242" s="6" t="s">
        <v>284</v>
      </c>
      <c r="F242" s="6">
        <f t="shared" si="2"/>
        <v>3.41075</v>
      </c>
      <c r="G242" s="7">
        <v>0.10467</v>
      </c>
      <c r="H242" s="6">
        <f>G242*'Measure conversion'!$C$2</f>
        <v>0.10467</v>
      </c>
      <c r="M242" s="50" t="s">
        <v>600</v>
      </c>
      <c r="N242" s="51">
        <v>1.543</v>
      </c>
      <c r="O242" s="6" t="str">
        <f t="shared" si="3"/>
        <v>Aug</v>
      </c>
      <c r="P242" s="6" t="str">
        <f t="shared" si="4"/>
        <v>1999</v>
      </c>
    </row>
    <row r="243">
      <c r="A243" s="3"/>
      <c r="C243" s="6">
        <f t="shared" si="1"/>
        <v>0.1010135135</v>
      </c>
      <c r="D243" s="6" t="s">
        <v>240</v>
      </c>
      <c r="E243" s="6" t="s">
        <v>284</v>
      </c>
      <c r="F243" s="6">
        <f t="shared" si="2"/>
        <v>3.36375</v>
      </c>
      <c r="G243" s="7">
        <v>0.102994017</v>
      </c>
      <c r="H243" s="6">
        <f>G243*'Measure conversion'!$C$2</f>
        <v>0.102994017</v>
      </c>
      <c r="M243" s="50" t="s">
        <v>601</v>
      </c>
      <c r="N243" s="51">
        <v>1.541</v>
      </c>
      <c r="O243" s="6" t="str">
        <f t="shared" si="3"/>
        <v>Aug</v>
      </c>
      <c r="P243" s="6" t="str">
        <f t="shared" si="4"/>
        <v>1999</v>
      </c>
    </row>
    <row r="244">
      <c r="A244" s="3"/>
      <c r="C244" s="6">
        <f t="shared" si="1"/>
        <v>0.09560960961</v>
      </c>
      <c r="D244" s="6" t="s">
        <v>242</v>
      </c>
      <c r="E244" s="6" t="s">
        <v>284</v>
      </c>
      <c r="F244" s="6">
        <f t="shared" si="2"/>
        <v>3.1838</v>
      </c>
      <c r="G244" s="7">
        <v>0.097789004</v>
      </c>
      <c r="H244" s="6">
        <f>G244*'Measure conversion'!$C$2</f>
        <v>0.097789004</v>
      </c>
      <c r="M244" s="50" t="s">
        <v>602</v>
      </c>
      <c r="N244" s="51">
        <v>1.528</v>
      </c>
      <c r="O244" s="6" t="str">
        <f t="shared" si="3"/>
        <v>Aug</v>
      </c>
      <c r="P244" s="6" t="str">
        <f t="shared" si="4"/>
        <v>1999</v>
      </c>
    </row>
    <row r="245">
      <c r="A245" s="3"/>
      <c r="C245" s="6">
        <f t="shared" si="1"/>
        <v>0.08239489489</v>
      </c>
      <c r="D245" s="6" t="s">
        <v>243</v>
      </c>
      <c r="E245" s="6" t="s">
        <v>284</v>
      </c>
      <c r="F245" s="6">
        <f t="shared" si="2"/>
        <v>2.74375</v>
      </c>
      <c r="G245" s="7">
        <v>0.085029962</v>
      </c>
      <c r="H245" s="6">
        <f>G245*'Measure conversion'!$C$2</f>
        <v>0.085029962</v>
      </c>
      <c r="M245" s="50" t="s">
        <v>603</v>
      </c>
      <c r="N245" s="51">
        <v>1.51</v>
      </c>
      <c r="O245" s="6" t="str">
        <f t="shared" si="3"/>
        <v>Aug</v>
      </c>
      <c r="P245" s="6" t="str">
        <f t="shared" si="4"/>
        <v>1999</v>
      </c>
    </row>
    <row r="246">
      <c r="A246" s="3"/>
      <c r="C246" s="6">
        <f t="shared" si="1"/>
        <v>0.08062312312</v>
      </c>
      <c r="D246" s="6" t="s">
        <v>245</v>
      </c>
      <c r="E246" s="6" t="s">
        <v>284</v>
      </c>
      <c r="F246" s="6">
        <f t="shared" si="2"/>
        <v>2.68475</v>
      </c>
      <c r="G246" s="7">
        <v>0.083077151</v>
      </c>
      <c r="H246" s="6">
        <f>G246*'Measure conversion'!$C$2</f>
        <v>0.083077151</v>
      </c>
      <c r="M246" s="50" t="s">
        <v>604</v>
      </c>
      <c r="N246" s="51">
        <v>1.473</v>
      </c>
      <c r="O246" s="6" t="str">
        <f t="shared" si="3"/>
        <v>Sep</v>
      </c>
      <c r="P246" s="6" t="str">
        <f t="shared" si="4"/>
        <v>1999</v>
      </c>
    </row>
    <row r="247">
      <c r="A247" s="3"/>
      <c r="C247" s="6">
        <f t="shared" si="1"/>
        <v>0.08676276276</v>
      </c>
      <c r="D247" s="6" t="s">
        <v>246</v>
      </c>
      <c r="E247" s="6" t="s">
        <v>284</v>
      </c>
      <c r="F247" s="6">
        <f t="shared" si="2"/>
        <v>2.8892</v>
      </c>
      <c r="G247" s="7">
        <v>0.088817239</v>
      </c>
      <c r="H247" s="6">
        <f>G247*'Measure conversion'!$C$2</f>
        <v>0.088817239</v>
      </c>
      <c r="M247" s="50" t="s">
        <v>605</v>
      </c>
      <c r="N247" s="51">
        <v>1.459</v>
      </c>
      <c r="O247" s="6" t="str">
        <f t="shared" si="3"/>
        <v>Sep</v>
      </c>
      <c r="P247" s="6" t="str">
        <f t="shared" si="4"/>
        <v>1999</v>
      </c>
    </row>
    <row r="248">
      <c r="A248" s="3"/>
      <c r="C248" s="6">
        <f t="shared" si="1"/>
        <v>0.09071321321</v>
      </c>
      <c r="D248" s="6" t="s">
        <v>247</v>
      </c>
      <c r="E248" s="6" t="s">
        <v>284</v>
      </c>
      <c r="F248" s="6">
        <f t="shared" si="2"/>
        <v>3.02075</v>
      </c>
      <c r="G248" s="7">
        <v>0.092450214</v>
      </c>
      <c r="H248" s="6">
        <f>G248*'Measure conversion'!$C$2</f>
        <v>0.092450214</v>
      </c>
      <c r="M248" s="50" t="s">
        <v>606</v>
      </c>
      <c r="N248" s="51">
        <v>1.433</v>
      </c>
      <c r="O248" s="6" t="str">
        <f t="shared" si="3"/>
        <v>Sep</v>
      </c>
      <c r="P248" s="6" t="str">
        <f t="shared" si="4"/>
        <v>1999</v>
      </c>
    </row>
    <row r="249">
      <c r="A249" s="3"/>
      <c r="C249" s="6">
        <f t="shared" si="1"/>
        <v>0.09231831832</v>
      </c>
      <c r="D249" s="6" t="s">
        <v>248</v>
      </c>
      <c r="E249" s="6" t="s">
        <v>284</v>
      </c>
      <c r="F249" s="6">
        <f t="shared" si="2"/>
        <v>3.0742</v>
      </c>
      <c r="G249" s="7">
        <v>0.09380457</v>
      </c>
      <c r="H249" s="6">
        <f>G249*'Measure conversion'!$C$2</f>
        <v>0.09380457</v>
      </c>
      <c r="M249" s="50" t="s">
        <v>607</v>
      </c>
      <c r="N249" s="51">
        <v>1.401</v>
      </c>
      <c r="O249" s="6" t="str">
        <f t="shared" si="3"/>
        <v>Sep</v>
      </c>
      <c r="P249" s="6" t="str">
        <f t="shared" si="4"/>
        <v>1999</v>
      </c>
    </row>
    <row r="250">
      <c r="A250" s="3"/>
      <c r="C250" s="6">
        <f t="shared" si="1"/>
        <v>0.09281531532</v>
      </c>
      <c r="D250" s="6" t="s">
        <v>249</v>
      </c>
      <c r="E250" s="6" t="s">
        <v>284</v>
      </c>
      <c r="F250" s="6">
        <f t="shared" si="2"/>
        <v>3.09075</v>
      </c>
      <c r="G250" s="7">
        <v>0.094264695</v>
      </c>
      <c r="H250" s="6">
        <f>G250*'Measure conversion'!$C$2</f>
        <v>0.094264695</v>
      </c>
      <c r="M250" s="50" t="s">
        <v>608</v>
      </c>
      <c r="N250" s="51">
        <v>1.389</v>
      </c>
      <c r="O250" s="6" t="str">
        <f t="shared" si="3"/>
        <v>Oct</v>
      </c>
      <c r="P250" s="6" t="str">
        <f t="shared" si="4"/>
        <v>1999</v>
      </c>
    </row>
    <row r="251">
      <c r="A251" s="3"/>
      <c r="C251" s="6">
        <f t="shared" si="1"/>
        <v>0.09165165165</v>
      </c>
      <c r="D251" s="6" t="s">
        <v>250</v>
      </c>
      <c r="E251" s="6" t="s">
        <v>284</v>
      </c>
      <c r="F251" s="6">
        <f t="shared" si="2"/>
        <v>3.052</v>
      </c>
      <c r="G251" s="7">
        <v>0.09309194</v>
      </c>
      <c r="H251" s="6">
        <f>G251*'Measure conversion'!$C$2</f>
        <v>0.09309194</v>
      </c>
      <c r="M251" s="50" t="s">
        <v>609</v>
      </c>
      <c r="N251" s="51">
        <v>1.399</v>
      </c>
      <c r="O251" s="6" t="str">
        <f t="shared" si="3"/>
        <v>Oct</v>
      </c>
      <c r="P251" s="6" t="str">
        <f t="shared" si="4"/>
        <v>1999</v>
      </c>
    </row>
    <row r="252">
      <c r="A252" s="3"/>
      <c r="C252" s="6">
        <f t="shared" si="1"/>
        <v>0.09096696697</v>
      </c>
      <c r="D252" s="6" t="s">
        <v>251</v>
      </c>
      <c r="E252" s="6" t="s">
        <v>284</v>
      </c>
      <c r="F252" s="6">
        <f t="shared" si="2"/>
        <v>3.0292</v>
      </c>
      <c r="G252" s="7">
        <v>0.092354724</v>
      </c>
      <c r="H252" s="6">
        <f>G252*'Measure conversion'!$C$2</f>
        <v>0.092354724</v>
      </c>
      <c r="M252" s="50" t="s">
        <v>610</v>
      </c>
      <c r="N252" s="51">
        <v>1.393</v>
      </c>
      <c r="O252" s="6" t="str">
        <f t="shared" si="3"/>
        <v>Oct</v>
      </c>
      <c r="P252" s="6" t="str">
        <f t="shared" si="4"/>
        <v>1999</v>
      </c>
    </row>
    <row r="253">
      <c r="A253" s="3"/>
      <c r="C253" s="6">
        <f t="shared" si="1"/>
        <v>0.09178678679</v>
      </c>
      <c r="D253" s="6" t="s">
        <v>252</v>
      </c>
      <c r="E253" s="6" t="s">
        <v>284</v>
      </c>
      <c r="F253" s="6">
        <f t="shared" si="2"/>
        <v>3.0565</v>
      </c>
      <c r="G253" s="7">
        <v>0.09309992</v>
      </c>
      <c r="H253" s="6">
        <f>G253*'Measure conversion'!$C$2</f>
        <v>0.09309992</v>
      </c>
      <c r="M253" s="50" t="s">
        <v>611</v>
      </c>
      <c r="N253" s="51">
        <v>1.376</v>
      </c>
      <c r="O253" s="6" t="str">
        <f t="shared" si="3"/>
        <v>Oct</v>
      </c>
      <c r="P253" s="6" t="str">
        <f t="shared" si="4"/>
        <v>1999</v>
      </c>
    </row>
    <row r="254">
      <c r="A254" s="3"/>
      <c r="C254" s="6">
        <f t="shared" si="1"/>
        <v>0.09536786787</v>
      </c>
      <c r="D254" s="6" t="s">
        <v>235</v>
      </c>
      <c r="E254" s="6" t="s">
        <v>285</v>
      </c>
      <c r="F254" s="6">
        <f t="shared" si="2"/>
        <v>3.17575</v>
      </c>
      <c r="G254" s="7">
        <v>0.096245562</v>
      </c>
      <c r="H254" s="6">
        <f>G254*'Measure conversion'!$C$2</f>
        <v>0.096245562</v>
      </c>
      <c r="M254" s="50" t="s">
        <v>612</v>
      </c>
      <c r="N254" s="51">
        <v>1.352</v>
      </c>
      <c r="O254" s="6" t="str">
        <f t="shared" si="3"/>
        <v>Nov</v>
      </c>
      <c r="P254" s="6" t="str">
        <f t="shared" si="4"/>
        <v>1999</v>
      </c>
    </row>
    <row r="255">
      <c r="A255" s="3"/>
      <c r="C255" s="6">
        <f t="shared" si="1"/>
        <v>0.100518018</v>
      </c>
      <c r="D255" s="6" t="s">
        <v>240</v>
      </c>
      <c r="E255" s="6" t="s">
        <v>285</v>
      </c>
      <c r="F255" s="6">
        <f t="shared" si="2"/>
        <v>3.34725</v>
      </c>
      <c r="G255" s="7">
        <v>0.100924258</v>
      </c>
      <c r="H255" s="6">
        <f>G255*'Measure conversion'!$C$2</f>
        <v>0.100924258</v>
      </c>
      <c r="M255" s="50" t="s">
        <v>613</v>
      </c>
      <c r="N255" s="51">
        <v>1.341</v>
      </c>
      <c r="O255" s="6" t="str">
        <f t="shared" si="3"/>
        <v>Nov</v>
      </c>
      <c r="P255" s="6" t="str">
        <f t="shared" si="4"/>
        <v>1999</v>
      </c>
    </row>
    <row r="256">
      <c r="A256" s="3"/>
      <c r="C256" s="6">
        <f t="shared" si="1"/>
        <v>0.1108828829</v>
      </c>
      <c r="D256" s="6" t="s">
        <v>242</v>
      </c>
      <c r="E256" s="6" t="s">
        <v>285</v>
      </c>
      <c r="F256" s="6">
        <f t="shared" si="2"/>
        <v>3.6924</v>
      </c>
      <c r="G256" s="7">
        <v>0.110239073</v>
      </c>
      <c r="H256" s="6">
        <f>G256*'Measure conversion'!$C$2</f>
        <v>0.110239073</v>
      </c>
      <c r="M256" s="50" t="s">
        <v>614</v>
      </c>
      <c r="N256" s="51">
        <v>1.357</v>
      </c>
      <c r="O256" s="6" t="str">
        <f t="shared" si="3"/>
        <v>Nov</v>
      </c>
      <c r="P256" s="6" t="str">
        <f t="shared" si="4"/>
        <v>1999</v>
      </c>
    </row>
    <row r="257">
      <c r="A257" s="3"/>
      <c r="C257" s="6">
        <f t="shared" si="1"/>
        <v>0.1147672673</v>
      </c>
      <c r="D257" s="6" t="s">
        <v>243</v>
      </c>
      <c r="E257" s="6" t="s">
        <v>285</v>
      </c>
      <c r="F257" s="6">
        <f t="shared" si="2"/>
        <v>3.82175</v>
      </c>
      <c r="G257" s="7">
        <v>0.113129988</v>
      </c>
      <c r="H257" s="6">
        <f>G257*'Measure conversion'!$C$2</f>
        <v>0.113129988</v>
      </c>
      <c r="M257" s="50" t="s">
        <v>615</v>
      </c>
      <c r="N257" s="51">
        <v>1.376</v>
      </c>
      <c r="O257" s="6" t="str">
        <f t="shared" si="3"/>
        <v>Nov</v>
      </c>
      <c r="P257" s="6" t="str">
        <f t="shared" si="4"/>
        <v>1999</v>
      </c>
    </row>
    <row r="258">
      <c r="A258" s="3"/>
      <c r="C258" s="6">
        <f t="shared" si="1"/>
        <v>0.1195795796</v>
      </c>
      <c r="D258" s="6" t="s">
        <v>245</v>
      </c>
      <c r="E258" s="6" t="s">
        <v>285</v>
      </c>
      <c r="F258" s="6">
        <f t="shared" si="2"/>
        <v>3.982</v>
      </c>
      <c r="G258" s="7">
        <v>0.117040394</v>
      </c>
      <c r="H258" s="6">
        <f>G258*'Measure conversion'!$C$2</f>
        <v>0.117040394</v>
      </c>
      <c r="M258" s="50" t="s">
        <v>616</v>
      </c>
      <c r="N258" s="51">
        <v>1.385</v>
      </c>
      <c r="O258" s="6" t="str">
        <f t="shared" si="3"/>
        <v>Nov</v>
      </c>
      <c r="P258" s="6" t="str">
        <f t="shared" si="4"/>
        <v>1999</v>
      </c>
    </row>
    <row r="259">
      <c r="A259" s="3"/>
      <c r="C259" s="6">
        <f t="shared" si="1"/>
        <v>0.1229504505</v>
      </c>
      <c r="D259" s="6" t="s">
        <v>246</v>
      </c>
      <c r="E259" s="6" t="s">
        <v>285</v>
      </c>
      <c r="F259" s="6">
        <f t="shared" si="2"/>
        <v>4.09425</v>
      </c>
      <c r="G259" s="7">
        <v>0.119678532</v>
      </c>
      <c r="H259" s="6">
        <f>G259*'Measure conversion'!$C$2</f>
        <v>0.119678532</v>
      </c>
      <c r="M259" s="50" t="s">
        <v>617</v>
      </c>
      <c r="N259" s="51">
        <v>1.396</v>
      </c>
      <c r="O259" s="6" t="str">
        <f t="shared" si="3"/>
        <v>Dec</v>
      </c>
      <c r="P259" s="6" t="str">
        <f t="shared" si="4"/>
        <v>1999</v>
      </c>
    </row>
    <row r="260">
      <c r="A260" s="3"/>
      <c r="C260" s="6">
        <f t="shared" si="1"/>
        <v>0.1250675676</v>
      </c>
      <c r="D260" s="6" t="s">
        <v>247</v>
      </c>
      <c r="E260" s="6" t="s">
        <v>285</v>
      </c>
      <c r="F260" s="6">
        <f t="shared" si="2"/>
        <v>4.16475</v>
      </c>
      <c r="G260" s="7">
        <v>0.121227825</v>
      </c>
      <c r="H260" s="6">
        <f>G260*'Measure conversion'!$C$2</f>
        <v>0.121227825</v>
      </c>
      <c r="M260" s="50" t="s">
        <v>618</v>
      </c>
      <c r="N260" s="51">
        <v>1.39</v>
      </c>
      <c r="O260" s="6" t="str">
        <f t="shared" si="3"/>
        <v>Dec</v>
      </c>
      <c r="P260" s="6" t="str">
        <f t="shared" si="4"/>
        <v>1999</v>
      </c>
    </row>
    <row r="261">
      <c r="A261" s="3"/>
      <c r="C261" s="6">
        <f t="shared" si="1"/>
        <v>0.1270930931</v>
      </c>
      <c r="D261" s="6" t="s">
        <v>248</v>
      </c>
      <c r="E261" s="6" t="s">
        <v>285</v>
      </c>
      <c r="F261" s="6">
        <f t="shared" si="2"/>
        <v>4.2322</v>
      </c>
      <c r="G261" s="7">
        <v>0.122622923</v>
      </c>
      <c r="H261" s="6">
        <f>G261*'Measure conversion'!$C$2</f>
        <v>0.122622923</v>
      </c>
      <c r="M261" s="50" t="s">
        <v>619</v>
      </c>
      <c r="N261" s="51">
        <v>1.378</v>
      </c>
      <c r="O261" s="6" t="str">
        <f t="shared" si="3"/>
        <v>Dec</v>
      </c>
      <c r="P261" s="6" t="str">
        <f t="shared" si="4"/>
        <v>1999</v>
      </c>
    </row>
    <row r="262">
      <c r="A262" s="3"/>
      <c r="C262" s="6">
        <f t="shared" si="1"/>
        <v>0.1267717718</v>
      </c>
      <c r="D262" s="6" t="s">
        <v>249</v>
      </c>
      <c r="E262" s="6" t="s">
        <v>285</v>
      </c>
      <c r="F262" s="6">
        <f t="shared" si="2"/>
        <v>4.2215</v>
      </c>
      <c r="G262" s="7">
        <v>0.121762678</v>
      </c>
      <c r="H262" s="6">
        <f>G262*'Measure conversion'!$C$2</f>
        <v>0.121762678</v>
      </c>
      <c r="M262" s="50" t="s">
        <v>620</v>
      </c>
      <c r="N262" s="51">
        <v>1.373</v>
      </c>
      <c r="O262" s="6" t="str">
        <f t="shared" si="3"/>
        <v>Dec</v>
      </c>
      <c r="P262" s="6" t="str">
        <f t="shared" si="4"/>
        <v>1999</v>
      </c>
    </row>
    <row r="263">
      <c r="A263" s="3"/>
      <c r="C263" s="6">
        <f t="shared" si="1"/>
        <v>0.1294369369</v>
      </c>
      <c r="D263" s="6" t="s">
        <v>250</v>
      </c>
      <c r="E263" s="6" t="s">
        <v>285</v>
      </c>
      <c r="F263" s="6">
        <f t="shared" si="2"/>
        <v>4.31025</v>
      </c>
      <c r="G263" s="7">
        <v>0.123694009</v>
      </c>
      <c r="H263" s="6">
        <f>G263*'Measure conversion'!$C$2</f>
        <v>0.123694009</v>
      </c>
      <c r="M263" s="50" t="s">
        <v>621</v>
      </c>
      <c r="N263" s="51">
        <v>1.37</v>
      </c>
      <c r="O263" s="6" t="str">
        <f t="shared" si="3"/>
        <v>Jan</v>
      </c>
      <c r="P263" s="6" t="str">
        <f t="shared" si="4"/>
        <v>2000</v>
      </c>
    </row>
    <row r="264">
      <c r="A264" s="3"/>
      <c r="C264" s="6">
        <f t="shared" si="1"/>
        <v>0.1354294294</v>
      </c>
      <c r="D264" s="6" t="s">
        <v>251</v>
      </c>
      <c r="E264" s="6" t="s">
        <v>285</v>
      </c>
      <c r="F264" s="6">
        <f t="shared" si="2"/>
        <v>4.5098</v>
      </c>
      <c r="G264" s="7">
        <v>0.128556305</v>
      </c>
      <c r="H264" s="6">
        <f>G264*'Measure conversion'!$C$2</f>
        <v>0.128556305</v>
      </c>
      <c r="M264" s="50" t="s">
        <v>622</v>
      </c>
      <c r="N264" s="51">
        <v>1.365</v>
      </c>
      <c r="O264" s="6" t="str">
        <f t="shared" si="3"/>
        <v>Jan</v>
      </c>
      <c r="P264" s="6" t="str">
        <f t="shared" si="4"/>
        <v>2000</v>
      </c>
    </row>
    <row r="265">
      <c r="A265" s="3"/>
      <c r="C265" s="6">
        <f t="shared" si="1"/>
        <v>0.1353678679</v>
      </c>
      <c r="D265" s="6" t="s">
        <v>252</v>
      </c>
      <c r="E265" s="6" t="s">
        <v>285</v>
      </c>
      <c r="F265" s="6">
        <f t="shared" si="2"/>
        <v>4.50775</v>
      </c>
      <c r="G265" s="7">
        <v>0.127832189</v>
      </c>
      <c r="H265" s="6">
        <f>G265*'Measure conversion'!$C$2</f>
        <v>0.127832189</v>
      </c>
      <c r="M265" s="50" t="s">
        <v>623</v>
      </c>
      <c r="N265" s="51">
        <v>1.356</v>
      </c>
      <c r="O265" s="6" t="str">
        <f t="shared" si="3"/>
        <v>Jan</v>
      </c>
      <c r="P265" s="6" t="str">
        <f t="shared" si="4"/>
        <v>2000</v>
      </c>
    </row>
    <row r="266">
      <c r="A266" s="3"/>
      <c r="C266" s="6">
        <f t="shared" si="1"/>
        <v>0.134984985</v>
      </c>
      <c r="D266" s="6" t="s">
        <v>235</v>
      </c>
      <c r="E266" s="6" t="s">
        <v>286</v>
      </c>
      <c r="F266" s="6">
        <f t="shared" si="2"/>
        <v>4.495</v>
      </c>
      <c r="G266" s="7">
        <v>0.126450478</v>
      </c>
      <c r="H266" s="6">
        <f>G266*'Measure conversion'!$C$2</f>
        <v>0.126450478</v>
      </c>
      <c r="M266" s="50" t="s">
        <v>624</v>
      </c>
      <c r="N266" s="51">
        <v>1.358</v>
      </c>
      <c r="O266" s="6" t="str">
        <f t="shared" si="3"/>
        <v>Jan</v>
      </c>
      <c r="P266" s="6" t="str">
        <f t="shared" si="4"/>
        <v>2000</v>
      </c>
    </row>
    <row r="267">
      <c r="A267" s="3"/>
      <c r="C267" s="6">
        <f t="shared" si="1"/>
        <v>0.1371771772</v>
      </c>
      <c r="D267" s="6" t="s">
        <v>240</v>
      </c>
      <c r="E267" s="6" t="s">
        <v>286</v>
      </c>
      <c r="F267" s="6">
        <f t="shared" si="2"/>
        <v>4.568</v>
      </c>
      <c r="G267" s="7">
        <v>0.127526297</v>
      </c>
      <c r="H267" s="6">
        <f>G267*'Measure conversion'!$C$2</f>
        <v>0.127526297</v>
      </c>
      <c r="M267" s="50" t="s">
        <v>625</v>
      </c>
      <c r="N267" s="51">
        <v>1.393</v>
      </c>
      <c r="O267" s="6" t="str">
        <f t="shared" si="3"/>
        <v>Jan</v>
      </c>
      <c r="P267" s="6" t="str">
        <f t="shared" si="4"/>
        <v>2000</v>
      </c>
    </row>
    <row r="268">
      <c r="A268" s="3"/>
      <c r="C268" s="6">
        <f t="shared" si="1"/>
        <v>0.167027027</v>
      </c>
      <c r="D268" s="6" t="s">
        <v>242</v>
      </c>
      <c r="E268" s="6" t="s">
        <v>286</v>
      </c>
      <c r="F268" s="6">
        <f t="shared" si="2"/>
        <v>5.562</v>
      </c>
      <c r="G268" s="7">
        <v>0.153326458</v>
      </c>
      <c r="H268" s="6">
        <f>G268*'Measure conversion'!$C$2</f>
        <v>0.153326458</v>
      </c>
      <c r="M268" s="50" t="s">
        <v>626</v>
      </c>
      <c r="N268" s="51">
        <v>1.394</v>
      </c>
      <c r="O268" s="6" t="str">
        <f t="shared" si="3"/>
        <v>Feb</v>
      </c>
      <c r="P268" s="6" t="str">
        <f t="shared" si="4"/>
        <v>2000</v>
      </c>
    </row>
    <row r="269">
      <c r="A269" s="3"/>
      <c r="C269" s="6">
        <f t="shared" si="1"/>
        <v>0.1681081081</v>
      </c>
      <c r="D269" s="6" t="s">
        <v>243</v>
      </c>
      <c r="E269" s="6" t="s">
        <v>286</v>
      </c>
      <c r="F269" s="6">
        <f t="shared" si="2"/>
        <v>5.598</v>
      </c>
      <c r="G269" s="7">
        <v>0.152917465</v>
      </c>
      <c r="H269" s="6">
        <f>G269*'Measure conversion'!$C$2</f>
        <v>0.152917465</v>
      </c>
      <c r="M269" s="50" t="s">
        <v>627</v>
      </c>
      <c r="N269" s="51">
        <v>1.412</v>
      </c>
      <c r="O269" s="6" t="str">
        <f t="shared" si="3"/>
        <v>Feb</v>
      </c>
      <c r="P269" s="6" t="str">
        <f t="shared" si="4"/>
        <v>2000</v>
      </c>
    </row>
    <row r="270">
      <c r="A270" s="3"/>
      <c r="C270" s="6">
        <f t="shared" si="1"/>
        <v>0.1733933934</v>
      </c>
      <c r="D270" s="6" t="s">
        <v>245</v>
      </c>
      <c r="E270" s="6" t="s">
        <v>286</v>
      </c>
      <c r="F270" s="6">
        <f t="shared" si="2"/>
        <v>5.774</v>
      </c>
      <c r="G270" s="7">
        <v>0.156443623</v>
      </c>
      <c r="H270" s="6">
        <f>G270*'Measure conversion'!$C$2</f>
        <v>0.156443623</v>
      </c>
      <c r="M270" s="50" t="s">
        <v>628</v>
      </c>
      <c r="N270" s="51">
        <v>1.455</v>
      </c>
      <c r="O270" s="6" t="str">
        <f t="shared" si="3"/>
        <v>Feb</v>
      </c>
      <c r="P270" s="6" t="str">
        <f t="shared" si="4"/>
        <v>2000</v>
      </c>
    </row>
    <row r="271">
      <c r="A271" s="3"/>
      <c r="C271" s="6">
        <f t="shared" si="1"/>
        <v>0.1862087087</v>
      </c>
      <c r="D271" s="6" t="s">
        <v>246</v>
      </c>
      <c r="E271" s="6" t="s">
        <v>286</v>
      </c>
      <c r="F271" s="6">
        <f t="shared" si="2"/>
        <v>6.20075</v>
      </c>
      <c r="G271" s="7">
        <v>0.166362268</v>
      </c>
      <c r="H271" s="6">
        <f>G271*'Measure conversion'!$C$2</f>
        <v>0.166362268</v>
      </c>
      <c r="M271" s="50" t="s">
        <v>629</v>
      </c>
      <c r="N271" s="51">
        <v>1.53</v>
      </c>
      <c r="O271" s="6" t="str">
        <f t="shared" si="3"/>
        <v>Feb</v>
      </c>
      <c r="P271" s="6" t="str">
        <f t="shared" si="4"/>
        <v>2000</v>
      </c>
    </row>
    <row r="272">
      <c r="A272" s="3"/>
      <c r="C272" s="6">
        <f t="shared" si="1"/>
        <v>0.1743693694</v>
      </c>
      <c r="D272" s="6" t="s">
        <v>247</v>
      </c>
      <c r="E272" s="6" t="s">
        <v>286</v>
      </c>
      <c r="F272" s="6">
        <f t="shared" si="2"/>
        <v>5.8065</v>
      </c>
      <c r="G272" s="7">
        <v>0.155812636</v>
      </c>
      <c r="H272" s="6">
        <f>G272*'Measure conversion'!$C$2</f>
        <v>0.155812636</v>
      </c>
      <c r="M272" s="50" t="s">
        <v>630</v>
      </c>
      <c r="N272" s="51">
        <v>1.646</v>
      </c>
      <c r="O272" s="6" t="str">
        <f t="shared" si="3"/>
        <v>Mar</v>
      </c>
      <c r="P272" s="6" t="str">
        <f t="shared" si="4"/>
        <v>2000</v>
      </c>
    </row>
    <row r="273">
      <c r="A273" s="3"/>
      <c r="C273" s="6">
        <f t="shared" si="1"/>
        <v>0.1573273273</v>
      </c>
      <c r="D273" s="6" t="s">
        <v>248</v>
      </c>
      <c r="E273" s="6" t="s">
        <v>286</v>
      </c>
      <c r="F273" s="6">
        <f t="shared" si="2"/>
        <v>5.239</v>
      </c>
      <c r="G273" s="7">
        <v>0.140859661</v>
      </c>
      <c r="H273" s="6">
        <f>G273*'Measure conversion'!$C$2</f>
        <v>0.140859661</v>
      </c>
      <c r="M273" s="50" t="s">
        <v>631</v>
      </c>
      <c r="N273" s="51">
        <v>1.753</v>
      </c>
      <c r="O273" s="6" t="str">
        <f t="shared" si="3"/>
        <v>Mar</v>
      </c>
      <c r="P273" s="6" t="str">
        <f t="shared" si="4"/>
        <v>2000</v>
      </c>
    </row>
    <row r="274">
      <c r="A274" s="3"/>
      <c r="C274" s="6">
        <f t="shared" si="1"/>
        <v>0.1583258258</v>
      </c>
      <c r="D274" s="6" t="s">
        <v>249</v>
      </c>
      <c r="E274" s="6" t="s">
        <v>286</v>
      </c>
      <c r="F274" s="6">
        <f t="shared" si="2"/>
        <v>5.27225</v>
      </c>
      <c r="G274" s="7">
        <v>0.141410831</v>
      </c>
      <c r="H274" s="6">
        <f>G274*'Measure conversion'!$C$2</f>
        <v>0.141410831</v>
      </c>
      <c r="M274" s="50" t="s">
        <v>632</v>
      </c>
      <c r="N274" s="51">
        <v>1.807</v>
      </c>
      <c r="O274" s="6" t="str">
        <f t="shared" si="3"/>
        <v>Mar</v>
      </c>
      <c r="P274" s="6" t="str">
        <f t="shared" si="4"/>
        <v>2000</v>
      </c>
    </row>
    <row r="275">
      <c r="A275" s="3"/>
      <c r="C275" s="6">
        <f t="shared" si="1"/>
        <v>0.1743363363</v>
      </c>
      <c r="D275" s="6" t="s">
        <v>250</v>
      </c>
      <c r="E275" s="6" t="s">
        <v>286</v>
      </c>
      <c r="F275" s="6">
        <f t="shared" si="2"/>
        <v>5.8054</v>
      </c>
      <c r="G275" s="7">
        <v>0.154746192</v>
      </c>
      <c r="H275" s="6">
        <f>G275*'Measure conversion'!$C$2</f>
        <v>0.154746192</v>
      </c>
      <c r="M275" s="50" t="s">
        <v>633</v>
      </c>
      <c r="N275" s="51">
        <v>1.802</v>
      </c>
      <c r="O275" s="6" t="str">
        <f t="shared" si="3"/>
        <v>Mar</v>
      </c>
      <c r="P275" s="6" t="str">
        <f t="shared" si="4"/>
        <v>2000</v>
      </c>
    </row>
    <row r="276">
      <c r="A276" s="3"/>
      <c r="C276" s="6">
        <f t="shared" si="1"/>
        <v>0.1522897898</v>
      </c>
      <c r="D276" s="6" t="s">
        <v>251</v>
      </c>
      <c r="E276" s="6" t="s">
        <v>286</v>
      </c>
      <c r="F276" s="6">
        <f t="shared" si="2"/>
        <v>5.07125</v>
      </c>
      <c r="G276" s="7">
        <v>0.135913171</v>
      </c>
      <c r="H276" s="6">
        <f>G276*'Measure conversion'!$C$2</f>
        <v>0.135913171</v>
      </c>
      <c r="M276" s="50" t="s">
        <v>634</v>
      </c>
      <c r="N276" s="51">
        <v>1.785</v>
      </c>
      <c r="O276" s="6" t="str">
        <f t="shared" si="3"/>
        <v>Apr</v>
      </c>
      <c r="P276" s="6" t="str">
        <f t="shared" si="4"/>
        <v>2000</v>
      </c>
    </row>
    <row r="277">
      <c r="A277" s="3"/>
      <c r="C277" s="6">
        <f t="shared" si="1"/>
        <v>0.1296471471</v>
      </c>
      <c r="D277" s="6" t="s">
        <v>252</v>
      </c>
      <c r="E277" s="6" t="s">
        <v>286</v>
      </c>
      <c r="F277" s="6">
        <f t="shared" si="2"/>
        <v>4.31725</v>
      </c>
      <c r="G277" s="7">
        <v>0.116376869</v>
      </c>
      <c r="H277" s="6">
        <f>G277*'Measure conversion'!$C$2</f>
        <v>0.116376869</v>
      </c>
      <c r="M277" s="50" t="s">
        <v>635</v>
      </c>
      <c r="N277" s="51">
        <v>1.766</v>
      </c>
      <c r="O277" s="6" t="str">
        <f t="shared" si="3"/>
        <v>Apr</v>
      </c>
      <c r="P277" s="6" t="str">
        <f t="shared" si="4"/>
        <v>2000</v>
      </c>
    </row>
    <row r="278">
      <c r="A278" s="3"/>
      <c r="C278" s="6">
        <f t="shared" si="1"/>
        <v>0.1280840841</v>
      </c>
      <c r="D278" s="6" t="s">
        <v>235</v>
      </c>
      <c r="E278" s="6" t="s">
        <v>287</v>
      </c>
      <c r="F278" s="6">
        <f t="shared" si="2"/>
        <v>4.2652</v>
      </c>
      <c r="M278" s="50" t="s">
        <v>636</v>
      </c>
      <c r="N278" s="51">
        <v>1.741</v>
      </c>
      <c r="O278" s="6" t="str">
        <f t="shared" si="3"/>
        <v>Apr</v>
      </c>
      <c r="P278" s="6" t="str">
        <f t="shared" si="4"/>
        <v>2000</v>
      </c>
    </row>
    <row r="279">
      <c r="A279" s="3"/>
      <c r="C279" s="6">
        <f t="shared" si="1"/>
        <v>0.1347297297</v>
      </c>
      <c r="D279" s="6" t="s">
        <v>240</v>
      </c>
      <c r="E279" s="6" t="s">
        <v>287</v>
      </c>
      <c r="F279" s="6">
        <f t="shared" si="2"/>
        <v>4.4865</v>
      </c>
      <c r="M279" s="50" t="s">
        <v>637</v>
      </c>
      <c r="N279" s="51">
        <v>1.709</v>
      </c>
      <c r="O279" s="6" t="str">
        <f t="shared" si="3"/>
        <v>Apr</v>
      </c>
      <c r="P279" s="6" t="str">
        <f t="shared" si="4"/>
        <v>2000</v>
      </c>
    </row>
    <row r="280">
      <c r="A280" s="3"/>
      <c r="C280" s="6">
        <f t="shared" si="1"/>
        <v>0.1405855856</v>
      </c>
      <c r="D280" s="6" t="s">
        <v>242</v>
      </c>
      <c r="E280" s="6" t="s">
        <v>287</v>
      </c>
      <c r="F280" s="6">
        <f t="shared" si="2"/>
        <v>4.6815</v>
      </c>
      <c r="M280" s="50" t="s">
        <v>638</v>
      </c>
      <c r="N280" s="51">
        <v>1.687</v>
      </c>
      <c r="O280" s="6" t="str">
        <f t="shared" si="3"/>
        <v>May</v>
      </c>
      <c r="P280" s="6" t="str">
        <f t="shared" si="4"/>
        <v>2000</v>
      </c>
    </row>
    <row r="281">
      <c r="A281" s="3"/>
      <c r="C281" s="6">
        <f t="shared" si="1"/>
        <v>0.1405855856</v>
      </c>
      <c r="D281" s="6" t="s">
        <v>243</v>
      </c>
      <c r="E281" s="6" t="s">
        <v>287</v>
      </c>
      <c r="F281" s="6">
        <f t="shared" si="2"/>
        <v>4.6815</v>
      </c>
      <c r="M281" s="50" t="s">
        <v>639</v>
      </c>
      <c r="N281" s="51">
        <v>1.671</v>
      </c>
      <c r="O281" s="6" t="str">
        <f t="shared" si="3"/>
        <v>May</v>
      </c>
      <c r="P281" s="6" t="str">
        <f t="shared" si="4"/>
        <v>2000</v>
      </c>
    </row>
    <row r="282">
      <c r="A282" s="3"/>
      <c r="C282" s="6">
        <f t="shared" si="1"/>
        <v>0.1391351351</v>
      </c>
      <c r="D282" s="6" t="s">
        <v>245</v>
      </c>
      <c r="E282" s="6" t="s">
        <v>287</v>
      </c>
      <c r="F282" s="6">
        <f t="shared" si="2"/>
        <v>4.6332</v>
      </c>
      <c r="M282" s="50" t="s">
        <v>640</v>
      </c>
      <c r="N282" s="51">
        <v>1.646</v>
      </c>
      <c r="O282" s="6" t="str">
        <f t="shared" si="3"/>
        <v>May</v>
      </c>
      <c r="P282" s="6" t="str">
        <f t="shared" si="4"/>
        <v>2000</v>
      </c>
    </row>
    <row r="283">
      <c r="A283" s="3"/>
      <c r="C283" s="6">
        <f t="shared" si="1"/>
        <v>0.1403528529</v>
      </c>
      <c r="D283" s="6" t="s">
        <v>246</v>
      </c>
      <c r="E283" s="6" t="s">
        <v>287</v>
      </c>
      <c r="F283" s="6">
        <f t="shared" si="2"/>
        <v>4.67375</v>
      </c>
      <c r="M283" s="50" t="s">
        <v>641</v>
      </c>
      <c r="N283" s="51">
        <v>1.625</v>
      </c>
      <c r="O283" s="6" t="str">
        <f t="shared" si="3"/>
        <v>May</v>
      </c>
      <c r="P283" s="6" t="str">
        <f t="shared" si="4"/>
        <v>2000</v>
      </c>
    </row>
    <row r="284">
      <c r="A284" s="3"/>
      <c r="C284" s="6">
        <f t="shared" si="1"/>
        <v>0.1416456456</v>
      </c>
      <c r="D284" s="6" t="s">
        <v>247</v>
      </c>
      <c r="E284" s="6" t="s">
        <v>287</v>
      </c>
      <c r="F284" s="6">
        <f t="shared" si="2"/>
        <v>4.7168</v>
      </c>
      <c r="M284" s="50" t="s">
        <v>642</v>
      </c>
      <c r="N284" s="51">
        <v>1.626</v>
      </c>
      <c r="O284" s="6" t="str">
        <f t="shared" si="3"/>
        <v>May</v>
      </c>
      <c r="P284" s="6" t="str">
        <f t="shared" si="4"/>
        <v>2000</v>
      </c>
    </row>
    <row r="285">
      <c r="A285" s="3"/>
      <c r="C285" s="6">
        <f t="shared" si="1"/>
        <v>0.1508258258</v>
      </c>
      <c r="D285" s="6" t="s">
        <v>248</v>
      </c>
      <c r="E285" s="6" t="s">
        <v>287</v>
      </c>
      <c r="F285" s="6">
        <f t="shared" si="2"/>
        <v>5.0225</v>
      </c>
      <c r="M285" s="50" t="s">
        <v>643</v>
      </c>
      <c r="N285" s="51">
        <v>1.613</v>
      </c>
      <c r="O285" s="6" t="str">
        <f t="shared" si="3"/>
        <v>Jun</v>
      </c>
      <c r="P285" s="6" t="str">
        <f t="shared" si="4"/>
        <v>2000</v>
      </c>
    </row>
    <row r="286">
      <c r="A286" s="3"/>
      <c r="C286" s="6">
        <f t="shared" si="1"/>
        <v>0.1625225225</v>
      </c>
      <c r="D286" s="6" t="s">
        <v>249</v>
      </c>
      <c r="E286" s="6" t="s">
        <v>287</v>
      </c>
      <c r="F286" s="6">
        <f t="shared" si="2"/>
        <v>5.412</v>
      </c>
      <c r="M286" s="50" t="s">
        <v>644</v>
      </c>
      <c r="N286" s="51">
        <v>1.614</v>
      </c>
      <c r="O286" s="6" t="str">
        <f t="shared" si="3"/>
        <v>Jun</v>
      </c>
      <c r="P286" s="6" t="str">
        <f t="shared" si="4"/>
        <v>2000</v>
      </c>
    </row>
    <row r="287">
      <c r="A287" s="3"/>
      <c r="C287" s="6">
        <f t="shared" si="1"/>
        <v>0.1633213213</v>
      </c>
      <c r="D287" s="6" t="s">
        <v>250</v>
      </c>
      <c r="E287" s="6" t="s">
        <v>287</v>
      </c>
      <c r="F287" s="6">
        <f t="shared" si="2"/>
        <v>5.4386</v>
      </c>
      <c r="M287" s="50" t="s">
        <v>645</v>
      </c>
      <c r="N287" s="51">
        <v>1.618</v>
      </c>
      <c r="O287" s="6" t="str">
        <f t="shared" si="3"/>
        <v>Jun</v>
      </c>
      <c r="P287" s="6" t="str">
        <f t="shared" si="4"/>
        <v>2000</v>
      </c>
    </row>
    <row r="288">
      <c r="A288" s="3"/>
      <c r="C288" s="6">
        <f t="shared" si="1"/>
        <v>0.1449099099</v>
      </c>
      <c r="D288" s="6" t="s">
        <v>251</v>
      </c>
      <c r="E288" s="6" t="s">
        <v>287</v>
      </c>
      <c r="F288" s="6">
        <f t="shared" si="2"/>
        <v>4.8255</v>
      </c>
      <c r="M288" s="50" t="s">
        <v>646</v>
      </c>
      <c r="N288" s="51">
        <v>1.641</v>
      </c>
      <c r="O288" s="6" t="str">
        <f t="shared" si="3"/>
        <v>Jun</v>
      </c>
      <c r="P288" s="6" t="str">
        <f t="shared" si="4"/>
        <v>2000</v>
      </c>
    </row>
    <row r="289">
      <c r="A289" s="3"/>
      <c r="C289" s="6">
        <f t="shared" si="1"/>
        <v>0.133506006</v>
      </c>
      <c r="D289" s="6" t="s">
        <v>252</v>
      </c>
      <c r="E289" s="6" t="s">
        <v>287</v>
      </c>
      <c r="F289" s="6">
        <f t="shared" si="2"/>
        <v>4.44575</v>
      </c>
      <c r="M289" s="50" t="s">
        <v>647</v>
      </c>
      <c r="N289" s="51">
        <v>1.71</v>
      </c>
      <c r="O289" s="6" t="str">
        <f t="shared" si="3"/>
        <v>Jul</v>
      </c>
      <c r="P289" s="6" t="str">
        <f t="shared" si="4"/>
        <v>2000</v>
      </c>
    </row>
    <row r="290">
      <c r="A290" s="3"/>
      <c r="C290" s="6">
        <f t="shared" si="1"/>
        <v>0.1311951952</v>
      </c>
      <c r="D290" s="6" t="s">
        <v>235</v>
      </c>
      <c r="E290" s="6" t="s">
        <v>288</v>
      </c>
      <c r="F290" s="6">
        <f t="shared" si="2"/>
        <v>4.3688</v>
      </c>
      <c r="M290" s="50" t="s">
        <v>648</v>
      </c>
      <c r="N290" s="51">
        <v>1.729</v>
      </c>
      <c r="O290" s="6" t="str">
        <f t="shared" si="3"/>
        <v>Jul</v>
      </c>
      <c r="P290" s="6" t="str">
        <f t="shared" si="4"/>
        <v>2000</v>
      </c>
    </row>
    <row r="291">
      <c r="A291" s="3"/>
      <c r="C291" s="6">
        <f t="shared" si="1"/>
        <v>0.1328453453</v>
      </c>
      <c r="D291" s="6" t="s">
        <v>240</v>
      </c>
      <c r="E291" s="6" t="s">
        <v>288</v>
      </c>
      <c r="F291" s="6">
        <f t="shared" si="2"/>
        <v>4.42375</v>
      </c>
      <c r="M291" s="50" t="s">
        <v>649</v>
      </c>
      <c r="N291" s="51">
        <v>1.72</v>
      </c>
      <c r="O291" s="6" t="str">
        <f t="shared" si="3"/>
        <v>Jul</v>
      </c>
      <c r="P291" s="6" t="str">
        <f t="shared" si="4"/>
        <v>2000</v>
      </c>
    </row>
    <row r="292">
      <c r="A292" s="3"/>
      <c r="C292" s="6">
        <f t="shared" si="1"/>
        <v>0.1417342342</v>
      </c>
      <c r="D292" s="6" t="s">
        <v>242</v>
      </c>
      <c r="E292" s="6" t="s">
        <v>288</v>
      </c>
      <c r="F292" s="6">
        <f t="shared" si="2"/>
        <v>4.71975</v>
      </c>
      <c r="M292" s="50" t="s">
        <v>650</v>
      </c>
      <c r="N292" s="51">
        <v>1.712</v>
      </c>
      <c r="O292" s="6" t="str">
        <f t="shared" si="3"/>
        <v>Jul</v>
      </c>
      <c r="P292" s="6" t="str">
        <f t="shared" si="4"/>
        <v>2000</v>
      </c>
    </row>
    <row r="293">
      <c r="A293" s="3"/>
      <c r="C293" s="6">
        <f t="shared" si="1"/>
        <v>0.1545105105</v>
      </c>
      <c r="D293" s="6" t="s">
        <v>243</v>
      </c>
      <c r="E293" s="6" t="s">
        <v>288</v>
      </c>
      <c r="F293" s="6">
        <f t="shared" si="2"/>
        <v>5.1452</v>
      </c>
      <c r="M293" s="50" t="s">
        <v>651</v>
      </c>
      <c r="N293" s="51">
        <v>1.681</v>
      </c>
      <c r="O293" s="6" t="str">
        <f t="shared" si="3"/>
        <v>Jul</v>
      </c>
      <c r="P293" s="6" t="str">
        <f t="shared" si="4"/>
        <v>2000</v>
      </c>
    </row>
    <row r="294">
      <c r="A294" s="3"/>
      <c r="C294" s="6">
        <f t="shared" si="1"/>
        <v>0.1502927928</v>
      </c>
      <c r="D294" s="6" t="s">
        <v>245</v>
      </c>
      <c r="E294" s="6" t="s">
        <v>288</v>
      </c>
      <c r="F294" s="6">
        <f t="shared" si="2"/>
        <v>5.00475</v>
      </c>
      <c r="M294" s="50" t="s">
        <v>652</v>
      </c>
      <c r="N294" s="51">
        <v>1.666</v>
      </c>
      <c r="O294" s="6" t="str">
        <f t="shared" si="3"/>
        <v>Aug</v>
      </c>
      <c r="P294" s="6" t="str">
        <f t="shared" si="4"/>
        <v>2000</v>
      </c>
    </row>
    <row r="295">
      <c r="A295" s="3"/>
      <c r="C295" s="6">
        <f t="shared" si="1"/>
        <v>0.140015015</v>
      </c>
      <c r="D295" s="6" t="s">
        <v>246</v>
      </c>
      <c r="E295" s="6" t="s">
        <v>288</v>
      </c>
      <c r="F295" s="6">
        <f t="shared" si="2"/>
        <v>4.6625</v>
      </c>
      <c r="M295" s="50" t="s">
        <v>653</v>
      </c>
      <c r="N295" s="51">
        <v>1.668</v>
      </c>
      <c r="O295" s="6" t="str">
        <f t="shared" si="3"/>
        <v>Aug</v>
      </c>
      <c r="P295" s="6" t="str">
        <f t="shared" si="4"/>
        <v>2000</v>
      </c>
    </row>
    <row r="296">
      <c r="A296" s="3"/>
      <c r="C296" s="6">
        <f t="shared" si="1"/>
        <v>0.1342522523</v>
      </c>
      <c r="D296" s="6" t="s">
        <v>247</v>
      </c>
      <c r="E296" s="6" t="s">
        <v>288</v>
      </c>
      <c r="F296" s="6">
        <f t="shared" si="2"/>
        <v>4.4706</v>
      </c>
      <c r="M296" s="50" t="s">
        <v>654</v>
      </c>
      <c r="N296" s="51">
        <v>1.667</v>
      </c>
      <c r="O296" s="6" t="str">
        <f t="shared" si="3"/>
        <v>Aug</v>
      </c>
      <c r="P296" s="6" t="str">
        <f t="shared" si="4"/>
        <v>2000</v>
      </c>
    </row>
    <row r="297">
      <c r="A297" s="3"/>
      <c r="C297" s="6">
        <f t="shared" si="1"/>
        <v>0.1300900901</v>
      </c>
      <c r="D297" s="6" t="s">
        <v>248</v>
      </c>
      <c r="E297" s="6" t="s">
        <v>288</v>
      </c>
      <c r="F297" s="6">
        <f t="shared" si="2"/>
        <v>4.332</v>
      </c>
      <c r="M297" s="50" t="s">
        <v>655</v>
      </c>
      <c r="N297" s="51">
        <v>1.702</v>
      </c>
      <c r="O297" s="6" t="str">
        <f t="shared" si="3"/>
        <v>Aug</v>
      </c>
      <c r="P297" s="6" t="str">
        <f t="shared" si="4"/>
        <v>2000</v>
      </c>
    </row>
    <row r="298">
      <c r="A298" s="3"/>
      <c r="C298" s="6">
        <f t="shared" si="1"/>
        <v>0.1337717718</v>
      </c>
      <c r="D298" s="6" t="s">
        <v>249</v>
      </c>
      <c r="E298" s="6" t="s">
        <v>288</v>
      </c>
      <c r="F298" s="6">
        <f t="shared" si="2"/>
        <v>4.4546</v>
      </c>
      <c r="M298" s="50" t="s">
        <v>656</v>
      </c>
      <c r="N298" s="51">
        <v>1.79</v>
      </c>
      <c r="O298" s="6" t="str">
        <f t="shared" si="3"/>
        <v>Sep</v>
      </c>
      <c r="P298" s="6" t="str">
        <f t="shared" si="4"/>
        <v>2000</v>
      </c>
    </row>
    <row r="299">
      <c r="A299" s="3"/>
      <c r="C299" s="6">
        <f t="shared" si="1"/>
        <v>0.1318918919</v>
      </c>
      <c r="D299" s="6" t="s">
        <v>250</v>
      </c>
      <c r="E299" s="6" t="s">
        <v>288</v>
      </c>
      <c r="F299" s="6">
        <f t="shared" si="2"/>
        <v>4.392</v>
      </c>
      <c r="M299" s="50" t="s">
        <v>657</v>
      </c>
      <c r="N299" s="51">
        <v>1.849</v>
      </c>
      <c r="O299" s="6" t="str">
        <f t="shared" si="3"/>
        <v>Sep</v>
      </c>
      <c r="P299" s="6" t="str">
        <f t="shared" si="4"/>
        <v>2000</v>
      </c>
    </row>
    <row r="300">
      <c r="A300" s="3"/>
      <c r="C300" s="6">
        <f t="shared" si="1"/>
        <v>0.1271996997</v>
      </c>
      <c r="D300" s="6" t="s">
        <v>251</v>
      </c>
      <c r="E300" s="6" t="s">
        <v>288</v>
      </c>
      <c r="F300" s="6">
        <f t="shared" si="2"/>
        <v>4.23575</v>
      </c>
      <c r="M300" s="50" t="s">
        <v>658</v>
      </c>
      <c r="N300" s="51">
        <v>1.832</v>
      </c>
      <c r="O300" s="6" t="str">
        <f t="shared" si="3"/>
        <v>Sep</v>
      </c>
      <c r="P300" s="6" t="str">
        <f t="shared" si="4"/>
        <v>2000</v>
      </c>
    </row>
    <row r="301">
      <c r="A301" s="3"/>
      <c r="C301" s="6">
        <f t="shared" si="1"/>
        <v>0.1238018018</v>
      </c>
      <c r="D301" s="6" t="s">
        <v>252</v>
      </c>
      <c r="E301" s="6" t="s">
        <v>288</v>
      </c>
      <c r="F301" s="6">
        <f t="shared" si="2"/>
        <v>4.1226</v>
      </c>
      <c r="M301" s="50" t="s">
        <v>659</v>
      </c>
      <c r="N301" s="51">
        <v>1.832</v>
      </c>
      <c r="O301" s="6" t="str">
        <f t="shared" si="3"/>
        <v>Sep</v>
      </c>
      <c r="P301" s="6" t="str">
        <f t="shared" si="4"/>
        <v>2000</v>
      </c>
    </row>
    <row r="302">
      <c r="A302" s="3"/>
      <c r="C302" s="6">
        <f t="shared" si="1"/>
        <v>0.1253953954</v>
      </c>
      <c r="D302" s="6" t="s">
        <v>235</v>
      </c>
      <c r="E302" s="6" t="s">
        <v>289</v>
      </c>
      <c r="F302" s="6">
        <f t="shared" si="2"/>
        <v>4.175666667</v>
      </c>
      <c r="M302" s="50" t="s">
        <v>660</v>
      </c>
      <c r="N302" s="51">
        <v>1.832</v>
      </c>
      <c r="O302" s="6" t="str">
        <f t="shared" si="3"/>
        <v>Oct</v>
      </c>
      <c r="P302" s="6" t="str">
        <f t="shared" si="4"/>
        <v>2000</v>
      </c>
    </row>
    <row r="303">
      <c r="A303" s="3"/>
      <c r="M303" s="50" t="s">
        <v>661</v>
      </c>
      <c r="N303" s="51">
        <v>1.826</v>
      </c>
      <c r="O303" s="6" t="str">
        <f t="shared" si="3"/>
        <v>Oct</v>
      </c>
      <c r="P303" s="6" t="str">
        <f t="shared" si="4"/>
        <v>2000</v>
      </c>
    </row>
    <row r="304">
      <c r="A304" s="3"/>
      <c r="M304" s="50" t="s">
        <v>662</v>
      </c>
      <c r="N304" s="51">
        <v>1.809</v>
      </c>
      <c r="O304" s="6" t="str">
        <f t="shared" si="3"/>
        <v>Oct</v>
      </c>
      <c r="P304" s="6" t="str">
        <f t="shared" si="4"/>
        <v>2000</v>
      </c>
    </row>
    <row r="305">
      <c r="A305" s="3"/>
      <c r="M305" s="50" t="s">
        <v>663</v>
      </c>
      <c r="N305" s="51">
        <v>1.797</v>
      </c>
      <c r="O305" s="6" t="str">
        <f t="shared" si="3"/>
        <v>Oct</v>
      </c>
      <c r="P305" s="6" t="str">
        <f t="shared" si="4"/>
        <v>2000</v>
      </c>
    </row>
    <row r="306">
      <c r="A306" s="3"/>
      <c r="M306" s="50" t="s">
        <v>664</v>
      </c>
      <c r="N306" s="51">
        <v>1.796</v>
      </c>
      <c r="O306" s="6" t="str">
        <f t="shared" si="3"/>
        <v>Oct</v>
      </c>
      <c r="P306" s="6" t="str">
        <f t="shared" si="4"/>
        <v>2000</v>
      </c>
    </row>
    <row r="307">
      <c r="A307" s="3"/>
      <c r="M307" s="50" t="s">
        <v>665</v>
      </c>
      <c r="N307" s="51">
        <v>1.791</v>
      </c>
      <c r="O307" s="6" t="str">
        <f t="shared" si="3"/>
        <v>Nov</v>
      </c>
      <c r="P307" s="6" t="str">
        <f t="shared" si="4"/>
        <v>2000</v>
      </c>
    </row>
    <row r="308">
      <c r="A308" s="3"/>
      <c r="M308" s="50" t="s">
        <v>666</v>
      </c>
      <c r="N308" s="51">
        <v>1.777</v>
      </c>
      <c r="O308" s="6" t="str">
        <f t="shared" si="3"/>
        <v>Nov</v>
      </c>
      <c r="P308" s="6" t="str">
        <f t="shared" si="4"/>
        <v>2000</v>
      </c>
    </row>
    <row r="309">
      <c r="A309" s="3"/>
      <c r="M309" s="50" t="s">
        <v>667</v>
      </c>
      <c r="N309" s="51">
        <v>1.752</v>
      </c>
      <c r="O309" s="6" t="str">
        <f t="shared" si="3"/>
        <v>Nov</v>
      </c>
      <c r="P309" s="6" t="str">
        <f t="shared" si="4"/>
        <v>2000</v>
      </c>
    </row>
    <row r="310">
      <c r="A310" s="3"/>
      <c r="M310" s="50" t="s">
        <v>668</v>
      </c>
      <c r="N310" s="51">
        <v>1.744</v>
      </c>
      <c r="O310" s="6" t="str">
        <f t="shared" si="3"/>
        <v>Nov</v>
      </c>
      <c r="P310" s="6" t="str">
        <f t="shared" si="4"/>
        <v>2000</v>
      </c>
    </row>
    <row r="311">
      <c r="A311" s="3"/>
      <c r="M311" s="50" t="s">
        <v>669</v>
      </c>
      <c r="N311" s="51">
        <v>1.721</v>
      </c>
      <c r="O311" s="6" t="str">
        <f t="shared" si="3"/>
        <v>Dec</v>
      </c>
      <c r="P311" s="6" t="str">
        <f t="shared" si="4"/>
        <v>2000</v>
      </c>
    </row>
    <row r="312">
      <c r="A312" s="3"/>
      <c r="M312" s="50" t="s">
        <v>670</v>
      </c>
      <c r="N312" s="51">
        <v>1.688</v>
      </c>
      <c r="O312" s="6" t="str">
        <f t="shared" si="3"/>
        <v>Dec</v>
      </c>
      <c r="P312" s="6" t="str">
        <f t="shared" si="4"/>
        <v>2000</v>
      </c>
    </row>
    <row r="313">
      <c r="A313" s="3"/>
      <c r="M313" s="50" t="s">
        <v>671</v>
      </c>
      <c r="N313" s="51">
        <v>1.658</v>
      </c>
      <c r="O313" s="6" t="str">
        <f t="shared" si="3"/>
        <v>Dec</v>
      </c>
      <c r="P313" s="6" t="str">
        <f t="shared" si="4"/>
        <v>2000</v>
      </c>
    </row>
    <row r="314">
      <c r="A314" s="3"/>
      <c r="M314" s="50" t="s">
        <v>672</v>
      </c>
      <c r="N314" s="51">
        <v>1.647</v>
      </c>
      <c r="O314" s="6" t="str">
        <f t="shared" si="3"/>
        <v>Dec</v>
      </c>
      <c r="P314" s="6" t="str">
        <f t="shared" si="4"/>
        <v>2000</v>
      </c>
    </row>
    <row r="315">
      <c r="A315" s="3"/>
      <c r="M315" s="50" t="s">
        <v>673</v>
      </c>
      <c r="N315" s="51">
        <v>1.629</v>
      </c>
      <c r="O315" s="6" t="str">
        <f t="shared" si="3"/>
        <v>Jan</v>
      </c>
      <c r="P315" s="6" t="str">
        <f t="shared" si="4"/>
        <v>2001</v>
      </c>
    </row>
    <row r="316">
      <c r="A316" s="3"/>
      <c r="M316" s="50" t="s">
        <v>674</v>
      </c>
      <c r="N316" s="51">
        <v>1.627</v>
      </c>
      <c r="O316" s="6" t="str">
        <f t="shared" si="3"/>
        <v>Jan</v>
      </c>
      <c r="P316" s="6" t="str">
        <f t="shared" si="4"/>
        <v>2001</v>
      </c>
    </row>
    <row r="317">
      <c r="A317" s="3"/>
      <c r="M317" s="50" t="s">
        <v>675</v>
      </c>
      <c r="N317" s="51">
        <v>1.6</v>
      </c>
      <c r="O317" s="6" t="str">
        <f t="shared" si="3"/>
        <v>Jan</v>
      </c>
      <c r="P317" s="6" t="str">
        <f t="shared" si="4"/>
        <v>2001</v>
      </c>
    </row>
    <row r="318">
      <c r="A318" s="3"/>
      <c r="M318" s="50" t="s">
        <v>676</v>
      </c>
      <c r="N318" s="51">
        <v>1.582</v>
      </c>
      <c r="O318" s="6" t="str">
        <f t="shared" si="3"/>
        <v>Jan</v>
      </c>
      <c r="P318" s="6" t="str">
        <f t="shared" si="4"/>
        <v>2001</v>
      </c>
    </row>
    <row r="319">
      <c r="A319" s="3"/>
      <c r="M319" s="50" t="s">
        <v>677</v>
      </c>
      <c r="N319" s="51">
        <v>1.566</v>
      </c>
      <c r="O319" s="6" t="str">
        <f t="shared" si="3"/>
        <v>Jan</v>
      </c>
      <c r="P319" s="6" t="str">
        <f t="shared" si="4"/>
        <v>2001</v>
      </c>
    </row>
    <row r="320">
      <c r="A320" s="3"/>
      <c r="M320" s="50" t="s">
        <v>678</v>
      </c>
      <c r="N320" s="51">
        <v>1.59</v>
      </c>
      <c r="O320" s="6" t="str">
        <f t="shared" si="3"/>
        <v>Feb</v>
      </c>
      <c r="P320" s="6" t="str">
        <f t="shared" si="4"/>
        <v>2001</v>
      </c>
    </row>
    <row r="321">
      <c r="A321" s="3"/>
      <c r="M321" s="50" t="s">
        <v>679</v>
      </c>
      <c r="N321" s="51">
        <v>1.637</v>
      </c>
      <c r="O321" s="6" t="str">
        <f t="shared" si="3"/>
        <v>Feb</v>
      </c>
      <c r="P321" s="6" t="str">
        <f t="shared" si="4"/>
        <v>2001</v>
      </c>
    </row>
    <row r="322">
      <c r="A322" s="3"/>
      <c r="M322" s="50" t="s">
        <v>680</v>
      </c>
      <c r="N322" s="51">
        <v>1.66</v>
      </c>
      <c r="O322" s="6" t="str">
        <f t="shared" si="3"/>
        <v>Feb</v>
      </c>
      <c r="P322" s="6" t="str">
        <f t="shared" si="4"/>
        <v>2001</v>
      </c>
    </row>
    <row r="323">
      <c r="A323" s="3"/>
      <c r="M323" s="50" t="s">
        <v>681</v>
      </c>
      <c r="N323" s="51">
        <v>1.662</v>
      </c>
      <c r="O323" s="6" t="str">
        <f t="shared" si="3"/>
        <v>Feb</v>
      </c>
      <c r="P323" s="6" t="str">
        <f t="shared" si="4"/>
        <v>2001</v>
      </c>
    </row>
    <row r="324">
      <c r="A324" s="3"/>
      <c r="M324" s="50" t="s">
        <v>682</v>
      </c>
      <c r="N324" s="51">
        <v>1.694</v>
      </c>
      <c r="O324" s="6" t="str">
        <f t="shared" si="3"/>
        <v>Mar</v>
      </c>
      <c r="P324" s="6" t="str">
        <f t="shared" si="4"/>
        <v>2001</v>
      </c>
    </row>
    <row r="325">
      <c r="A325" s="3"/>
      <c r="M325" s="50" t="s">
        <v>683</v>
      </c>
      <c r="N325" s="51">
        <v>1.7</v>
      </c>
      <c r="O325" s="6" t="str">
        <f t="shared" si="3"/>
        <v>Mar</v>
      </c>
      <c r="P325" s="6" t="str">
        <f t="shared" si="4"/>
        <v>2001</v>
      </c>
    </row>
    <row r="326">
      <c r="A326" s="3"/>
      <c r="M326" s="50" t="s">
        <v>684</v>
      </c>
      <c r="N326" s="51">
        <v>1.695</v>
      </c>
      <c r="O326" s="6" t="str">
        <f t="shared" si="3"/>
        <v>Mar</v>
      </c>
      <c r="P326" s="6" t="str">
        <f t="shared" si="4"/>
        <v>2001</v>
      </c>
    </row>
    <row r="327">
      <c r="A327" s="3"/>
      <c r="M327" s="50" t="s">
        <v>685</v>
      </c>
      <c r="N327" s="51">
        <v>1.683</v>
      </c>
      <c r="O327" s="6" t="str">
        <f t="shared" si="3"/>
        <v>Mar</v>
      </c>
      <c r="P327" s="6" t="str">
        <f t="shared" si="4"/>
        <v>2001</v>
      </c>
    </row>
    <row r="328">
      <c r="A328" s="3"/>
      <c r="M328" s="50" t="s">
        <v>686</v>
      </c>
      <c r="N328" s="51">
        <v>1.716</v>
      </c>
      <c r="O328" s="6" t="str">
        <f t="shared" si="3"/>
        <v>Apr</v>
      </c>
      <c r="P328" s="6" t="str">
        <f t="shared" si="4"/>
        <v>2001</v>
      </c>
    </row>
    <row r="329">
      <c r="A329" s="3"/>
      <c r="M329" s="50" t="s">
        <v>687</v>
      </c>
      <c r="N329" s="51">
        <v>1.754</v>
      </c>
      <c r="O329" s="6" t="str">
        <f t="shared" si="3"/>
        <v>Apr</v>
      </c>
      <c r="P329" s="6" t="str">
        <f t="shared" si="4"/>
        <v>2001</v>
      </c>
    </row>
    <row r="330">
      <c r="A330" s="3"/>
      <c r="M330" s="50" t="s">
        <v>688</v>
      </c>
      <c r="N330" s="51">
        <v>1.798</v>
      </c>
      <c r="O330" s="6" t="str">
        <f t="shared" si="3"/>
        <v>Apr</v>
      </c>
      <c r="P330" s="6" t="str">
        <f t="shared" si="4"/>
        <v>2001</v>
      </c>
    </row>
    <row r="331">
      <c r="A331" s="3"/>
      <c r="M331" s="50" t="s">
        <v>689</v>
      </c>
      <c r="N331" s="51">
        <v>1.828</v>
      </c>
      <c r="O331" s="6" t="str">
        <f t="shared" si="3"/>
        <v>Apr</v>
      </c>
      <c r="P331" s="6" t="str">
        <f t="shared" si="4"/>
        <v>2001</v>
      </c>
    </row>
    <row r="332">
      <c r="A332" s="3"/>
      <c r="M332" s="50" t="s">
        <v>690</v>
      </c>
      <c r="N332" s="51">
        <v>1.867</v>
      </c>
      <c r="O332" s="6" t="str">
        <f t="shared" si="3"/>
        <v>Apr</v>
      </c>
      <c r="P332" s="6" t="str">
        <f t="shared" si="4"/>
        <v>2001</v>
      </c>
    </row>
    <row r="333">
      <c r="A333" s="3"/>
      <c r="M333" s="50" t="s">
        <v>691</v>
      </c>
      <c r="N333" s="51">
        <v>1.938</v>
      </c>
      <c r="O333" s="6" t="str">
        <f t="shared" si="3"/>
        <v>May</v>
      </c>
      <c r="P333" s="6" t="str">
        <f t="shared" si="4"/>
        <v>2001</v>
      </c>
    </row>
    <row r="334">
      <c r="A334" s="3"/>
      <c r="M334" s="50" t="s">
        <v>692</v>
      </c>
      <c r="N334" s="51">
        <v>1.954</v>
      </c>
      <c r="O334" s="6" t="str">
        <f t="shared" si="3"/>
        <v>May</v>
      </c>
      <c r="P334" s="6" t="str">
        <f t="shared" si="4"/>
        <v>2001</v>
      </c>
    </row>
    <row r="335">
      <c r="A335" s="3"/>
      <c r="M335" s="50" t="s">
        <v>693</v>
      </c>
      <c r="N335" s="51">
        <v>1.951</v>
      </c>
      <c r="O335" s="6" t="str">
        <f t="shared" si="3"/>
        <v>May</v>
      </c>
      <c r="P335" s="6" t="str">
        <f t="shared" si="4"/>
        <v>2001</v>
      </c>
    </row>
    <row r="336">
      <c r="A336" s="3"/>
      <c r="M336" s="50" t="s">
        <v>694</v>
      </c>
      <c r="N336" s="51">
        <v>1.947</v>
      </c>
      <c r="O336" s="6" t="str">
        <f t="shared" si="3"/>
        <v>May</v>
      </c>
      <c r="P336" s="6" t="str">
        <f t="shared" si="4"/>
        <v>2001</v>
      </c>
    </row>
    <row r="337">
      <c r="A337" s="3"/>
      <c r="M337" s="50" t="s">
        <v>695</v>
      </c>
      <c r="N337" s="51">
        <v>1.931</v>
      </c>
      <c r="O337" s="6" t="str">
        <f t="shared" si="3"/>
        <v>Jun</v>
      </c>
      <c r="P337" s="6" t="str">
        <f t="shared" si="4"/>
        <v>2001</v>
      </c>
    </row>
    <row r="338">
      <c r="A338" s="3"/>
      <c r="M338" s="50" t="s">
        <v>696</v>
      </c>
      <c r="N338" s="51">
        <v>1.946</v>
      </c>
      <c r="O338" s="6" t="str">
        <f t="shared" si="3"/>
        <v>Jun</v>
      </c>
      <c r="P338" s="6" t="str">
        <f t="shared" si="4"/>
        <v>2001</v>
      </c>
    </row>
    <row r="339">
      <c r="A339" s="3"/>
      <c r="M339" s="50" t="s">
        <v>697</v>
      </c>
      <c r="N339" s="51">
        <v>1.929</v>
      </c>
      <c r="O339" s="6" t="str">
        <f t="shared" si="3"/>
        <v>Jun</v>
      </c>
      <c r="P339" s="6" t="str">
        <f t="shared" si="4"/>
        <v>2001</v>
      </c>
    </row>
    <row r="340">
      <c r="A340" s="3"/>
      <c r="M340" s="50" t="s">
        <v>698</v>
      </c>
      <c r="N340" s="51">
        <v>1.901</v>
      </c>
      <c r="O340" s="6" t="str">
        <f t="shared" si="3"/>
        <v>Jun</v>
      </c>
      <c r="P340" s="6" t="str">
        <f t="shared" si="4"/>
        <v>2001</v>
      </c>
    </row>
    <row r="341">
      <c r="A341" s="3"/>
      <c r="M341" s="50" t="s">
        <v>699</v>
      </c>
      <c r="N341" s="51">
        <v>1.859</v>
      </c>
      <c r="O341" s="6" t="str">
        <f t="shared" si="3"/>
        <v>Jul</v>
      </c>
      <c r="P341" s="6" t="str">
        <f t="shared" si="4"/>
        <v>2001</v>
      </c>
    </row>
    <row r="342">
      <c r="A342" s="3"/>
      <c r="M342" s="50" t="s">
        <v>700</v>
      </c>
      <c r="N342" s="51">
        <v>1.824</v>
      </c>
      <c r="O342" s="6" t="str">
        <f t="shared" si="3"/>
        <v>Jul</v>
      </c>
      <c r="P342" s="6" t="str">
        <f t="shared" si="4"/>
        <v>2001</v>
      </c>
    </row>
    <row r="343">
      <c r="A343" s="3"/>
      <c r="M343" s="50" t="s">
        <v>701</v>
      </c>
      <c r="N343" s="51">
        <v>1.776</v>
      </c>
      <c r="O343" s="6" t="str">
        <f t="shared" si="3"/>
        <v>Jul</v>
      </c>
      <c r="P343" s="6" t="str">
        <f t="shared" si="4"/>
        <v>2001</v>
      </c>
    </row>
    <row r="344">
      <c r="A344" s="3"/>
      <c r="M344" s="50" t="s">
        <v>702</v>
      </c>
      <c r="N344" s="51">
        <v>1.722</v>
      </c>
      <c r="O344" s="6" t="str">
        <f t="shared" si="3"/>
        <v>Jul</v>
      </c>
      <c r="P344" s="6" t="str">
        <f t="shared" si="4"/>
        <v>2001</v>
      </c>
    </row>
    <row r="345">
      <c r="A345" s="3"/>
      <c r="M345" s="50" t="s">
        <v>703</v>
      </c>
      <c r="N345" s="51">
        <v>1.669</v>
      </c>
      <c r="O345" s="6" t="str">
        <f t="shared" si="3"/>
        <v>Jul</v>
      </c>
      <c r="P345" s="6" t="str">
        <f t="shared" si="4"/>
        <v>2001</v>
      </c>
    </row>
    <row r="346">
      <c r="A346" s="3"/>
      <c r="M346" s="50" t="s">
        <v>704</v>
      </c>
      <c r="N346" s="51">
        <v>1.616</v>
      </c>
      <c r="O346" s="6" t="str">
        <f t="shared" si="3"/>
        <v>Aug</v>
      </c>
      <c r="P346" s="6" t="str">
        <f t="shared" si="4"/>
        <v>2001</v>
      </c>
    </row>
    <row r="347">
      <c r="A347" s="3"/>
      <c r="M347" s="50" t="s">
        <v>705</v>
      </c>
      <c r="N347" s="51">
        <v>1.56</v>
      </c>
      <c r="O347" s="6" t="str">
        <f t="shared" si="3"/>
        <v>Aug</v>
      </c>
      <c r="P347" s="6" t="str">
        <f t="shared" si="4"/>
        <v>2001</v>
      </c>
    </row>
    <row r="348">
      <c r="A348" s="3"/>
      <c r="M348" s="50" t="s">
        <v>706</v>
      </c>
      <c r="N348" s="51">
        <v>1.523</v>
      </c>
      <c r="O348" s="6" t="str">
        <f t="shared" si="3"/>
        <v>Aug</v>
      </c>
      <c r="P348" s="6" t="str">
        <f t="shared" si="4"/>
        <v>2001</v>
      </c>
    </row>
    <row r="349">
      <c r="A349" s="3"/>
      <c r="M349" s="50" t="s">
        <v>707</v>
      </c>
      <c r="N349" s="51">
        <v>1.535</v>
      </c>
      <c r="O349" s="6" t="str">
        <f t="shared" si="3"/>
        <v>Aug</v>
      </c>
      <c r="P349" s="6" t="str">
        <f t="shared" si="4"/>
        <v>2001</v>
      </c>
    </row>
    <row r="350">
      <c r="A350" s="3"/>
      <c r="M350" s="50" t="s">
        <v>708</v>
      </c>
      <c r="N350" s="51">
        <v>1.643</v>
      </c>
      <c r="O350" s="6" t="str">
        <f t="shared" si="3"/>
        <v>Sep</v>
      </c>
      <c r="P350" s="6" t="str">
        <f t="shared" si="4"/>
        <v>2001</v>
      </c>
    </row>
    <row r="351">
      <c r="A351" s="3"/>
      <c r="M351" s="50" t="s">
        <v>709</v>
      </c>
      <c r="N351" s="51">
        <v>1.677</v>
      </c>
      <c r="O351" s="6" t="str">
        <f t="shared" si="3"/>
        <v>Sep</v>
      </c>
      <c r="P351" s="6" t="str">
        <f t="shared" si="4"/>
        <v>2001</v>
      </c>
    </row>
    <row r="352">
      <c r="A352" s="3"/>
      <c r="M352" s="50" t="s">
        <v>710</v>
      </c>
      <c r="N352" s="51">
        <v>1.672</v>
      </c>
      <c r="O352" s="6" t="str">
        <f t="shared" si="3"/>
        <v>Sep</v>
      </c>
      <c r="P352" s="6" t="str">
        <f t="shared" si="4"/>
        <v>2001</v>
      </c>
    </row>
    <row r="353">
      <c r="A353" s="3"/>
      <c r="M353" s="50" t="s">
        <v>711</v>
      </c>
      <c r="N353" s="51">
        <v>1.66</v>
      </c>
      <c r="O353" s="6" t="str">
        <f t="shared" si="3"/>
        <v>Sep</v>
      </c>
      <c r="P353" s="6" t="str">
        <f t="shared" si="4"/>
        <v>2001</v>
      </c>
    </row>
    <row r="354">
      <c r="A354" s="3"/>
      <c r="M354" s="50" t="s">
        <v>712</v>
      </c>
      <c r="N354" s="51">
        <v>1.624</v>
      </c>
      <c r="O354" s="6" t="str">
        <f t="shared" si="3"/>
        <v>Oct</v>
      </c>
      <c r="P354" s="6" t="str">
        <f t="shared" si="4"/>
        <v>2001</v>
      </c>
    </row>
    <row r="355">
      <c r="A355" s="3"/>
      <c r="M355" s="50" t="s">
        <v>713</v>
      </c>
      <c r="N355" s="51">
        <v>1.582</v>
      </c>
      <c r="O355" s="6" t="str">
        <f t="shared" si="3"/>
        <v>Oct</v>
      </c>
      <c r="P355" s="6" t="str">
        <f t="shared" si="4"/>
        <v>2001</v>
      </c>
    </row>
    <row r="356">
      <c r="A356" s="3"/>
      <c r="M356" s="50" t="s">
        <v>714</v>
      </c>
      <c r="N356" s="51">
        <v>1.55</v>
      </c>
      <c r="O356" s="6" t="str">
        <f t="shared" si="3"/>
        <v>Oct</v>
      </c>
      <c r="P356" s="6" t="str">
        <f t="shared" si="4"/>
        <v>2001</v>
      </c>
    </row>
    <row r="357">
      <c r="A357" s="3"/>
      <c r="M357" s="50" t="s">
        <v>715</v>
      </c>
      <c r="N357" s="51">
        <v>1.505</v>
      </c>
      <c r="O357" s="6" t="str">
        <f t="shared" si="3"/>
        <v>Oct</v>
      </c>
      <c r="P357" s="6" t="str">
        <f t="shared" si="4"/>
        <v>2001</v>
      </c>
    </row>
    <row r="358">
      <c r="A358" s="3"/>
      <c r="M358" s="50" t="s">
        <v>716</v>
      </c>
      <c r="N358" s="51">
        <v>1.469</v>
      </c>
      <c r="O358" s="6" t="str">
        <f t="shared" si="3"/>
        <v>Oct</v>
      </c>
      <c r="P358" s="6" t="str">
        <f t="shared" si="4"/>
        <v>2001</v>
      </c>
    </row>
    <row r="359">
      <c r="A359" s="3"/>
      <c r="M359" s="50" t="s">
        <v>717</v>
      </c>
      <c r="N359" s="51">
        <v>1.422</v>
      </c>
      <c r="O359" s="6" t="str">
        <f t="shared" si="3"/>
        <v>Nov</v>
      </c>
      <c r="P359" s="6" t="str">
        <f t="shared" si="4"/>
        <v>2001</v>
      </c>
    </row>
    <row r="360">
      <c r="A360" s="3"/>
      <c r="M360" s="50" t="s">
        <v>718</v>
      </c>
      <c r="N360" s="51">
        <v>1.379</v>
      </c>
      <c r="O360" s="6" t="str">
        <f t="shared" si="3"/>
        <v>Nov</v>
      </c>
      <c r="P360" s="6" t="str">
        <f t="shared" si="4"/>
        <v>2001</v>
      </c>
    </row>
    <row r="361">
      <c r="A361" s="3"/>
      <c r="M361" s="50" t="s">
        <v>719</v>
      </c>
      <c r="N361" s="51">
        <v>1.335</v>
      </c>
      <c r="O361" s="6" t="str">
        <f t="shared" si="3"/>
        <v>Nov</v>
      </c>
      <c r="P361" s="6" t="str">
        <f t="shared" si="4"/>
        <v>2001</v>
      </c>
    </row>
    <row r="362">
      <c r="A362" s="3"/>
      <c r="M362" s="50" t="s">
        <v>720</v>
      </c>
      <c r="N362" s="51">
        <v>1.293</v>
      </c>
      <c r="O362" s="6" t="str">
        <f t="shared" si="3"/>
        <v>Nov</v>
      </c>
      <c r="P362" s="6" t="str">
        <f t="shared" si="4"/>
        <v>2001</v>
      </c>
    </row>
    <row r="363">
      <c r="A363" s="3"/>
      <c r="M363" s="50" t="s">
        <v>721</v>
      </c>
      <c r="N363" s="51">
        <v>1.243</v>
      </c>
      <c r="O363" s="6" t="str">
        <f t="shared" si="3"/>
        <v>Dec</v>
      </c>
      <c r="P363" s="6" t="str">
        <f t="shared" si="4"/>
        <v>2001</v>
      </c>
    </row>
    <row r="364">
      <c r="A364" s="3"/>
      <c r="M364" s="50" t="s">
        <v>722</v>
      </c>
      <c r="N364" s="51">
        <v>1.197</v>
      </c>
      <c r="O364" s="6" t="str">
        <f t="shared" si="3"/>
        <v>Dec</v>
      </c>
      <c r="P364" s="6" t="str">
        <f t="shared" si="4"/>
        <v>2001</v>
      </c>
    </row>
    <row r="365">
      <c r="A365" s="3"/>
      <c r="M365" s="50" t="s">
        <v>723</v>
      </c>
      <c r="N365" s="51">
        <v>1.141</v>
      </c>
      <c r="O365" s="6" t="str">
        <f t="shared" si="3"/>
        <v>Dec</v>
      </c>
      <c r="P365" s="6" t="str">
        <f t="shared" si="4"/>
        <v>2001</v>
      </c>
    </row>
    <row r="366">
      <c r="A366" s="3"/>
      <c r="M366" s="50" t="s">
        <v>724</v>
      </c>
      <c r="N366" s="51">
        <v>1.109</v>
      </c>
      <c r="O366" s="6" t="str">
        <f t="shared" si="3"/>
        <v>Dec</v>
      </c>
      <c r="P366" s="6" t="str">
        <f t="shared" si="4"/>
        <v>2001</v>
      </c>
    </row>
    <row r="367">
      <c r="A367" s="3"/>
      <c r="M367" s="50" t="s">
        <v>725</v>
      </c>
      <c r="N367" s="51">
        <v>1.1</v>
      </c>
      <c r="O367" s="6" t="str">
        <f t="shared" si="3"/>
        <v>Dec</v>
      </c>
      <c r="P367" s="6" t="str">
        <f t="shared" si="4"/>
        <v>2001</v>
      </c>
    </row>
    <row r="368">
      <c r="A368" s="3"/>
      <c r="M368" s="50" t="s">
        <v>726</v>
      </c>
      <c r="N368" s="51">
        <v>1.129</v>
      </c>
      <c r="O368" s="6" t="str">
        <f t="shared" si="3"/>
        <v>Jan</v>
      </c>
      <c r="P368" s="6" t="str">
        <f t="shared" si="4"/>
        <v>2002</v>
      </c>
    </row>
    <row r="369">
      <c r="A369" s="3"/>
      <c r="M369" s="50" t="s">
        <v>727</v>
      </c>
      <c r="N369" s="51">
        <v>1.182</v>
      </c>
      <c r="O369" s="6" t="str">
        <f t="shared" si="3"/>
        <v>Jan</v>
      </c>
      <c r="P369" s="6" t="str">
        <f t="shared" si="4"/>
        <v>2002</v>
      </c>
    </row>
    <row r="370">
      <c r="A370" s="3"/>
      <c r="M370" s="50" t="s">
        <v>728</v>
      </c>
      <c r="N370" s="51">
        <v>1.206</v>
      </c>
      <c r="O370" s="6" t="str">
        <f t="shared" si="3"/>
        <v>Jan</v>
      </c>
      <c r="P370" s="6" t="str">
        <f t="shared" si="4"/>
        <v>2002</v>
      </c>
    </row>
    <row r="371">
      <c r="A371" s="3"/>
      <c r="M371" s="50" t="s">
        <v>729</v>
      </c>
      <c r="N371" s="51">
        <v>1.224</v>
      </c>
      <c r="O371" s="6" t="str">
        <f t="shared" si="3"/>
        <v>Jan</v>
      </c>
      <c r="P371" s="6" t="str">
        <f t="shared" si="4"/>
        <v>2002</v>
      </c>
    </row>
    <row r="372">
      <c r="A372" s="3"/>
      <c r="M372" s="50" t="s">
        <v>730</v>
      </c>
      <c r="N372" s="51">
        <v>1.251</v>
      </c>
      <c r="O372" s="6" t="str">
        <f t="shared" si="3"/>
        <v>Feb</v>
      </c>
      <c r="P372" s="6" t="str">
        <f t="shared" si="4"/>
        <v>2002</v>
      </c>
    </row>
    <row r="373">
      <c r="A373" s="3"/>
      <c r="M373" s="50" t="s">
        <v>731</v>
      </c>
      <c r="N373" s="51">
        <v>1.254</v>
      </c>
      <c r="O373" s="6" t="str">
        <f t="shared" si="3"/>
        <v>Feb</v>
      </c>
      <c r="P373" s="6" t="str">
        <f t="shared" si="4"/>
        <v>2002</v>
      </c>
    </row>
    <row r="374">
      <c r="A374" s="3"/>
      <c r="M374" s="50" t="s">
        <v>732</v>
      </c>
      <c r="N374" s="51">
        <v>1.286</v>
      </c>
      <c r="O374" s="6" t="str">
        <f t="shared" si="3"/>
        <v>Feb</v>
      </c>
      <c r="P374" s="6" t="str">
        <f t="shared" si="4"/>
        <v>2002</v>
      </c>
    </row>
    <row r="375">
      <c r="A375" s="3"/>
      <c r="M375" s="50" t="s">
        <v>733</v>
      </c>
      <c r="N375" s="51">
        <v>1.304</v>
      </c>
      <c r="O375" s="6" t="str">
        <f t="shared" si="3"/>
        <v>Feb</v>
      </c>
      <c r="P375" s="6" t="str">
        <f t="shared" si="4"/>
        <v>2002</v>
      </c>
    </row>
    <row r="376">
      <c r="A376" s="3"/>
      <c r="M376" s="50" t="s">
        <v>734</v>
      </c>
      <c r="N376" s="51">
        <v>1.331</v>
      </c>
      <c r="O376" s="6" t="str">
        <f t="shared" si="3"/>
        <v>Mar</v>
      </c>
      <c r="P376" s="6" t="str">
        <f t="shared" si="4"/>
        <v>2002</v>
      </c>
    </row>
    <row r="377">
      <c r="A377" s="3"/>
      <c r="M377" s="50" t="s">
        <v>735</v>
      </c>
      <c r="N377" s="51">
        <v>1.454</v>
      </c>
      <c r="O377" s="6" t="str">
        <f t="shared" si="3"/>
        <v>Mar</v>
      </c>
      <c r="P377" s="6" t="str">
        <f t="shared" si="4"/>
        <v>2002</v>
      </c>
    </row>
    <row r="378">
      <c r="A378" s="3"/>
      <c r="M378" s="50" t="s">
        <v>736</v>
      </c>
      <c r="N378" s="51">
        <v>1.498</v>
      </c>
      <c r="O378" s="6" t="str">
        <f t="shared" si="3"/>
        <v>Mar</v>
      </c>
      <c r="P378" s="6" t="str">
        <f t="shared" si="4"/>
        <v>2002</v>
      </c>
    </row>
    <row r="379">
      <c r="A379" s="3"/>
      <c r="M379" s="50" t="s">
        <v>737</v>
      </c>
      <c r="N379" s="51">
        <v>1.561</v>
      </c>
      <c r="O379" s="6" t="str">
        <f t="shared" si="3"/>
        <v>Mar</v>
      </c>
      <c r="P379" s="6" t="str">
        <f t="shared" si="4"/>
        <v>2002</v>
      </c>
    </row>
    <row r="380">
      <c r="A380" s="3"/>
      <c r="M380" s="50" t="s">
        <v>738</v>
      </c>
      <c r="N380" s="51">
        <v>1.592</v>
      </c>
      <c r="O380" s="6" t="str">
        <f t="shared" si="3"/>
        <v>Apr</v>
      </c>
      <c r="P380" s="6" t="str">
        <f t="shared" si="4"/>
        <v>2002</v>
      </c>
    </row>
    <row r="381">
      <c r="A381" s="3"/>
      <c r="M381" s="50" t="s">
        <v>739</v>
      </c>
      <c r="N381" s="51">
        <v>1.622</v>
      </c>
      <c r="O381" s="6" t="str">
        <f t="shared" si="3"/>
        <v>Apr</v>
      </c>
      <c r="P381" s="6" t="str">
        <f t="shared" si="4"/>
        <v>2002</v>
      </c>
    </row>
    <row r="382">
      <c r="A382" s="3"/>
      <c r="M382" s="50" t="s">
        <v>740</v>
      </c>
      <c r="N382" s="51">
        <v>1.617</v>
      </c>
      <c r="O382" s="6" t="str">
        <f t="shared" si="3"/>
        <v>Apr</v>
      </c>
      <c r="P382" s="6" t="str">
        <f t="shared" si="4"/>
        <v>2002</v>
      </c>
    </row>
    <row r="383">
      <c r="A383" s="3"/>
      <c r="M383" s="50" t="s">
        <v>741</v>
      </c>
      <c r="N383" s="51">
        <v>1.613</v>
      </c>
      <c r="O383" s="6" t="str">
        <f t="shared" si="3"/>
        <v>Apr</v>
      </c>
      <c r="P383" s="6" t="str">
        <f t="shared" si="4"/>
        <v>2002</v>
      </c>
    </row>
    <row r="384">
      <c r="A384" s="3"/>
      <c r="M384" s="50" t="s">
        <v>742</v>
      </c>
      <c r="N384" s="51">
        <v>1.607</v>
      </c>
      <c r="O384" s="6" t="str">
        <f t="shared" si="3"/>
        <v>Apr</v>
      </c>
      <c r="P384" s="6" t="str">
        <f t="shared" si="4"/>
        <v>2002</v>
      </c>
    </row>
    <row r="385">
      <c r="A385" s="3"/>
      <c r="M385" s="50" t="s">
        <v>743</v>
      </c>
      <c r="N385" s="51">
        <v>1.589</v>
      </c>
      <c r="O385" s="6" t="str">
        <f t="shared" si="3"/>
        <v>May</v>
      </c>
      <c r="P385" s="6" t="str">
        <f t="shared" si="4"/>
        <v>2002</v>
      </c>
    </row>
    <row r="386">
      <c r="A386" s="3"/>
      <c r="M386" s="50" t="s">
        <v>744</v>
      </c>
      <c r="N386" s="51">
        <v>1.571</v>
      </c>
      <c r="O386" s="6" t="str">
        <f t="shared" si="3"/>
        <v>May</v>
      </c>
      <c r="P386" s="6" t="str">
        <f t="shared" si="4"/>
        <v>2002</v>
      </c>
    </row>
    <row r="387">
      <c r="A387" s="3"/>
      <c r="M387" s="50" t="s">
        <v>745</v>
      </c>
      <c r="N387" s="51">
        <v>1.557</v>
      </c>
      <c r="O387" s="6" t="str">
        <f t="shared" si="3"/>
        <v>May</v>
      </c>
      <c r="P387" s="6" t="str">
        <f t="shared" si="4"/>
        <v>2002</v>
      </c>
    </row>
    <row r="388">
      <c r="A388" s="3"/>
      <c r="M388" s="50" t="s">
        <v>746</v>
      </c>
      <c r="N388" s="51">
        <v>1.554</v>
      </c>
      <c r="O388" s="6" t="str">
        <f t="shared" si="3"/>
        <v>May</v>
      </c>
      <c r="P388" s="6" t="str">
        <f t="shared" si="4"/>
        <v>2002</v>
      </c>
    </row>
    <row r="389">
      <c r="A389" s="3"/>
      <c r="M389" s="50" t="s">
        <v>747</v>
      </c>
      <c r="N389" s="51">
        <v>1.563</v>
      </c>
      <c r="O389" s="6" t="str">
        <f t="shared" si="3"/>
        <v>Jun</v>
      </c>
      <c r="P389" s="6" t="str">
        <f t="shared" si="4"/>
        <v>2002</v>
      </c>
    </row>
    <row r="390">
      <c r="A390" s="3"/>
      <c r="M390" s="50" t="s">
        <v>748</v>
      </c>
      <c r="N390" s="51">
        <v>1.563</v>
      </c>
      <c r="O390" s="6" t="str">
        <f t="shared" si="3"/>
        <v>Jun</v>
      </c>
      <c r="P390" s="6" t="str">
        <f t="shared" si="4"/>
        <v>2002</v>
      </c>
    </row>
    <row r="391">
      <c r="A391" s="3"/>
      <c r="M391" s="50" t="s">
        <v>749</v>
      </c>
      <c r="N391" s="51">
        <v>1.601</v>
      </c>
      <c r="O391" s="6" t="str">
        <f t="shared" si="3"/>
        <v>Jun</v>
      </c>
      <c r="P391" s="6" t="str">
        <f t="shared" si="4"/>
        <v>2002</v>
      </c>
    </row>
    <row r="392">
      <c r="A392" s="3"/>
      <c r="M392" s="50" t="s">
        <v>750</v>
      </c>
      <c r="N392" s="51">
        <v>1.618</v>
      </c>
      <c r="O392" s="6" t="str">
        <f t="shared" si="3"/>
        <v>Jun</v>
      </c>
      <c r="P392" s="6" t="str">
        <f t="shared" si="4"/>
        <v>2002</v>
      </c>
    </row>
    <row r="393">
      <c r="A393" s="3"/>
      <c r="M393" s="50" t="s">
        <v>751</v>
      </c>
      <c r="N393" s="51">
        <v>1.618</v>
      </c>
      <c r="O393" s="6" t="str">
        <f t="shared" si="3"/>
        <v>Jul</v>
      </c>
      <c r="P393" s="6" t="str">
        <f t="shared" si="4"/>
        <v>2002</v>
      </c>
    </row>
    <row r="394">
      <c r="A394" s="3"/>
      <c r="M394" s="50" t="s">
        <v>752</v>
      </c>
      <c r="N394" s="51">
        <v>1.613</v>
      </c>
      <c r="O394" s="6" t="str">
        <f t="shared" si="3"/>
        <v>Jul</v>
      </c>
      <c r="P394" s="6" t="str">
        <f t="shared" si="4"/>
        <v>2002</v>
      </c>
    </row>
    <row r="395">
      <c r="A395" s="3"/>
      <c r="M395" s="50" t="s">
        <v>753</v>
      </c>
      <c r="N395" s="51">
        <v>1.604</v>
      </c>
      <c r="O395" s="6" t="str">
        <f t="shared" si="3"/>
        <v>Jul</v>
      </c>
      <c r="P395" s="6" t="str">
        <f t="shared" si="4"/>
        <v>2002</v>
      </c>
    </row>
    <row r="396">
      <c r="A396" s="3"/>
      <c r="M396" s="50" t="s">
        <v>754</v>
      </c>
      <c r="N396" s="51">
        <v>1.591</v>
      </c>
      <c r="O396" s="6" t="str">
        <f t="shared" si="3"/>
        <v>Jul</v>
      </c>
      <c r="P396" s="6" t="str">
        <f t="shared" si="4"/>
        <v>2002</v>
      </c>
    </row>
    <row r="397">
      <c r="A397" s="3"/>
      <c r="M397" s="50" t="s">
        <v>755</v>
      </c>
      <c r="N397" s="51">
        <v>1.578</v>
      </c>
      <c r="O397" s="6" t="str">
        <f t="shared" si="3"/>
        <v>Jul</v>
      </c>
      <c r="P397" s="6" t="str">
        <f t="shared" si="4"/>
        <v>2002</v>
      </c>
    </row>
    <row r="398">
      <c r="A398" s="3"/>
      <c r="M398" s="50" t="s">
        <v>756</v>
      </c>
      <c r="N398" s="51">
        <v>1.593</v>
      </c>
      <c r="O398" s="6" t="str">
        <f t="shared" si="3"/>
        <v>Aug</v>
      </c>
      <c r="P398" s="6" t="str">
        <f t="shared" si="4"/>
        <v>2002</v>
      </c>
    </row>
    <row r="399">
      <c r="A399" s="3"/>
      <c r="M399" s="50" t="s">
        <v>757</v>
      </c>
      <c r="N399" s="51">
        <v>1.586</v>
      </c>
      <c r="O399" s="6" t="str">
        <f t="shared" si="3"/>
        <v>Aug</v>
      </c>
      <c r="P399" s="6" t="str">
        <f t="shared" si="4"/>
        <v>2002</v>
      </c>
    </row>
    <row r="400">
      <c r="A400" s="3"/>
      <c r="M400" s="50" t="s">
        <v>758</v>
      </c>
      <c r="N400" s="51">
        <v>1.581</v>
      </c>
      <c r="O400" s="6" t="str">
        <f t="shared" si="3"/>
        <v>Aug</v>
      </c>
      <c r="P400" s="6" t="str">
        <f t="shared" si="4"/>
        <v>2002</v>
      </c>
    </row>
    <row r="401">
      <c r="A401" s="3"/>
      <c r="M401" s="50" t="s">
        <v>759</v>
      </c>
      <c r="N401" s="51">
        <v>1.593</v>
      </c>
      <c r="O401" s="6" t="str">
        <f t="shared" si="3"/>
        <v>Aug</v>
      </c>
      <c r="P401" s="6" t="str">
        <f t="shared" si="4"/>
        <v>2002</v>
      </c>
    </row>
    <row r="402">
      <c r="A402" s="3"/>
      <c r="M402" s="50" t="s">
        <v>760</v>
      </c>
      <c r="N402" s="51">
        <v>1.599</v>
      </c>
      <c r="O402" s="6" t="str">
        <f t="shared" si="3"/>
        <v>Sep</v>
      </c>
      <c r="P402" s="6" t="str">
        <f t="shared" si="4"/>
        <v>2002</v>
      </c>
    </row>
    <row r="403">
      <c r="A403" s="3"/>
      <c r="M403" s="50" t="s">
        <v>761</v>
      </c>
      <c r="N403" s="51">
        <v>1.59</v>
      </c>
      <c r="O403" s="6" t="str">
        <f t="shared" si="3"/>
        <v>Sep</v>
      </c>
      <c r="P403" s="6" t="str">
        <f t="shared" si="4"/>
        <v>2002</v>
      </c>
    </row>
    <row r="404">
      <c r="A404" s="3"/>
      <c r="M404" s="50" t="s">
        <v>762</v>
      </c>
      <c r="N404" s="51">
        <v>1.58</v>
      </c>
      <c r="O404" s="6" t="str">
        <f t="shared" si="3"/>
        <v>Sep</v>
      </c>
      <c r="P404" s="6" t="str">
        <f t="shared" si="4"/>
        <v>2002</v>
      </c>
    </row>
    <row r="405">
      <c r="A405" s="3"/>
      <c r="M405" s="50" t="s">
        <v>763</v>
      </c>
      <c r="N405" s="51">
        <v>1.569</v>
      </c>
      <c r="O405" s="6" t="str">
        <f t="shared" si="3"/>
        <v>Sep</v>
      </c>
      <c r="P405" s="6" t="str">
        <f t="shared" si="4"/>
        <v>2002</v>
      </c>
    </row>
    <row r="406">
      <c r="A406" s="3"/>
      <c r="M406" s="50" t="s">
        <v>764</v>
      </c>
      <c r="N406" s="51">
        <v>1.559</v>
      </c>
      <c r="O406" s="6" t="str">
        <f t="shared" si="3"/>
        <v>Sep</v>
      </c>
      <c r="P406" s="6" t="str">
        <f t="shared" si="4"/>
        <v>2002</v>
      </c>
    </row>
    <row r="407">
      <c r="A407" s="3"/>
      <c r="M407" s="50" t="s">
        <v>765</v>
      </c>
      <c r="N407" s="51">
        <v>1.546</v>
      </c>
      <c r="O407" s="6" t="str">
        <f t="shared" si="3"/>
        <v>Oct</v>
      </c>
      <c r="P407" s="6" t="str">
        <f t="shared" si="4"/>
        <v>2002</v>
      </c>
    </row>
    <row r="408">
      <c r="A408" s="3"/>
      <c r="M408" s="50" t="s">
        <v>766</v>
      </c>
      <c r="N408" s="51">
        <v>1.534</v>
      </c>
      <c r="O408" s="6" t="str">
        <f t="shared" si="3"/>
        <v>Oct</v>
      </c>
      <c r="P408" s="6" t="str">
        <f t="shared" si="4"/>
        <v>2002</v>
      </c>
    </row>
    <row r="409">
      <c r="A409" s="3"/>
      <c r="M409" s="50" t="s">
        <v>767</v>
      </c>
      <c r="N409" s="51">
        <v>1.524</v>
      </c>
      <c r="O409" s="6" t="str">
        <f t="shared" si="3"/>
        <v>Oct</v>
      </c>
      <c r="P409" s="6" t="str">
        <f t="shared" si="4"/>
        <v>2002</v>
      </c>
    </row>
    <row r="410">
      <c r="A410" s="3"/>
      <c r="M410" s="50" t="s">
        <v>768</v>
      </c>
      <c r="N410" s="51">
        <v>1.521</v>
      </c>
      <c r="O410" s="6" t="str">
        <f t="shared" si="3"/>
        <v>Oct</v>
      </c>
      <c r="P410" s="6" t="str">
        <f t="shared" si="4"/>
        <v>2002</v>
      </c>
    </row>
    <row r="411">
      <c r="A411" s="3"/>
      <c r="M411" s="50" t="s">
        <v>769</v>
      </c>
      <c r="N411" s="51">
        <v>1.562</v>
      </c>
      <c r="O411" s="6" t="str">
        <f t="shared" si="3"/>
        <v>Nov</v>
      </c>
      <c r="P411" s="6" t="str">
        <f t="shared" si="4"/>
        <v>2002</v>
      </c>
    </row>
    <row r="412">
      <c r="A412" s="3"/>
      <c r="M412" s="50" t="s">
        <v>770</v>
      </c>
      <c r="N412" s="51">
        <v>1.592</v>
      </c>
      <c r="O412" s="6" t="str">
        <f t="shared" si="3"/>
        <v>Nov</v>
      </c>
      <c r="P412" s="6" t="str">
        <f t="shared" si="4"/>
        <v>2002</v>
      </c>
    </row>
    <row r="413">
      <c r="A413" s="3"/>
      <c r="M413" s="50" t="s">
        <v>771</v>
      </c>
      <c r="N413" s="51">
        <v>1.587</v>
      </c>
      <c r="O413" s="6" t="str">
        <f t="shared" si="3"/>
        <v>Nov</v>
      </c>
      <c r="P413" s="6" t="str">
        <f t="shared" si="4"/>
        <v>2002</v>
      </c>
    </row>
    <row r="414">
      <c r="A414" s="3"/>
      <c r="M414" s="50" t="s">
        <v>772</v>
      </c>
      <c r="N414" s="51">
        <v>1.57</v>
      </c>
      <c r="O414" s="6" t="str">
        <f t="shared" si="3"/>
        <v>Nov</v>
      </c>
      <c r="P414" s="6" t="str">
        <f t="shared" si="4"/>
        <v>2002</v>
      </c>
    </row>
    <row r="415">
      <c r="A415" s="3"/>
      <c r="M415" s="50" t="s">
        <v>773</v>
      </c>
      <c r="N415" s="51">
        <v>1.562</v>
      </c>
      <c r="O415" s="6" t="str">
        <f t="shared" si="3"/>
        <v>Dec</v>
      </c>
      <c r="P415" s="6" t="str">
        <f t="shared" si="4"/>
        <v>2002</v>
      </c>
    </row>
    <row r="416">
      <c r="A416" s="3"/>
      <c r="M416" s="50" t="s">
        <v>774</v>
      </c>
      <c r="N416" s="51">
        <v>1.54</v>
      </c>
      <c r="O416" s="6" t="str">
        <f t="shared" si="3"/>
        <v>Dec</v>
      </c>
      <c r="P416" s="6" t="str">
        <f t="shared" si="4"/>
        <v>2002</v>
      </c>
    </row>
    <row r="417">
      <c r="A417" s="3"/>
      <c r="M417" s="50" t="s">
        <v>775</v>
      </c>
      <c r="N417" s="51">
        <v>1.525</v>
      </c>
      <c r="O417" s="6" t="str">
        <f t="shared" si="3"/>
        <v>Dec</v>
      </c>
      <c r="P417" s="6" t="str">
        <f t="shared" si="4"/>
        <v>2002</v>
      </c>
    </row>
    <row r="418">
      <c r="A418" s="3"/>
      <c r="M418" s="50" t="s">
        <v>776</v>
      </c>
      <c r="N418" s="51">
        <v>1.52</v>
      </c>
      <c r="O418" s="6" t="str">
        <f t="shared" si="3"/>
        <v>Dec</v>
      </c>
      <c r="P418" s="6" t="str">
        <f t="shared" si="4"/>
        <v>2002</v>
      </c>
    </row>
    <row r="419">
      <c r="A419" s="3"/>
      <c r="M419" s="50" t="s">
        <v>777</v>
      </c>
      <c r="N419" s="51">
        <v>1.532</v>
      </c>
      <c r="O419" s="6" t="str">
        <f t="shared" si="3"/>
        <v>Dec</v>
      </c>
      <c r="P419" s="6" t="str">
        <f t="shared" si="4"/>
        <v>2002</v>
      </c>
    </row>
    <row r="420">
      <c r="A420" s="3"/>
      <c r="M420" s="50" t="s">
        <v>778</v>
      </c>
      <c r="N420" s="51">
        <v>1.577</v>
      </c>
      <c r="O420" s="6" t="str">
        <f t="shared" si="3"/>
        <v>Jan</v>
      </c>
      <c r="P420" s="6" t="str">
        <f t="shared" si="4"/>
        <v>2003</v>
      </c>
    </row>
    <row r="421">
      <c r="A421" s="3"/>
      <c r="M421" s="50" t="s">
        <v>779</v>
      </c>
      <c r="N421" s="51">
        <v>1.592</v>
      </c>
      <c r="O421" s="6" t="str">
        <f t="shared" si="3"/>
        <v>Jan</v>
      </c>
      <c r="P421" s="6" t="str">
        <f t="shared" si="4"/>
        <v>2003</v>
      </c>
    </row>
    <row r="422">
      <c r="A422" s="3"/>
      <c r="M422" s="50" t="s">
        <v>780</v>
      </c>
      <c r="N422" s="51">
        <v>1.634</v>
      </c>
      <c r="O422" s="6" t="str">
        <f t="shared" si="3"/>
        <v>Jan</v>
      </c>
      <c r="P422" s="6" t="str">
        <f t="shared" si="4"/>
        <v>2003</v>
      </c>
    </row>
    <row r="423">
      <c r="A423" s="3"/>
      <c r="M423" s="50" t="s">
        <v>781</v>
      </c>
      <c r="N423" s="51">
        <v>1.649</v>
      </c>
      <c r="O423" s="6" t="str">
        <f t="shared" si="3"/>
        <v>Jan</v>
      </c>
      <c r="P423" s="6" t="str">
        <f t="shared" si="4"/>
        <v>2003</v>
      </c>
    </row>
    <row r="424">
      <c r="A424" s="3"/>
      <c r="M424" s="50" t="s">
        <v>782</v>
      </c>
      <c r="N424" s="51">
        <v>1.683</v>
      </c>
      <c r="O424" s="6" t="str">
        <f t="shared" si="3"/>
        <v>Feb</v>
      </c>
      <c r="P424" s="6" t="str">
        <f t="shared" si="4"/>
        <v>2003</v>
      </c>
    </row>
    <row r="425">
      <c r="A425" s="3"/>
      <c r="M425" s="50" t="s">
        <v>783</v>
      </c>
      <c r="N425" s="51">
        <v>1.752</v>
      </c>
      <c r="O425" s="6" t="str">
        <f t="shared" si="3"/>
        <v>Feb</v>
      </c>
      <c r="P425" s="6" t="str">
        <f t="shared" si="4"/>
        <v>2003</v>
      </c>
    </row>
    <row r="426">
      <c r="A426" s="3"/>
      <c r="M426" s="50" t="s">
        <v>784</v>
      </c>
      <c r="N426" s="51">
        <v>1.862</v>
      </c>
      <c r="O426" s="6" t="str">
        <f t="shared" si="3"/>
        <v>Feb</v>
      </c>
      <c r="P426" s="6" t="str">
        <f t="shared" si="4"/>
        <v>2003</v>
      </c>
    </row>
    <row r="427">
      <c r="A427" s="3"/>
      <c r="M427" s="50" t="s">
        <v>785</v>
      </c>
      <c r="N427" s="51">
        <v>1.922</v>
      </c>
      <c r="O427" s="6" t="str">
        <f t="shared" si="3"/>
        <v>Feb</v>
      </c>
      <c r="P427" s="6" t="str">
        <f t="shared" si="4"/>
        <v>2003</v>
      </c>
    </row>
    <row r="428">
      <c r="A428" s="3"/>
      <c r="M428" s="50" t="s">
        <v>786</v>
      </c>
      <c r="N428" s="51">
        <v>2.012</v>
      </c>
      <c r="O428" s="6" t="str">
        <f t="shared" si="3"/>
        <v>Mar</v>
      </c>
      <c r="P428" s="6" t="str">
        <f t="shared" si="4"/>
        <v>2003</v>
      </c>
    </row>
    <row r="429">
      <c r="A429" s="3"/>
      <c r="M429" s="50" t="s">
        <v>787</v>
      </c>
      <c r="N429" s="51">
        <v>2.084</v>
      </c>
      <c r="O429" s="6" t="str">
        <f t="shared" si="3"/>
        <v>Mar</v>
      </c>
      <c r="P429" s="6" t="str">
        <f t="shared" si="4"/>
        <v>2003</v>
      </c>
    </row>
    <row r="430">
      <c r="A430" s="3"/>
      <c r="M430" s="50" t="s">
        <v>788</v>
      </c>
      <c r="N430" s="51">
        <v>2.145</v>
      </c>
      <c r="O430" s="6" t="str">
        <f t="shared" si="3"/>
        <v>Mar</v>
      </c>
      <c r="P430" s="6" t="str">
        <f t="shared" si="4"/>
        <v>2003</v>
      </c>
    </row>
    <row r="431">
      <c r="A431" s="3"/>
      <c r="M431" s="50" t="s">
        <v>789</v>
      </c>
      <c r="N431" s="51">
        <v>2.143</v>
      </c>
      <c r="O431" s="6" t="str">
        <f t="shared" si="3"/>
        <v>Mar</v>
      </c>
      <c r="P431" s="6" t="str">
        <f t="shared" si="4"/>
        <v>2003</v>
      </c>
    </row>
    <row r="432">
      <c r="A432" s="3"/>
      <c r="M432" s="50" t="s">
        <v>790</v>
      </c>
      <c r="N432" s="51">
        <v>2.13</v>
      </c>
      <c r="O432" s="6" t="str">
        <f t="shared" si="3"/>
        <v>Mar</v>
      </c>
      <c r="P432" s="6" t="str">
        <f t="shared" si="4"/>
        <v>2003</v>
      </c>
    </row>
    <row r="433">
      <c r="A433" s="3"/>
      <c r="M433" s="50" t="s">
        <v>791</v>
      </c>
      <c r="N433" s="51">
        <v>2.115</v>
      </c>
      <c r="O433" s="6" t="str">
        <f t="shared" si="3"/>
        <v>Apr</v>
      </c>
      <c r="P433" s="6" t="str">
        <f t="shared" si="4"/>
        <v>2003</v>
      </c>
    </row>
    <row r="434">
      <c r="A434" s="3"/>
      <c r="M434" s="50" t="s">
        <v>792</v>
      </c>
      <c r="N434" s="51">
        <v>2.077</v>
      </c>
      <c r="O434" s="6" t="str">
        <f t="shared" si="3"/>
        <v>Apr</v>
      </c>
      <c r="P434" s="6" t="str">
        <f t="shared" si="4"/>
        <v>2003</v>
      </c>
    </row>
    <row r="435">
      <c r="A435" s="3"/>
      <c r="M435" s="50" t="s">
        <v>793</v>
      </c>
      <c r="N435" s="51">
        <v>2.009</v>
      </c>
      <c r="O435" s="6" t="str">
        <f t="shared" si="3"/>
        <v>Apr</v>
      </c>
      <c r="P435" s="6" t="str">
        <f t="shared" si="4"/>
        <v>2003</v>
      </c>
    </row>
    <row r="436">
      <c r="A436" s="3"/>
      <c r="M436" s="50" t="s">
        <v>794</v>
      </c>
      <c r="N436" s="51">
        <v>1.977</v>
      </c>
      <c r="O436" s="6" t="str">
        <f t="shared" si="3"/>
        <v>Apr</v>
      </c>
      <c r="P436" s="6" t="str">
        <f t="shared" si="4"/>
        <v>2003</v>
      </c>
    </row>
    <row r="437">
      <c r="A437" s="3"/>
      <c r="M437" s="50" t="s">
        <v>795</v>
      </c>
      <c r="N437" s="51">
        <v>1.928</v>
      </c>
      <c r="O437" s="6" t="str">
        <f t="shared" si="3"/>
        <v>May</v>
      </c>
      <c r="P437" s="6" t="str">
        <f t="shared" si="4"/>
        <v>2003</v>
      </c>
    </row>
    <row r="438">
      <c r="A438" s="3"/>
      <c r="M438" s="50" t="s">
        <v>796</v>
      </c>
      <c r="N438" s="51">
        <v>1.867</v>
      </c>
      <c r="O438" s="6" t="str">
        <f t="shared" si="3"/>
        <v>May</v>
      </c>
      <c r="P438" s="6" t="str">
        <f t="shared" si="4"/>
        <v>2003</v>
      </c>
    </row>
    <row r="439">
      <c r="A439" s="3"/>
      <c r="M439" s="50" t="s">
        <v>797</v>
      </c>
      <c r="N439" s="51">
        <v>1.809</v>
      </c>
      <c r="O439" s="6" t="str">
        <f t="shared" si="3"/>
        <v>May</v>
      </c>
      <c r="P439" s="6" t="str">
        <f t="shared" si="4"/>
        <v>2003</v>
      </c>
    </row>
    <row r="440">
      <c r="A440" s="3"/>
      <c r="M440" s="50" t="s">
        <v>798</v>
      </c>
      <c r="N440" s="51">
        <v>1.763</v>
      </c>
      <c r="O440" s="6" t="str">
        <f t="shared" si="3"/>
        <v>May</v>
      </c>
      <c r="P440" s="6" t="str">
        <f t="shared" si="4"/>
        <v>2003</v>
      </c>
    </row>
    <row r="441">
      <c r="A441" s="3"/>
      <c r="M441" s="50" t="s">
        <v>799</v>
      </c>
      <c r="N441" s="51">
        <v>1.732</v>
      </c>
      <c r="O441" s="6" t="str">
        <f t="shared" si="3"/>
        <v>Jun</v>
      </c>
      <c r="P441" s="6" t="str">
        <f t="shared" si="4"/>
        <v>2003</v>
      </c>
    </row>
    <row r="442">
      <c r="A442" s="3"/>
      <c r="M442" s="50" t="s">
        <v>800</v>
      </c>
      <c r="N442" s="51">
        <v>1.696</v>
      </c>
      <c r="O442" s="6" t="str">
        <f t="shared" si="3"/>
        <v>Jun</v>
      </c>
      <c r="P442" s="6" t="str">
        <f t="shared" si="4"/>
        <v>2003</v>
      </c>
    </row>
    <row r="443">
      <c r="A443" s="3"/>
      <c r="M443" s="50" t="s">
        <v>801</v>
      </c>
      <c r="N443" s="51">
        <v>1.787</v>
      </c>
      <c r="O443" s="6" t="str">
        <f t="shared" si="3"/>
        <v>Jun</v>
      </c>
      <c r="P443" s="6" t="str">
        <f t="shared" si="4"/>
        <v>2003</v>
      </c>
    </row>
    <row r="444">
      <c r="A444" s="3"/>
      <c r="M444" s="50" t="s">
        <v>802</v>
      </c>
      <c r="N444" s="51">
        <v>1.805</v>
      </c>
      <c r="O444" s="6" t="str">
        <f t="shared" si="3"/>
        <v>Jun</v>
      </c>
      <c r="P444" s="6" t="str">
        <f t="shared" si="4"/>
        <v>2003</v>
      </c>
    </row>
    <row r="445">
      <c r="A445" s="3"/>
      <c r="M445" s="50" t="s">
        <v>803</v>
      </c>
      <c r="N445" s="51">
        <v>1.8</v>
      </c>
      <c r="O445" s="6" t="str">
        <f t="shared" si="3"/>
        <v>Jun</v>
      </c>
      <c r="P445" s="6" t="str">
        <f t="shared" si="4"/>
        <v>2003</v>
      </c>
    </row>
    <row r="446">
      <c r="A446" s="3"/>
      <c r="M446" s="50" t="s">
        <v>804</v>
      </c>
      <c r="N446" s="51">
        <v>1.785</v>
      </c>
      <c r="O446" s="6" t="str">
        <f t="shared" si="3"/>
        <v>Jul</v>
      </c>
      <c r="P446" s="6" t="str">
        <f t="shared" si="4"/>
        <v>2003</v>
      </c>
    </row>
    <row r="447">
      <c r="A447" s="3"/>
      <c r="M447" s="50" t="s">
        <v>805</v>
      </c>
      <c r="N447" s="51">
        <v>1.757</v>
      </c>
      <c r="O447" s="6" t="str">
        <f t="shared" si="3"/>
        <v>Jul</v>
      </c>
      <c r="P447" s="6" t="str">
        <f t="shared" si="4"/>
        <v>2003</v>
      </c>
    </row>
    <row r="448">
      <c r="A448" s="3"/>
      <c r="M448" s="50" t="s">
        <v>806</v>
      </c>
      <c r="N448" s="51">
        <v>1.725</v>
      </c>
      <c r="O448" s="6" t="str">
        <f t="shared" si="3"/>
        <v>Jul</v>
      </c>
      <c r="P448" s="6" t="str">
        <f t="shared" si="4"/>
        <v>2003</v>
      </c>
    </row>
    <row r="449">
      <c r="A449" s="3"/>
      <c r="M449" s="50" t="s">
        <v>807</v>
      </c>
      <c r="N449" s="51">
        <v>1.707</v>
      </c>
      <c r="O449" s="6" t="str">
        <f t="shared" si="3"/>
        <v>Jul</v>
      </c>
      <c r="P449" s="6" t="str">
        <f t="shared" si="4"/>
        <v>2003</v>
      </c>
    </row>
    <row r="450">
      <c r="A450" s="3"/>
      <c r="M450" s="50" t="s">
        <v>808</v>
      </c>
      <c r="N450" s="51">
        <v>1.703</v>
      </c>
      <c r="O450" s="6" t="str">
        <f t="shared" si="3"/>
        <v>Aug</v>
      </c>
      <c r="P450" s="6" t="str">
        <f t="shared" si="4"/>
        <v>2003</v>
      </c>
    </row>
    <row r="451">
      <c r="A451" s="3"/>
      <c r="M451" s="50" t="s">
        <v>809</v>
      </c>
      <c r="N451" s="51">
        <v>1.743</v>
      </c>
      <c r="O451" s="6" t="str">
        <f t="shared" si="3"/>
        <v>Aug</v>
      </c>
      <c r="P451" s="6" t="str">
        <f t="shared" si="4"/>
        <v>2003</v>
      </c>
    </row>
    <row r="452">
      <c r="A452" s="3"/>
      <c r="M452" s="50" t="s">
        <v>810</v>
      </c>
      <c r="N452" s="51">
        <v>1.92</v>
      </c>
      <c r="O452" s="6" t="str">
        <f t="shared" si="3"/>
        <v>Aug</v>
      </c>
      <c r="P452" s="6" t="str">
        <f t="shared" si="4"/>
        <v>2003</v>
      </c>
    </row>
    <row r="453">
      <c r="A453" s="3"/>
      <c r="M453" s="50" t="s">
        <v>811</v>
      </c>
      <c r="N453" s="51">
        <v>2.101</v>
      </c>
      <c r="O453" s="6" t="str">
        <f t="shared" si="3"/>
        <v>Aug</v>
      </c>
      <c r="P453" s="6" t="str">
        <f t="shared" si="4"/>
        <v>2003</v>
      </c>
    </row>
    <row r="454">
      <c r="A454" s="3"/>
      <c r="M454" s="50" t="s">
        <v>812</v>
      </c>
      <c r="N454" s="51">
        <v>2.1</v>
      </c>
      <c r="O454" s="6" t="str">
        <f t="shared" si="3"/>
        <v>Sep</v>
      </c>
      <c r="P454" s="6" t="str">
        <f t="shared" si="4"/>
        <v>2003</v>
      </c>
    </row>
    <row r="455">
      <c r="A455" s="3"/>
      <c r="M455" s="50" t="s">
        <v>813</v>
      </c>
      <c r="N455" s="51">
        <v>2.085</v>
      </c>
      <c r="O455" s="6" t="str">
        <f t="shared" si="3"/>
        <v>Sep</v>
      </c>
      <c r="P455" s="6" t="str">
        <f t="shared" si="4"/>
        <v>2003</v>
      </c>
    </row>
    <row r="456">
      <c r="A456" s="3"/>
      <c r="M456" s="50" t="s">
        <v>814</v>
      </c>
      <c r="N456" s="51">
        <v>2.034</v>
      </c>
      <c r="O456" s="6" t="str">
        <f t="shared" si="3"/>
        <v>Sep</v>
      </c>
      <c r="P456" s="6" t="str">
        <f t="shared" si="4"/>
        <v>2003</v>
      </c>
    </row>
    <row r="457">
      <c r="A457" s="3"/>
      <c r="M457" s="50" t="s">
        <v>815</v>
      </c>
      <c r="N457" s="51">
        <v>1.978</v>
      </c>
      <c r="O457" s="6" t="str">
        <f t="shared" si="3"/>
        <v>Sep</v>
      </c>
      <c r="P457" s="6" t="str">
        <f t="shared" si="4"/>
        <v>2003</v>
      </c>
    </row>
    <row r="458">
      <c r="A458" s="3"/>
      <c r="M458" s="50" t="s">
        <v>816</v>
      </c>
      <c r="N458" s="51">
        <v>1.912</v>
      </c>
      <c r="O458" s="6" t="str">
        <f t="shared" si="3"/>
        <v>Sep</v>
      </c>
      <c r="P458" s="6" t="str">
        <f t="shared" si="4"/>
        <v>2003</v>
      </c>
    </row>
    <row r="459">
      <c r="A459" s="3"/>
      <c r="M459" s="50" t="s">
        <v>817</v>
      </c>
      <c r="N459" s="51">
        <v>1.854</v>
      </c>
      <c r="O459" s="6" t="str">
        <f t="shared" si="3"/>
        <v>Oct</v>
      </c>
      <c r="P459" s="6" t="str">
        <f t="shared" si="4"/>
        <v>2003</v>
      </c>
    </row>
    <row r="460">
      <c r="A460" s="3"/>
      <c r="M460" s="50" t="s">
        <v>818</v>
      </c>
      <c r="N460" s="51">
        <v>1.805</v>
      </c>
      <c r="O460" s="6" t="str">
        <f t="shared" si="3"/>
        <v>Oct</v>
      </c>
      <c r="P460" s="6" t="str">
        <f t="shared" si="4"/>
        <v>2003</v>
      </c>
    </row>
    <row r="461">
      <c r="A461" s="3"/>
      <c r="M461" s="50" t="s">
        <v>819</v>
      </c>
      <c r="N461" s="51">
        <v>1.769</v>
      </c>
      <c r="O461" s="6" t="str">
        <f t="shared" si="3"/>
        <v>Oct</v>
      </c>
      <c r="P461" s="6" t="str">
        <f t="shared" si="4"/>
        <v>2003</v>
      </c>
    </row>
    <row r="462">
      <c r="A462" s="3"/>
      <c r="M462" s="50" t="s">
        <v>820</v>
      </c>
      <c r="N462" s="51">
        <v>1.737</v>
      </c>
      <c r="O462" s="6" t="str">
        <f t="shared" si="3"/>
        <v>Oct</v>
      </c>
      <c r="P462" s="6" t="str">
        <f t="shared" si="4"/>
        <v>2003</v>
      </c>
    </row>
    <row r="463">
      <c r="A463" s="3"/>
      <c r="M463" s="50" t="s">
        <v>821</v>
      </c>
      <c r="N463" s="51">
        <v>1.711</v>
      </c>
      <c r="O463" s="6" t="str">
        <f t="shared" si="3"/>
        <v>Nov</v>
      </c>
      <c r="P463" s="6" t="str">
        <f t="shared" si="4"/>
        <v>2003</v>
      </c>
    </row>
    <row r="464">
      <c r="A464" s="3"/>
      <c r="M464" s="50" t="s">
        <v>822</v>
      </c>
      <c r="N464" s="51">
        <v>1.685</v>
      </c>
      <c r="O464" s="6" t="str">
        <f t="shared" si="3"/>
        <v>Nov</v>
      </c>
      <c r="P464" s="6" t="str">
        <f t="shared" si="4"/>
        <v>2003</v>
      </c>
    </row>
    <row r="465">
      <c r="A465" s="3"/>
      <c r="M465" s="50" t="s">
        <v>823</v>
      </c>
      <c r="N465" s="51">
        <v>1.681</v>
      </c>
      <c r="O465" s="6" t="str">
        <f t="shared" si="3"/>
        <v>Nov</v>
      </c>
      <c r="P465" s="6" t="str">
        <f t="shared" si="4"/>
        <v>2003</v>
      </c>
    </row>
    <row r="466">
      <c r="A466" s="3"/>
      <c r="M466" s="50" t="s">
        <v>824</v>
      </c>
      <c r="N466" s="51">
        <v>1.691</v>
      </c>
      <c r="O466" s="6" t="str">
        <f t="shared" si="3"/>
        <v>Nov</v>
      </c>
      <c r="P466" s="6" t="str">
        <f t="shared" si="4"/>
        <v>2003</v>
      </c>
    </row>
    <row r="467">
      <c r="A467" s="3"/>
      <c r="M467" s="50" t="s">
        <v>825</v>
      </c>
      <c r="N467" s="51">
        <v>1.68</v>
      </c>
      <c r="O467" s="6" t="str">
        <f t="shared" si="3"/>
        <v>Dec</v>
      </c>
      <c r="P467" s="6" t="str">
        <f t="shared" si="4"/>
        <v>2003</v>
      </c>
    </row>
    <row r="468">
      <c r="A468" s="3"/>
      <c r="M468" s="50" t="s">
        <v>827</v>
      </c>
      <c r="N468" s="51">
        <v>1.652</v>
      </c>
      <c r="O468" s="6" t="str">
        <f t="shared" si="3"/>
        <v>Dec</v>
      </c>
      <c r="P468" s="6" t="str">
        <f t="shared" si="4"/>
        <v>2003</v>
      </c>
    </row>
    <row r="469">
      <c r="A469" s="3"/>
      <c r="M469" s="50" t="s">
        <v>830</v>
      </c>
      <c r="N469" s="51">
        <v>1.624</v>
      </c>
      <c r="O469" s="6" t="str">
        <f t="shared" si="3"/>
        <v>Dec</v>
      </c>
      <c r="P469" s="6" t="str">
        <f t="shared" si="4"/>
        <v>2003</v>
      </c>
    </row>
    <row r="470">
      <c r="A470" s="3"/>
      <c r="M470" s="50" t="s">
        <v>834</v>
      </c>
      <c r="N470" s="51">
        <v>1.615</v>
      </c>
      <c r="O470" s="6" t="str">
        <f t="shared" si="3"/>
        <v>Dec</v>
      </c>
      <c r="P470" s="6" t="str">
        <f t="shared" si="4"/>
        <v>2003</v>
      </c>
    </row>
    <row r="471">
      <c r="A471" s="3"/>
      <c r="M471" s="50" t="s">
        <v>838</v>
      </c>
      <c r="N471" s="51">
        <v>1.595</v>
      </c>
      <c r="O471" s="6" t="str">
        <f t="shared" si="3"/>
        <v>Dec</v>
      </c>
      <c r="P471" s="6" t="str">
        <f t="shared" si="4"/>
        <v>2003</v>
      </c>
    </row>
    <row r="472">
      <c r="A472" s="3"/>
      <c r="M472" s="50" t="s">
        <v>842</v>
      </c>
      <c r="N472" s="51">
        <v>1.617</v>
      </c>
      <c r="O472" s="6" t="str">
        <f t="shared" si="3"/>
        <v>Jan</v>
      </c>
      <c r="P472" s="6" t="str">
        <f t="shared" si="4"/>
        <v>2004</v>
      </c>
    </row>
    <row r="473">
      <c r="A473" s="3"/>
      <c r="M473" s="50" t="s">
        <v>843</v>
      </c>
      <c r="N473" s="51">
        <v>1.667</v>
      </c>
      <c r="O473" s="6" t="str">
        <f t="shared" si="3"/>
        <v>Jan</v>
      </c>
      <c r="P473" s="6" t="str">
        <f t="shared" si="4"/>
        <v>2004</v>
      </c>
    </row>
    <row r="474">
      <c r="A474" s="3"/>
      <c r="M474" s="50" t="s">
        <v>844</v>
      </c>
      <c r="N474" s="51">
        <v>1.69</v>
      </c>
      <c r="O474" s="6" t="str">
        <f t="shared" si="3"/>
        <v>Jan</v>
      </c>
      <c r="P474" s="6" t="str">
        <f t="shared" si="4"/>
        <v>2004</v>
      </c>
    </row>
    <row r="475">
      <c r="A475" s="3"/>
      <c r="M475" s="50" t="s">
        <v>845</v>
      </c>
      <c r="N475" s="51">
        <v>1.726</v>
      </c>
      <c r="O475" s="6" t="str">
        <f t="shared" si="3"/>
        <v>Jan</v>
      </c>
      <c r="P475" s="6" t="str">
        <f t="shared" si="4"/>
        <v>2004</v>
      </c>
    </row>
    <row r="476">
      <c r="A476" s="3"/>
      <c r="M476" s="50" t="s">
        <v>846</v>
      </c>
      <c r="N476" s="51">
        <v>1.753</v>
      </c>
      <c r="O476" s="6" t="str">
        <f t="shared" si="3"/>
        <v>Feb</v>
      </c>
      <c r="P476" s="6" t="str">
        <f t="shared" si="4"/>
        <v>2004</v>
      </c>
    </row>
    <row r="477">
      <c r="A477" s="3"/>
      <c r="M477" s="50" t="s">
        <v>847</v>
      </c>
      <c r="N477" s="51">
        <v>1.821</v>
      </c>
      <c r="O477" s="6" t="str">
        <f t="shared" si="3"/>
        <v>Feb</v>
      </c>
      <c r="P477" s="6" t="str">
        <f t="shared" si="4"/>
        <v>2004</v>
      </c>
    </row>
    <row r="478">
      <c r="A478" s="3"/>
      <c r="M478" s="50" t="s">
        <v>848</v>
      </c>
      <c r="N478" s="51">
        <v>1.868</v>
      </c>
      <c r="O478" s="6" t="str">
        <f t="shared" si="3"/>
        <v>Feb</v>
      </c>
      <c r="P478" s="6" t="str">
        <f t="shared" si="4"/>
        <v>2004</v>
      </c>
    </row>
    <row r="479">
      <c r="A479" s="3"/>
      <c r="M479" s="50" t="s">
        <v>849</v>
      </c>
      <c r="N479" s="51">
        <v>2.029</v>
      </c>
      <c r="O479" s="6" t="str">
        <f t="shared" si="3"/>
        <v>Feb</v>
      </c>
      <c r="P479" s="6" t="str">
        <f t="shared" si="4"/>
        <v>2004</v>
      </c>
    </row>
    <row r="480">
      <c r="A480" s="3"/>
      <c r="M480" s="50" t="s">
        <v>850</v>
      </c>
      <c r="N480" s="51">
        <v>2.109</v>
      </c>
      <c r="O480" s="6" t="str">
        <f t="shared" si="3"/>
        <v>Mar</v>
      </c>
      <c r="P480" s="6" t="str">
        <f t="shared" si="4"/>
        <v>2004</v>
      </c>
    </row>
    <row r="481">
      <c r="A481" s="3"/>
      <c r="M481" s="50" t="s">
        <v>851</v>
      </c>
      <c r="N481" s="51">
        <v>2.112</v>
      </c>
      <c r="O481" s="6" t="str">
        <f t="shared" si="3"/>
        <v>Mar</v>
      </c>
      <c r="P481" s="6" t="str">
        <f t="shared" si="4"/>
        <v>2004</v>
      </c>
    </row>
    <row r="482">
      <c r="A482" s="3"/>
      <c r="M482" s="50" t="s">
        <v>852</v>
      </c>
      <c r="N482" s="51">
        <v>2.097</v>
      </c>
      <c r="O482" s="6" t="str">
        <f t="shared" si="3"/>
        <v>Mar</v>
      </c>
      <c r="P482" s="6" t="str">
        <f t="shared" si="4"/>
        <v>2004</v>
      </c>
    </row>
    <row r="483">
      <c r="A483" s="3"/>
      <c r="M483" s="50" t="s">
        <v>853</v>
      </c>
      <c r="N483" s="51">
        <v>2.083</v>
      </c>
      <c r="O483" s="6" t="str">
        <f t="shared" si="3"/>
        <v>Mar</v>
      </c>
      <c r="P483" s="6" t="str">
        <f t="shared" si="4"/>
        <v>2004</v>
      </c>
    </row>
    <row r="484">
      <c r="A484" s="3"/>
      <c r="M484" s="50" t="s">
        <v>855</v>
      </c>
      <c r="N484" s="51">
        <v>2.079</v>
      </c>
      <c r="O484" s="6" t="str">
        <f t="shared" si="3"/>
        <v>Mar</v>
      </c>
      <c r="P484" s="6" t="str">
        <f t="shared" si="4"/>
        <v>2004</v>
      </c>
    </row>
    <row r="485">
      <c r="A485" s="3"/>
      <c r="M485" s="50" t="s">
        <v>856</v>
      </c>
      <c r="N485" s="51">
        <v>2.126</v>
      </c>
      <c r="O485" s="6" t="str">
        <f t="shared" si="3"/>
        <v>Apr</v>
      </c>
      <c r="P485" s="6" t="str">
        <f t="shared" si="4"/>
        <v>2004</v>
      </c>
    </row>
    <row r="486">
      <c r="A486" s="3"/>
      <c r="M486" s="50" t="s">
        <v>857</v>
      </c>
      <c r="N486" s="51">
        <v>2.157</v>
      </c>
      <c r="O486" s="6" t="str">
        <f t="shared" si="3"/>
        <v>Apr</v>
      </c>
      <c r="P486" s="6" t="str">
        <f t="shared" si="4"/>
        <v>2004</v>
      </c>
    </row>
    <row r="487">
      <c r="A487" s="3"/>
      <c r="M487" s="50" t="s">
        <v>858</v>
      </c>
      <c r="N487" s="51">
        <v>2.148</v>
      </c>
      <c r="O487" s="6" t="str">
        <f t="shared" si="3"/>
        <v>Apr</v>
      </c>
      <c r="P487" s="6" t="str">
        <f t="shared" si="4"/>
        <v>2004</v>
      </c>
    </row>
    <row r="488">
      <c r="A488" s="3"/>
      <c r="M488" s="50" t="s">
        <v>859</v>
      </c>
      <c r="N488" s="51">
        <v>2.124</v>
      </c>
      <c r="O488" s="6" t="str">
        <f t="shared" si="3"/>
        <v>Apr</v>
      </c>
      <c r="P488" s="6" t="str">
        <f t="shared" si="4"/>
        <v>2004</v>
      </c>
    </row>
    <row r="489">
      <c r="A489" s="3"/>
      <c r="M489" s="50" t="s">
        <v>860</v>
      </c>
      <c r="N489" s="51">
        <v>2.115</v>
      </c>
      <c r="O489" s="6" t="str">
        <f t="shared" si="3"/>
        <v>May</v>
      </c>
      <c r="P489" s="6" t="str">
        <f t="shared" si="4"/>
        <v>2004</v>
      </c>
    </row>
    <row r="490">
      <c r="A490" s="3"/>
      <c r="M490" s="50" t="s">
        <v>862</v>
      </c>
      <c r="N490" s="51">
        <v>2.223</v>
      </c>
      <c r="O490" s="6" t="str">
        <f t="shared" si="3"/>
        <v>May</v>
      </c>
      <c r="P490" s="6" t="str">
        <f t="shared" si="4"/>
        <v>2004</v>
      </c>
    </row>
    <row r="491">
      <c r="A491" s="3"/>
      <c r="M491" s="50" t="s">
        <v>863</v>
      </c>
      <c r="N491" s="51">
        <v>2.269</v>
      </c>
      <c r="O491" s="6" t="str">
        <f t="shared" si="3"/>
        <v>May</v>
      </c>
      <c r="P491" s="6" t="str">
        <f t="shared" si="4"/>
        <v>2004</v>
      </c>
    </row>
    <row r="492">
      <c r="A492" s="3"/>
      <c r="M492" s="50" t="s">
        <v>864</v>
      </c>
      <c r="N492" s="51">
        <v>2.324</v>
      </c>
      <c r="O492" s="6" t="str">
        <f t="shared" si="3"/>
        <v>May</v>
      </c>
      <c r="P492" s="6" t="str">
        <f t="shared" si="4"/>
        <v>2004</v>
      </c>
    </row>
    <row r="493">
      <c r="A493" s="3"/>
      <c r="M493" s="50" t="s">
        <v>865</v>
      </c>
      <c r="N493" s="51">
        <v>2.327</v>
      </c>
      <c r="O493" s="6" t="str">
        <f t="shared" si="3"/>
        <v>May</v>
      </c>
      <c r="P493" s="6" t="str">
        <f t="shared" si="4"/>
        <v>2004</v>
      </c>
    </row>
    <row r="494">
      <c r="A494" s="3"/>
      <c r="M494" s="50" t="s">
        <v>866</v>
      </c>
      <c r="N494" s="51">
        <v>2.316</v>
      </c>
      <c r="O494" s="6" t="str">
        <f t="shared" si="3"/>
        <v>Jun</v>
      </c>
      <c r="P494" s="6" t="str">
        <f t="shared" si="4"/>
        <v>2004</v>
      </c>
    </row>
    <row r="495">
      <c r="A495" s="3"/>
      <c r="M495" s="50" t="s">
        <v>867</v>
      </c>
      <c r="N495" s="51">
        <v>2.289</v>
      </c>
      <c r="O495" s="6" t="str">
        <f t="shared" si="3"/>
        <v>Jun</v>
      </c>
      <c r="P495" s="6" t="str">
        <f t="shared" si="4"/>
        <v>2004</v>
      </c>
    </row>
    <row r="496">
      <c r="A496" s="3"/>
      <c r="M496" s="50" t="s">
        <v>868</v>
      </c>
      <c r="N496" s="51">
        <v>2.259</v>
      </c>
      <c r="O496" s="6" t="str">
        <f t="shared" si="3"/>
        <v>Jun</v>
      </c>
      <c r="P496" s="6" t="str">
        <f t="shared" si="4"/>
        <v>2004</v>
      </c>
    </row>
    <row r="497">
      <c r="A497" s="3"/>
      <c r="M497" s="50" t="s">
        <v>869</v>
      </c>
      <c r="N497" s="51">
        <v>2.237</v>
      </c>
      <c r="O497" s="6" t="str">
        <f t="shared" si="3"/>
        <v>Jun</v>
      </c>
      <c r="P497" s="6" t="str">
        <f t="shared" si="4"/>
        <v>2004</v>
      </c>
    </row>
    <row r="498">
      <c r="A498" s="3"/>
      <c r="M498" s="50" t="s">
        <v>870</v>
      </c>
      <c r="N498" s="51">
        <v>2.204</v>
      </c>
      <c r="O498" s="6" t="str">
        <f t="shared" si="3"/>
        <v>Jul</v>
      </c>
      <c r="P498" s="6" t="str">
        <f t="shared" si="4"/>
        <v>2004</v>
      </c>
    </row>
    <row r="499">
      <c r="A499" s="3"/>
      <c r="M499" s="50" t="s">
        <v>871</v>
      </c>
      <c r="N499" s="51">
        <v>2.193</v>
      </c>
      <c r="O499" s="6" t="str">
        <f t="shared" si="3"/>
        <v>Jul</v>
      </c>
      <c r="P499" s="6" t="str">
        <f t="shared" si="4"/>
        <v>2004</v>
      </c>
    </row>
    <row r="500">
      <c r="A500" s="3"/>
      <c r="M500" s="50" t="s">
        <v>872</v>
      </c>
      <c r="N500" s="51">
        <v>2.186</v>
      </c>
      <c r="O500" s="6" t="str">
        <f t="shared" si="3"/>
        <v>Jul</v>
      </c>
      <c r="P500" s="6" t="str">
        <f t="shared" si="4"/>
        <v>2004</v>
      </c>
    </row>
    <row r="501">
      <c r="A501" s="3"/>
      <c r="M501" s="50" t="s">
        <v>873</v>
      </c>
      <c r="N501" s="51">
        <v>2.162</v>
      </c>
      <c r="O501" s="6" t="str">
        <f t="shared" si="3"/>
        <v>Jul</v>
      </c>
      <c r="P501" s="6" t="str">
        <f t="shared" si="4"/>
        <v>2004</v>
      </c>
    </row>
    <row r="502">
      <c r="A502" s="3"/>
      <c r="M502" s="50" t="s">
        <v>874</v>
      </c>
      <c r="N502" s="51">
        <v>2.128</v>
      </c>
      <c r="O502" s="6" t="str">
        <f t="shared" si="3"/>
        <v>Aug</v>
      </c>
      <c r="P502" s="6" t="str">
        <f t="shared" si="4"/>
        <v>2004</v>
      </c>
    </row>
    <row r="503">
      <c r="A503" s="3"/>
      <c r="M503" s="50" t="s">
        <v>875</v>
      </c>
      <c r="N503" s="51">
        <v>2.092</v>
      </c>
      <c r="O503" s="6" t="str">
        <f t="shared" si="3"/>
        <v>Aug</v>
      </c>
      <c r="P503" s="6" t="str">
        <f t="shared" si="4"/>
        <v>2004</v>
      </c>
    </row>
    <row r="504">
      <c r="A504" s="3"/>
      <c r="M504" s="50" t="s">
        <v>876</v>
      </c>
      <c r="N504" s="51">
        <v>2.055</v>
      </c>
      <c r="O504" s="6" t="str">
        <f t="shared" si="3"/>
        <v>Aug</v>
      </c>
      <c r="P504" s="6" t="str">
        <f t="shared" si="4"/>
        <v>2004</v>
      </c>
    </row>
    <row r="505">
      <c r="A505" s="3"/>
      <c r="M505" s="50" t="s">
        <v>877</v>
      </c>
      <c r="N505" s="51">
        <v>2.051</v>
      </c>
      <c r="O505" s="6" t="str">
        <f t="shared" si="3"/>
        <v>Aug</v>
      </c>
      <c r="P505" s="6" t="str">
        <f t="shared" si="4"/>
        <v>2004</v>
      </c>
    </row>
    <row r="506">
      <c r="A506" s="3"/>
      <c r="M506" s="50" t="s">
        <v>878</v>
      </c>
      <c r="N506" s="51">
        <v>2.1</v>
      </c>
      <c r="O506" s="6" t="str">
        <f t="shared" si="3"/>
        <v>Aug</v>
      </c>
      <c r="P506" s="6" t="str">
        <f t="shared" si="4"/>
        <v>2004</v>
      </c>
    </row>
    <row r="507">
      <c r="A507" s="3"/>
      <c r="M507" s="50" t="s">
        <v>879</v>
      </c>
      <c r="N507" s="51">
        <v>2.073</v>
      </c>
      <c r="O507" s="6" t="str">
        <f t="shared" si="3"/>
        <v>Sep</v>
      </c>
      <c r="P507" s="6" t="str">
        <f t="shared" si="4"/>
        <v>2004</v>
      </c>
    </row>
    <row r="508">
      <c r="A508" s="3"/>
      <c r="M508" s="50" t="s">
        <v>880</v>
      </c>
      <c r="N508" s="51">
        <v>2.053</v>
      </c>
      <c r="O508" s="6" t="str">
        <f t="shared" si="3"/>
        <v>Sep</v>
      </c>
      <c r="P508" s="6" t="str">
        <f t="shared" si="4"/>
        <v>2004</v>
      </c>
    </row>
    <row r="509">
      <c r="A509" s="3"/>
      <c r="M509" s="50" t="s">
        <v>881</v>
      </c>
      <c r="N509" s="51">
        <v>2.057</v>
      </c>
      <c r="O509" s="6" t="str">
        <f t="shared" si="3"/>
        <v>Sep</v>
      </c>
      <c r="P509" s="6" t="str">
        <f t="shared" si="4"/>
        <v>2004</v>
      </c>
    </row>
    <row r="510">
      <c r="A510" s="3"/>
      <c r="M510" s="50" t="s">
        <v>882</v>
      </c>
      <c r="N510" s="51">
        <v>2.094</v>
      </c>
      <c r="O510" s="6" t="str">
        <f t="shared" si="3"/>
        <v>Sep</v>
      </c>
      <c r="P510" s="6" t="str">
        <f t="shared" si="4"/>
        <v>2004</v>
      </c>
    </row>
    <row r="511">
      <c r="A511" s="3"/>
      <c r="M511" s="50" t="s">
        <v>883</v>
      </c>
      <c r="N511" s="51">
        <v>2.198</v>
      </c>
      <c r="O511" s="6" t="str">
        <f t="shared" si="3"/>
        <v>Oct</v>
      </c>
      <c r="P511" s="6" t="str">
        <f t="shared" si="4"/>
        <v>2004</v>
      </c>
    </row>
    <row r="512">
      <c r="A512" s="3"/>
      <c r="M512" s="50" t="s">
        <v>884</v>
      </c>
      <c r="N512" s="51">
        <v>2.327</v>
      </c>
      <c r="O512" s="6" t="str">
        <f t="shared" si="3"/>
        <v>Oct</v>
      </c>
      <c r="P512" s="6" t="str">
        <f t="shared" si="4"/>
        <v>2004</v>
      </c>
    </row>
    <row r="513">
      <c r="A513" s="3"/>
      <c r="M513" s="50" t="s">
        <v>885</v>
      </c>
      <c r="N513" s="51">
        <v>2.402</v>
      </c>
      <c r="O513" s="6" t="str">
        <f t="shared" si="3"/>
        <v>Oct</v>
      </c>
      <c r="P513" s="6" t="str">
        <f t="shared" si="4"/>
        <v>2004</v>
      </c>
    </row>
    <row r="514">
      <c r="A514" s="3"/>
      <c r="M514" s="50" t="s">
        <v>886</v>
      </c>
      <c r="N514" s="51">
        <v>2.394</v>
      </c>
      <c r="O514" s="6" t="str">
        <f t="shared" si="3"/>
        <v>Oct</v>
      </c>
      <c r="P514" s="6" t="str">
        <f t="shared" si="4"/>
        <v>2004</v>
      </c>
    </row>
    <row r="515">
      <c r="A515" s="3"/>
      <c r="M515" s="50" t="s">
        <v>887</v>
      </c>
      <c r="N515" s="51">
        <v>2.369</v>
      </c>
      <c r="O515" s="6" t="str">
        <f t="shared" si="3"/>
        <v>Nov</v>
      </c>
      <c r="P515" s="6" t="str">
        <f t="shared" si="4"/>
        <v>2004</v>
      </c>
    </row>
    <row r="516">
      <c r="A516" s="3"/>
      <c r="M516" s="50" t="s">
        <v>888</v>
      </c>
      <c r="N516" s="51">
        <v>2.341</v>
      </c>
      <c r="O516" s="6" t="str">
        <f t="shared" si="3"/>
        <v>Nov</v>
      </c>
      <c r="P516" s="6" t="str">
        <f t="shared" si="4"/>
        <v>2004</v>
      </c>
    </row>
    <row r="517">
      <c r="A517" s="3"/>
      <c r="M517" s="50" t="s">
        <v>889</v>
      </c>
      <c r="N517" s="51">
        <v>2.311</v>
      </c>
      <c r="O517" s="6" t="str">
        <f t="shared" si="3"/>
        <v>Nov</v>
      </c>
      <c r="P517" s="6" t="str">
        <f t="shared" si="4"/>
        <v>2004</v>
      </c>
    </row>
    <row r="518">
      <c r="A518" s="3"/>
      <c r="M518" s="50" t="s">
        <v>890</v>
      </c>
      <c r="N518" s="51">
        <v>2.263</v>
      </c>
      <c r="O518" s="6" t="str">
        <f t="shared" si="3"/>
        <v>Nov</v>
      </c>
      <c r="P518" s="6" t="str">
        <f t="shared" si="4"/>
        <v>2004</v>
      </c>
    </row>
    <row r="519">
      <c r="A519" s="3"/>
      <c r="M519" s="50" t="s">
        <v>891</v>
      </c>
      <c r="N519" s="51">
        <v>2.236</v>
      </c>
      <c r="O519" s="6" t="str">
        <f t="shared" si="3"/>
        <v>Nov</v>
      </c>
      <c r="P519" s="6" t="str">
        <f t="shared" si="4"/>
        <v>2004</v>
      </c>
    </row>
    <row r="520">
      <c r="A520" s="3"/>
      <c r="M520" s="50" t="s">
        <v>892</v>
      </c>
      <c r="N520" s="51">
        <v>2.192</v>
      </c>
      <c r="O520" s="6" t="str">
        <f t="shared" si="3"/>
        <v>Dec</v>
      </c>
      <c r="P520" s="6" t="str">
        <f t="shared" si="4"/>
        <v>2004</v>
      </c>
    </row>
    <row r="521">
      <c r="A521" s="3"/>
      <c r="M521" s="50" t="s">
        <v>893</v>
      </c>
      <c r="N521" s="51">
        <v>2.135</v>
      </c>
      <c r="O521" s="6" t="str">
        <f t="shared" si="3"/>
        <v>Dec</v>
      </c>
      <c r="P521" s="6" t="str">
        <f t="shared" si="4"/>
        <v>2004</v>
      </c>
    </row>
    <row r="522">
      <c r="A522" s="3"/>
      <c r="M522" s="50" t="s">
        <v>894</v>
      </c>
      <c r="N522" s="51">
        <v>2.049</v>
      </c>
      <c r="O522" s="6" t="str">
        <f t="shared" si="3"/>
        <v>Dec</v>
      </c>
      <c r="P522" s="6" t="str">
        <f t="shared" si="4"/>
        <v>2004</v>
      </c>
    </row>
    <row r="523">
      <c r="A523" s="3"/>
      <c r="M523" s="50" t="s">
        <v>895</v>
      </c>
      <c r="N523" s="51">
        <v>2.01</v>
      </c>
      <c r="O523" s="6" t="str">
        <f t="shared" si="3"/>
        <v>Dec</v>
      </c>
      <c r="P523" s="6" t="str">
        <f t="shared" si="4"/>
        <v>2004</v>
      </c>
    </row>
    <row r="524">
      <c r="A524" s="3"/>
      <c r="M524" s="50" t="s">
        <v>896</v>
      </c>
      <c r="N524" s="51">
        <v>1.982</v>
      </c>
      <c r="O524" s="6" t="str">
        <f t="shared" si="3"/>
        <v>Jan</v>
      </c>
      <c r="P524" s="6" t="str">
        <f t="shared" si="4"/>
        <v>2005</v>
      </c>
    </row>
    <row r="525">
      <c r="A525" s="3"/>
      <c r="M525" s="50" t="s">
        <v>897</v>
      </c>
      <c r="N525" s="51">
        <v>1.932</v>
      </c>
      <c r="O525" s="6" t="str">
        <f t="shared" si="3"/>
        <v>Jan</v>
      </c>
      <c r="P525" s="6" t="str">
        <f t="shared" si="4"/>
        <v>2005</v>
      </c>
    </row>
    <row r="526">
      <c r="A526" s="3"/>
      <c r="M526" s="50" t="s">
        <v>898</v>
      </c>
      <c r="N526" s="51">
        <v>1.932</v>
      </c>
      <c r="O526" s="6" t="str">
        <f t="shared" si="3"/>
        <v>Jan</v>
      </c>
      <c r="P526" s="6" t="str">
        <f t="shared" si="4"/>
        <v>2005</v>
      </c>
    </row>
    <row r="527">
      <c r="A527" s="3"/>
      <c r="M527" s="50" t="s">
        <v>899</v>
      </c>
      <c r="N527" s="51">
        <v>1.959</v>
      </c>
      <c r="O527" s="6" t="str">
        <f t="shared" si="3"/>
        <v>Jan</v>
      </c>
      <c r="P527" s="6" t="str">
        <f t="shared" si="4"/>
        <v>2005</v>
      </c>
    </row>
    <row r="528">
      <c r="A528" s="3"/>
      <c r="M528" s="50" t="s">
        <v>901</v>
      </c>
      <c r="N528" s="51">
        <v>2.034</v>
      </c>
      <c r="O528" s="6" t="str">
        <f t="shared" si="3"/>
        <v>Jan</v>
      </c>
      <c r="P528" s="6" t="str">
        <f t="shared" si="4"/>
        <v>2005</v>
      </c>
    </row>
    <row r="529">
      <c r="A529" s="3"/>
      <c r="M529" s="50" t="s">
        <v>902</v>
      </c>
      <c r="N529" s="51">
        <v>2.053</v>
      </c>
      <c r="O529" s="6" t="str">
        <f t="shared" si="3"/>
        <v>Feb</v>
      </c>
      <c r="P529" s="6" t="str">
        <f t="shared" si="4"/>
        <v>2005</v>
      </c>
    </row>
    <row r="530">
      <c r="A530" s="3"/>
      <c r="M530" s="50" t="s">
        <v>903</v>
      </c>
      <c r="N530" s="51">
        <v>2.091</v>
      </c>
      <c r="O530" s="6" t="str">
        <f t="shared" si="3"/>
        <v>Feb</v>
      </c>
      <c r="P530" s="6" t="str">
        <f t="shared" si="4"/>
        <v>2005</v>
      </c>
    </row>
    <row r="531">
      <c r="A531" s="3"/>
      <c r="M531" s="50" t="s">
        <v>904</v>
      </c>
      <c r="N531" s="51">
        <v>2.15</v>
      </c>
      <c r="O531" s="6" t="str">
        <f t="shared" si="3"/>
        <v>Feb</v>
      </c>
      <c r="P531" s="6" t="str">
        <f t="shared" si="4"/>
        <v>2005</v>
      </c>
    </row>
    <row r="532">
      <c r="A532" s="3"/>
      <c r="M532" s="50" t="s">
        <v>905</v>
      </c>
      <c r="N532" s="51">
        <v>2.176</v>
      </c>
      <c r="O532" s="6" t="str">
        <f t="shared" si="3"/>
        <v>Feb</v>
      </c>
      <c r="P532" s="6" t="str">
        <f t="shared" si="4"/>
        <v>2005</v>
      </c>
    </row>
    <row r="533">
      <c r="A533" s="3"/>
      <c r="M533" s="50" t="s">
        <v>906</v>
      </c>
      <c r="N533" s="51">
        <v>2.229</v>
      </c>
      <c r="O533" s="6" t="str">
        <f t="shared" si="3"/>
        <v>Mar</v>
      </c>
      <c r="P533" s="6" t="str">
        <f t="shared" si="4"/>
        <v>2005</v>
      </c>
    </row>
    <row r="534">
      <c r="A534" s="3"/>
      <c r="M534" s="50" t="s">
        <v>907</v>
      </c>
      <c r="N534" s="51">
        <v>2.287</v>
      </c>
      <c r="O534" s="6" t="str">
        <f t="shared" si="3"/>
        <v>Mar</v>
      </c>
      <c r="P534" s="6" t="str">
        <f t="shared" si="4"/>
        <v>2005</v>
      </c>
    </row>
    <row r="535">
      <c r="A535" s="3"/>
      <c r="M535" s="50" t="s">
        <v>908</v>
      </c>
      <c r="N535" s="51">
        <v>2.312</v>
      </c>
      <c r="O535" s="6" t="str">
        <f t="shared" si="3"/>
        <v>Mar</v>
      </c>
      <c r="P535" s="6" t="str">
        <f t="shared" si="4"/>
        <v>2005</v>
      </c>
    </row>
    <row r="536">
      <c r="A536" s="3"/>
      <c r="M536" s="50" t="s">
        <v>909</v>
      </c>
      <c r="N536" s="51">
        <v>2.376</v>
      </c>
      <c r="O536" s="6" t="str">
        <f t="shared" si="3"/>
        <v>Mar</v>
      </c>
      <c r="P536" s="6" t="str">
        <f t="shared" si="4"/>
        <v>2005</v>
      </c>
    </row>
    <row r="537">
      <c r="A537" s="3"/>
      <c r="M537" s="50" t="s">
        <v>910</v>
      </c>
      <c r="N537" s="51">
        <v>2.464</v>
      </c>
      <c r="O537" s="6" t="str">
        <f t="shared" si="3"/>
        <v>Apr</v>
      </c>
      <c r="P537" s="6" t="str">
        <f t="shared" si="4"/>
        <v>2005</v>
      </c>
    </row>
    <row r="538">
      <c r="A538" s="3"/>
      <c r="M538" s="50" t="s">
        <v>911</v>
      </c>
      <c r="N538" s="51">
        <v>2.592</v>
      </c>
      <c r="O538" s="6" t="str">
        <f t="shared" si="3"/>
        <v>Apr</v>
      </c>
      <c r="P538" s="6" t="str">
        <f t="shared" si="4"/>
        <v>2005</v>
      </c>
    </row>
    <row r="539">
      <c r="A539" s="3"/>
      <c r="M539" s="50" t="s">
        <v>912</v>
      </c>
      <c r="N539" s="51">
        <v>2.584</v>
      </c>
      <c r="O539" s="6" t="str">
        <f t="shared" si="3"/>
        <v>Apr</v>
      </c>
      <c r="P539" s="6" t="str">
        <f t="shared" si="4"/>
        <v>2005</v>
      </c>
    </row>
    <row r="540">
      <c r="A540" s="3"/>
      <c r="M540" s="50" t="s">
        <v>913</v>
      </c>
      <c r="N540" s="51">
        <v>2.565</v>
      </c>
      <c r="O540" s="6" t="str">
        <f t="shared" si="3"/>
        <v>Apr</v>
      </c>
      <c r="P540" s="6" t="str">
        <f t="shared" si="4"/>
        <v>2005</v>
      </c>
    </row>
    <row r="541">
      <c r="A541" s="3"/>
      <c r="M541" s="50" t="s">
        <v>914</v>
      </c>
      <c r="N541" s="51">
        <v>2.56</v>
      </c>
      <c r="O541" s="6" t="str">
        <f t="shared" si="3"/>
        <v>May</v>
      </c>
      <c r="P541" s="6" t="str">
        <f t="shared" si="4"/>
        <v>2005</v>
      </c>
    </row>
    <row r="542">
      <c r="A542" s="3"/>
      <c r="M542" s="50" t="s">
        <v>915</v>
      </c>
      <c r="N542" s="51">
        <v>2.516</v>
      </c>
      <c r="O542" s="6" t="str">
        <f t="shared" si="3"/>
        <v>May</v>
      </c>
      <c r="P542" s="6" t="str">
        <f t="shared" si="4"/>
        <v>2005</v>
      </c>
    </row>
    <row r="543">
      <c r="A543" s="3"/>
      <c r="M543" s="50" t="s">
        <v>916</v>
      </c>
      <c r="N543" s="51">
        <v>2.473</v>
      </c>
      <c r="O543" s="6" t="str">
        <f t="shared" si="3"/>
        <v>May</v>
      </c>
      <c r="P543" s="6" t="str">
        <f t="shared" si="4"/>
        <v>2005</v>
      </c>
    </row>
    <row r="544">
      <c r="A544" s="3"/>
      <c r="M544" s="50" t="s">
        <v>917</v>
      </c>
      <c r="N544" s="51">
        <v>2.434</v>
      </c>
      <c r="O544" s="6" t="str">
        <f t="shared" si="3"/>
        <v>May</v>
      </c>
      <c r="P544" s="6" t="str">
        <f t="shared" si="4"/>
        <v>2005</v>
      </c>
    </row>
    <row r="545">
      <c r="A545" s="3"/>
      <c r="M545" s="50" t="s">
        <v>918</v>
      </c>
      <c r="N545" s="51">
        <v>2.391</v>
      </c>
      <c r="O545" s="6" t="str">
        <f t="shared" si="3"/>
        <v>May</v>
      </c>
      <c r="P545" s="6" t="str">
        <f t="shared" si="4"/>
        <v>2005</v>
      </c>
    </row>
    <row r="546">
      <c r="A546" s="3"/>
      <c r="M546" s="50" t="s">
        <v>919</v>
      </c>
      <c r="N546" s="51">
        <v>2.36</v>
      </c>
      <c r="O546" s="6" t="str">
        <f t="shared" si="3"/>
        <v>Jun</v>
      </c>
      <c r="P546" s="6" t="str">
        <f t="shared" si="4"/>
        <v>2005</v>
      </c>
    </row>
    <row r="547">
      <c r="A547" s="3"/>
      <c r="M547" s="50" t="s">
        <v>920</v>
      </c>
      <c r="N547" s="51">
        <v>2.333</v>
      </c>
      <c r="O547" s="6" t="str">
        <f t="shared" si="3"/>
        <v>Jun</v>
      </c>
      <c r="P547" s="6" t="str">
        <f t="shared" si="4"/>
        <v>2005</v>
      </c>
    </row>
    <row r="548">
      <c r="A548" s="3"/>
      <c r="M548" s="50" t="s">
        <v>921</v>
      </c>
      <c r="N548" s="51">
        <v>2.352</v>
      </c>
      <c r="O548" s="6" t="str">
        <f t="shared" si="3"/>
        <v>Jun</v>
      </c>
      <c r="P548" s="6" t="str">
        <f t="shared" si="4"/>
        <v>2005</v>
      </c>
    </row>
    <row r="549">
      <c r="A549" s="3"/>
      <c r="M549" s="50" t="s">
        <v>922</v>
      </c>
      <c r="N549" s="51">
        <v>2.412</v>
      </c>
      <c r="O549" s="6" t="str">
        <f t="shared" si="3"/>
        <v>Jun</v>
      </c>
      <c r="P549" s="6" t="str">
        <f t="shared" si="4"/>
        <v>2005</v>
      </c>
    </row>
    <row r="550">
      <c r="A550" s="3"/>
      <c r="M550" s="50" t="s">
        <v>923</v>
      </c>
      <c r="N550" s="51">
        <v>2.457</v>
      </c>
      <c r="O550" s="6" t="str">
        <f t="shared" si="3"/>
        <v>Jul</v>
      </c>
      <c r="P550" s="6" t="str">
        <f t="shared" si="4"/>
        <v>2005</v>
      </c>
    </row>
    <row r="551">
      <c r="A551" s="3"/>
      <c r="M551" s="50" t="s">
        <v>924</v>
      </c>
      <c r="N551" s="51">
        <v>2.525</v>
      </c>
      <c r="O551" s="6" t="str">
        <f t="shared" si="3"/>
        <v>Jul</v>
      </c>
      <c r="P551" s="6" t="str">
        <f t="shared" si="4"/>
        <v>2005</v>
      </c>
    </row>
    <row r="552">
      <c r="A552" s="3"/>
      <c r="M552" s="50" t="s">
        <v>925</v>
      </c>
      <c r="N552" s="51">
        <v>2.538</v>
      </c>
      <c r="O552" s="6" t="str">
        <f t="shared" si="3"/>
        <v>Jul</v>
      </c>
      <c r="P552" s="6" t="str">
        <f t="shared" si="4"/>
        <v>2005</v>
      </c>
    </row>
    <row r="553">
      <c r="A553" s="3"/>
      <c r="M553" s="50" t="s">
        <v>926</v>
      </c>
      <c r="N553" s="51">
        <v>2.541</v>
      </c>
      <c r="O553" s="6" t="str">
        <f t="shared" si="3"/>
        <v>Jul</v>
      </c>
      <c r="P553" s="6" t="str">
        <f t="shared" si="4"/>
        <v>2005</v>
      </c>
    </row>
    <row r="554">
      <c r="A554" s="3"/>
      <c r="M554" s="50" t="s">
        <v>927</v>
      </c>
      <c r="N554" s="51">
        <v>2.549</v>
      </c>
      <c r="O554" s="6" t="str">
        <f t="shared" si="3"/>
        <v>Aug</v>
      </c>
      <c r="P554" s="6" t="str">
        <f t="shared" si="4"/>
        <v>2005</v>
      </c>
    </row>
    <row r="555">
      <c r="A555" s="3"/>
      <c r="M555" s="50" t="s">
        <v>928</v>
      </c>
      <c r="N555" s="51">
        <v>2.601</v>
      </c>
      <c r="O555" s="6" t="str">
        <f t="shared" si="3"/>
        <v>Aug</v>
      </c>
      <c r="P555" s="6" t="str">
        <f t="shared" si="4"/>
        <v>2005</v>
      </c>
    </row>
    <row r="556">
      <c r="A556" s="3"/>
      <c r="M556" s="50" t="s">
        <v>929</v>
      </c>
      <c r="N556" s="51">
        <v>2.716</v>
      </c>
      <c r="O556" s="6" t="str">
        <f t="shared" si="3"/>
        <v>Aug</v>
      </c>
      <c r="P556" s="6" t="str">
        <f t="shared" si="4"/>
        <v>2005</v>
      </c>
    </row>
    <row r="557">
      <c r="A557" s="3"/>
      <c r="M557" s="50" t="s">
        <v>930</v>
      </c>
      <c r="N557" s="51">
        <v>2.75</v>
      </c>
      <c r="O557" s="6" t="str">
        <f t="shared" si="3"/>
        <v>Aug</v>
      </c>
      <c r="P557" s="6" t="str">
        <f t="shared" si="4"/>
        <v>2005</v>
      </c>
    </row>
    <row r="558">
      <c r="A558" s="3"/>
      <c r="M558" s="50" t="s">
        <v>931</v>
      </c>
      <c r="N558" s="51">
        <v>2.77</v>
      </c>
      <c r="O558" s="6" t="str">
        <f t="shared" si="3"/>
        <v>Aug</v>
      </c>
      <c r="P558" s="6" t="str">
        <f t="shared" si="4"/>
        <v>2005</v>
      </c>
    </row>
    <row r="559">
      <c r="A559" s="3"/>
      <c r="M559" s="50" t="s">
        <v>932</v>
      </c>
      <c r="N559" s="51">
        <v>3.056</v>
      </c>
      <c r="O559" s="6" t="str">
        <f t="shared" si="3"/>
        <v>Sep</v>
      </c>
      <c r="P559" s="6" t="str">
        <f t="shared" si="4"/>
        <v>2005</v>
      </c>
    </row>
    <row r="560">
      <c r="A560" s="3"/>
      <c r="M560" s="50" t="s">
        <v>933</v>
      </c>
      <c r="N560" s="51">
        <v>3.004</v>
      </c>
      <c r="O560" s="6" t="str">
        <f t="shared" si="3"/>
        <v>Sep</v>
      </c>
      <c r="P560" s="6" t="str">
        <f t="shared" si="4"/>
        <v>2005</v>
      </c>
    </row>
    <row r="561">
      <c r="A561" s="3"/>
      <c r="M561" s="50" t="s">
        <v>934</v>
      </c>
      <c r="N561" s="51">
        <v>2.954</v>
      </c>
      <c r="O561" s="6" t="str">
        <f t="shared" si="3"/>
        <v>Sep</v>
      </c>
      <c r="P561" s="6" t="str">
        <f t="shared" si="4"/>
        <v>2005</v>
      </c>
    </row>
    <row r="562">
      <c r="A562" s="3"/>
      <c r="M562" s="50" t="s">
        <v>935</v>
      </c>
      <c r="N562" s="51">
        <v>2.947</v>
      </c>
      <c r="O562" s="6" t="str">
        <f t="shared" si="3"/>
        <v>Sep</v>
      </c>
      <c r="P562" s="6" t="str">
        <f t="shared" si="4"/>
        <v>2005</v>
      </c>
    </row>
    <row r="563">
      <c r="A563" s="3"/>
      <c r="M563" s="50" t="s">
        <v>936</v>
      </c>
      <c r="N563" s="51">
        <v>2.973</v>
      </c>
      <c r="O563" s="6" t="str">
        <f t="shared" si="3"/>
        <v>Oct</v>
      </c>
      <c r="P563" s="6" t="str">
        <f t="shared" si="4"/>
        <v>2005</v>
      </c>
    </row>
    <row r="564">
      <c r="A564" s="3"/>
      <c r="M564" s="50" t="s">
        <v>937</v>
      </c>
      <c r="N564" s="51">
        <v>2.964</v>
      </c>
      <c r="O564" s="6" t="str">
        <f t="shared" si="3"/>
        <v>Oct</v>
      </c>
      <c r="P564" s="6" t="str">
        <f t="shared" si="4"/>
        <v>2005</v>
      </c>
    </row>
    <row r="565">
      <c r="A565" s="3"/>
      <c r="M565" s="50" t="s">
        <v>938</v>
      </c>
      <c r="N565" s="51">
        <v>2.902</v>
      </c>
      <c r="O565" s="6" t="str">
        <f t="shared" si="3"/>
        <v>Oct</v>
      </c>
      <c r="P565" s="6" t="str">
        <f t="shared" si="4"/>
        <v>2005</v>
      </c>
    </row>
    <row r="566">
      <c r="A566" s="3"/>
      <c r="M566" s="50" t="s">
        <v>939</v>
      </c>
      <c r="N566" s="51">
        <v>2.827</v>
      </c>
      <c r="O566" s="6" t="str">
        <f t="shared" si="3"/>
        <v>Oct</v>
      </c>
      <c r="P566" s="6" t="str">
        <f t="shared" si="4"/>
        <v>2005</v>
      </c>
    </row>
    <row r="567">
      <c r="A567" s="3"/>
      <c r="M567" s="50" t="s">
        <v>940</v>
      </c>
      <c r="N567" s="51">
        <v>2.747</v>
      </c>
      <c r="O567" s="6" t="str">
        <f t="shared" si="3"/>
        <v>Oct</v>
      </c>
      <c r="P567" s="6" t="str">
        <f t="shared" si="4"/>
        <v>2005</v>
      </c>
    </row>
    <row r="568">
      <c r="A568" s="3"/>
      <c r="M568" s="50" t="s">
        <v>941</v>
      </c>
      <c r="N568" s="51">
        <v>2.659</v>
      </c>
      <c r="O568" s="6" t="str">
        <f t="shared" si="3"/>
        <v>Nov</v>
      </c>
      <c r="P568" s="6" t="str">
        <f t="shared" si="4"/>
        <v>2005</v>
      </c>
    </row>
    <row r="569">
      <c r="A569" s="3"/>
      <c r="M569" s="50" t="s">
        <v>942</v>
      </c>
      <c r="N569" s="51">
        <v>2.582</v>
      </c>
      <c r="O569" s="6" t="str">
        <f t="shared" si="3"/>
        <v>Nov</v>
      </c>
      <c r="P569" s="6" t="str">
        <f t="shared" si="4"/>
        <v>2005</v>
      </c>
    </row>
    <row r="570">
      <c r="A570" s="3"/>
      <c r="M570" s="50" t="s">
        <v>943</v>
      </c>
      <c r="N570" s="51">
        <v>2.453</v>
      </c>
      <c r="O570" s="6" t="str">
        <f t="shared" si="3"/>
        <v>Nov</v>
      </c>
      <c r="P570" s="6" t="str">
        <f t="shared" si="4"/>
        <v>2005</v>
      </c>
    </row>
    <row r="571">
      <c r="A571" s="3"/>
      <c r="M571" s="50" t="s">
        <v>944</v>
      </c>
      <c r="N571" s="51">
        <v>2.412</v>
      </c>
      <c r="O571" s="6" t="str">
        <f t="shared" si="3"/>
        <v>Nov</v>
      </c>
      <c r="P571" s="6" t="str">
        <f t="shared" si="4"/>
        <v>2005</v>
      </c>
    </row>
    <row r="572">
      <c r="A572" s="3"/>
      <c r="M572" s="50" t="s">
        <v>945</v>
      </c>
      <c r="N572" s="51">
        <v>2.335</v>
      </c>
      <c r="O572" s="6" t="str">
        <f t="shared" si="3"/>
        <v>Dec</v>
      </c>
      <c r="P572" s="6" t="str">
        <f t="shared" si="4"/>
        <v>2005</v>
      </c>
    </row>
    <row r="573">
      <c r="A573" s="3"/>
      <c r="M573" s="50" t="s">
        <v>946</v>
      </c>
      <c r="N573" s="51">
        <v>2.277</v>
      </c>
      <c r="O573" s="6" t="str">
        <f t="shared" si="3"/>
        <v>Dec</v>
      </c>
      <c r="P573" s="6" t="str">
        <f t="shared" si="4"/>
        <v>2005</v>
      </c>
    </row>
    <row r="574">
      <c r="A574" s="3"/>
      <c r="M574" s="50" t="s">
        <v>947</v>
      </c>
      <c r="N574" s="51">
        <v>2.249</v>
      </c>
      <c r="O574" s="6" t="str">
        <f t="shared" si="3"/>
        <v>Dec</v>
      </c>
      <c r="P574" s="6" t="str">
        <f t="shared" si="4"/>
        <v>2005</v>
      </c>
    </row>
    <row r="575">
      <c r="A575" s="3"/>
      <c r="M575" s="50" t="s">
        <v>948</v>
      </c>
      <c r="N575" s="51">
        <v>2.233</v>
      </c>
      <c r="O575" s="6" t="str">
        <f t="shared" si="3"/>
        <v>Dec</v>
      </c>
      <c r="P575" s="6" t="str">
        <f t="shared" si="4"/>
        <v>2005</v>
      </c>
    </row>
    <row r="576">
      <c r="A576" s="3"/>
      <c r="M576" s="50" t="s">
        <v>949</v>
      </c>
      <c r="N576" s="51">
        <v>2.213</v>
      </c>
      <c r="O576" s="6" t="str">
        <f t="shared" si="3"/>
        <v>Jan</v>
      </c>
      <c r="P576" s="6" t="str">
        <f t="shared" si="4"/>
        <v>2006</v>
      </c>
    </row>
    <row r="577">
      <c r="A577" s="3"/>
      <c r="M577" s="50" t="s">
        <v>950</v>
      </c>
      <c r="N577" s="51">
        <v>2.328</v>
      </c>
      <c r="O577" s="6" t="str">
        <f t="shared" si="3"/>
        <v>Jan</v>
      </c>
      <c r="P577" s="6" t="str">
        <f t="shared" si="4"/>
        <v>2006</v>
      </c>
    </row>
    <row r="578">
      <c r="A578" s="3"/>
      <c r="M578" s="50" t="s">
        <v>951</v>
      </c>
      <c r="N578" s="51">
        <v>2.417</v>
      </c>
      <c r="O578" s="6" t="str">
        <f t="shared" si="3"/>
        <v>Jan</v>
      </c>
      <c r="P578" s="6" t="str">
        <f t="shared" si="4"/>
        <v>2006</v>
      </c>
    </row>
    <row r="579">
      <c r="A579" s="3"/>
      <c r="M579" s="50" t="s">
        <v>952</v>
      </c>
      <c r="N579" s="51">
        <v>2.424</v>
      </c>
      <c r="O579" s="6" t="str">
        <f t="shared" si="3"/>
        <v>Jan</v>
      </c>
      <c r="P579" s="6" t="str">
        <f t="shared" si="4"/>
        <v>2006</v>
      </c>
    </row>
    <row r="580">
      <c r="A580" s="3"/>
      <c r="M580" s="50" t="s">
        <v>953</v>
      </c>
      <c r="N580" s="51">
        <v>2.513</v>
      </c>
      <c r="O580" s="6" t="str">
        <f t="shared" si="3"/>
        <v>Jan</v>
      </c>
      <c r="P580" s="6" t="str">
        <f t="shared" si="4"/>
        <v>2006</v>
      </c>
    </row>
    <row r="581">
      <c r="A581" s="3"/>
      <c r="M581" s="50" t="s">
        <v>954</v>
      </c>
      <c r="N581" s="51">
        <v>2.544</v>
      </c>
      <c r="O581" s="6" t="str">
        <f t="shared" si="3"/>
        <v>Feb</v>
      </c>
      <c r="P581" s="6" t="str">
        <f t="shared" si="4"/>
        <v>2006</v>
      </c>
    </row>
    <row r="582">
      <c r="A582" s="3"/>
      <c r="M582" s="50" t="s">
        <v>955</v>
      </c>
      <c r="N582" s="51">
        <v>2.522</v>
      </c>
      <c r="O582" s="6" t="str">
        <f t="shared" si="3"/>
        <v>Feb</v>
      </c>
      <c r="P582" s="6" t="str">
        <f t="shared" si="4"/>
        <v>2006</v>
      </c>
    </row>
    <row r="583">
      <c r="A583" s="3"/>
      <c r="M583" s="50" t="s">
        <v>956</v>
      </c>
      <c r="N583" s="51">
        <v>2.473</v>
      </c>
      <c r="O583" s="6" t="str">
        <f t="shared" si="3"/>
        <v>Feb</v>
      </c>
      <c r="P583" s="6" t="str">
        <f t="shared" si="4"/>
        <v>2006</v>
      </c>
    </row>
    <row r="584">
      <c r="A584" s="3"/>
      <c r="M584" s="50" t="s">
        <v>957</v>
      </c>
      <c r="N584" s="51">
        <v>2.439</v>
      </c>
      <c r="O584" s="6" t="str">
        <f t="shared" si="3"/>
        <v>Feb</v>
      </c>
      <c r="P584" s="6" t="str">
        <f t="shared" si="4"/>
        <v>2006</v>
      </c>
    </row>
    <row r="585">
      <c r="A585" s="3"/>
      <c r="M585" s="50" t="s">
        <v>958</v>
      </c>
      <c r="N585" s="51">
        <v>2.48</v>
      </c>
      <c r="O585" s="6" t="str">
        <f t="shared" si="3"/>
        <v>Mar</v>
      </c>
      <c r="P585" s="6" t="str">
        <f t="shared" si="4"/>
        <v>2006</v>
      </c>
    </row>
    <row r="586">
      <c r="A586" s="3"/>
      <c r="M586" s="50" t="s">
        <v>961</v>
      </c>
      <c r="N586" s="51">
        <v>2.532</v>
      </c>
      <c r="O586" s="6" t="str">
        <f t="shared" si="3"/>
        <v>Mar</v>
      </c>
      <c r="P586" s="6" t="str">
        <f t="shared" si="4"/>
        <v>2006</v>
      </c>
    </row>
    <row r="587">
      <c r="A587" s="3"/>
      <c r="M587" s="50" t="s">
        <v>965</v>
      </c>
      <c r="N587" s="51">
        <v>2.635</v>
      </c>
      <c r="O587" s="6" t="str">
        <f t="shared" si="3"/>
        <v>Mar</v>
      </c>
      <c r="P587" s="6" t="str">
        <f t="shared" si="4"/>
        <v>2006</v>
      </c>
    </row>
    <row r="588">
      <c r="A588" s="3"/>
      <c r="M588" s="50" t="s">
        <v>967</v>
      </c>
      <c r="N588" s="51">
        <v>2.669</v>
      </c>
      <c r="O588" s="6" t="str">
        <f t="shared" si="3"/>
        <v>Mar</v>
      </c>
      <c r="P588" s="6" t="str">
        <f t="shared" si="4"/>
        <v>2006</v>
      </c>
    </row>
    <row r="589">
      <c r="A589" s="3"/>
      <c r="M589" s="50" t="s">
        <v>971</v>
      </c>
      <c r="N589" s="51">
        <v>2.743</v>
      </c>
      <c r="O589" s="6" t="str">
        <f t="shared" si="3"/>
        <v>Apr</v>
      </c>
      <c r="P589" s="6" t="str">
        <f t="shared" si="4"/>
        <v>2006</v>
      </c>
    </row>
    <row r="590">
      <c r="A590" s="3"/>
      <c r="M590" s="50" t="s">
        <v>972</v>
      </c>
      <c r="N590" s="51">
        <v>2.811</v>
      </c>
      <c r="O590" s="6" t="str">
        <f t="shared" si="3"/>
        <v>Apr</v>
      </c>
      <c r="P590" s="6" t="str">
        <f t="shared" si="4"/>
        <v>2006</v>
      </c>
    </row>
    <row r="591">
      <c r="A591" s="3"/>
      <c r="M591" s="50" t="s">
        <v>973</v>
      </c>
      <c r="N591" s="51">
        <v>2.896</v>
      </c>
      <c r="O591" s="6" t="str">
        <f t="shared" si="3"/>
        <v>Apr</v>
      </c>
      <c r="P591" s="6" t="str">
        <f t="shared" si="4"/>
        <v>2006</v>
      </c>
    </row>
    <row r="592">
      <c r="A592" s="3"/>
      <c r="M592" s="50" t="s">
        <v>974</v>
      </c>
      <c r="N592" s="51">
        <v>3.068</v>
      </c>
      <c r="O592" s="6" t="str">
        <f t="shared" si="3"/>
        <v>Apr</v>
      </c>
      <c r="P592" s="6" t="str">
        <f t="shared" si="4"/>
        <v>2006</v>
      </c>
    </row>
    <row r="593">
      <c r="A593" s="3"/>
      <c r="M593" s="50" t="s">
        <v>975</v>
      </c>
      <c r="N593" s="51">
        <v>3.202</v>
      </c>
      <c r="O593" s="6" t="str">
        <f t="shared" si="3"/>
        <v>May</v>
      </c>
      <c r="P593" s="6" t="str">
        <f t="shared" si="4"/>
        <v>2006</v>
      </c>
    </row>
    <row r="594">
      <c r="A594" s="3"/>
      <c r="M594" s="50" t="s">
        <v>976</v>
      </c>
      <c r="N594" s="51">
        <v>3.332</v>
      </c>
      <c r="O594" s="6" t="str">
        <f t="shared" si="3"/>
        <v>May</v>
      </c>
      <c r="P594" s="6" t="str">
        <f t="shared" si="4"/>
        <v>2006</v>
      </c>
    </row>
    <row r="595">
      <c r="A595" s="3"/>
      <c r="M595" s="50" t="s">
        <v>977</v>
      </c>
      <c r="N595" s="51">
        <v>3.33</v>
      </c>
      <c r="O595" s="6" t="str">
        <f t="shared" si="3"/>
        <v>May</v>
      </c>
      <c r="P595" s="6" t="str">
        <f t="shared" si="4"/>
        <v>2006</v>
      </c>
    </row>
    <row r="596">
      <c r="A596" s="3"/>
      <c r="M596" s="50" t="s">
        <v>978</v>
      </c>
      <c r="N596" s="51">
        <v>3.323</v>
      </c>
      <c r="O596" s="6" t="str">
        <f t="shared" si="3"/>
        <v>May</v>
      </c>
      <c r="P596" s="6" t="str">
        <f t="shared" si="4"/>
        <v>2006</v>
      </c>
    </row>
    <row r="597">
      <c r="A597" s="3"/>
      <c r="M597" s="50" t="s">
        <v>979</v>
      </c>
      <c r="N597" s="51">
        <v>3.266</v>
      </c>
      <c r="O597" s="6" t="str">
        <f t="shared" si="3"/>
        <v>May</v>
      </c>
      <c r="P597" s="6" t="str">
        <f t="shared" si="4"/>
        <v>2006</v>
      </c>
    </row>
    <row r="598">
      <c r="A598" s="3"/>
      <c r="M598" s="50" t="s">
        <v>980</v>
      </c>
      <c r="N598" s="51">
        <v>3.269</v>
      </c>
      <c r="O598" s="6" t="str">
        <f t="shared" si="3"/>
        <v>Jun</v>
      </c>
      <c r="P598" s="6" t="str">
        <f t="shared" si="4"/>
        <v>2006</v>
      </c>
    </row>
    <row r="599">
      <c r="A599" s="3"/>
      <c r="M599" s="50" t="s">
        <v>981</v>
      </c>
      <c r="N599" s="51">
        <v>3.225</v>
      </c>
      <c r="O599" s="6" t="str">
        <f t="shared" si="3"/>
        <v>Jun</v>
      </c>
      <c r="P599" s="6" t="str">
        <f t="shared" si="4"/>
        <v>2006</v>
      </c>
    </row>
    <row r="600">
      <c r="A600" s="3"/>
      <c r="M600" s="50" t="s">
        <v>982</v>
      </c>
      <c r="N600" s="51">
        <v>3.198</v>
      </c>
      <c r="O600" s="6" t="str">
        <f t="shared" si="3"/>
        <v>Jun</v>
      </c>
      <c r="P600" s="6" t="str">
        <f t="shared" si="4"/>
        <v>2006</v>
      </c>
    </row>
    <row r="601">
      <c r="A601" s="3"/>
      <c r="M601" s="50" t="s">
        <v>983</v>
      </c>
      <c r="N601" s="51">
        <v>3.163</v>
      </c>
      <c r="O601" s="6" t="str">
        <f t="shared" si="3"/>
        <v>Jun</v>
      </c>
      <c r="P601" s="6" t="str">
        <f t="shared" si="4"/>
        <v>2006</v>
      </c>
    </row>
    <row r="602">
      <c r="A602" s="3"/>
      <c r="M602" s="50" t="s">
        <v>984</v>
      </c>
      <c r="N602" s="51">
        <v>3.189</v>
      </c>
      <c r="O602" s="6" t="str">
        <f t="shared" si="3"/>
        <v>Jul</v>
      </c>
      <c r="P602" s="6" t="str">
        <f t="shared" si="4"/>
        <v>2006</v>
      </c>
    </row>
    <row r="603">
      <c r="A603" s="3"/>
      <c r="M603" s="50" t="s">
        <v>985</v>
      </c>
      <c r="N603" s="51">
        <v>3.224</v>
      </c>
      <c r="O603" s="6" t="str">
        <f t="shared" si="3"/>
        <v>Jul</v>
      </c>
      <c r="P603" s="6" t="str">
        <f t="shared" si="4"/>
        <v>2006</v>
      </c>
    </row>
    <row r="604">
      <c r="A604" s="3"/>
      <c r="M604" s="50" t="s">
        <v>986</v>
      </c>
      <c r="N604" s="51">
        <v>3.24</v>
      </c>
      <c r="O604" s="6" t="str">
        <f t="shared" si="3"/>
        <v>Jul</v>
      </c>
      <c r="P604" s="6" t="str">
        <f t="shared" si="4"/>
        <v>2006</v>
      </c>
    </row>
    <row r="605">
      <c r="A605" s="3"/>
      <c r="M605" s="50" t="s">
        <v>988</v>
      </c>
      <c r="N605" s="51">
        <v>3.22</v>
      </c>
      <c r="O605" s="6" t="str">
        <f t="shared" si="3"/>
        <v>Jul</v>
      </c>
      <c r="P605" s="6" t="str">
        <f t="shared" si="4"/>
        <v>2006</v>
      </c>
    </row>
    <row r="606">
      <c r="A606" s="3"/>
      <c r="M606" s="50" t="s">
        <v>989</v>
      </c>
      <c r="N606" s="51">
        <v>3.198</v>
      </c>
      <c r="O606" s="6" t="str">
        <f t="shared" si="3"/>
        <v>Jul</v>
      </c>
      <c r="P606" s="6" t="str">
        <f t="shared" si="4"/>
        <v>2006</v>
      </c>
    </row>
    <row r="607">
      <c r="A607" s="3"/>
      <c r="M607" s="50" t="s">
        <v>990</v>
      </c>
      <c r="N607" s="51">
        <v>3.192</v>
      </c>
      <c r="O607" s="6" t="str">
        <f t="shared" si="3"/>
        <v>Aug</v>
      </c>
      <c r="P607" s="6" t="str">
        <f t="shared" si="4"/>
        <v>2006</v>
      </c>
    </row>
    <row r="608">
      <c r="A608" s="3"/>
      <c r="M608" s="50" t="s">
        <v>991</v>
      </c>
      <c r="N608" s="51">
        <v>3.211</v>
      </c>
      <c r="O608" s="6" t="str">
        <f t="shared" si="3"/>
        <v>Aug</v>
      </c>
      <c r="P608" s="6" t="str">
        <f t="shared" si="4"/>
        <v>2006</v>
      </c>
    </row>
    <row r="609">
      <c r="A609" s="3"/>
      <c r="M609" s="50" t="s">
        <v>992</v>
      </c>
      <c r="N609" s="51">
        <v>3.162</v>
      </c>
      <c r="O609" s="6" t="str">
        <f t="shared" si="3"/>
        <v>Aug</v>
      </c>
      <c r="P609" s="6" t="str">
        <f t="shared" si="4"/>
        <v>2006</v>
      </c>
    </row>
    <row r="610">
      <c r="A610" s="3"/>
      <c r="M610" s="50" t="s">
        <v>995</v>
      </c>
      <c r="N610" s="51">
        <v>3.098</v>
      </c>
      <c r="O610" s="6" t="str">
        <f t="shared" si="3"/>
        <v>Aug</v>
      </c>
      <c r="P610" s="6" t="str">
        <f t="shared" si="4"/>
        <v>2006</v>
      </c>
    </row>
    <row r="611">
      <c r="A611" s="3"/>
      <c r="M611" s="50" t="s">
        <v>997</v>
      </c>
      <c r="N611" s="51">
        <v>3.01</v>
      </c>
      <c r="O611" s="6" t="str">
        <f t="shared" si="3"/>
        <v>Sep</v>
      </c>
      <c r="P611" s="6" t="str">
        <f t="shared" si="4"/>
        <v>2006</v>
      </c>
    </row>
    <row r="612">
      <c r="A612" s="3"/>
      <c r="M612" s="50" t="s">
        <v>998</v>
      </c>
      <c r="N612" s="51">
        <v>2.949</v>
      </c>
      <c r="O612" s="6" t="str">
        <f t="shared" si="3"/>
        <v>Sep</v>
      </c>
      <c r="P612" s="6" t="str">
        <f t="shared" si="4"/>
        <v>2006</v>
      </c>
    </row>
    <row r="613">
      <c r="A613" s="3"/>
      <c r="M613" s="50" t="s">
        <v>999</v>
      </c>
      <c r="N613" s="51">
        <v>2.848</v>
      </c>
      <c r="O613" s="6" t="str">
        <f t="shared" si="3"/>
        <v>Sep</v>
      </c>
      <c r="P613" s="6" t="str">
        <f t="shared" si="4"/>
        <v>2006</v>
      </c>
    </row>
    <row r="614">
      <c r="A614" s="3"/>
      <c r="M614" s="50" t="s">
        <v>1000</v>
      </c>
      <c r="N614" s="51">
        <v>2.76</v>
      </c>
      <c r="O614" s="6" t="str">
        <f t="shared" si="3"/>
        <v>Sep</v>
      </c>
      <c r="P614" s="6" t="str">
        <f t="shared" si="4"/>
        <v>2006</v>
      </c>
    </row>
    <row r="615">
      <c r="A615" s="3"/>
      <c r="M615" s="50" t="s">
        <v>1001</v>
      </c>
      <c r="N615" s="51">
        <v>2.683</v>
      </c>
      <c r="O615" s="6" t="str">
        <f t="shared" si="3"/>
        <v>Oct</v>
      </c>
      <c r="P615" s="6" t="str">
        <f t="shared" si="4"/>
        <v>2006</v>
      </c>
    </row>
    <row r="616">
      <c r="A616" s="3"/>
      <c r="M616" s="50" t="s">
        <v>1002</v>
      </c>
      <c r="N616" s="51">
        <v>2.601</v>
      </c>
      <c r="O616" s="6" t="str">
        <f t="shared" si="3"/>
        <v>Oct</v>
      </c>
      <c r="P616" s="6" t="str">
        <f t="shared" si="4"/>
        <v>2006</v>
      </c>
    </row>
    <row r="617">
      <c r="A617" s="3"/>
      <c r="M617" s="50" t="s">
        <v>1003</v>
      </c>
      <c r="N617" s="51">
        <v>2.54</v>
      </c>
      <c r="O617" s="6" t="str">
        <f t="shared" si="3"/>
        <v>Oct</v>
      </c>
      <c r="P617" s="6" t="str">
        <f t="shared" si="4"/>
        <v>2006</v>
      </c>
    </row>
    <row r="618">
      <c r="A618" s="3"/>
      <c r="M618" s="50" t="s">
        <v>1004</v>
      </c>
      <c r="N618" s="51">
        <v>2.481</v>
      </c>
      <c r="O618" s="6" t="str">
        <f t="shared" si="3"/>
        <v>Oct</v>
      </c>
      <c r="P618" s="6" t="str">
        <f t="shared" si="4"/>
        <v>2006</v>
      </c>
    </row>
    <row r="619">
      <c r="A619" s="3"/>
      <c r="M619" s="50" t="s">
        <v>1005</v>
      </c>
      <c r="N619" s="51">
        <v>2.434</v>
      </c>
      <c r="O619" s="6" t="str">
        <f t="shared" si="3"/>
        <v>Oct</v>
      </c>
      <c r="P619" s="6" t="str">
        <f t="shared" si="4"/>
        <v>2006</v>
      </c>
    </row>
    <row r="620">
      <c r="A620" s="3"/>
      <c r="M620" s="50" t="s">
        <v>1006</v>
      </c>
      <c r="N620" s="51">
        <v>2.396</v>
      </c>
      <c r="O620" s="6" t="str">
        <f t="shared" si="3"/>
        <v>Nov</v>
      </c>
      <c r="P620" s="6" t="str">
        <f t="shared" si="4"/>
        <v>2006</v>
      </c>
    </row>
    <row r="621">
      <c r="A621" s="3"/>
      <c r="M621" s="50" t="s">
        <v>1007</v>
      </c>
      <c r="N621" s="51">
        <v>2.464</v>
      </c>
      <c r="O621" s="6" t="str">
        <f t="shared" si="3"/>
        <v>Nov</v>
      </c>
      <c r="P621" s="6" t="str">
        <f t="shared" si="4"/>
        <v>2006</v>
      </c>
    </row>
    <row r="622">
      <c r="A622" s="3"/>
      <c r="M622" s="50" t="s">
        <v>1008</v>
      </c>
      <c r="N622" s="51">
        <v>2.495</v>
      </c>
      <c r="O622" s="6" t="str">
        <f t="shared" si="3"/>
        <v>Nov</v>
      </c>
      <c r="P622" s="6" t="str">
        <f t="shared" si="4"/>
        <v>2006</v>
      </c>
    </row>
    <row r="623">
      <c r="A623" s="3"/>
      <c r="M623" s="50" t="s">
        <v>1009</v>
      </c>
      <c r="N623" s="51">
        <v>2.493</v>
      </c>
      <c r="O623" s="6" t="str">
        <f t="shared" si="3"/>
        <v>Nov</v>
      </c>
      <c r="P623" s="6" t="str">
        <f t="shared" si="4"/>
        <v>2006</v>
      </c>
    </row>
    <row r="624">
      <c r="A624" s="3"/>
      <c r="M624" s="50" t="s">
        <v>1010</v>
      </c>
      <c r="N624" s="51">
        <v>2.496</v>
      </c>
      <c r="O624" s="6" t="str">
        <f t="shared" si="3"/>
        <v>Dec</v>
      </c>
      <c r="P624" s="6" t="str">
        <f t="shared" si="4"/>
        <v>2006</v>
      </c>
    </row>
    <row r="625">
      <c r="A625" s="3"/>
      <c r="M625" s="50" t="s">
        <v>1011</v>
      </c>
      <c r="N625" s="51">
        <v>2.504</v>
      </c>
      <c r="O625" s="6" t="str">
        <f t="shared" si="3"/>
        <v>Dec</v>
      </c>
      <c r="P625" s="6" t="str">
        <f t="shared" si="4"/>
        <v>2006</v>
      </c>
    </row>
    <row r="626">
      <c r="A626" s="3"/>
      <c r="M626" s="50" t="s">
        <v>1012</v>
      </c>
      <c r="N626" s="51">
        <v>2.561</v>
      </c>
      <c r="O626" s="6" t="str">
        <f t="shared" si="3"/>
        <v>Dec</v>
      </c>
      <c r="P626" s="6" t="str">
        <f t="shared" si="4"/>
        <v>2006</v>
      </c>
    </row>
    <row r="627">
      <c r="A627" s="3"/>
      <c r="M627" s="50" t="s">
        <v>1013</v>
      </c>
      <c r="N627" s="51">
        <v>2.607</v>
      </c>
      <c r="O627" s="6" t="str">
        <f t="shared" si="3"/>
        <v>Dec</v>
      </c>
      <c r="P627" s="6" t="str">
        <f t="shared" si="4"/>
        <v>2006</v>
      </c>
    </row>
    <row r="628">
      <c r="A628" s="3"/>
      <c r="M628" s="50" t="s">
        <v>1014</v>
      </c>
      <c r="N628" s="51">
        <v>2.61</v>
      </c>
      <c r="O628" s="6" t="str">
        <f t="shared" si="3"/>
        <v>Jan</v>
      </c>
      <c r="P628" s="6" t="str">
        <f t="shared" si="4"/>
        <v>2007</v>
      </c>
    </row>
    <row r="629">
      <c r="A629" s="3"/>
      <c r="M629" s="50" t="s">
        <v>1015</v>
      </c>
      <c r="N629" s="51">
        <v>2.632</v>
      </c>
      <c r="O629" s="6" t="str">
        <f t="shared" si="3"/>
        <v>Jan</v>
      </c>
      <c r="P629" s="6" t="str">
        <f t="shared" si="4"/>
        <v>2007</v>
      </c>
    </row>
    <row r="630">
      <c r="A630" s="3"/>
      <c r="M630" s="50" t="s">
        <v>1016</v>
      </c>
      <c r="N630" s="51">
        <v>2.583</v>
      </c>
      <c r="O630" s="6" t="str">
        <f t="shared" si="3"/>
        <v>Jan</v>
      </c>
      <c r="P630" s="6" t="str">
        <f t="shared" si="4"/>
        <v>2007</v>
      </c>
    </row>
    <row r="631">
      <c r="A631" s="3"/>
      <c r="M631" s="50" t="s">
        <v>1017</v>
      </c>
      <c r="N631" s="51">
        <v>2.538</v>
      </c>
      <c r="O631" s="6" t="str">
        <f t="shared" si="3"/>
        <v>Jan</v>
      </c>
      <c r="P631" s="6" t="str">
        <f t="shared" si="4"/>
        <v>2007</v>
      </c>
    </row>
    <row r="632">
      <c r="A632" s="3"/>
      <c r="M632" s="50" t="s">
        <v>1018</v>
      </c>
      <c r="N632" s="51">
        <v>2.491</v>
      </c>
      <c r="O632" s="6" t="str">
        <f t="shared" si="3"/>
        <v>Jan</v>
      </c>
      <c r="P632" s="6" t="str">
        <f t="shared" si="4"/>
        <v>2007</v>
      </c>
    </row>
    <row r="633">
      <c r="A633" s="3"/>
      <c r="M633" s="50" t="s">
        <v>1019</v>
      </c>
      <c r="N633" s="51">
        <v>2.535</v>
      </c>
      <c r="O633" s="6" t="str">
        <f t="shared" si="3"/>
        <v>Feb</v>
      </c>
      <c r="P633" s="6" t="str">
        <f t="shared" si="4"/>
        <v>2007</v>
      </c>
    </row>
    <row r="634">
      <c r="A634" s="3"/>
      <c r="M634" s="50" t="s">
        <v>1020</v>
      </c>
      <c r="N634" s="51">
        <v>2.632</v>
      </c>
      <c r="O634" s="6" t="str">
        <f t="shared" si="3"/>
        <v>Feb</v>
      </c>
      <c r="P634" s="6" t="str">
        <f t="shared" si="4"/>
        <v>2007</v>
      </c>
    </row>
    <row r="635">
      <c r="A635" s="3"/>
      <c r="M635" s="50" t="s">
        <v>1021</v>
      </c>
      <c r="N635" s="51">
        <v>2.71</v>
      </c>
      <c r="O635" s="6" t="str">
        <f t="shared" si="3"/>
        <v>Feb</v>
      </c>
      <c r="P635" s="6" t="str">
        <f t="shared" si="4"/>
        <v>2007</v>
      </c>
    </row>
    <row r="636">
      <c r="A636" s="3"/>
      <c r="M636" s="50" t="s">
        <v>1022</v>
      </c>
      <c r="N636" s="51">
        <v>2.796</v>
      </c>
      <c r="O636" s="6" t="str">
        <f t="shared" si="3"/>
        <v>Feb</v>
      </c>
      <c r="P636" s="6" t="str">
        <f t="shared" si="4"/>
        <v>2007</v>
      </c>
    </row>
    <row r="637">
      <c r="A637" s="3"/>
      <c r="M637" s="50" t="s">
        <v>1023</v>
      </c>
      <c r="N637" s="51">
        <v>2.897</v>
      </c>
      <c r="O637" s="6" t="str">
        <f t="shared" si="3"/>
        <v>Mar</v>
      </c>
      <c r="P637" s="6" t="str">
        <f t="shared" si="4"/>
        <v>2007</v>
      </c>
    </row>
    <row r="638">
      <c r="A638" s="3"/>
      <c r="M638" s="50" t="s">
        <v>1024</v>
      </c>
      <c r="N638" s="51">
        <v>3.068</v>
      </c>
      <c r="O638" s="6" t="str">
        <f t="shared" si="3"/>
        <v>Mar</v>
      </c>
      <c r="P638" s="6" t="str">
        <f t="shared" si="4"/>
        <v>2007</v>
      </c>
    </row>
    <row r="639">
      <c r="A639" s="3"/>
      <c r="M639" s="50" t="s">
        <v>1025</v>
      </c>
      <c r="N639" s="51">
        <v>3.121</v>
      </c>
      <c r="O639" s="6" t="str">
        <f t="shared" si="3"/>
        <v>Mar</v>
      </c>
      <c r="P639" s="6" t="str">
        <f t="shared" si="4"/>
        <v>2007</v>
      </c>
    </row>
    <row r="640">
      <c r="A640" s="3"/>
      <c r="M640" s="50" t="s">
        <v>1026</v>
      </c>
      <c r="N640" s="51">
        <v>3.152</v>
      </c>
      <c r="O640" s="6" t="str">
        <f t="shared" si="3"/>
        <v>Mar</v>
      </c>
      <c r="P640" s="6" t="str">
        <f t="shared" si="4"/>
        <v>2007</v>
      </c>
    </row>
    <row r="641">
      <c r="A641" s="3"/>
      <c r="M641" s="50" t="s">
        <v>1027</v>
      </c>
      <c r="N641" s="51">
        <v>3.228</v>
      </c>
      <c r="O641" s="6" t="str">
        <f t="shared" si="3"/>
        <v>Apr</v>
      </c>
      <c r="P641" s="6" t="str">
        <f t="shared" si="4"/>
        <v>2007</v>
      </c>
    </row>
    <row r="642">
      <c r="A642" s="3"/>
      <c r="M642" s="50" t="s">
        <v>1028</v>
      </c>
      <c r="N642" s="51">
        <v>3.252</v>
      </c>
      <c r="O642" s="6" t="str">
        <f t="shared" si="3"/>
        <v>Apr</v>
      </c>
      <c r="P642" s="6" t="str">
        <f t="shared" si="4"/>
        <v>2007</v>
      </c>
    </row>
    <row r="643">
      <c r="A643" s="3"/>
      <c r="M643" s="50" t="s">
        <v>1029</v>
      </c>
      <c r="N643" s="51">
        <v>3.305</v>
      </c>
      <c r="O643" s="6" t="str">
        <f t="shared" si="3"/>
        <v>Apr</v>
      </c>
      <c r="P643" s="6" t="str">
        <f t="shared" si="4"/>
        <v>2007</v>
      </c>
    </row>
    <row r="644">
      <c r="A644" s="3"/>
      <c r="M644" s="50" t="s">
        <v>1030</v>
      </c>
      <c r="N644" s="51">
        <v>3.316</v>
      </c>
      <c r="O644" s="6" t="str">
        <f t="shared" si="3"/>
        <v>Apr</v>
      </c>
      <c r="P644" s="6" t="str">
        <f t="shared" si="4"/>
        <v>2007</v>
      </c>
    </row>
    <row r="645">
      <c r="A645" s="3"/>
      <c r="M645" s="50" t="s">
        <v>1031</v>
      </c>
      <c r="N645" s="51">
        <v>3.359</v>
      </c>
      <c r="O645" s="6" t="str">
        <f t="shared" si="3"/>
        <v>Apr</v>
      </c>
      <c r="P645" s="6" t="str">
        <f t="shared" si="4"/>
        <v>2007</v>
      </c>
    </row>
    <row r="646">
      <c r="A646" s="3"/>
      <c r="M646" s="50" t="s">
        <v>1032</v>
      </c>
      <c r="N646" s="51">
        <v>3.461</v>
      </c>
      <c r="O646" s="6" t="str">
        <f t="shared" si="3"/>
        <v>May</v>
      </c>
      <c r="P646" s="6" t="str">
        <f t="shared" si="4"/>
        <v>2007</v>
      </c>
    </row>
    <row r="647">
      <c r="A647" s="3"/>
      <c r="M647" s="50" t="s">
        <v>1033</v>
      </c>
      <c r="N647" s="51">
        <v>3.45</v>
      </c>
      <c r="O647" s="6" t="str">
        <f t="shared" si="3"/>
        <v>May</v>
      </c>
      <c r="P647" s="6" t="str">
        <f t="shared" si="4"/>
        <v>2007</v>
      </c>
    </row>
    <row r="648">
      <c r="A648" s="3"/>
      <c r="M648" s="50" t="s">
        <v>1034</v>
      </c>
      <c r="N648" s="51">
        <v>3.436</v>
      </c>
      <c r="O648" s="6" t="str">
        <f t="shared" si="3"/>
        <v>May</v>
      </c>
      <c r="P648" s="6" t="str">
        <f t="shared" si="4"/>
        <v>2007</v>
      </c>
    </row>
    <row r="649">
      <c r="A649" s="3"/>
      <c r="M649" s="50" t="s">
        <v>1035</v>
      </c>
      <c r="N649" s="51">
        <v>3.407</v>
      </c>
      <c r="O649" s="6" t="str">
        <f t="shared" si="3"/>
        <v>May</v>
      </c>
      <c r="P649" s="6" t="str">
        <f t="shared" si="4"/>
        <v>2007</v>
      </c>
    </row>
    <row r="650">
      <c r="A650" s="3"/>
      <c r="M650" s="50" t="s">
        <v>1036</v>
      </c>
      <c r="N650" s="51">
        <v>3.374</v>
      </c>
      <c r="O650" s="6" t="str">
        <f t="shared" si="3"/>
        <v>Jun</v>
      </c>
      <c r="P650" s="6" t="str">
        <f t="shared" si="4"/>
        <v>2007</v>
      </c>
    </row>
    <row r="651">
      <c r="A651" s="3"/>
      <c r="M651" s="50" t="s">
        <v>1037</v>
      </c>
      <c r="N651" s="51">
        <v>3.32</v>
      </c>
      <c r="O651" s="6" t="str">
        <f t="shared" si="3"/>
        <v>Jun</v>
      </c>
      <c r="P651" s="6" t="str">
        <f t="shared" si="4"/>
        <v>2007</v>
      </c>
    </row>
    <row r="652">
      <c r="A652" s="3"/>
      <c r="M652" s="50" t="s">
        <v>1038</v>
      </c>
      <c r="N652" s="51">
        <v>3.236</v>
      </c>
      <c r="O652" s="6" t="str">
        <f t="shared" si="3"/>
        <v>Jun</v>
      </c>
      <c r="P652" s="6" t="str">
        <f t="shared" si="4"/>
        <v>2007</v>
      </c>
    </row>
    <row r="653">
      <c r="A653" s="3"/>
      <c r="M653" s="50" t="s">
        <v>1039</v>
      </c>
      <c r="N653" s="51">
        <v>3.192</v>
      </c>
      <c r="O653" s="6" t="str">
        <f t="shared" si="3"/>
        <v>Jun</v>
      </c>
      <c r="P653" s="6" t="str">
        <f t="shared" si="4"/>
        <v>2007</v>
      </c>
    </row>
    <row r="654">
      <c r="A654" s="3"/>
      <c r="M654" s="50" t="s">
        <v>1040</v>
      </c>
      <c r="N654" s="51">
        <v>3.157</v>
      </c>
      <c r="O654" s="6" t="str">
        <f t="shared" si="3"/>
        <v>Jul</v>
      </c>
      <c r="P654" s="6" t="str">
        <f t="shared" si="4"/>
        <v>2007</v>
      </c>
    </row>
    <row r="655">
      <c r="A655" s="3"/>
      <c r="M655" s="50" t="s">
        <v>1041</v>
      </c>
      <c r="N655" s="51">
        <v>3.136</v>
      </c>
      <c r="O655" s="6" t="str">
        <f t="shared" si="3"/>
        <v>Jul</v>
      </c>
      <c r="P655" s="6" t="str">
        <f t="shared" si="4"/>
        <v>2007</v>
      </c>
    </row>
    <row r="656">
      <c r="A656" s="3"/>
      <c r="M656" s="50" t="s">
        <v>1042</v>
      </c>
      <c r="N656" s="51">
        <v>3.158</v>
      </c>
      <c r="O656" s="6" t="str">
        <f t="shared" si="3"/>
        <v>Jul</v>
      </c>
      <c r="P656" s="6" t="str">
        <f t="shared" si="4"/>
        <v>2007</v>
      </c>
    </row>
    <row r="657">
      <c r="A657" s="3"/>
      <c r="M657" s="50" t="s">
        <v>1043</v>
      </c>
      <c r="N657" s="51">
        <v>3.118</v>
      </c>
      <c r="O657" s="6" t="str">
        <f t="shared" si="3"/>
        <v>Jul</v>
      </c>
      <c r="P657" s="6" t="str">
        <f t="shared" si="4"/>
        <v>2007</v>
      </c>
    </row>
    <row r="658">
      <c r="A658" s="3"/>
      <c r="M658" s="50" t="s">
        <v>1044</v>
      </c>
      <c r="N658" s="51">
        <v>3.06</v>
      </c>
      <c r="O658" s="6" t="str">
        <f t="shared" si="3"/>
        <v>Jul</v>
      </c>
      <c r="P658" s="6" t="str">
        <f t="shared" si="4"/>
        <v>2007</v>
      </c>
    </row>
    <row r="659">
      <c r="A659" s="3"/>
      <c r="M659" s="50" t="s">
        <v>1045</v>
      </c>
      <c r="N659" s="51">
        <v>3.016</v>
      </c>
      <c r="O659" s="6" t="str">
        <f t="shared" si="3"/>
        <v>Aug</v>
      </c>
      <c r="P659" s="6" t="str">
        <f t="shared" si="4"/>
        <v>2007</v>
      </c>
    </row>
    <row r="660">
      <c r="A660" s="3"/>
      <c r="M660" s="50" t="s">
        <v>1046</v>
      </c>
      <c r="N660" s="51">
        <v>2.928</v>
      </c>
      <c r="O660" s="6" t="str">
        <f t="shared" si="3"/>
        <v>Aug</v>
      </c>
      <c r="P660" s="6" t="str">
        <f t="shared" si="4"/>
        <v>2007</v>
      </c>
    </row>
    <row r="661">
      <c r="A661" s="3"/>
      <c r="M661" s="50" t="s">
        <v>1047</v>
      </c>
      <c r="N661" s="51">
        <v>2.862</v>
      </c>
      <c r="O661" s="6" t="str">
        <f t="shared" si="3"/>
        <v>Aug</v>
      </c>
      <c r="P661" s="6" t="str">
        <f t="shared" si="4"/>
        <v>2007</v>
      </c>
    </row>
    <row r="662">
      <c r="A662" s="3"/>
      <c r="M662" s="50" t="s">
        <v>1048</v>
      </c>
      <c r="N662" s="51">
        <v>2.791</v>
      </c>
      <c r="O662" s="6" t="str">
        <f t="shared" si="3"/>
        <v>Aug</v>
      </c>
      <c r="P662" s="6" t="str">
        <f t="shared" si="4"/>
        <v>2007</v>
      </c>
    </row>
    <row r="663">
      <c r="A663" s="3"/>
      <c r="M663" s="50" t="s">
        <v>1049</v>
      </c>
      <c r="N663" s="51">
        <v>2.791</v>
      </c>
      <c r="O663" s="6" t="str">
        <f t="shared" si="3"/>
        <v>Sep</v>
      </c>
      <c r="P663" s="6" t="str">
        <f t="shared" si="4"/>
        <v>2007</v>
      </c>
    </row>
    <row r="664">
      <c r="A664" s="3"/>
      <c r="M664" s="50" t="s">
        <v>1050</v>
      </c>
      <c r="N664" s="51">
        <v>2.839</v>
      </c>
      <c r="O664" s="6" t="str">
        <f t="shared" si="3"/>
        <v>Sep</v>
      </c>
      <c r="P664" s="6" t="str">
        <f t="shared" si="4"/>
        <v>2007</v>
      </c>
    </row>
    <row r="665">
      <c r="A665" s="3"/>
      <c r="M665" s="50" t="s">
        <v>1051</v>
      </c>
      <c r="N665" s="51">
        <v>2.904</v>
      </c>
      <c r="O665" s="6" t="str">
        <f t="shared" si="3"/>
        <v>Sep</v>
      </c>
      <c r="P665" s="6" t="str">
        <f t="shared" si="4"/>
        <v>2007</v>
      </c>
    </row>
    <row r="666">
      <c r="A666" s="3"/>
      <c r="M666" s="50" t="s">
        <v>1052</v>
      </c>
      <c r="N666" s="51">
        <v>2.961</v>
      </c>
      <c r="O666" s="6" t="str">
        <f t="shared" si="3"/>
        <v>Sep</v>
      </c>
      <c r="P666" s="6" t="str">
        <f t="shared" si="4"/>
        <v>2007</v>
      </c>
    </row>
    <row r="667">
      <c r="A667" s="3"/>
      <c r="M667" s="50" t="s">
        <v>1053</v>
      </c>
      <c r="N667" s="51">
        <v>2.973</v>
      </c>
      <c r="O667" s="6" t="str">
        <f t="shared" si="3"/>
        <v>Oct</v>
      </c>
      <c r="P667" s="6" t="str">
        <f t="shared" si="4"/>
        <v>2007</v>
      </c>
    </row>
    <row r="668">
      <c r="A668" s="3"/>
      <c r="M668" s="50" t="s">
        <v>1054</v>
      </c>
      <c r="N668" s="51">
        <v>2.996</v>
      </c>
      <c r="O668" s="6" t="str">
        <f t="shared" si="3"/>
        <v>Oct</v>
      </c>
      <c r="P668" s="6" t="str">
        <f t="shared" si="4"/>
        <v>2007</v>
      </c>
    </row>
    <row r="669">
      <c r="A669" s="3"/>
      <c r="M669" s="50" t="s">
        <v>1055</v>
      </c>
      <c r="N669" s="51">
        <v>3.053</v>
      </c>
      <c r="O669" s="6" t="str">
        <f t="shared" si="3"/>
        <v>Oct</v>
      </c>
      <c r="P669" s="6" t="str">
        <f t="shared" si="4"/>
        <v>2007</v>
      </c>
    </row>
    <row r="670">
      <c r="A670" s="3"/>
      <c r="M670" s="50" t="s">
        <v>1056</v>
      </c>
      <c r="N670" s="51">
        <v>3.143</v>
      </c>
      <c r="O670" s="6" t="str">
        <f t="shared" si="3"/>
        <v>Oct</v>
      </c>
      <c r="P670" s="6" t="str">
        <f t="shared" si="4"/>
        <v>2007</v>
      </c>
    </row>
    <row r="671">
      <c r="A671" s="3"/>
      <c r="M671" s="50" t="s">
        <v>1059</v>
      </c>
      <c r="N671" s="51">
        <v>3.159</v>
      </c>
      <c r="O671" s="6" t="str">
        <f t="shared" si="3"/>
        <v>Oct</v>
      </c>
      <c r="P671" s="6" t="str">
        <f t="shared" si="4"/>
        <v>2007</v>
      </c>
    </row>
    <row r="672">
      <c r="A672" s="3"/>
      <c r="M672" s="50" t="s">
        <v>1062</v>
      </c>
      <c r="N672" s="51">
        <v>3.231</v>
      </c>
      <c r="O672" s="6" t="str">
        <f t="shared" si="3"/>
        <v>Nov</v>
      </c>
      <c r="P672" s="6" t="str">
        <f t="shared" si="4"/>
        <v>2007</v>
      </c>
    </row>
    <row r="673">
      <c r="A673" s="3"/>
      <c r="M673" s="50" t="s">
        <v>1064</v>
      </c>
      <c r="N673" s="51">
        <v>3.366</v>
      </c>
      <c r="O673" s="6" t="str">
        <f t="shared" si="3"/>
        <v>Nov</v>
      </c>
      <c r="P673" s="6" t="str">
        <f t="shared" si="4"/>
        <v>2007</v>
      </c>
    </row>
    <row r="674">
      <c r="A674" s="3"/>
      <c r="M674" s="50" t="s">
        <v>1065</v>
      </c>
      <c r="N674" s="51">
        <v>3.395</v>
      </c>
      <c r="O674" s="6" t="str">
        <f t="shared" si="3"/>
        <v>Nov</v>
      </c>
      <c r="P674" s="6" t="str">
        <f t="shared" si="4"/>
        <v>2007</v>
      </c>
    </row>
    <row r="675">
      <c r="A675" s="3"/>
      <c r="M675" s="50" t="s">
        <v>1066</v>
      </c>
      <c r="N675" s="51">
        <v>3.398</v>
      </c>
      <c r="O675" s="6" t="str">
        <f t="shared" si="3"/>
        <v>Nov</v>
      </c>
      <c r="P675" s="6" t="str">
        <f t="shared" si="4"/>
        <v>2007</v>
      </c>
    </row>
    <row r="676">
      <c r="A676" s="3"/>
      <c r="M676" s="50" t="s">
        <v>1067</v>
      </c>
      <c r="N676" s="51">
        <v>3.361</v>
      </c>
      <c r="O676" s="6" t="str">
        <f t="shared" si="3"/>
        <v>Dec</v>
      </c>
      <c r="P676" s="6" t="str">
        <f t="shared" si="4"/>
        <v>2007</v>
      </c>
    </row>
    <row r="677">
      <c r="A677" s="3"/>
      <c r="M677" s="50" t="s">
        <v>1068</v>
      </c>
      <c r="N677" s="51">
        <v>3.329</v>
      </c>
      <c r="O677" s="6" t="str">
        <f t="shared" si="3"/>
        <v>Dec</v>
      </c>
      <c r="P677" s="6" t="str">
        <f t="shared" si="4"/>
        <v>2007</v>
      </c>
    </row>
    <row r="678">
      <c r="A678" s="3"/>
      <c r="M678" s="50" t="s">
        <v>1069</v>
      </c>
      <c r="N678" s="51">
        <v>3.285</v>
      </c>
      <c r="O678" s="6" t="str">
        <f t="shared" si="3"/>
        <v>Dec</v>
      </c>
      <c r="P678" s="6" t="str">
        <f t="shared" si="4"/>
        <v>2007</v>
      </c>
    </row>
    <row r="679">
      <c r="A679" s="3"/>
      <c r="M679" s="50" t="s">
        <v>1070</v>
      </c>
      <c r="N679" s="51">
        <v>3.261</v>
      </c>
      <c r="O679" s="6" t="str">
        <f t="shared" si="3"/>
        <v>Dec</v>
      </c>
      <c r="P679" s="6" t="str">
        <f t="shared" si="4"/>
        <v>2007</v>
      </c>
    </row>
    <row r="680">
      <c r="A680" s="3"/>
      <c r="M680" s="50" t="s">
        <v>1071</v>
      </c>
      <c r="N680" s="51">
        <v>3.298</v>
      </c>
      <c r="O680" s="6" t="str">
        <f t="shared" si="3"/>
        <v>Dec</v>
      </c>
      <c r="P680" s="6" t="str">
        <f t="shared" si="4"/>
        <v>2007</v>
      </c>
    </row>
    <row r="681">
      <c r="A681" s="3"/>
      <c r="M681" s="50" t="s">
        <v>1072</v>
      </c>
      <c r="N681" s="51">
        <v>3.328</v>
      </c>
      <c r="O681" s="6" t="str">
        <f t="shared" si="3"/>
        <v>Jan</v>
      </c>
      <c r="P681" s="6" t="str">
        <f t="shared" si="4"/>
        <v>2008</v>
      </c>
    </row>
    <row r="682">
      <c r="A682" s="3"/>
      <c r="M682" s="50" t="s">
        <v>1074</v>
      </c>
      <c r="N682" s="51">
        <v>3.29</v>
      </c>
      <c r="O682" s="6" t="str">
        <f t="shared" si="3"/>
        <v>Jan</v>
      </c>
      <c r="P682" s="6" t="str">
        <f t="shared" si="4"/>
        <v>2008</v>
      </c>
    </row>
    <row r="683">
      <c r="A683" s="3"/>
      <c r="M683" s="50" t="s">
        <v>1075</v>
      </c>
      <c r="N683" s="51">
        <v>3.226</v>
      </c>
      <c r="O683" s="6" t="str">
        <f t="shared" si="3"/>
        <v>Jan</v>
      </c>
      <c r="P683" s="6" t="str">
        <f t="shared" si="4"/>
        <v>2008</v>
      </c>
    </row>
    <row r="684">
      <c r="A684" s="3"/>
      <c r="M684" s="50" t="s">
        <v>1076</v>
      </c>
      <c r="N684" s="51">
        <v>3.148</v>
      </c>
      <c r="O684" s="6" t="str">
        <f t="shared" si="3"/>
        <v>Jan</v>
      </c>
      <c r="P684" s="6" t="str">
        <f t="shared" si="4"/>
        <v>2008</v>
      </c>
    </row>
    <row r="685">
      <c r="A685" s="3"/>
      <c r="M685" s="50" t="s">
        <v>1078</v>
      </c>
      <c r="N685" s="51">
        <v>3.107</v>
      </c>
      <c r="O685" s="6" t="str">
        <f t="shared" si="3"/>
        <v>Feb</v>
      </c>
      <c r="P685" s="6" t="str">
        <f t="shared" si="4"/>
        <v>2008</v>
      </c>
    </row>
    <row r="686">
      <c r="A686" s="3"/>
      <c r="M686" s="50" t="s">
        <v>1079</v>
      </c>
      <c r="N686" s="51">
        <v>3.108</v>
      </c>
      <c r="O686" s="6" t="str">
        <f t="shared" si="3"/>
        <v>Feb</v>
      </c>
      <c r="P686" s="6" t="str">
        <f t="shared" si="4"/>
        <v>2008</v>
      </c>
    </row>
    <row r="687">
      <c r="A687" s="3"/>
      <c r="M687" s="50" t="s">
        <v>1080</v>
      </c>
      <c r="N687" s="51">
        <v>3.191</v>
      </c>
      <c r="O687" s="6" t="str">
        <f t="shared" si="3"/>
        <v>Feb</v>
      </c>
      <c r="P687" s="6" t="str">
        <f t="shared" si="4"/>
        <v>2008</v>
      </c>
    </row>
    <row r="688">
      <c r="A688" s="3"/>
      <c r="M688" s="50" t="s">
        <v>1081</v>
      </c>
      <c r="N688" s="51">
        <v>3.328</v>
      </c>
      <c r="O688" s="6" t="str">
        <f t="shared" si="3"/>
        <v>Feb</v>
      </c>
      <c r="P688" s="6" t="str">
        <f t="shared" si="4"/>
        <v>2008</v>
      </c>
    </row>
    <row r="689">
      <c r="A689" s="3"/>
      <c r="M689" s="50" t="s">
        <v>1082</v>
      </c>
      <c r="N689" s="51">
        <v>3.459</v>
      </c>
      <c r="O689" s="6" t="str">
        <f t="shared" si="3"/>
        <v>Mar</v>
      </c>
      <c r="P689" s="6" t="str">
        <f t="shared" si="4"/>
        <v>2008</v>
      </c>
    </row>
    <row r="690">
      <c r="A690" s="3"/>
      <c r="M690" s="50" t="s">
        <v>1083</v>
      </c>
      <c r="N690" s="51">
        <v>3.537</v>
      </c>
      <c r="O690" s="6" t="str">
        <f t="shared" si="3"/>
        <v>Mar</v>
      </c>
      <c r="P690" s="6" t="str">
        <f t="shared" si="4"/>
        <v>2008</v>
      </c>
    </row>
    <row r="691">
      <c r="A691" s="3"/>
      <c r="M691" s="50" t="s">
        <v>1084</v>
      </c>
      <c r="N691" s="51">
        <v>3.604</v>
      </c>
      <c r="O691" s="6" t="str">
        <f t="shared" si="3"/>
        <v>Mar</v>
      </c>
      <c r="P691" s="6" t="str">
        <f t="shared" si="4"/>
        <v>2008</v>
      </c>
    </row>
    <row r="692">
      <c r="A692" s="3"/>
      <c r="M692" s="50" t="s">
        <v>1087</v>
      </c>
      <c r="N692" s="51">
        <v>3.602</v>
      </c>
      <c r="O692" s="6" t="str">
        <f t="shared" si="3"/>
        <v>Mar</v>
      </c>
      <c r="P692" s="6" t="str">
        <f t="shared" si="4"/>
        <v>2008</v>
      </c>
    </row>
    <row r="693">
      <c r="A693" s="3"/>
      <c r="M693" s="50" t="s">
        <v>1088</v>
      </c>
      <c r="N693" s="51">
        <v>3.608</v>
      </c>
      <c r="O693" s="6" t="str">
        <f t="shared" si="3"/>
        <v>Mar</v>
      </c>
      <c r="P693" s="6" t="str">
        <f t="shared" si="4"/>
        <v>2008</v>
      </c>
    </row>
    <row r="694">
      <c r="A694" s="3"/>
      <c r="M694" s="50" t="s">
        <v>1090</v>
      </c>
      <c r="N694" s="51">
        <v>3.685</v>
      </c>
      <c r="O694" s="6" t="str">
        <f t="shared" si="3"/>
        <v>Apr</v>
      </c>
      <c r="P694" s="6" t="str">
        <f t="shared" si="4"/>
        <v>2008</v>
      </c>
    </row>
    <row r="695">
      <c r="A695" s="3"/>
      <c r="M695" s="50" t="s">
        <v>1091</v>
      </c>
      <c r="N695" s="51">
        <v>3.774</v>
      </c>
      <c r="O695" s="6" t="str">
        <f t="shared" si="3"/>
        <v>Apr</v>
      </c>
      <c r="P695" s="6" t="str">
        <f t="shared" si="4"/>
        <v>2008</v>
      </c>
    </row>
    <row r="696">
      <c r="A696" s="3"/>
      <c r="M696" s="50" t="s">
        <v>1092</v>
      </c>
      <c r="N696" s="51">
        <v>3.846</v>
      </c>
      <c r="O696" s="6" t="str">
        <f t="shared" si="3"/>
        <v>Apr</v>
      </c>
      <c r="P696" s="6" t="str">
        <f t="shared" si="4"/>
        <v>2008</v>
      </c>
    </row>
    <row r="697">
      <c r="A697" s="3"/>
      <c r="M697" s="50" t="s">
        <v>1094</v>
      </c>
      <c r="N697" s="51">
        <v>3.892</v>
      </c>
      <c r="O697" s="6" t="str">
        <f t="shared" si="3"/>
        <v>Apr</v>
      </c>
      <c r="P697" s="6" t="str">
        <f t="shared" si="4"/>
        <v>2008</v>
      </c>
    </row>
    <row r="698">
      <c r="A698" s="3"/>
      <c r="M698" s="50" t="s">
        <v>1096</v>
      </c>
      <c r="N698" s="51">
        <v>3.903</v>
      </c>
      <c r="O698" s="6" t="str">
        <f t="shared" si="3"/>
        <v>May</v>
      </c>
      <c r="P698" s="6" t="str">
        <f t="shared" si="4"/>
        <v>2008</v>
      </c>
    </row>
    <row r="699">
      <c r="A699" s="3"/>
      <c r="M699" s="50" t="s">
        <v>1097</v>
      </c>
      <c r="N699" s="51">
        <v>3.919</v>
      </c>
      <c r="O699" s="6" t="str">
        <f t="shared" si="3"/>
        <v>May</v>
      </c>
      <c r="P699" s="6" t="str">
        <f t="shared" si="4"/>
        <v>2008</v>
      </c>
    </row>
    <row r="700">
      <c r="A700" s="3"/>
      <c r="M700" s="50" t="s">
        <v>1098</v>
      </c>
      <c r="N700" s="51">
        <v>3.952</v>
      </c>
      <c r="O700" s="6" t="str">
        <f t="shared" si="3"/>
        <v>May</v>
      </c>
      <c r="P700" s="6" t="str">
        <f t="shared" si="4"/>
        <v>2008</v>
      </c>
    </row>
    <row r="701">
      <c r="A701" s="3"/>
      <c r="M701" s="50" t="s">
        <v>1099</v>
      </c>
      <c r="N701" s="51">
        <v>4.099</v>
      </c>
      <c r="O701" s="6" t="str">
        <f t="shared" si="3"/>
        <v>May</v>
      </c>
      <c r="P701" s="6" t="str">
        <f t="shared" si="4"/>
        <v>2008</v>
      </c>
    </row>
    <row r="702">
      <c r="A702" s="3"/>
      <c r="M702" s="50" t="s">
        <v>1102</v>
      </c>
      <c r="N702" s="51">
        <v>4.242</v>
      </c>
      <c r="O702" s="6" t="str">
        <f t="shared" si="3"/>
        <v>Jun</v>
      </c>
      <c r="P702" s="6" t="str">
        <f t="shared" si="4"/>
        <v>2008</v>
      </c>
    </row>
    <row r="703">
      <c r="A703" s="3"/>
      <c r="M703" s="50" t="s">
        <v>1104</v>
      </c>
      <c r="N703" s="51">
        <v>4.433</v>
      </c>
      <c r="O703" s="6" t="str">
        <f t="shared" si="3"/>
        <v>Jun</v>
      </c>
      <c r="P703" s="6" t="str">
        <f t="shared" si="4"/>
        <v>2008</v>
      </c>
    </row>
    <row r="704">
      <c r="A704" s="3"/>
      <c r="M704" s="50" t="s">
        <v>1105</v>
      </c>
      <c r="N704" s="51">
        <v>4.588</v>
      </c>
      <c r="O704" s="6" t="str">
        <f t="shared" si="3"/>
        <v>Jun</v>
      </c>
      <c r="P704" s="6" t="str">
        <f t="shared" si="4"/>
        <v>2008</v>
      </c>
    </row>
    <row r="705">
      <c r="A705" s="3"/>
      <c r="M705" s="50" t="s">
        <v>1106</v>
      </c>
      <c r="N705" s="51">
        <v>4.585</v>
      </c>
      <c r="O705" s="6" t="str">
        <f t="shared" si="3"/>
        <v>Jun</v>
      </c>
      <c r="P705" s="6" t="str">
        <f t="shared" si="4"/>
        <v>2008</v>
      </c>
    </row>
    <row r="706">
      <c r="A706" s="3"/>
      <c r="M706" s="50" t="s">
        <v>1108</v>
      </c>
      <c r="N706" s="51">
        <v>4.573</v>
      </c>
      <c r="O706" s="6" t="str">
        <f t="shared" si="3"/>
        <v>Jun</v>
      </c>
      <c r="P706" s="6" t="str">
        <f t="shared" si="4"/>
        <v>2008</v>
      </c>
    </row>
    <row r="707">
      <c r="A707" s="3"/>
      <c r="M707" s="50" t="s">
        <v>1111</v>
      </c>
      <c r="N707" s="51">
        <v>4.55</v>
      </c>
      <c r="O707" s="6" t="str">
        <f t="shared" si="3"/>
        <v>Jul</v>
      </c>
      <c r="P707" s="6" t="str">
        <f t="shared" si="4"/>
        <v>2008</v>
      </c>
    </row>
    <row r="708">
      <c r="A708" s="3"/>
      <c r="M708" s="50" t="s">
        <v>1112</v>
      </c>
      <c r="N708" s="51">
        <v>4.52</v>
      </c>
      <c r="O708" s="6" t="str">
        <f t="shared" si="3"/>
        <v>Jul</v>
      </c>
      <c r="P708" s="6" t="str">
        <f t="shared" si="4"/>
        <v>2008</v>
      </c>
    </row>
    <row r="709">
      <c r="A709" s="3"/>
      <c r="M709" s="50" t="s">
        <v>1113</v>
      </c>
      <c r="N709" s="51">
        <v>4.46</v>
      </c>
      <c r="O709" s="6" t="str">
        <f t="shared" si="3"/>
        <v>Jul</v>
      </c>
      <c r="P709" s="6" t="str">
        <f t="shared" si="4"/>
        <v>2008</v>
      </c>
    </row>
    <row r="710">
      <c r="A710" s="3"/>
      <c r="M710" s="50" t="s">
        <v>1114</v>
      </c>
      <c r="N710" s="51">
        <v>4.317</v>
      </c>
      <c r="O710" s="6" t="str">
        <f t="shared" si="3"/>
        <v>Jul</v>
      </c>
      <c r="P710" s="6" t="str">
        <f t="shared" si="4"/>
        <v>2008</v>
      </c>
    </row>
    <row r="711">
      <c r="A711" s="3"/>
      <c r="M711" s="50" t="s">
        <v>1116</v>
      </c>
      <c r="N711" s="51">
        <v>4.205</v>
      </c>
      <c r="O711" s="6" t="str">
        <f t="shared" si="3"/>
        <v>Aug</v>
      </c>
      <c r="P711" s="6" t="str">
        <f t="shared" si="4"/>
        <v>2008</v>
      </c>
    </row>
    <row r="712">
      <c r="A712" s="3"/>
      <c r="M712" s="50" t="s">
        <v>1117</v>
      </c>
      <c r="N712" s="51">
        <v>4.118</v>
      </c>
      <c r="O712" s="6" t="str">
        <f t="shared" si="3"/>
        <v>Aug</v>
      </c>
      <c r="P712" s="6" t="str">
        <f t="shared" si="4"/>
        <v>2008</v>
      </c>
    </row>
    <row r="713">
      <c r="A713" s="3"/>
      <c r="M713" s="50" t="s">
        <v>1118</v>
      </c>
      <c r="N713" s="51">
        <v>4.037</v>
      </c>
      <c r="O713" s="6" t="str">
        <f t="shared" si="3"/>
        <v>Aug</v>
      </c>
      <c r="P713" s="6" t="str">
        <f t="shared" si="4"/>
        <v>2008</v>
      </c>
    </row>
    <row r="714">
      <c r="A714" s="3"/>
      <c r="M714" s="50" t="s">
        <v>1119</v>
      </c>
      <c r="N714" s="51">
        <v>3.955</v>
      </c>
      <c r="O714" s="6" t="str">
        <f t="shared" si="3"/>
        <v>Aug</v>
      </c>
      <c r="P714" s="6" t="str">
        <f t="shared" si="4"/>
        <v>2008</v>
      </c>
    </row>
    <row r="715">
      <c r="A715" s="3"/>
      <c r="M715" s="50" t="s">
        <v>1120</v>
      </c>
      <c r="N715" s="51">
        <v>3.905</v>
      </c>
      <c r="O715" s="6" t="str">
        <f t="shared" si="3"/>
        <v>Sep</v>
      </c>
      <c r="P715" s="6" t="str">
        <f t="shared" si="4"/>
        <v>2008</v>
      </c>
    </row>
    <row r="716">
      <c r="A716" s="3"/>
      <c r="M716" s="50" t="s">
        <v>1121</v>
      </c>
      <c r="N716" s="51">
        <v>3.859</v>
      </c>
      <c r="O716" s="6" t="str">
        <f t="shared" si="3"/>
        <v>Sep</v>
      </c>
      <c r="P716" s="6" t="str">
        <f t="shared" si="4"/>
        <v>2008</v>
      </c>
    </row>
    <row r="717">
      <c r="A717" s="3"/>
      <c r="M717" s="50" t="s">
        <v>1122</v>
      </c>
      <c r="N717" s="51">
        <v>3.804</v>
      </c>
      <c r="O717" s="6" t="str">
        <f t="shared" si="3"/>
        <v>Sep</v>
      </c>
      <c r="P717" s="6" t="str">
        <f t="shared" si="4"/>
        <v>2008</v>
      </c>
    </row>
    <row r="718">
      <c r="A718" s="3"/>
      <c r="M718" s="50" t="s">
        <v>1123</v>
      </c>
      <c r="N718" s="51">
        <v>3.725</v>
      </c>
      <c r="O718" s="6" t="str">
        <f t="shared" si="3"/>
        <v>Sep</v>
      </c>
      <c r="P718" s="6" t="str">
        <f t="shared" si="4"/>
        <v>2008</v>
      </c>
    </row>
    <row r="719">
      <c r="A719" s="3"/>
      <c r="M719" s="50" t="s">
        <v>1124</v>
      </c>
      <c r="N719" s="51">
        <v>3.67</v>
      </c>
      <c r="O719" s="6" t="str">
        <f t="shared" si="3"/>
        <v>Sep</v>
      </c>
      <c r="P719" s="6" t="str">
        <f t="shared" si="4"/>
        <v>2008</v>
      </c>
    </row>
    <row r="720">
      <c r="A720" s="3"/>
      <c r="M720" s="50" t="s">
        <v>1125</v>
      </c>
      <c r="N720" s="51">
        <v>3.601</v>
      </c>
      <c r="O720" s="6" t="str">
        <f t="shared" si="3"/>
        <v>Oct</v>
      </c>
      <c r="P720" s="6" t="str">
        <f t="shared" si="4"/>
        <v>2008</v>
      </c>
    </row>
    <row r="721">
      <c r="A721" s="3"/>
      <c r="M721" s="50" t="s">
        <v>1126</v>
      </c>
      <c r="N721" s="51">
        <v>3.47</v>
      </c>
      <c r="O721" s="6" t="str">
        <f t="shared" si="3"/>
        <v>Oct</v>
      </c>
      <c r="P721" s="6" t="str">
        <f t="shared" si="4"/>
        <v>2008</v>
      </c>
    </row>
    <row r="722">
      <c r="A722" s="3"/>
      <c r="M722" s="50" t="s">
        <v>1127</v>
      </c>
      <c r="N722" s="51">
        <v>3.355</v>
      </c>
      <c r="O722" s="6" t="str">
        <f t="shared" si="3"/>
        <v>Oct</v>
      </c>
      <c r="P722" s="6" t="str">
        <f t="shared" si="4"/>
        <v>2008</v>
      </c>
    </row>
    <row r="723">
      <c r="A723" s="3"/>
      <c r="M723" s="50" t="s">
        <v>1128</v>
      </c>
      <c r="N723" s="51">
        <v>3.13</v>
      </c>
      <c r="O723" s="6" t="str">
        <f t="shared" si="3"/>
        <v>Oct</v>
      </c>
      <c r="P723" s="6" t="str">
        <f t="shared" si="4"/>
        <v>2008</v>
      </c>
    </row>
    <row r="724">
      <c r="A724" s="3"/>
      <c r="M724" s="50" t="s">
        <v>1129</v>
      </c>
      <c r="N724" s="51">
        <v>2.783</v>
      </c>
      <c r="O724" s="6" t="str">
        <f t="shared" si="3"/>
        <v>Nov</v>
      </c>
      <c r="P724" s="6" t="str">
        <f t="shared" si="4"/>
        <v>2008</v>
      </c>
    </row>
    <row r="725">
      <c r="A725" s="3"/>
      <c r="M725" s="50" t="s">
        <v>1130</v>
      </c>
      <c r="N725" s="51">
        <v>2.555</v>
      </c>
      <c r="O725" s="6" t="str">
        <f t="shared" si="3"/>
        <v>Nov</v>
      </c>
      <c r="P725" s="6" t="str">
        <f t="shared" si="4"/>
        <v>2008</v>
      </c>
    </row>
    <row r="726">
      <c r="A726" s="3"/>
      <c r="M726" s="50" t="s">
        <v>1131</v>
      </c>
      <c r="N726" s="51">
        <v>2.374</v>
      </c>
      <c r="O726" s="6" t="str">
        <f t="shared" si="3"/>
        <v>Nov</v>
      </c>
      <c r="P726" s="6" t="str">
        <f t="shared" si="4"/>
        <v>2008</v>
      </c>
    </row>
    <row r="727">
      <c r="A727" s="3"/>
      <c r="M727" s="50" t="s">
        <v>1132</v>
      </c>
      <c r="N727" s="51">
        <v>2.112</v>
      </c>
      <c r="O727" s="6" t="str">
        <f t="shared" si="3"/>
        <v>Nov</v>
      </c>
      <c r="P727" s="6" t="str">
        <f t="shared" si="4"/>
        <v>2008</v>
      </c>
    </row>
    <row r="728">
      <c r="A728" s="3"/>
      <c r="M728" s="50" t="s">
        <v>1133</v>
      </c>
      <c r="N728" s="51">
        <v>1.955</v>
      </c>
      <c r="O728" s="6" t="str">
        <f t="shared" si="3"/>
        <v>Dec</v>
      </c>
      <c r="P728" s="6" t="str">
        <f t="shared" si="4"/>
        <v>2008</v>
      </c>
    </row>
    <row r="729">
      <c r="A729" s="3"/>
      <c r="M729" s="50" t="s">
        <v>1134</v>
      </c>
      <c r="N729" s="51">
        <v>1.805</v>
      </c>
      <c r="O729" s="6" t="str">
        <f t="shared" si="3"/>
        <v>Dec</v>
      </c>
      <c r="P729" s="6" t="str">
        <f t="shared" si="4"/>
        <v>2008</v>
      </c>
    </row>
    <row r="730">
      <c r="A730" s="3"/>
      <c r="M730" s="50" t="s">
        <v>1135</v>
      </c>
      <c r="N730" s="51">
        <v>1.738</v>
      </c>
      <c r="O730" s="6" t="str">
        <f t="shared" si="3"/>
        <v>Dec</v>
      </c>
      <c r="P730" s="6" t="str">
        <f t="shared" si="4"/>
        <v>2008</v>
      </c>
    </row>
    <row r="731">
      <c r="A731" s="3"/>
      <c r="M731" s="50" t="s">
        <v>1136</v>
      </c>
      <c r="N731" s="51">
        <v>1.806</v>
      </c>
      <c r="O731" s="6" t="str">
        <f t="shared" si="3"/>
        <v>Dec</v>
      </c>
      <c r="P731" s="6" t="str">
        <f t="shared" si="4"/>
        <v>2008</v>
      </c>
    </row>
    <row r="732">
      <c r="A732" s="3"/>
      <c r="M732" s="50" t="s">
        <v>1137</v>
      </c>
      <c r="N732" s="51">
        <v>1.81</v>
      </c>
      <c r="O732" s="6" t="str">
        <f t="shared" si="3"/>
        <v>Dec</v>
      </c>
      <c r="P732" s="6" t="str">
        <f t="shared" si="4"/>
        <v>2008</v>
      </c>
    </row>
    <row r="733">
      <c r="A733" s="3"/>
      <c r="M733" s="50" t="s">
        <v>1138</v>
      </c>
      <c r="N733" s="51">
        <v>1.874</v>
      </c>
      <c r="O733" s="6" t="str">
        <f t="shared" si="3"/>
        <v>Jan</v>
      </c>
      <c r="P733" s="6" t="str">
        <f t="shared" si="4"/>
        <v>2009</v>
      </c>
    </row>
    <row r="734">
      <c r="A734" s="3"/>
      <c r="M734" s="50" t="s">
        <v>1139</v>
      </c>
      <c r="N734" s="51">
        <v>1.988</v>
      </c>
      <c r="O734" s="6" t="str">
        <f t="shared" si="3"/>
        <v>Jan</v>
      </c>
      <c r="P734" s="6" t="str">
        <f t="shared" si="4"/>
        <v>2009</v>
      </c>
    </row>
    <row r="735">
      <c r="A735" s="3"/>
      <c r="M735" s="50" t="s">
        <v>1140</v>
      </c>
      <c r="N735" s="51">
        <v>2.064</v>
      </c>
      <c r="O735" s="6" t="str">
        <f t="shared" si="3"/>
        <v>Jan</v>
      </c>
      <c r="P735" s="6" t="str">
        <f t="shared" si="4"/>
        <v>2009</v>
      </c>
    </row>
    <row r="736">
      <c r="A736" s="3"/>
      <c r="M736" s="50" t="s">
        <v>1141</v>
      </c>
      <c r="N736" s="51">
        <v>2.095</v>
      </c>
      <c r="O736" s="6" t="str">
        <f t="shared" si="3"/>
        <v>Jan</v>
      </c>
      <c r="P736" s="6" t="str">
        <f t="shared" si="4"/>
        <v>2009</v>
      </c>
    </row>
    <row r="737">
      <c r="A737" s="3"/>
      <c r="M737" s="50" t="s">
        <v>1142</v>
      </c>
      <c r="N737" s="51">
        <v>2.113</v>
      </c>
      <c r="O737" s="6" t="str">
        <f t="shared" si="3"/>
        <v>Feb</v>
      </c>
      <c r="P737" s="6" t="str">
        <f t="shared" si="4"/>
        <v>2009</v>
      </c>
    </row>
    <row r="738">
      <c r="A738" s="3"/>
      <c r="M738" s="50" t="s">
        <v>1143</v>
      </c>
      <c r="N738" s="51">
        <v>2.215</v>
      </c>
      <c r="O738" s="6" t="str">
        <f t="shared" si="3"/>
        <v>Feb</v>
      </c>
      <c r="P738" s="6" t="str">
        <f t="shared" si="4"/>
        <v>2009</v>
      </c>
    </row>
    <row r="739">
      <c r="A739" s="3"/>
      <c r="M739" s="50" t="s">
        <v>1144</v>
      </c>
      <c r="N739" s="51">
        <v>2.291</v>
      </c>
      <c r="O739" s="6" t="str">
        <f t="shared" si="3"/>
        <v>Feb</v>
      </c>
      <c r="P739" s="6" t="str">
        <f t="shared" si="4"/>
        <v>2009</v>
      </c>
    </row>
    <row r="740">
      <c r="A740" s="3"/>
      <c r="M740" s="50" t="s">
        <v>1145</v>
      </c>
      <c r="N740" s="51">
        <v>2.261</v>
      </c>
      <c r="O740" s="6" t="str">
        <f t="shared" si="3"/>
        <v>Feb</v>
      </c>
      <c r="P740" s="6" t="str">
        <f t="shared" si="4"/>
        <v>2009</v>
      </c>
    </row>
    <row r="741">
      <c r="A741" s="3"/>
      <c r="M741" s="50" t="s">
        <v>1146</v>
      </c>
      <c r="N741" s="51">
        <v>2.189</v>
      </c>
      <c r="O741" s="6" t="str">
        <f t="shared" si="3"/>
        <v>Mar</v>
      </c>
      <c r="P741" s="6" t="str">
        <f t="shared" si="4"/>
        <v>2009</v>
      </c>
    </row>
    <row r="742">
      <c r="A742" s="3"/>
      <c r="M742" s="50" t="s">
        <v>1147</v>
      </c>
      <c r="N742" s="51">
        <v>2.196</v>
      </c>
      <c r="O742" s="6" t="str">
        <f t="shared" si="3"/>
        <v>Mar</v>
      </c>
      <c r="P742" s="6" t="str">
        <f t="shared" si="4"/>
        <v>2009</v>
      </c>
    </row>
    <row r="743">
      <c r="A743" s="3"/>
      <c r="M743" s="50" t="s">
        <v>1148</v>
      </c>
      <c r="N743" s="51">
        <v>2.162</v>
      </c>
      <c r="O743" s="6" t="str">
        <f t="shared" si="3"/>
        <v>Mar</v>
      </c>
      <c r="P743" s="6" t="str">
        <f t="shared" si="4"/>
        <v>2009</v>
      </c>
    </row>
    <row r="744">
      <c r="A744" s="3"/>
      <c r="M744" s="50" t="s">
        <v>1149</v>
      </c>
      <c r="N744" s="51">
        <v>2.154</v>
      </c>
      <c r="O744" s="6" t="str">
        <f t="shared" si="3"/>
        <v>Mar</v>
      </c>
      <c r="P744" s="6" t="str">
        <f t="shared" si="4"/>
        <v>2009</v>
      </c>
    </row>
    <row r="745">
      <c r="A745" s="3"/>
      <c r="M745" s="50" t="s">
        <v>1150</v>
      </c>
      <c r="N745" s="51">
        <v>2.248</v>
      </c>
      <c r="O745" s="6" t="str">
        <f t="shared" si="3"/>
        <v>Mar</v>
      </c>
      <c r="P745" s="6" t="str">
        <f t="shared" si="4"/>
        <v>2009</v>
      </c>
    </row>
    <row r="746">
      <c r="A746" s="3"/>
      <c r="M746" s="50" t="s">
        <v>1151</v>
      </c>
      <c r="N746" s="51">
        <v>2.308</v>
      </c>
      <c r="O746" s="6" t="str">
        <f t="shared" si="3"/>
        <v>Apr</v>
      </c>
      <c r="P746" s="6" t="str">
        <f t="shared" si="4"/>
        <v>2009</v>
      </c>
    </row>
    <row r="747">
      <c r="A747" s="3"/>
      <c r="M747" s="50" t="s">
        <v>1152</v>
      </c>
      <c r="N747" s="51">
        <v>2.336</v>
      </c>
      <c r="O747" s="6" t="str">
        <f t="shared" si="3"/>
        <v>Apr</v>
      </c>
      <c r="P747" s="6" t="str">
        <f t="shared" si="4"/>
        <v>2009</v>
      </c>
    </row>
    <row r="748">
      <c r="A748" s="3"/>
      <c r="M748" s="50" t="s">
        <v>1153</v>
      </c>
      <c r="N748" s="51">
        <v>2.34</v>
      </c>
      <c r="O748" s="6" t="str">
        <f t="shared" si="3"/>
        <v>Apr</v>
      </c>
      <c r="P748" s="6" t="str">
        <f t="shared" si="4"/>
        <v>2009</v>
      </c>
    </row>
    <row r="749">
      <c r="A749" s="3"/>
      <c r="M749" s="50" t="s">
        <v>1154</v>
      </c>
      <c r="N749" s="51">
        <v>2.34</v>
      </c>
      <c r="O749" s="6" t="str">
        <f t="shared" si="3"/>
        <v>Apr</v>
      </c>
      <c r="P749" s="6" t="str">
        <f t="shared" si="4"/>
        <v>2009</v>
      </c>
    </row>
    <row r="750">
      <c r="A750" s="3"/>
      <c r="M750" s="50" t="s">
        <v>1155</v>
      </c>
      <c r="N750" s="51">
        <v>2.355</v>
      </c>
      <c r="O750" s="6" t="str">
        <f t="shared" si="3"/>
        <v>May</v>
      </c>
      <c r="P750" s="6" t="str">
        <f t="shared" si="4"/>
        <v>2009</v>
      </c>
    </row>
    <row r="751">
      <c r="A751" s="3"/>
      <c r="M751" s="50" t="s">
        <v>1156</v>
      </c>
      <c r="N751" s="51">
        <v>2.424</v>
      </c>
      <c r="O751" s="6" t="str">
        <f t="shared" si="3"/>
        <v>May</v>
      </c>
      <c r="P751" s="6" t="str">
        <f t="shared" si="4"/>
        <v>2009</v>
      </c>
    </row>
    <row r="752">
      <c r="A752" s="3"/>
      <c r="M752" s="50" t="s">
        <v>1157</v>
      </c>
      <c r="N752" s="51">
        <v>2.524</v>
      </c>
      <c r="O752" s="6" t="str">
        <f t="shared" si="3"/>
        <v>May</v>
      </c>
      <c r="P752" s="6" t="str">
        <f t="shared" si="4"/>
        <v>2009</v>
      </c>
    </row>
    <row r="753">
      <c r="A753" s="3"/>
      <c r="M753" s="50" t="s">
        <v>1158</v>
      </c>
      <c r="N753" s="51">
        <v>2.637</v>
      </c>
      <c r="O753" s="6" t="str">
        <f t="shared" si="3"/>
        <v>May</v>
      </c>
      <c r="P753" s="6" t="str">
        <f t="shared" si="4"/>
        <v>2009</v>
      </c>
    </row>
    <row r="754">
      <c r="A754" s="3"/>
      <c r="M754" s="50" t="s">
        <v>1159</v>
      </c>
      <c r="N754" s="51">
        <v>2.756</v>
      </c>
      <c r="O754" s="6" t="str">
        <f t="shared" si="3"/>
        <v>Jun</v>
      </c>
      <c r="P754" s="6" t="str">
        <f t="shared" si="4"/>
        <v>2009</v>
      </c>
    </row>
    <row r="755">
      <c r="A755" s="3"/>
      <c r="M755" s="50" t="s">
        <v>1160</v>
      </c>
      <c r="N755" s="51">
        <v>2.891</v>
      </c>
      <c r="O755" s="6" t="str">
        <f t="shared" si="3"/>
        <v>Jun</v>
      </c>
      <c r="P755" s="6" t="str">
        <f t="shared" si="4"/>
        <v>2009</v>
      </c>
    </row>
    <row r="756">
      <c r="A756" s="3"/>
      <c r="M756" s="50" t="s">
        <v>1161</v>
      </c>
      <c r="N756" s="51">
        <v>2.979</v>
      </c>
      <c r="O756" s="6" t="str">
        <f t="shared" si="3"/>
        <v>Jun</v>
      </c>
      <c r="P756" s="6" t="str">
        <f t="shared" si="4"/>
        <v>2009</v>
      </c>
    </row>
    <row r="757">
      <c r="A757" s="3"/>
      <c r="M757" s="50" t="s">
        <v>1162</v>
      </c>
      <c r="N757" s="51">
        <v>3.005</v>
      </c>
      <c r="O757" s="6" t="str">
        <f t="shared" si="3"/>
        <v>Jun</v>
      </c>
      <c r="P757" s="6" t="str">
        <f t="shared" si="4"/>
        <v>2009</v>
      </c>
    </row>
    <row r="758">
      <c r="A758" s="3"/>
      <c r="M758" s="50" t="s">
        <v>1163</v>
      </c>
      <c r="N758" s="51">
        <v>2.984</v>
      </c>
      <c r="O758" s="6" t="str">
        <f t="shared" si="3"/>
        <v>Jun</v>
      </c>
      <c r="P758" s="6" t="str">
        <f t="shared" si="4"/>
        <v>2009</v>
      </c>
    </row>
    <row r="759">
      <c r="A759" s="3"/>
      <c r="M759" s="50" t="s">
        <v>1164</v>
      </c>
      <c r="N759" s="51">
        <v>2.952</v>
      </c>
      <c r="O759" s="6" t="str">
        <f t="shared" si="3"/>
        <v>Jul</v>
      </c>
      <c r="P759" s="6" t="str">
        <f t="shared" si="4"/>
        <v>2009</v>
      </c>
    </row>
    <row r="760">
      <c r="A760" s="3"/>
      <c r="M760" s="50" t="s">
        <v>1165</v>
      </c>
      <c r="N760" s="51">
        <v>2.88</v>
      </c>
      <c r="O760" s="6" t="str">
        <f t="shared" si="3"/>
        <v>Jul</v>
      </c>
      <c r="P760" s="6" t="str">
        <f t="shared" si="4"/>
        <v>2009</v>
      </c>
    </row>
    <row r="761">
      <c r="A761" s="3"/>
      <c r="M761" s="50" t="s">
        <v>1166</v>
      </c>
      <c r="N761" s="51">
        <v>2.829</v>
      </c>
      <c r="O761" s="6" t="str">
        <f t="shared" si="3"/>
        <v>Jul</v>
      </c>
      <c r="P761" s="6" t="str">
        <f t="shared" si="4"/>
        <v>2009</v>
      </c>
    </row>
    <row r="762">
      <c r="A762" s="3"/>
      <c r="M762" s="50" t="s">
        <v>1167</v>
      </c>
      <c r="N762" s="51">
        <v>2.829</v>
      </c>
      <c r="O762" s="6" t="str">
        <f t="shared" si="3"/>
        <v>Jul</v>
      </c>
      <c r="P762" s="6" t="str">
        <f t="shared" si="4"/>
        <v>2009</v>
      </c>
    </row>
    <row r="763">
      <c r="A763" s="3"/>
      <c r="M763" s="50" t="s">
        <v>1168</v>
      </c>
      <c r="N763" s="51">
        <v>2.896</v>
      </c>
      <c r="O763" s="6" t="str">
        <f t="shared" si="3"/>
        <v>Aug</v>
      </c>
      <c r="P763" s="6" t="str">
        <f t="shared" si="4"/>
        <v>2009</v>
      </c>
    </row>
    <row r="764">
      <c r="A764" s="3"/>
      <c r="M764" s="50" t="s">
        <v>1169</v>
      </c>
      <c r="N764" s="51">
        <v>3.04</v>
      </c>
      <c r="O764" s="6" t="str">
        <f t="shared" si="3"/>
        <v>Aug</v>
      </c>
      <c r="P764" s="6" t="str">
        <f t="shared" si="4"/>
        <v>2009</v>
      </c>
    </row>
    <row r="765">
      <c r="A765" s="3"/>
      <c r="M765" s="50" t="s">
        <v>1170</v>
      </c>
      <c r="N765" s="51">
        <v>3.047</v>
      </c>
      <c r="O765" s="6" t="str">
        <f t="shared" si="3"/>
        <v>Aug</v>
      </c>
      <c r="P765" s="6" t="str">
        <f t="shared" si="4"/>
        <v>2009</v>
      </c>
    </row>
    <row r="766">
      <c r="A766" s="3"/>
      <c r="M766" s="50" t="s">
        <v>1171</v>
      </c>
      <c r="N766" s="51">
        <v>3.031</v>
      </c>
      <c r="O766" s="6" t="str">
        <f t="shared" si="3"/>
        <v>Aug</v>
      </c>
      <c r="P766" s="6" t="str">
        <f t="shared" si="4"/>
        <v>2009</v>
      </c>
    </row>
    <row r="767">
      <c r="A767" s="3"/>
      <c r="M767" s="50" t="s">
        <v>1172</v>
      </c>
      <c r="N767" s="51">
        <v>3.037</v>
      </c>
      <c r="O767" s="6" t="str">
        <f t="shared" si="3"/>
        <v>Aug</v>
      </c>
      <c r="P767" s="6" t="str">
        <f t="shared" si="4"/>
        <v>2009</v>
      </c>
    </row>
    <row r="768">
      <c r="A768" s="3"/>
      <c r="M768" s="50" t="s">
        <v>1173</v>
      </c>
      <c r="N768" s="51">
        <v>3.099</v>
      </c>
      <c r="O768" s="6" t="str">
        <f t="shared" si="3"/>
        <v>Sep</v>
      </c>
      <c r="P768" s="6" t="str">
        <f t="shared" si="4"/>
        <v>2009</v>
      </c>
    </row>
    <row r="769">
      <c r="A769" s="3"/>
      <c r="M769" s="50" t="s">
        <v>1174</v>
      </c>
      <c r="N769" s="51">
        <v>3.153</v>
      </c>
      <c r="O769" s="6" t="str">
        <f t="shared" si="3"/>
        <v>Sep</v>
      </c>
      <c r="P769" s="6" t="str">
        <f t="shared" si="4"/>
        <v>2009</v>
      </c>
    </row>
    <row r="770">
      <c r="A770" s="3"/>
      <c r="M770" s="50" t="s">
        <v>1175</v>
      </c>
      <c r="N770" s="51">
        <v>3.14</v>
      </c>
      <c r="O770" s="6" t="str">
        <f t="shared" si="3"/>
        <v>Sep</v>
      </c>
      <c r="P770" s="6" t="str">
        <f t="shared" si="4"/>
        <v>2009</v>
      </c>
    </row>
    <row r="771">
      <c r="A771" s="3"/>
      <c r="M771" s="50" t="s">
        <v>1176</v>
      </c>
      <c r="N771" s="51">
        <v>3.098</v>
      </c>
      <c r="O771" s="6" t="str">
        <f t="shared" si="3"/>
        <v>Sep</v>
      </c>
      <c r="P771" s="6" t="str">
        <f t="shared" si="4"/>
        <v>2009</v>
      </c>
    </row>
    <row r="772">
      <c r="A772" s="3"/>
      <c r="M772" s="50" t="s">
        <v>1177</v>
      </c>
      <c r="N772" s="51">
        <v>3.069</v>
      </c>
      <c r="O772" s="6" t="str">
        <f t="shared" si="3"/>
        <v>Oct</v>
      </c>
      <c r="P772" s="6" t="str">
        <f t="shared" si="4"/>
        <v>2009</v>
      </c>
    </row>
    <row r="773">
      <c r="A773" s="3"/>
      <c r="M773" s="50" t="s">
        <v>1178</v>
      </c>
      <c r="N773" s="51">
        <v>3.015</v>
      </c>
      <c r="O773" s="6" t="str">
        <f t="shared" si="3"/>
        <v>Oct</v>
      </c>
      <c r="P773" s="6" t="str">
        <f t="shared" si="4"/>
        <v>2009</v>
      </c>
    </row>
    <row r="774">
      <c r="A774" s="3"/>
      <c r="M774" s="50" t="s">
        <v>1179</v>
      </c>
      <c r="N774" s="51">
        <v>2.988</v>
      </c>
      <c r="O774" s="6" t="str">
        <f t="shared" si="3"/>
        <v>Oct</v>
      </c>
      <c r="P774" s="6" t="str">
        <f t="shared" si="4"/>
        <v>2009</v>
      </c>
    </row>
    <row r="775">
      <c r="A775" s="3"/>
      <c r="M775" s="50" t="s">
        <v>1180</v>
      </c>
      <c r="N775" s="51">
        <v>2.985</v>
      </c>
      <c r="O775" s="6" t="str">
        <f t="shared" si="3"/>
        <v>Oct</v>
      </c>
      <c r="P775" s="6" t="str">
        <f t="shared" si="4"/>
        <v>2009</v>
      </c>
    </row>
    <row r="776">
      <c r="A776" s="3"/>
      <c r="M776" s="50" t="s">
        <v>1181</v>
      </c>
      <c r="N776" s="51">
        <v>2.987</v>
      </c>
      <c r="O776" s="6" t="str">
        <f t="shared" si="3"/>
        <v>Nov</v>
      </c>
      <c r="P776" s="6" t="str">
        <f t="shared" si="4"/>
        <v>2009</v>
      </c>
    </row>
    <row r="777">
      <c r="A777" s="3"/>
      <c r="M777" s="50" t="s">
        <v>1182</v>
      </c>
      <c r="N777" s="51">
        <v>2.981</v>
      </c>
      <c r="O777" s="6" t="str">
        <f t="shared" si="3"/>
        <v>Nov</v>
      </c>
      <c r="P777" s="6" t="str">
        <f t="shared" si="4"/>
        <v>2009</v>
      </c>
    </row>
    <row r="778">
      <c r="A778" s="3"/>
      <c r="M778" s="50" t="s">
        <v>1183</v>
      </c>
      <c r="N778" s="51">
        <v>2.961</v>
      </c>
      <c r="O778" s="6" t="str">
        <f t="shared" si="3"/>
        <v>Nov</v>
      </c>
      <c r="P778" s="6" t="str">
        <f t="shared" si="4"/>
        <v>2009</v>
      </c>
    </row>
    <row r="779">
      <c r="A779" s="3"/>
      <c r="M779" s="50" t="s">
        <v>1184</v>
      </c>
      <c r="N779" s="51">
        <v>2.94</v>
      </c>
      <c r="O779" s="6" t="str">
        <f t="shared" si="3"/>
        <v>Nov</v>
      </c>
      <c r="P779" s="6" t="str">
        <f t="shared" si="4"/>
        <v>2009</v>
      </c>
    </row>
    <row r="780">
      <c r="A780" s="3"/>
      <c r="M780" s="50" t="s">
        <v>1185</v>
      </c>
      <c r="N780" s="51">
        <v>2.921</v>
      </c>
      <c r="O780" s="6" t="str">
        <f t="shared" si="3"/>
        <v>Nov</v>
      </c>
      <c r="P780" s="6" t="str">
        <f t="shared" si="4"/>
        <v>2009</v>
      </c>
    </row>
    <row r="781">
      <c r="A781" s="3"/>
      <c r="M781" s="50" t="s">
        <v>1186</v>
      </c>
      <c r="N781" s="51">
        <v>2.912</v>
      </c>
      <c r="O781" s="6" t="str">
        <f t="shared" si="3"/>
        <v>Dec</v>
      </c>
      <c r="P781" s="6" t="str">
        <f t="shared" si="4"/>
        <v>2009</v>
      </c>
    </row>
    <row r="782">
      <c r="A782" s="3"/>
      <c r="M782" s="50" t="s">
        <v>1187</v>
      </c>
      <c r="N782" s="51">
        <v>2.903</v>
      </c>
      <c r="O782" s="6" t="str">
        <f t="shared" si="3"/>
        <v>Dec</v>
      </c>
      <c r="P782" s="6" t="str">
        <f t="shared" si="4"/>
        <v>2009</v>
      </c>
    </row>
    <row r="783">
      <c r="A783" s="3"/>
      <c r="M783" s="50" t="s">
        <v>1188</v>
      </c>
      <c r="N783" s="51">
        <v>2.912</v>
      </c>
      <c r="O783" s="6" t="str">
        <f t="shared" si="3"/>
        <v>Dec</v>
      </c>
      <c r="P783" s="6" t="str">
        <f t="shared" si="4"/>
        <v>2009</v>
      </c>
    </row>
    <row r="784">
      <c r="A784" s="3"/>
      <c r="M784" s="50" t="s">
        <v>1189</v>
      </c>
      <c r="N784" s="51">
        <v>2.933</v>
      </c>
      <c r="O784" s="6" t="str">
        <f t="shared" si="3"/>
        <v>Dec</v>
      </c>
      <c r="P784" s="6" t="str">
        <f t="shared" si="4"/>
        <v>2009</v>
      </c>
    </row>
    <row r="785">
      <c r="A785" s="3"/>
      <c r="M785" s="50" t="s">
        <v>1190</v>
      </c>
      <c r="N785" s="51">
        <v>2.987</v>
      </c>
      <c r="O785" s="6" t="str">
        <f t="shared" si="3"/>
        <v>Jan</v>
      </c>
      <c r="P785" s="6" t="str">
        <f t="shared" si="4"/>
        <v>2010</v>
      </c>
    </row>
    <row r="786">
      <c r="A786" s="3"/>
      <c r="M786" s="50" t="s">
        <v>1191</v>
      </c>
      <c r="N786" s="51">
        <v>3.046</v>
      </c>
      <c r="O786" s="6" t="str">
        <f t="shared" si="3"/>
        <v>Jan</v>
      </c>
      <c r="P786" s="6" t="str">
        <f t="shared" si="4"/>
        <v>2010</v>
      </c>
    </row>
    <row r="787">
      <c r="A787" s="3"/>
      <c r="M787" s="50" t="s">
        <v>1192</v>
      </c>
      <c r="N787" s="51">
        <v>3.026</v>
      </c>
      <c r="O787" s="6" t="str">
        <f t="shared" si="3"/>
        <v>Jan</v>
      </c>
      <c r="P787" s="6" t="str">
        <f t="shared" si="4"/>
        <v>2010</v>
      </c>
    </row>
    <row r="788">
      <c r="A788" s="3"/>
      <c r="M788" s="50" t="s">
        <v>1193</v>
      </c>
      <c r="N788" s="51">
        <v>3.008</v>
      </c>
      <c r="O788" s="6" t="str">
        <f t="shared" si="3"/>
        <v>Jan</v>
      </c>
      <c r="P788" s="6" t="str">
        <f t="shared" si="4"/>
        <v>2010</v>
      </c>
    </row>
    <row r="789">
      <c r="A789" s="3"/>
      <c r="M789" s="50" t="s">
        <v>1194</v>
      </c>
      <c r="N789" s="51">
        <v>2.975</v>
      </c>
      <c r="O789" s="6" t="str">
        <f t="shared" si="3"/>
        <v>Feb</v>
      </c>
      <c r="P789" s="6" t="str">
        <f t="shared" si="4"/>
        <v>2010</v>
      </c>
    </row>
    <row r="790">
      <c r="A790" s="3"/>
      <c r="M790" s="50" t="s">
        <v>1195</v>
      </c>
      <c r="N790" s="51">
        <v>2.961</v>
      </c>
      <c r="O790" s="6" t="str">
        <f t="shared" si="3"/>
        <v>Feb</v>
      </c>
      <c r="P790" s="6" t="str">
        <f t="shared" si="4"/>
        <v>2010</v>
      </c>
    </row>
    <row r="791">
      <c r="A791" s="3"/>
      <c r="M791" s="50" t="s">
        <v>1196</v>
      </c>
      <c r="N791" s="51">
        <v>2.926</v>
      </c>
      <c r="O791" s="6" t="str">
        <f t="shared" si="3"/>
        <v>Feb</v>
      </c>
      <c r="P791" s="6" t="str">
        <f t="shared" si="4"/>
        <v>2010</v>
      </c>
    </row>
    <row r="792">
      <c r="A792" s="3"/>
      <c r="M792" s="50" t="s">
        <v>1197</v>
      </c>
      <c r="N792" s="51">
        <v>2.918</v>
      </c>
      <c r="O792" s="6" t="str">
        <f t="shared" si="3"/>
        <v>Feb</v>
      </c>
      <c r="P792" s="6" t="str">
        <f t="shared" si="4"/>
        <v>2010</v>
      </c>
    </row>
    <row r="793">
      <c r="A793" s="3"/>
      <c r="M793" s="50" t="s">
        <v>1198</v>
      </c>
      <c r="N793" s="51">
        <v>2.999</v>
      </c>
      <c r="O793" s="6" t="str">
        <f t="shared" si="3"/>
        <v>Mar</v>
      </c>
      <c r="P793" s="6" t="str">
        <f t="shared" si="4"/>
        <v>2010</v>
      </c>
    </row>
    <row r="794">
      <c r="A794" s="3"/>
      <c r="M794" s="50" t="s">
        <v>1199</v>
      </c>
      <c r="N794" s="51">
        <v>3.046</v>
      </c>
      <c r="O794" s="6" t="str">
        <f t="shared" si="3"/>
        <v>Mar</v>
      </c>
      <c r="P794" s="6" t="str">
        <f t="shared" si="4"/>
        <v>2010</v>
      </c>
    </row>
    <row r="795">
      <c r="A795" s="3"/>
      <c r="M795" s="50" t="s">
        <v>1200</v>
      </c>
      <c r="N795" s="51">
        <v>3.061</v>
      </c>
      <c r="O795" s="6" t="str">
        <f t="shared" si="3"/>
        <v>Mar</v>
      </c>
      <c r="P795" s="6" t="str">
        <f t="shared" si="4"/>
        <v>2010</v>
      </c>
    </row>
    <row r="796">
      <c r="A796" s="3"/>
      <c r="M796" s="50" t="s">
        <v>1201</v>
      </c>
      <c r="N796" s="51">
        <v>3.091</v>
      </c>
      <c r="O796" s="6" t="str">
        <f t="shared" si="3"/>
        <v>Mar</v>
      </c>
      <c r="P796" s="6" t="str">
        <f t="shared" si="4"/>
        <v>2010</v>
      </c>
    </row>
    <row r="797">
      <c r="A797" s="3"/>
      <c r="M797" s="50" t="s">
        <v>1202</v>
      </c>
      <c r="N797" s="51">
        <v>3.087</v>
      </c>
      <c r="O797" s="6" t="str">
        <f t="shared" si="3"/>
        <v>Mar</v>
      </c>
      <c r="P797" s="6" t="str">
        <f t="shared" si="4"/>
        <v>2010</v>
      </c>
    </row>
    <row r="798">
      <c r="A798" s="3"/>
      <c r="M798" s="50" t="s">
        <v>1203</v>
      </c>
      <c r="N798" s="51">
        <v>3.088</v>
      </c>
      <c r="O798" s="6" t="str">
        <f t="shared" si="3"/>
        <v>Apr</v>
      </c>
      <c r="P798" s="6" t="str">
        <f t="shared" si="4"/>
        <v>2010</v>
      </c>
    </row>
    <row r="799">
      <c r="A799" s="3"/>
      <c r="M799" s="50" t="s">
        <v>1204</v>
      </c>
      <c r="N799" s="51">
        <v>3.096</v>
      </c>
      <c r="O799" s="6" t="str">
        <f t="shared" si="3"/>
        <v>Apr</v>
      </c>
      <c r="P799" s="6" t="str">
        <f t="shared" si="4"/>
        <v>2010</v>
      </c>
    </row>
    <row r="800">
      <c r="A800" s="3"/>
      <c r="M800" s="50" t="s">
        <v>1205</v>
      </c>
      <c r="N800" s="51">
        <v>3.09</v>
      </c>
      <c r="O800" s="6" t="str">
        <f t="shared" si="3"/>
        <v>Apr</v>
      </c>
      <c r="P800" s="6" t="str">
        <f t="shared" si="4"/>
        <v>2010</v>
      </c>
    </row>
    <row r="801">
      <c r="A801" s="3"/>
      <c r="M801" s="50" t="s">
        <v>1206</v>
      </c>
      <c r="N801" s="51">
        <v>3.088</v>
      </c>
      <c r="O801" s="6" t="str">
        <f t="shared" si="3"/>
        <v>Apr</v>
      </c>
      <c r="P801" s="6" t="str">
        <f t="shared" si="4"/>
        <v>2010</v>
      </c>
    </row>
    <row r="802">
      <c r="A802" s="3"/>
      <c r="M802" s="50" t="s">
        <v>1207</v>
      </c>
      <c r="N802" s="51">
        <v>3.118</v>
      </c>
      <c r="O802" s="6" t="str">
        <f t="shared" si="3"/>
        <v>May</v>
      </c>
      <c r="P802" s="6" t="str">
        <f t="shared" si="4"/>
        <v>2010</v>
      </c>
    </row>
    <row r="803">
      <c r="A803" s="3"/>
      <c r="M803" s="50" t="s">
        <v>1208</v>
      </c>
      <c r="N803" s="51">
        <v>3.139</v>
      </c>
      <c r="O803" s="6" t="str">
        <f t="shared" si="3"/>
        <v>May</v>
      </c>
      <c r="P803" s="6" t="str">
        <f t="shared" si="4"/>
        <v>2010</v>
      </c>
    </row>
    <row r="804">
      <c r="A804" s="3"/>
      <c r="M804" s="50" t="s">
        <v>1209</v>
      </c>
      <c r="N804" s="51">
        <v>3.118</v>
      </c>
      <c r="O804" s="6" t="str">
        <f t="shared" si="3"/>
        <v>May</v>
      </c>
      <c r="P804" s="6" t="str">
        <f t="shared" si="4"/>
        <v>2010</v>
      </c>
    </row>
    <row r="805">
      <c r="A805" s="3"/>
      <c r="M805" s="50" t="s">
        <v>1210</v>
      </c>
      <c r="N805" s="51">
        <v>3.049</v>
      </c>
      <c r="O805" s="6" t="str">
        <f t="shared" si="3"/>
        <v>May</v>
      </c>
      <c r="P805" s="6" t="str">
        <f t="shared" si="4"/>
        <v>2010</v>
      </c>
    </row>
    <row r="806">
      <c r="A806" s="3"/>
      <c r="M806" s="50" t="s">
        <v>1211</v>
      </c>
      <c r="N806" s="51">
        <v>3.024</v>
      </c>
      <c r="O806" s="6" t="str">
        <f t="shared" si="3"/>
        <v>May</v>
      </c>
      <c r="P806" s="6" t="str">
        <f t="shared" si="4"/>
        <v>2010</v>
      </c>
    </row>
    <row r="807">
      <c r="A807" s="3"/>
      <c r="M807" s="50" t="s">
        <v>1212</v>
      </c>
      <c r="N807" s="51">
        <v>3.068</v>
      </c>
      <c r="O807" s="6" t="str">
        <f t="shared" si="3"/>
        <v>Jun</v>
      </c>
      <c r="P807" s="6" t="str">
        <f t="shared" si="4"/>
        <v>2010</v>
      </c>
    </row>
    <row r="808">
      <c r="A808" s="3"/>
      <c r="M808" s="50" t="s">
        <v>1213</v>
      </c>
      <c r="N808" s="51">
        <v>3.053</v>
      </c>
      <c r="O808" s="6" t="str">
        <f t="shared" si="3"/>
        <v>Jun</v>
      </c>
      <c r="P808" s="6" t="str">
        <f t="shared" si="4"/>
        <v>2010</v>
      </c>
    </row>
    <row r="809">
      <c r="A809" s="3"/>
      <c r="M809" s="50" t="s">
        <v>1214</v>
      </c>
      <c r="N809" s="51">
        <v>3.1</v>
      </c>
      <c r="O809" s="6" t="str">
        <f t="shared" si="3"/>
        <v>Jun</v>
      </c>
      <c r="P809" s="6" t="str">
        <f t="shared" si="4"/>
        <v>2010</v>
      </c>
    </row>
    <row r="810">
      <c r="A810" s="3"/>
      <c r="M810" s="50" t="s">
        <v>1215</v>
      </c>
      <c r="N810" s="51">
        <v>3.126</v>
      </c>
      <c r="O810" s="6" t="str">
        <f t="shared" si="3"/>
        <v>Jun</v>
      </c>
      <c r="P810" s="6" t="str">
        <f t="shared" si="4"/>
        <v>2010</v>
      </c>
    </row>
    <row r="811">
      <c r="A811" s="3"/>
      <c r="M811" s="50" t="s">
        <v>1216</v>
      </c>
      <c r="N811" s="51">
        <v>3.117</v>
      </c>
      <c r="O811" s="6" t="str">
        <f t="shared" si="3"/>
        <v>Jul</v>
      </c>
      <c r="P811" s="6" t="str">
        <f t="shared" si="4"/>
        <v>2010</v>
      </c>
    </row>
    <row r="812">
      <c r="A812" s="3"/>
      <c r="M812" s="50" t="s">
        <v>1217</v>
      </c>
      <c r="N812" s="51">
        <v>3.113</v>
      </c>
      <c r="O812" s="6" t="str">
        <f t="shared" si="3"/>
        <v>Jul</v>
      </c>
      <c r="P812" s="6" t="str">
        <f t="shared" si="4"/>
        <v>2010</v>
      </c>
    </row>
    <row r="813">
      <c r="A813" s="3"/>
      <c r="M813" s="50" t="s">
        <v>1218</v>
      </c>
      <c r="N813" s="51">
        <v>3.13</v>
      </c>
      <c r="O813" s="6" t="str">
        <f t="shared" si="3"/>
        <v>Jul</v>
      </c>
      <c r="P813" s="6" t="str">
        <f t="shared" si="4"/>
        <v>2010</v>
      </c>
    </row>
    <row r="814">
      <c r="A814" s="3"/>
      <c r="M814" s="50" t="s">
        <v>1219</v>
      </c>
      <c r="N814" s="51">
        <v>3.134</v>
      </c>
      <c r="O814" s="6" t="str">
        <f t="shared" si="3"/>
        <v>Jul</v>
      </c>
      <c r="P814" s="6" t="str">
        <f t="shared" si="4"/>
        <v>2010</v>
      </c>
    </row>
    <row r="815">
      <c r="A815" s="3"/>
      <c r="M815" s="50" t="s">
        <v>1220</v>
      </c>
      <c r="N815" s="51">
        <v>3.129</v>
      </c>
      <c r="O815" s="6" t="str">
        <f t="shared" si="3"/>
        <v>Aug</v>
      </c>
      <c r="P815" s="6" t="str">
        <f t="shared" si="4"/>
        <v>2010</v>
      </c>
    </row>
    <row r="816">
      <c r="A816" s="3"/>
      <c r="M816" s="50" t="s">
        <v>1221</v>
      </c>
      <c r="N816" s="51">
        <v>3.172</v>
      </c>
      <c r="O816" s="6" t="str">
        <f t="shared" si="3"/>
        <v>Aug</v>
      </c>
      <c r="P816" s="6" t="str">
        <f t="shared" si="4"/>
        <v>2010</v>
      </c>
    </row>
    <row r="817">
      <c r="A817" s="3"/>
      <c r="M817" s="50" t="s">
        <v>1222</v>
      </c>
      <c r="N817" s="51">
        <v>3.165</v>
      </c>
      <c r="O817" s="6" t="str">
        <f t="shared" si="3"/>
        <v>Aug</v>
      </c>
      <c r="P817" s="6" t="str">
        <f t="shared" si="4"/>
        <v>2010</v>
      </c>
    </row>
    <row r="818">
      <c r="A818" s="3"/>
      <c r="M818" s="50" t="s">
        <v>1223</v>
      </c>
      <c r="N818" s="51">
        <v>3.14</v>
      </c>
      <c r="O818" s="6" t="str">
        <f t="shared" si="3"/>
        <v>Aug</v>
      </c>
      <c r="P818" s="6" t="str">
        <f t="shared" si="4"/>
        <v>2010</v>
      </c>
    </row>
    <row r="819">
      <c r="A819" s="3"/>
      <c r="M819" s="50" t="s">
        <v>1224</v>
      </c>
      <c r="N819" s="51">
        <v>3.092</v>
      </c>
      <c r="O819" s="6" t="str">
        <f t="shared" si="3"/>
        <v>Aug</v>
      </c>
      <c r="P819" s="6" t="str">
        <f t="shared" si="4"/>
        <v>2010</v>
      </c>
    </row>
    <row r="820">
      <c r="A820" s="3"/>
      <c r="M820" s="50" t="s">
        <v>1225</v>
      </c>
      <c r="N820" s="51">
        <v>3.041</v>
      </c>
      <c r="O820" s="6" t="str">
        <f t="shared" si="3"/>
        <v>Sep</v>
      </c>
      <c r="P820" s="6" t="str">
        <f t="shared" si="4"/>
        <v>2010</v>
      </c>
    </row>
    <row r="821">
      <c r="A821" s="3"/>
      <c r="M821" s="50" t="s">
        <v>1226</v>
      </c>
      <c r="N821" s="51">
        <v>3.026</v>
      </c>
      <c r="O821" s="6" t="str">
        <f t="shared" si="3"/>
        <v>Sep</v>
      </c>
      <c r="P821" s="6" t="str">
        <f t="shared" si="4"/>
        <v>2010</v>
      </c>
    </row>
    <row r="822">
      <c r="A822" s="3"/>
      <c r="M822" s="50" t="s">
        <v>1227</v>
      </c>
      <c r="N822" s="51">
        <v>3.005</v>
      </c>
      <c r="O822" s="6" t="str">
        <f t="shared" si="3"/>
        <v>Sep</v>
      </c>
      <c r="P822" s="6" t="str">
        <f t="shared" si="4"/>
        <v>2010</v>
      </c>
    </row>
    <row r="823">
      <c r="A823" s="3"/>
      <c r="M823" s="50" t="s">
        <v>1228</v>
      </c>
      <c r="N823" s="51">
        <v>2.996</v>
      </c>
      <c r="O823" s="6" t="str">
        <f t="shared" si="3"/>
        <v>Sep</v>
      </c>
      <c r="P823" s="6" t="str">
        <f t="shared" si="4"/>
        <v>2010</v>
      </c>
    </row>
    <row r="824">
      <c r="A824" s="3"/>
      <c r="M824" s="50" t="s">
        <v>1229</v>
      </c>
      <c r="N824" s="51">
        <v>3.013</v>
      </c>
      <c r="O824" s="6" t="str">
        <f t="shared" si="3"/>
        <v>Oct</v>
      </c>
      <c r="P824" s="6" t="str">
        <f t="shared" si="4"/>
        <v>2010</v>
      </c>
    </row>
    <row r="825">
      <c r="A825" s="3"/>
      <c r="M825" s="50" t="s">
        <v>1230</v>
      </c>
      <c r="N825" s="51">
        <v>3.089</v>
      </c>
      <c r="O825" s="6" t="str">
        <f t="shared" si="3"/>
        <v>Oct</v>
      </c>
      <c r="P825" s="6" t="str">
        <f t="shared" si="4"/>
        <v>2010</v>
      </c>
    </row>
    <row r="826">
      <c r="A826" s="3"/>
      <c r="M826" s="50" t="s">
        <v>1231</v>
      </c>
      <c r="N826" s="51">
        <v>3.147</v>
      </c>
      <c r="O826" s="6" t="str">
        <f t="shared" si="3"/>
        <v>Oct</v>
      </c>
      <c r="P826" s="6" t="str">
        <f t="shared" si="4"/>
        <v>2010</v>
      </c>
    </row>
    <row r="827">
      <c r="A827" s="3"/>
      <c r="M827" s="50" t="s">
        <v>1232</v>
      </c>
      <c r="N827" s="51">
        <v>3.143</v>
      </c>
      <c r="O827" s="6" t="str">
        <f t="shared" si="3"/>
        <v>Oct</v>
      </c>
      <c r="P827" s="6" t="str">
        <f t="shared" si="4"/>
        <v>2010</v>
      </c>
    </row>
    <row r="828">
      <c r="A828" s="3"/>
      <c r="M828" s="50" t="s">
        <v>1233</v>
      </c>
      <c r="N828" s="51">
        <v>3.145</v>
      </c>
      <c r="O828" s="6" t="str">
        <f t="shared" si="3"/>
        <v>Nov</v>
      </c>
      <c r="P828" s="6" t="str">
        <f t="shared" si="4"/>
        <v>2010</v>
      </c>
    </row>
    <row r="829">
      <c r="A829" s="3"/>
      <c r="M829" s="50" t="s">
        <v>1234</v>
      </c>
      <c r="N829" s="51">
        <v>3.141</v>
      </c>
      <c r="O829" s="6" t="str">
        <f t="shared" si="3"/>
        <v>Nov</v>
      </c>
      <c r="P829" s="6" t="str">
        <f t="shared" si="4"/>
        <v>2010</v>
      </c>
    </row>
    <row r="830">
      <c r="A830" s="3"/>
      <c r="M830" s="50" t="s">
        <v>1235</v>
      </c>
      <c r="N830" s="51">
        <v>3.175</v>
      </c>
      <c r="O830" s="6" t="str">
        <f t="shared" si="3"/>
        <v>Nov</v>
      </c>
      <c r="P830" s="6" t="str">
        <f t="shared" si="4"/>
        <v>2010</v>
      </c>
    </row>
    <row r="831">
      <c r="A831" s="3"/>
      <c r="M831" s="50" t="s">
        <v>1236</v>
      </c>
      <c r="N831" s="51">
        <v>3.171</v>
      </c>
      <c r="O831" s="6" t="str">
        <f t="shared" si="3"/>
        <v>Nov</v>
      </c>
      <c r="P831" s="6" t="str">
        <f t="shared" si="4"/>
        <v>2010</v>
      </c>
    </row>
    <row r="832">
      <c r="A832" s="3"/>
      <c r="M832" s="50" t="s">
        <v>1237</v>
      </c>
      <c r="N832" s="51">
        <v>3.152</v>
      </c>
      <c r="O832" s="6" t="str">
        <f t="shared" si="3"/>
        <v>Nov</v>
      </c>
      <c r="P832" s="6" t="str">
        <f t="shared" si="4"/>
        <v>2010</v>
      </c>
    </row>
    <row r="833">
      <c r="A833" s="3"/>
      <c r="M833" s="50" t="s">
        <v>1238</v>
      </c>
      <c r="N833" s="51">
        <v>3.216</v>
      </c>
      <c r="O833" s="6" t="str">
        <f t="shared" si="3"/>
        <v>Dec</v>
      </c>
      <c r="P833" s="6" t="str">
        <f t="shared" si="4"/>
        <v>2010</v>
      </c>
    </row>
    <row r="834">
      <c r="A834" s="3"/>
      <c r="M834" s="50" t="s">
        <v>1239</v>
      </c>
      <c r="N834" s="51">
        <v>3.25</v>
      </c>
      <c r="O834" s="6" t="str">
        <f t="shared" si="3"/>
        <v>Dec</v>
      </c>
      <c r="P834" s="6" t="str">
        <f t="shared" si="4"/>
        <v>2010</v>
      </c>
    </row>
    <row r="835">
      <c r="A835" s="3"/>
      <c r="M835" s="50" t="s">
        <v>1240</v>
      </c>
      <c r="N835" s="51">
        <v>3.247</v>
      </c>
      <c r="O835" s="6" t="str">
        <f t="shared" si="3"/>
        <v>Dec</v>
      </c>
      <c r="P835" s="6" t="str">
        <f t="shared" si="4"/>
        <v>2010</v>
      </c>
    </row>
    <row r="836">
      <c r="A836" s="3"/>
      <c r="M836" s="50" t="s">
        <v>1241</v>
      </c>
      <c r="N836" s="51">
        <v>3.287</v>
      </c>
      <c r="O836" s="6" t="str">
        <f t="shared" si="3"/>
        <v>Dec</v>
      </c>
      <c r="P836" s="6" t="str">
        <f t="shared" si="4"/>
        <v>2010</v>
      </c>
    </row>
    <row r="837">
      <c r="A837" s="3"/>
      <c r="M837" s="50" t="s">
        <v>1242</v>
      </c>
      <c r="N837" s="51">
        <v>3.308</v>
      </c>
      <c r="O837" s="6" t="str">
        <f t="shared" si="3"/>
        <v>Jan</v>
      </c>
      <c r="P837" s="6" t="str">
        <f t="shared" si="4"/>
        <v>2011</v>
      </c>
    </row>
    <row r="838">
      <c r="A838" s="3"/>
      <c r="M838" s="50" t="s">
        <v>1243</v>
      </c>
      <c r="N838" s="51">
        <v>3.332</v>
      </c>
      <c r="O838" s="6" t="str">
        <f t="shared" si="3"/>
        <v>Jan</v>
      </c>
      <c r="P838" s="6" t="str">
        <f t="shared" si="4"/>
        <v>2011</v>
      </c>
    </row>
    <row r="839">
      <c r="A839" s="3"/>
      <c r="M839" s="50" t="s">
        <v>1244</v>
      </c>
      <c r="N839" s="51">
        <v>3.349</v>
      </c>
      <c r="O839" s="6" t="str">
        <f t="shared" si="3"/>
        <v>Jan</v>
      </c>
      <c r="P839" s="6" t="str">
        <f t="shared" si="4"/>
        <v>2011</v>
      </c>
    </row>
    <row r="840">
      <c r="A840" s="3"/>
      <c r="M840" s="50" t="s">
        <v>1245</v>
      </c>
      <c r="N840" s="51">
        <v>3.357</v>
      </c>
      <c r="O840" s="6" t="str">
        <f t="shared" si="3"/>
        <v>Jan</v>
      </c>
      <c r="P840" s="6" t="str">
        <f t="shared" si="4"/>
        <v>2011</v>
      </c>
    </row>
    <row r="841">
      <c r="A841" s="3"/>
      <c r="M841" s="50" t="s">
        <v>1246</v>
      </c>
      <c r="N841" s="51">
        <v>3.364</v>
      </c>
      <c r="O841" s="6" t="str">
        <f t="shared" si="3"/>
        <v>Jan</v>
      </c>
      <c r="P841" s="6" t="str">
        <f t="shared" si="4"/>
        <v>2011</v>
      </c>
    </row>
    <row r="842">
      <c r="A842" s="3"/>
      <c r="M842" s="50" t="s">
        <v>1247</v>
      </c>
      <c r="N842" s="51">
        <v>3.397</v>
      </c>
      <c r="O842" s="6" t="str">
        <f t="shared" si="3"/>
        <v>Feb</v>
      </c>
      <c r="P842" s="6" t="str">
        <f t="shared" si="4"/>
        <v>2011</v>
      </c>
    </row>
    <row r="843">
      <c r="A843" s="3"/>
      <c r="M843" s="50" t="s">
        <v>1248</v>
      </c>
      <c r="N843" s="51">
        <v>3.447</v>
      </c>
      <c r="O843" s="6" t="str">
        <f t="shared" si="3"/>
        <v>Feb</v>
      </c>
      <c r="P843" s="6" t="str">
        <f t="shared" si="4"/>
        <v>2011</v>
      </c>
    </row>
    <row r="844">
      <c r="A844" s="3"/>
      <c r="M844" s="50" t="s">
        <v>1249</v>
      </c>
      <c r="N844" s="51">
        <v>3.555</v>
      </c>
      <c r="O844" s="6" t="str">
        <f t="shared" si="3"/>
        <v>Feb</v>
      </c>
      <c r="P844" s="6" t="str">
        <f t="shared" si="4"/>
        <v>2011</v>
      </c>
    </row>
    <row r="845">
      <c r="A845" s="3"/>
      <c r="M845" s="50" t="s">
        <v>1250</v>
      </c>
      <c r="N845" s="51">
        <v>3.719</v>
      </c>
      <c r="O845" s="6" t="str">
        <f t="shared" si="3"/>
        <v>Feb</v>
      </c>
      <c r="P845" s="6" t="str">
        <f t="shared" si="4"/>
        <v>2011</v>
      </c>
    </row>
    <row r="846">
      <c r="A846" s="3"/>
      <c r="M846" s="50" t="s">
        <v>1251</v>
      </c>
      <c r="N846" s="51">
        <v>3.874</v>
      </c>
      <c r="O846" s="6" t="str">
        <f t="shared" si="3"/>
        <v>Mar</v>
      </c>
      <c r="P846" s="6" t="str">
        <f t="shared" si="4"/>
        <v>2011</v>
      </c>
    </row>
    <row r="847">
      <c r="A847" s="3"/>
      <c r="M847" s="50" t="s">
        <v>1252</v>
      </c>
      <c r="N847" s="51">
        <v>3.954</v>
      </c>
      <c r="O847" s="6" t="str">
        <f t="shared" si="3"/>
        <v>Mar</v>
      </c>
      <c r="P847" s="6" t="str">
        <f t="shared" si="4"/>
        <v>2011</v>
      </c>
    </row>
    <row r="848">
      <c r="A848" s="3"/>
      <c r="M848" s="50" t="s">
        <v>1253</v>
      </c>
      <c r="N848" s="51">
        <v>3.966</v>
      </c>
      <c r="O848" s="6" t="str">
        <f t="shared" si="3"/>
        <v>Mar</v>
      </c>
      <c r="P848" s="6" t="str">
        <f t="shared" si="4"/>
        <v>2011</v>
      </c>
    </row>
    <row r="849">
      <c r="A849" s="3"/>
      <c r="M849" s="50" t="s">
        <v>1254</v>
      </c>
      <c r="N849" s="51">
        <v>4.028</v>
      </c>
      <c r="O849" s="6" t="str">
        <f t="shared" si="3"/>
        <v>Mar</v>
      </c>
      <c r="P849" s="6" t="str">
        <f t="shared" si="4"/>
        <v>2011</v>
      </c>
    </row>
    <row r="850">
      <c r="A850" s="3"/>
      <c r="M850" s="50" t="s">
        <v>1255</v>
      </c>
      <c r="N850" s="51">
        <v>4.057</v>
      </c>
      <c r="O850" s="6" t="str">
        <f t="shared" si="3"/>
        <v>Apr</v>
      </c>
      <c r="P850" s="6" t="str">
        <f t="shared" si="4"/>
        <v>2011</v>
      </c>
    </row>
    <row r="851">
      <c r="A851" s="3"/>
      <c r="M851" s="50" t="s">
        <v>1256</v>
      </c>
      <c r="N851" s="51">
        <v>4.161</v>
      </c>
      <c r="O851" s="6" t="str">
        <f t="shared" si="3"/>
        <v>Apr</v>
      </c>
      <c r="P851" s="6" t="str">
        <f t="shared" si="4"/>
        <v>2011</v>
      </c>
    </row>
    <row r="852">
      <c r="A852" s="3"/>
      <c r="M852" s="50" t="s">
        <v>1257</v>
      </c>
      <c r="N852" s="51">
        <v>4.205</v>
      </c>
      <c r="O852" s="6" t="str">
        <f t="shared" si="3"/>
        <v>Apr</v>
      </c>
      <c r="P852" s="6" t="str">
        <f t="shared" si="4"/>
        <v>2011</v>
      </c>
    </row>
    <row r="853">
      <c r="A853" s="3"/>
      <c r="M853" s="50" t="s">
        <v>1258</v>
      </c>
      <c r="N853" s="51">
        <v>4.217</v>
      </c>
      <c r="O853" s="6" t="str">
        <f t="shared" si="3"/>
        <v>Apr</v>
      </c>
      <c r="P853" s="6" t="str">
        <f t="shared" si="4"/>
        <v>2011</v>
      </c>
    </row>
    <row r="854">
      <c r="A854" s="3"/>
      <c r="M854" s="50" t="s">
        <v>1259</v>
      </c>
      <c r="N854" s="51">
        <v>4.257</v>
      </c>
      <c r="O854" s="6" t="str">
        <f t="shared" si="3"/>
        <v>May</v>
      </c>
      <c r="P854" s="6" t="str">
        <f t="shared" si="4"/>
        <v>2011</v>
      </c>
    </row>
    <row r="855">
      <c r="A855" s="3"/>
      <c r="M855" s="50" t="s">
        <v>1260</v>
      </c>
      <c r="N855" s="51">
        <v>4.254</v>
      </c>
      <c r="O855" s="6" t="str">
        <f t="shared" si="3"/>
        <v>May</v>
      </c>
      <c r="P855" s="6" t="str">
        <f t="shared" si="4"/>
        <v>2011</v>
      </c>
    </row>
    <row r="856">
      <c r="A856" s="3"/>
      <c r="M856" s="50" t="s">
        <v>1261</v>
      </c>
      <c r="N856" s="51">
        <v>4.218</v>
      </c>
      <c r="O856" s="6" t="str">
        <f t="shared" si="3"/>
        <v>May</v>
      </c>
      <c r="P856" s="6" t="str">
        <f t="shared" si="4"/>
        <v>2011</v>
      </c>
    </row>
    <row r="857">
      <c r="A857" s="3"/>
      <c r="M857" s="50" t="s">
        <v>1262</v>
      </c>
      <c r="N857" s="51">
        <v>4.121</v>
      </c>
      <c r="O857" s="6" t="str">
        <f t="shared" si="3"/>
        <v>May</v>
      </c>
      <c r="P857" s="6" t="str">
        <f t="shared" si="4"/>
        <v>2011</v>
      </c>
    </row>
    <row r="858">
      <c r="A858" s="3"/>
      <c r="M858" s="50" t="s">
        <v>1263</v>
      </c>
      <c r="N858" s="51">
        <v>4.056</v>
      </c>
      <c r="O858" s="6" t="str">
        <f t="shared" si="3"/>
        <v>May</v>
      </c>
      <c r="P858" s="6" t="str">
        <f t="shared" si="4"/>
        <v>2011</v>
      </c>
    </row>
    <row r="859">
      <c r="A859" s="3"/>
      <c r="M859" s="50" t="s">
        <v>1264</v>
      </c>
      <c r="N859" s="51">
        <v>3.994</v>
      </c>
      <c r="O859" s="6" t="str">
        <f t="shared" si="3"/>
        <v>Jun</v>
      </c>
      <c r="P859" s="6" t="str">
        <f t="shared" si="4"/>
        <v>2011</v>
      </c>
    </row>
    <row r="860">
      <c r="A860" s="3"/>
      <c r="M860" s="50" t="s">
        <v>1265</v>
      </c>
      <c r="N860" s="51">
        <v>3.94</v>
      </c>
      <c r="O860" s="6" t="str">
        <f t="shared" si="3"/>
        <v>Jun</v>
      </c>
      <c r="P860" s="6" t="str">
        <f t="shared" si="4"/>
        <v>2011</v>
      </c>
    </row>
    <row r="861">
      <c r="A861" s="3"/>
      <c r="M861" s="50" t="s">
        <v>1266</v>
      </c>
      <c r="N861" s="51">
        <v>3.9</v>
      </c>
      <c r="O861" s="6" t="str">
        <f t="shared" si="3"/>
        <v>Jun</v>
      </c>
      <c r="P861" s="6" t="str">
        <f t="shared" si="4"/>
        <v>2011</v>
      </c>
    </row>
    <row r="862">
      <c r="A862" s="3"/>
      <c r="M862" s="50" t="s">
        <v>1267</v>
      </c>
      <c r="N862" s="51">
        <v>3.839</v>
      </c>
      <c r="O862" s="6" t="str">
        <f t="shared" si="3"/>
        <v>Jun</v>
      </c>
      <c r="P862" s="6" t="str">
        <f t="shared" si="4"/>
        <v>2011</v>
      </c>
    </row>
    <row r="863">
      <c r="A863" s="3"/>
      <c r="M863" s="50" t="s">
        <v>1268</v>
      </c>
      <c r="N863" s="51">
        <v>3.794</v>
      </c>
      <c r="O863" s="6" t="str">
        <f t="shared" si="3"/>
        <v>Jul</v>
      </c>
      <c r="P863" s="6" t="str">
        <f t="shared" si="4"/>
        <v>2011</v>
      </c>
    </row>
    <row r="864">
      <c r="A864" s="3"/>
      <c r="M864" s="50" t="s">
        <v>1269</v>
      </c>
      <c r="N864" s="51">
        <v>3.778</v>
      </c>
      <c r="O864" s="6" t="str">
        <f t="shared" si="3"/>
        <v>Jul</v>
      </c>
      <c r="P864" s="6" t="str">
        <f t="shared" si="4"/>
        <v>2011</v>
      </c>
    </row>
    <row r="865">
      <c r="A865" s="3"/>
      <c r="M865" s="50" t="s">
        <v>1270</v>
      </c>
      <c r="N865" s="51">
        <v>3.8</v>
      </c>
      <c r="O865" s="6" t="str">
        <f t="shared" si="3"/>
        <v>Jul</v>
      </c>
      <c r="P865" s="6" t="str">
        <f t="shared" si="4"/>
        <v>2011</v>
      </c>
    </row>
    <row r="866">
      <c r="A866" s="3"/>
      <c r="M866" s="50" t="s">
        <v>1271</v>
      </c>
      <c r="N866" s="51">
        <v>3.818</v>
      </c>
      <c r="O866" s="6" t="str">
        <f t="shared" si="3"/>
        <v>Jul</v>
      </c>
      <c r="P866" s="6" t="str">
        <f t="shared" si="4"/>
        <v>2011</v>
      </c>
    </row>
    <row r="867">
      <c r="A867" s="3"/>
      <c r="M867" s="50" t="s">
        <v>1272</v>
      </c>
      <c r="N867" s="51">
        <v>3.811</v>
      </c>
      <c r="O867" s="6" t="str">
        <f t="shared" si="3"/>
        <v>Aug</v>
      </c>
      <c r="P867" s="6" t="str">
        <f t="shared" si="4"/>
        <v>2011</v>
      </c>
    </row>
    <row r="868">
      <c r="A868" s="3"/>
      <c r="M868" s="50" t="s">
        <v>1273</v>
      </c>
      <c r="N868" s="51">
        <v>3.798</v>
      </c>
      <c r="O868" s="6" t="str">
        <f t="shared" si="3"/>
        <v>Aug</v>
      </c>
      <c r="P868" s="6" t="str">
        <f t="shared" si="4"/>
        <v>2011</v>
      </c>
    </row>
    <row r="869">
      <c r="A869" s="3"/>
      <c r="M869" s="50" t="s">
        <v>1274</v>
      </c>
      <c r="N869" s="51">
        <v>3.734</v>
      </c>
      <c r="O869" s="6" t="str">
        <f t="shared" si="3"/>
        <v>Aug</v>
      </c>
      <c r="P869" s="6" t="str">
        <f t="shared" si="4"/>
        <v>2011</v>
      </c>
    </row>
    <row r="870">
      <c r="A870" s="3"/>
      <c r="M870" s="50" t="s">
        <v>1275</v>
      </c>
      <c r="N870" s="51">
        <v>3.734</v>
      </c>
      <c r="O870" s="6" t="str">
        <f t="shared" si="3"/>
        <v>Aug</v>
      </c>
      <c r="P870" s="6" t="str">
        <f t="shared" si="4"/>
        <v>2011</v>
      </c>
    </row>
    <row r="871">
      <c r="A871" s="3"/>
      <c r="M871" s="50" t="s">
        <v>1276</v>
      </c>
      <c r="N871" s="51">
        <v>3.809</v>
      </c>
      <c r="O871" s="6" t="str">
        <f t="shared" si="3"/>
        <v>Aug</v>
      </c>
      <c r="P871" s="6" t="str">
        <f t="shared" si="4"/>
        <v>2011</v>
      </c>
    </row>
    <row r="872">
      <c r="A872" s="3"/>
      <c r="M872" s="50" t="s">
        <v>1277</v>
      </c>
      <c r="N872" s="51">
        <v>3.944</v>
      </c>
      <c r="O872" s="6" t="str">
        <f t="shared" si="3"/>
        <v>Sep</v>
      </c>
      <c r="P872" s="6" t="str">
        <f t="shared" si="4"/>
        <v>2011</v>
      </c>
    </row>
    <row r="873">
      <c r="A873" s="3"/>
      <c r="M873" s="50" t="s">
        <v>1278</v>
      </c>
      <c r="N873" s="51">
        <v>3.944</v>
      </c>
      <c r="O873" s="6" t="str">
        <f t="shared" si="3"/>
        <v>Sep</v>
      </c>
      <c r="P873" s="6" t="str">
        <f t="shared" si="4"/>
        <v>2011</v>
      </c>
    </row>
    <row r="874">
      <c r="A874" s="3"/>
      <c r="M874" s="50" t="s">
        <v>1279</v>
      </c>
      <c r="N874" s="51">
        <v>3.923</v>
      </c>
      <c r="O874" s="6" t="str">
        <f t="shared" si="3"/>
        <v>Sep</v>
      </c>
      <c r="P874" s="6" t="str">
        <f t="shared" si="4"/>
        <v>2011</v>
      </c>
    </row>
    <row r="875">
      <c r="A875" s="3"/>
      <c r="M875" s="50" t="s">
        <v>1280</v>
      </c>
      <c r="N875" s="51">
        <v>3.887</v>
      </c>
      <c r="O875" s="6" t="str">
        <f t="shared" si="3"/>
        <v>Sep</v>
      </c>
      <c r="P875" s="6" t="str">
        <f t="shared" si="4"/>
        <v>2011</v>
      </c>
    </row>
    <row r="876">
      <c r="A876" s="3"/>
      <c r="M876" s="50" t="s">
        <v>1281</v>
      </c>
      <c r="N876" s="51">
        <v>3.835</v>
      </c>
      <c r="O876" s="6" t="str">
        <f t="shared" si="3"/>
        <v>Oct</v>
      </c>
      <c r="P876" s="6" t="str">
        <f t="shared" si="4"/>
        <v>2011</v>
      </c>
    </row>
    <row r="877">
      <c r="A877" s="3"/>
      <c r="M877" s="50" t="s">
        <v>1282</v>
      </c>
      <c r="N877" s="51">
        <v>3.815</v>
      </c>
      <c r="O877" s="6" t="str">
        <f t="shared" si="3"/>
        <v>Oct</v>
      </c>
      <c r="P877" s="6" t="str">
        <f t="shared" si="4"/>
        <v>2011</v>
      </c>
    </row>
    <row r="878">
      <c r="A878" s="3"/>
      <c r="M878" s="50" t="s">
        <v>1283</v>
      </c>
      <c r="N878" s="51">
        <v>3.864</v>
      </c>
      <c r="O878" s="6" t="str">
        <f t="shared" si="3"/>
        <v>Oct</v>
      </c>
      <c r="P878" s="6" t="str">
        <f t="shared" si="4"/>
        <v>2011</v>
      </c>
    </row>
    <row r="879">
      <c r="A879" s="3"/>
      <c r="M879" s="50" t="s">
        <v>1284</v>
      </c>
      <c r="N879" s="51">
        <v>3.858</v>
      </c>
      <c r="O879" s="6" t="str">
        <f t="shared" si="3"/>
        <v>Oct</v>
      </c>
      <c r="P879" s="6" t="str">
        <f t="shared" si="4"/>
        <v>2011</v>
      </c>
    </row>
    <row r="880">
      <c r="A880" s="3"/>
      <c r="M880" s="50" t="s">
        <v>1285</v>
      </c>
      <c r="N880" s="51">
        <v>3.846</v>
      </c>
      <c r="O880" s="6" t="str">
        <f t="shared" si="3"/>
        <v>Oct</v>
      </c>
      <c r="P880" s="6" t="str">
        <f t="shared" si="4"/>
        <v>2011</v>
      </c>
    </row>
    <row r="881">
      <c r="A881" s="3"/>
      <c r="M881" s="50" t="s">
        <v>1286</v>
      </c>
      <c r="N881" s="51">
        <v>3.855</v>
      </c>
      <c r="O881" s="6" t="str">
        <f t="shared" si="3"/>
        <v>Nov</v>
      </c>
      <c r="P881" s="6" t="str">
        <f t="shared" si="4"/>
        <v>2011</v>
      </c>
    </row>
    <row r="882">
      <c r="A882" s="3"/>
      <c r="M882" s="50" t="s">
        <v>1287</v>
      </c>
      <c r="N882" s="51">
        <v>3.84</v>
      </c>
      <c r="O882" s="6" t="str">
        <f t="shared" si="3"/>
        <v>Nov</v>
      </c>
      <c r="P882" s="6" t="str">
        <f t="shared" si="4"/>
        <v>2011</v>
      </c>
    </row>
    <row r="883">
      <c r="A883" s="3"/>
      <c r="M883" s="50" t="s">
        <v>1288</v>
      </c>
      <c r="N883" s="51">
        <v>3.786</v>
      </c>
      <c r="O883" s="6" t="str">
        <f t="shared" si="3"/>
        <v>Nov</v>
      </c>
      <c r="P883" s="6" t="str">
        <f t="shared" si="4"/>
        <v>2011</v>
      </c>
    </row>
    <row r="884">
      <c r="A884" s="3"/>
      <c r="M884" s="50" t="s">
        <v>1289</v>
      </c>
      <c r="N884" s="51">
        <v>3.718</v>
      </c>
      <c r="O884" s="6" t="str">
        <f t="shared" si="3"/>
        <v>Nov</v>
      </c>
      <c r="P884" s="6" t="str">
        <f t="shared" si="4"/>
        <v>2011</v>
      </c>
    </row>
    <row r="885">
      <c r="A885" s="3"/>
      <c r="M885" s="50" t="s">
        <v>1290</v>
      </c>
      <c r="N885" s="51">
        <v>3.655</v>
      </c>
      <c r="O885" s="6" t="str">
        <f t="shared" si="3"/>
        <v>Dec</v>
      </c>
      <c r="P885" s="6" t="str">
        <f t="shared" si="4"/>
        <v>2011</v>
      </c>
    </row>
    <row r="886">
      <c r="A886" s="3"/>
      <c r="M886" s="50" t="s">
        <v>1291</v>
      </c>
      <c r="N886" s="51">
        <v>3.611</v>
      </c>
      <c r="O886" s="6" t="str">
        <f t="shared" si="3"/>
        <v>Dec</v>
      </c>
      <c r="P886" s="6" t="str">
        <f t="shared" si="4"/>
        <v>2011</v>
      </c>
    </row>
    <row r="887">
      <c r="A887" s="3"/>
      <c r="M887" s="50" t="s">
        <v>1292</v>
      </c>
      <c r="N887" s="51">
        <v>3.556</v>
      </c>
      <c r="O887" s="6" t="str">
        <f t="shared" si="3"/>
        <v>Dec</v>
      </c>
      <c r="P887" s="6" t="str">
        <f t="shared" si="4"/>
        <v>2011</v>
      </c>
    </row>
    <row r="888">
      <c r="A888" s="3"/>
      <c r="M888" s="50" t="s">
        <v>1293</v>
      </c>
      <c r="N888" s="51">
        <v>3.576</v>
      </c>
      <c r="O888" s="6" t="str">
        <f t="shared" si="3"/>
        <v>Dec</v>
      </c>
      <c r="P888" s="6" t="str">
        <f t="shared" si="4"/>
        <v>2011</v>
      </c>
    </row>
    <row r="889">
      <c r="A889" s="3"/>
      <c r="M889" s="50" t="s">
        <v>1294</v>
      </c>
      <c r="N889" s="51">
        <v>3.635</v>
      </c>
      <c r="O889" s="6" t="str">
        <f t="shared" si="3"/>
        <v>Jan</v>
      </c>
      <c r="P889" s="6" t="str">
        <f t="shared" si="4"/>
        <v>2012</v>
      </c>
    </row>
    <row r="890">
      <c r="A890" s="3"/>
      <c r="M890" s="50" t="s">
        <v>1295</v>
      </c>
      <c r="N890" s="51">
        <v>3.707</v>
      </c>
      <c r="O890" s="6" t="str">
        <f t="shared" si="3"/>
        <v>Jan</v>
      </c>
      <c r="P890" s="6" t="str">
        <f t="shared" si="4"/>
        <v>2012</v>
      </c>
    </row>
    <row r="891">
      <c r="A891" s="3"/>
      <c r="M891" s="50" t="s">
        <v>1296</v>
      </c>
      <c r="N891" s="51">
        <v>3.7</v>
      </c>
      <c r="O891" s="6" t="str">
        <f t="shared" si="3"/>
        <v>Jan</v>
      </c>
      <c r="P891" s="6" t="str">
        <f t="shared" si="4"/>
        <v>2012</v>
      </c>
    </row>
    <row r="892">
      <c r="A892" s="3"/>
      <c r="M892" s="50" t="s">
        <v>1297</v>
      </c>
      <c r="N892" s="51">
        <v>3.714</v>
      </c>
      <c r="O892" s="6" t="str">
        <f t="shared" si="3"/>
        <v>Jan</v>
      </c>
      <c r="P892" s="6" t="str">
        <f t="shared" si="4"/>
        <v>2012</v>
      </c>
    </row>
    <row r="893">
      <c r="A893" s="3"/>
      <c r="M893" s="50" t="s">
        <v>1298</v>
      </c>
      <c r="N893" s="51">
        <v>3.741</v>
      </c>
      <c r="O893" s="6" t="str">
        <f t="shared" si="3"/>
        <v>Jan</v>
      </c>
      <c r="P893" s="6" t="str">
        <f t="shared" si="4"/>
        <v>2012</v>
      </c>
    </row>
    <row r="894">
      <c r="A894" s="3"/>
      <c r="M894" s="50" t="s">
        <v>1299</v>
      </c>
      <c r="N894" s="51">
        <v>3.758</v>
      </c>
      <c r="O894" s="6" t="str">
        <f t="shared" si="3"/>
        <v>Feb</v>
      </c>
      <c r="P894" s="6" t="str">
        <f t="shared" si="4"/>
        <v>2012</v>
      </c>
    </row>
    <row r="895">
      <c r="A895" s="3"/>
      <c r="M895" s="50" t="s">
        <v>1300</v>
      </c>
      <c r="N895" s="51">
        <v>3.835</v>
      </c>
      <c r="O895" s="6" t="str">
        <f t="shared" si="3"/>
        <v>Feb</v>
      </c>
      <c r="P895" s="6" t="str">
        <f t="shared" si="4"/>
        <v>2012</v>
      </c>
    </row>
    <row r="896">
      <c r="A896" s="3"/>
      <c r="M896" s="50" t="s">
        <v>1301</v>
      </c>
      <c r="N896" s="51">
        <v>4.035</v>
      </c>
      <c r="O896" s="6" t="str">
        <f t="shared" si="3"/>
        <v>Feb</v>
      </c>
      <c r="P896" s="6" t="str">
        <f t="shared" si="4"/>
        <v>2012</v>
      </c>
    </row>
    <row r="897">
      <c r="A897" s="3"/>
      <c r="M897" s="50" t="s">
        <v>1302</v>
      </c>
      <c r="N897" s="51">
        <v>4.292</v>
      </c>
      <c r="O897" s="6" t="str">
        <f t="shared" si="3"/>
        <v>Feb</v>
      </c>
      <c r="P897" s="6" t="str">
        <f t="shared" si="4"/>
        <v>2012</v>
      </c>
    </row>
    <row r="898">
      <c r="A898" s="3"/>
      <c r="M898" s="50" t="s">
        <v>1303</v>
      </c>
      <c r="N898" s="51">
        <v>4.358</v>
      </c>
      <c r="O898" s="6" t="str">
        <f t="shared" si="3"/>
        <v>Mar</v>
      </c>
      <c r="P898" s="6" t="str">
        <f t="shared" si="4"/>
        <v>2012</v>
      </c>
    </row>
    <row r="899">
      <c r="A899" s="3"/>
      <c r="M899" s="50" t="s">
        <v>1304</v>
      </c>
      <c r="N899" s="51">
        <v>4.376</v>
      </c>
      <c r="O899" s="6" t="str">
        <f t="shared" si="3"/>
        <v>Mar</v>
      </c>
      <c r="P899" s="6" t="str">
        <f t="shared" si="4"/>
        <v>2012</v>
      </c>
    </row>
    <row r="900">
      <c r="A900" s="3"/>
      <c r="M900" s="50" t="s">
        <v>1305</v>
      </c>
      <c r="N900" s="51">
        <v>4.375</v>
      </c>
      <c r="O900" s="6" t="str">
        <f t="shared" si="3"/>
        <v>Mar</v>
      </c>
      <c r="P900" s="6" t="str">
        <f t="shared" si="4"/>
        <v>2012</v>
      </c>
    </row>
    <row r="901">
      <c r="A901" s="3"/>
      <c r="M901" s="50" t="s">
        <v>1306</v>
      </c>
      <c r="N901" s="51">
        <v>4.359</v>
      </c>
      <c r="O901" s="6" t="str">
        <f t="shared" si="3"/>
        <v>Mar</v>
      </c>
      <c r="P901" s="6" t="str">
        <f t="shared" si="4"/>
        <v>2012</v>
      </c>
    </row>
    <row r="902">
      <c r="A902" s="3"/>
      <c r="M902" s="50" t="s">
        <v>1307</v>
      </c>
      <c r="N902" s="51">
        <v>4.322</v>
      </c>
      <c r="O902" s="6" t="str">
        <f t="shared" si="3"/>
        <v>Apr</v>
      </c>
      <c r="P902" s="6" t="str">
        <f t="shared" si="4"/>
        <v>2012</v>
      </c>
    </row>
    <row r="903">
      <c r="A903" s="3"/>
      <c r="M903" s="50" t="s">
        <v>1308</v>
      </c>
      <c r="N903" s="51">
        <v>4.28</v>
      </c>
      <c r="O903" s="6" t="str">
        <f t="shared" si="3"/>
        <v>Apr</v>
      </c>
      <c r="P903" s="6" t="str">
        <f t="shared" si="4"/>
        <v>2012</v>
      </c>
    </row>
    <row r="904">
      <c r="A904" s="3"/>
      <c r="M904" s="50" t="s">
        <v>1309</v>
      </c>
      <c r="N904" s="51">
        <v>4.235</v>
      </c>
      <c r="O904" s="6" t="str">
        <f t="shared" si="3"/>
        <v>Apr</v>
      </c>
      <c r="P904" s="6" t="str">
        <f t="shared" si="4"/>
        <v>2012</v>
      </c>
    </row>
    <row r="905">
      <c r="A905" s="3"/>
      <c r="M905" s="50" t="s">
        <v>1310</v>
      </c>
      <c r="N905" s="51">
        <v>4.203</v>
      </c>
      <c r="O905" s="6" t="str">
        <f t="shared" si="3"/>
        <v>Apr</v>
      </c>
      <c r="P905" s="6" t="str">
        <f t="shared" si="4"/>
        <v>2012</v>
      </c>
    </row>
    <row r="906">
      <c r="A906" s="3"/>
      <c r="M906" s="50" t="s">
        <v>1311</v>
      </c>
      <c r="N906" s="51">
        <v>4.186</v>
      </c>
      <c r="O906" s="6" t="str">
        <f t="shared" si="3"/>
        <v>Apr</v>
      </c>
      <c r="P906" s="6" t="str">
        <f t="shared" si="4"/>
        <v>2012</v>
      </c>
    </row>
    <row r="907">
      <c r="A907" s="3"/>
      <c r="M907" s="50" t="s">
        <v>1312</v>
      </c>
      <c r="N907" s="51">
        <v>4.213</v>
      </c>
      <c r="O907" s="6" t="str">
        <f t="shared" si="3"/>
        <v>May</v>
      </c>
      <c r="P907" s="6" t="str">
        <f t="shared" si="4"/>
        <v>2012</v>
      </c>
    </row>
    <row r="908">
      <c r="A908" s="3"/>
      <c r="M908" s="50" t="s">
        <v>1313</v>
      </c>
      <c r="N908" s="51">
        <v>4.367</v>
      </c>
      <c r="O908" s="6" t="str">
        <f t="shared" si="3"/>
        <v>May</v>
      </c>
      <c r="P908" s="6" t="str">
        <f t="shared" si="4"/>
        <v>2012</v>
      </c>
    </row>
    <row r="909">
      <c r="A909" s="3"/>
      <c r="M909" s="50" t="s">
        <v>1314</v>
      </c>
      <c r="N909" s="51">
        <v>4.336</v>
      </c>
      <c r="O909" s="6" t="str">
        <f t="shared" si="3"/>
        <v>May</v>
      </c>
      <c r="P909" s="6" t="str">
        <f t="shared" si="4"/>
        <v>2012</v>
      </c>
    </row>
    <row r="910">
      <c r="A910" s="3"/>
      <c r="M910" s="50" t="s">
        <v>1315</v>
      </c>
      <c r="N910" s="51">
        <v>4.312</v>
      </c>
      <c r="O910" s="6" t="str">
        <f t="shared" si="3"/>
        <v>May</v>
      </c>
      <c r="P910" s="6" t="str">
        <f t="shared" si="4"/>
        <v>2012</v>
      </c>
    </row>
    <row r="911">
      <c r="A911" s="3"/>
      <c r="M911" s="50" t="s">
        <v>1316</v>
      </c>
      <c r="N911" s="51">
        <v>4.26</v>
      </c>
      <c r="O911" s="6" t="str">
        <f t="shared" si="3"/>
        <v>Jun</v>
      </c>
      <c r="P911" s="6" t="str">
        <f t="shared" si="4"/>
        <v>2012</v>
      </c>
    </row>
    <row r="912">
      <c r="A912" s="3"/>
      <c r="M912" s="50" t="s">
        <v>1317</v>
      </c>
      <c r="N912" s="51">
        <v>4.164</v>
      </c>
      <c r="O912" s="6" t="str">
        <f t="shared" si="3"/>
        <v>Jun</v>
      </c>
      <c r="P912" s="6" t="str">
        <f t="shared" si="4"/>
        <v>2012</v>
      </c>
    </row>
    <row r="913">
      <c r="A913" s="3"/>
      <c r="M913" s="50" t="s">
        <v>1318</v>
      </c>
      <c r="N913" s="51">
        <v>4.029</v>
      </c>
      <c r="O913" s="6" t="str">
        <f t="shared" si="3"/>
        <v>Jun</v>
      </c>
      <c r="P913" s="6" t="str">
        <f t="shared" si="4"/>
        <v>2012</v>
      </c>
    </row>
    <row r="914">
      <c r="A914" s="3"/>
      <c r="M914" s="50" t="s">
        <v>1319</v>
      </c>
      <c r="N914" s="51">
        <v>3.887</v>
      </c>
      <c r="O914" s="6" t="str">
        <f t="shared" si="3"/>
        <v>Jun</v>
      </c>
      <c r="P914" s="6" t="str">
        <f t="shared" si="4"/>
        <v>2012</v>
      </c>
    </row>
    <row r="915">
      <c r="A915" s="3"/>
      <c r="M915" s="50" t="s">
        <v>1320</v>
      </c>
      <c r="N915" s="51">
        <v>3.773</v>
      </c>
      <c r="O915" s="6" t="str">
        <f t="shared" si="3"/>
        <v>Jul</v>
      </c>
      <c r="P915" s="6" t="str">
        <f t="shared" si="4"/>
        <v>2012</v>
      </c>
    </row>
    <row r="916">
      <c r="A916" s="3"/>
      <c r="M916" s="50" t="s">
        <v>1321</v>
      </c>
      <c r="N916" s="51">
        <v>3.733</v>
      </c>
      <c r="O916" s="6" t="str">
        <f t="shared" si="3"/>
        <v>Jul</v>
      </c>
      <c r="P916" s="6" t="str">
        <f t="shared" si="4"/>
        <v>2012</v>
      </c>
    </row>
    <row r="917">
      <c r="A917" s="3"/>
      <c r="M917" s="50" t="s">
        <v>1322</v>
      </c>
      <c r="N917" s="51">
        <v>3.753</v>
      </c>
      <c r="O917" s="6" t="str">
        <f t="shared" si="3"/>
        <v>Jul</v>
      </c>
      <c r="P917" s="6" t="str">
        <f t="shared" si="4"/>
        <v>2012</v>
      </c>
    </row>
    <row r="918">
      <c r="A918" s="3"/>
      <c r="M918" s="50" t="s">
        <v>1323</v>
      </c>
      <c r="N918" s="51">
        <v>3.808</v>
      </c>
      <c r="O918" s="6" t="str">
        <f t="shared" si="3"/>
        <v>Jul</v>
      </c>
      <c r="P918" s="6" t="str">
        <f t="shared" si="4"/>
        <v>2012</v>
      </c>
    </row>
    <row r="919">
      <c r="A919" s="3"/>
      <c r="M919" s="50" t="s">
        <v>1324</v>
      </c>
      <c r="N919" s="51">
        <v>3.802</v>
      </c>
      <c r="O919" s="6" t="str">
        <f t="shared" si="3"/>
        <v>Jul</v>
      </c>
      <c r="P919" s="6" t="str">
        <f t="shared" si="4"/>
        <v>2012</v>
      </c>
    </row>
    <row r="920">
      <c r="A920" s="3"/>
      <c r="M920" s="50" t="s">
        <v>1325</v>
      </c>
      <c r="N920" s="51">
        <v>3.868</v>
      </c>
      <c r="O920" s="6" t="str">
        <f t="shared" si="3"/>
        <v>Aug</v>
      </c>
      <c r="P920" s="6" t="str">
        <f t="shared" si="4"/>
        <v>2012</v>
      </c>
    </row>
    <row r="921">
      <c r="A921" s="3"/>
      <c r="M921" s="50" t="s">
        <v>1326</v>
      </c>
      <c r="N921" s="51">
        <v>4.096</v>
      </c>
      <c r="O921" s="6" t="str">
        <f t="shared" si="3"/>
        <v>Aug</v>
      </c>
      <c r="P921" s="6" t="str">
        <f t="shared" si="4"/>
        <v>2012</v>
      </c>
    </row>
    <row r="922">
      <c r="A922" s="3"/>
      <c r="M922" s="50" t="s">
        <v>1327</v>
      </c>
      <c r="N922" s="51">
        <v>4.129</v>
      </c>
      <c r="O922" s="6" t="str">
        <f t="shared" si="3"/>
        <v>Aug</v>
      </c>
      <c r="P922" s="6" t="str">
        <f t="shared" si="4"/>
        <v>2012</v>
      </c>
    </row>
    <row r="923">
      <c r="A923" s="3"/>
      <c r="M923" s="50" t="s">
        <v>1328</v>
      </c>
      <c r="N923" s="51">
        <v>4.158</v>
      </c>
      <c r="O923" s="6" t="str">
        <f t="shared" si="3"/>
        <v>Aug</v>
      </c>
      <c r="P923" s="6" t="str">
        <f t="shared" si="4"/>
        <v>2012</v>
      </c>
    </row>
    <row r="924">
      <c r="A924" s="3"/>
      <c r="M924" s="50" t="s">
        <v>1329</v>
      </c>
      <c r="N924" s="51">
        <v>4.176</v>
      </c>
      <c r="O924" s="6" t="str">
        <f t="shared" si="3"/>
        <v>Sep</v>
      </c>
      <c r="P924" s="6" t="str">
        <f t="shared" si="4"/>
        <v>2012</v>
      </c>
    </row>
    <row r="925">
      <c r="A925" s="3"/>
      <c r="M925" s="50" t="s">
        <v>1330</v>
      </c>
      <c r="N925" s="51">
        <v>4.178</v>
      </c>
      <c r="O925" s="6" t="str">
        <f t="shared" si="3"/>
        <v>Sep</v>
      </c>
      <c r="P925" s="6" t="str">
        <f t="shared" si="4"/>
        <v>2012</v>
      </c>
    </row>
    <row r="926">
      <c r="A926" s="3"/>
      <c r="M926" s="50" t="s">
        <v>1331</v>
      </c>
      <c r="N926" s="51">
        <v>4.155</v>
      </c>
      <c r="O926" s="6" t="str">
        <f t="shared" si="3"/>
        <v>Sep</v>
      </c>
      <c r="P926" s="6" t="str">
        <f t="shared" si="4"/>
        <v>2012</v>
      </c>
    </row>
    <row r="927">
      <c r="A927" s="3"/>
      <c r="M927" s="50" t="s">
        <v>1332</v>
      </c>
      <c r="N927" s="51">
        <v>4.151</v>
      </c>
      <c r="O927" s="6" t="str">
        <f t="shared" si="3"/>
        <v>Sep</v>
      </c>
      <c r="P927" s="6" t="str">
        <f t="shared" si="4"/>
        <v>2012</v>
      </c>
    </row>
    <row r="928">
      <c r="A928" s="3"/>
      <c r="M928" s="50" t="s">
        <v>1333</v>
      </c>
      <c r="N928" s="51">
        <v>4.176</v>
      </c>
      <c r="O928" s="6" t="str">
        <f t="shared" si="3"/>
        <v>Oct</v>
      </c>
      <c r="P928" s="6" t="str">
        <f t="shared" si="4"/>
        <v>2012</v>
      </c>
    </row>
    <row r="929">
      <c r="A929" s="3"/>
      <c r="M929" s="50" t="s">
        <v>1334</v>
      </c>
      <c r="N929" s="51">
        <v>4.659</v>
      </c>
      <c r="O929" s="6" t="str">
        <f t="shared" si="3"/>
        <v>Oct</v>
      </c>
      <c r="P929" s="6" t="str">
        <f t="shared" si="4"/>
        <v>2012</v>
      </c>
    </row>
    <row r="930">
      <c r="A930" s="3"/>
      <c r="M930" s="50" t="s">
        <v>1335</v>
      </c>
      <c r="N930" s="51">
        <v>4.623</v>
      </c>
      <c r="O930" s="6" t="str">
        <f t="shared" si="3"/>
        <v>Oct</v>
      </c>
      <c r="P930" s="6" t="str">
        <f t="shared" si="4"/>
        <v>2012</v>
      </c>
    </row>
    <row r="931">
      <c r="A931" s="3"/>
      <c r="M931" s="50" t="s">
        <v>1336</v>
      </c>
      <c r="N931" s="51">
        <v>4.432</v>
      </c>
      <c r="O931" s="6" t="str">
        <f t="shared" si="3"/>
        <v>Oct</v>
      </c>
      <c r="P931" s="6" t="str">
        <f t="shared" si="4"/>
        <v>2012</v>
      </c>
    </row>
    <row r="932">
      <c r="A932" s="3"/>
      <c r="M932" s="50" t="s">
        <v>1337</v>
      </c>
      <c r="N932" s="51">
        <v>4.169</v>
      </c>
      <c r="O932" s="6" t="str">
        <f t="shared" si="3"/>
        <v>Oct</v>
      </c>
      <c r="P932" s="6" t="str">
        <f t="shared" si="4"/>
        <v>2012</v>
      </c>
    </row>
    <row r="933">
      <c r="A933" s="3"/>
      <c r="M933" s="50" t="s">
        <v>1338</v>
      </c>
      <c r="N933" s="51">
        <v>3.996</v>
      </c>
      <c r="O933" s="6" t="str">
        <f t="shared" si="3"/>
        <v>Nov</v>
      </c>
      <c r="P933" s="6" t="str">
        <f t="shared" si="4"/>
        <v>2012</v>
      </c>
    </row>
    <row r="934">
      <c r="A934" s="3"/>
      <c r="M934" s="50" t="s">
        <v>1339</v>
      </c>
      <c r="N934" s="51">
        <v>3.858</v>
      </c>
      <c r="O934" s="6" t="str">
        <f t="shared" si="3"/>
        <v>Nov</v>
      </c>
      <c r="P934" s="6" t="str">
        <f t="shared" si="4"/>
        <v>2012</v>
      </c>
    </row>
    <row r="935">
      <c r="A935" s="3"/>
      <c r="M935" s="50" t="s">
        <v>1340</v>
      </c>
      <c r="N935" s="51">
        <v>3.783</v>
      </c>
      <c r="O935" s="6" t="str">
        <f t="shared" si="3"/>
        <v>Nov</v>
      </c>
      <c r="P935" s="6" t="str">
        <f t="shared" si="4"/>
        <v>2012</v>
      </c>
    </row>
    <row r="936">
      <c r="A936" s="3"/>
      <c r="M936" s="50" t="s">
        <v>1341</v>
      </c>
      <c r="N936" s="51">
        <v>3.747</v>
      </c>
      <c r="O936" s="6" t="str">
        <f t="shared" si="3"/>
        <v>Nov</v>
      </c>
      <c r="P936" s="6" t="str">
        <f t="shared" si="4"/>
        <v>2012</v>
      </c>
    </row>
    <row r="937">
      <c r="A937" s="3"/>
      <c r="M937" s="50" t="s">
        <v>1342</v>
      </c>
      <c r="N937" s="51">
        <v>3.696</v>
      </c>
      <c r="O937" s="6" t="str">
        <f t="shared" si="3"/>
        <v>Dec</v>
      </c>
      <c r="P937" s="6" t="str">
        <f t="shared" si="4"/>
        <v>2012</v>
      </c>
    </row>
    <row r="938">
      <c r="A938" s="3"/>
      <c r="M938" s="50" t="s">
        <v>1343</v>
      </c>
      <c r="N938" s="51">
        <v>3.619</v>
      </c>
      <c r="O938" s="6" t="str">
        <f t="shared" si="3"/>
        <v>Dec</v>
      </c>
      <c r="P938" s="6" t="str">
        <f t="shared" si="4"/>
        <v>2012</v>
      </c>
    </row>
    <row r="939">
      <c r="A939" s="3"/>
      <c r="M939" s="50" t="s">
        <v>1344</v>
      </c>
      <c r="N939" s="51">
        <v>3.525</v>
      </c>
      <c r="O939" s="6" t="str">
        <f t="shared" si="3"/>
        <v>Dec</v>
      </c>
      <c r="P939" s="6" t="str">
        <f t="shared" si="4"/>
        <v>2012</v>
      </c>
    </row>
    <row r="940">
      <c r="A940" s="3"/>
      <c r="M940" s="50" t="s">
        <v>1345</v>
      </c>
      <c r="N940" s="51">
        <v>3.506</v>
      </c>
      <c r="O940" s="6" t="str">
        <f t="shared" si="3"/>
        <v>Dec</v>
      </c>
      <c r="P940" s="6" t="str">
        <f t="shared" si="4"/>
        <v>2012</v>
      </c>
    </row>
    <row r="941">
      <c r="A941" s="3"/>
      <c r="M941" s="50" t="s">
        <v>1346</v>
      </c>
      <c r="N941" s="51">
        <v>3.554</v>
      </c>
      <c r="O941" s="6" t="str">
        <f t="shared" si="3"/>
        <v>Dec</v>
      </c>
      <c r="P941" s="6" t="str">
        <f t="shared" si="4"/>
        <v>2012</v>
      </c>
    </row>
    <row r="942">
      <c r="A942" s="3"/>
      <c r="M942" s="50" t="s">
        <v>1347</v>
      </c>
      <c r="N942" s="51">
        <v>3.605</v>
      </c>
      <c r="O942" s="6" t="str">
        <f t="shared" si="3"/>
        <v>Jan</v>
      </c>
      <c r="P942" s="6" t="str">
        <f t="shared" si="4"/>
        <v>2013</v>
      </c>
    </row>
    <row r="943">
      <c r="A943" s="3"/>
      <c r="M943" s="50" t="s">
        <v>1348</v>
      </c>
      <c r="N943" s="51">
        <v>3.615</v>
      </c>
      <c r="O943" s="6" t="str">
        <f t="shared" si="3"/>
        <v>Jan</v>
      </c>
      <c r="P943" s="6" t="str">
        <f t="shared" si="4"/>
        <v>2013</v>
      </c>
    </row>
    <row r="944">
      <c r="A944" s="3"/>
      <c r="M944" s="50" t="s">
        <v>1349</v>
      </c>
      <c r="N944" s="51">
        <v>3.63</v>
      </c>
      <c r="O944" s="6" t="str">
        <f t="shared" si="3"/>
        <v>Jan</v>
      </c>
      <c r="P944" s="6" t="str">
        <f t="shared" si="4"/>
        <v>2013</v>
      </c>
    </row>
    <row r="945">
      <c r="A945" s="3"/>
      <c r="M945" s="50" t="s">
        <v>1350</v>
      </c>
      <c r="N945" s="51">
        <v>3.676</v>
      </c>
      <c r="O945" s="6" t="str">
        <f t="shared" si="3"/>
        <v>Jan</v>
      </c>
      <c r="P945" s="6" t="str">
        <f t="shared" si="4"/>
        <v>2013</v>
      </c>
    </row>
    <row r="946">
      <c r="A946" s="3"/>
      <c r="M946" s="50" t="s">
        <v>1351</v>
      </c>
      <c r="N946" s="51">
        <v>3.904</v>
      </c>
      <c r="O946" s="6" t="str">
        <f t="shared" si="3"/>
        <v>Feb</v>
      </c>
      <c r="P946" s="6" t="str">
        <f t="shared" si="4"/>
        <v>2013</v>
      </c>
    </row>
    <row r="947">
      <c r="A947" s="3"/>
      <c r="M947" s="50" t="s">
        <v>1352</v>
      </c>
      <c r="N947" s="51">
        <v>4.044</v>
      </c>
      <c r="O947" s="6" t="str">
        <f t="shared" si="3"/>
        <v>Feb</v>
      </c>
      <c r="P947" s="6" t="str">
        <f t="shared" si="4"/>
        <v>2013</v>
      </c>
    </row>
    <row r="948">
      <c r="A948" s="3"/>
      <c r="M948" s="50" t="s">
        <v>1353</v>
      </c>
      <c r="N948" s="51">
        <v>4.154</v>
      </c>
      <c r="O948" s="6" t="str">
        <f t="shared" si="3"/>
        <v>Feb</v>
      </c>
      <c r="P948" s="6" t="str">
        <f t="shared" si="4"/>
        <v>2013</v>
      </c>
    </row>
    <row r="949">
      <c r="A949" s="3"/>
      <c r="M949" s="50" t="s">
        <v>1354</v>
      </c>
      <c r="N949" s="51">
        <v>4.211</v>
      </c>
      <c r="O949" s="6" t="str">
        <f t="shared" si="3"/>
        <v>Feb</v>
      </c>
      <c r="P949" s="6" t="str">
        <f t="shared" si="4"/>
        <v>2013</v>
      </c>
    </row>
    <row r="950">
      <c r="A950" s="3"/>
      <c r="M950" s="50" t="s">
        <v>1355</v>
      </c>
      <c r="N950" s="51">
        <v>4.212</v>
      </c>
      <c r="O950" s="6" t="str">
        <f t="shared" si="3"/>
        <v>Mar</v>
      </c>
      <c r="P950" s="6" t="str">
        <f t="shared" si="4"/>
        <v>2013</v>
      </c>
    </row>
    <row r="951">
      <c r="A951" s="3"/>
      <c r="M951" s="50" t="s">
        <v>1356</v>
      </c>
      <c r="N951" s="51">
        <v>4.174</v>
      </c>
      <c r="O951" s="6" t="str">
        <f t="shared" si="3"/>
        <v>Mar</v>
      </c>
      <c r="P951" s="6" t="str">
        <f t="shared" si="4"/>
        <v>2013</v>
      </c>
    </row>
    <row r="952">
      <c r="A952" s="3"/>
      <c r="M952" s="50" t="s">
        <v>1357</v>
      </c>
      <c r="N952" s="51">
        <v>4.12</v>
      </c>
      <c r="O952" s="6" t="str">
        <f t="shared" si="3"/>
        <v>Mar</v>
      </c>
      <c r="P952" s="6" t="str">
        <f t="shared" si="4"/>
        <v>2013</v>
      </c>
    </row>
    <row r="953">
      <c r="A953" s="3"/>
      <c r="M953" s="50" t="s">
        <v>1358</v>
      </c>
      <c r="N953" s="51">
        <v>4.069</v>
      </c>
      <c r="O953" s="6" t="str">
        <f t="shared" si="3"/>
        <v>Mar</v>
      </c>
      <c r="P953" s="6" t="str">
        <f t="shared" si="4"/>
        <v>2013</v>
      </c>
    </row>
    <row r="954">
      <c r="A954" s="3"/>
      <c r="M954" s="50" t="s">
        <v>1359</v>
      </c>
      <c r="N954" s="51">
        <v>4.053</v>
      </c>
      <c r="O954" s="6" t="str">
        <f t="shared" si="3"/>
        <v>Apr</v>
      </c>
      <c r="P954" s="6" t="str">
        <f t="shared" si="4"/>
        <v>2013</v>
      </c>
    </row>
    <row r="955">
      <c r="A955" s="3"/>
      <c r="M955" s="50" t="s">
        <v>1360</v>
      </c>
      <c r="N955" s="51">
        <v>4.033</v>
      </c>
      <c r="O955" s="6" t="str">
        <f t="shared" si="3"/>
        <v>Apr</v>
      </c>
      <c r="P955" s="6" t="str">
        <f t="shared" si="4"/>
        <v>2013</v>
      </c>
    </row>
    <row r="956">
      <c r="A956" s="3"/>
      <c r="M956" s="50" t="s">
        <v>1361</v>
      </c>
      <c r="N956" s="51">
        <v>3.992</v>
      </c>
      <c r="O956" s="6" t="str">
        <f t="shared" si="3"/>
        <v>Apr</v>
      </c>
      <c r="P956" s="6" t="str">
        <f t="shared" si="4"/>
        <v>2013</v>
      </c>
    </row>
    <row r="957">
      <c r="A957" s="3"/>
      <c r="M957" s="50" t="s">
        <v>1362</v>
      </c>
      <c r="N957" s="51">
        <v>3.934</v>
      </c>
      <c r="O957" s="6" t="str">
        <f t="shared" si="3"/>
        <v>Apr</v>
      </c>
      <c r="P957" s="6" t="str">
        <f t="shared" si="4"/>
        <v>2013</v>
      </c>
    </row>
    <row r="958">
      <c r="A958" s="3"/>
      <c r="M958" s="50" t="s">
        <v>1363</v>
      </c>
      <c r="N958" s="51">
        <v>3.905</v>
      </c>
      <c r="O958" s="6" t="str">
        <f t="shared" si="3"/>
        <v>Apr</v>
      </c>
      <c r="P958" s="6" t="str">
        <f t="shared" si="4"/>
        <v>2013</v>
      </c>
    </row>
    <row r="959">
      <c r="A959" s="3"/>
      <c r="M959" s="50" t="s">
        <v>1364</v>
      </c>
      <c r="N959" s="51">
        <v>3.911</v>
      </c>
      <c r="O959" s="6" t="str">
        <f t="shared" si="3"/>
        <v>May</v>
      </c>
      <c r="P959" s="6" t="str">
        <f t="shared" si="4"/>
        <v>2013</v>
      </c>
    </row>
    <row r="960">
      <c r="A960" s="3"/>
      <c r="M960" s="50" t="s">
        <v>1365</v>
      </c>
      <c r="N960" s="51">
        <v>4.04</v>
      </c>
      <c r="O960" s="6" t="str">
        <f t="shared" si="3"/>
        <v>May</v>
      </c>
      <c r="P960" s="6" t="str">
        <f t="shared" si="4"/>
        <v>2013</v>
      </c>
    </row>
    <row r="961">
      <c r="A961" s="3"/>
      <c r="M961" s="50" t="s">
        <v>1366</v>
      </c>
      <c r="N961" s="51">
        <v>4.048</v>
      </c>
      <c r="O961" s="6" t="str">
        <f t="shared" si="3"/>
        <v>May</v>
      </c>
      <c r="P961" s="6" t="str">
        <f t="shared" si="4"/>
        <v>2013</v>
      </c>
    </row>
    <row r="962">
      <c r="A962" s="3"/>
      <c r="M962" s="50" t="s">
        <v>1367</v>
      </c>
      <c r="N962" s="51">
        <v>4.022</v>
      </c>
      <c r="O962" s="6" t="str">
        <f t="shared" si="3"/>
        <v>May</v>
      </c>
      <c r="P962" s="6" t="str">
        <f t="shared" si="4"/>
        <v>2013</v>
      </c>
    </row>
    <row r="963">
      <c r="A963" s="3"/>
      <c r="M963" s="50" t="s">
        <v>1368</v>
      </c>
      <c r="N963" s="51">
        <v>3.977</v>
      </c>
      <c r="O963" s="6" t="str">
        <f t="shared" si="3"/>
        <v>Jun</v>
      </c>
      <c r="P963" s="6" t="str">
        <f t="shared" si="4"/>
        <v>2013</v>
      </c>
    </row>
    <row r="964">
      <c r="A964" s="3"/>
      <c r="M964" s="50" t="s">
        <v>1369</v>
      </c>
      <c r="N964" s="51">
        <v>3.969</v>
      </c>
      <c r="O964" s="6" t="str">
        <f t="shared" si="3"/>
        <v>Jun</v>
      </c>
      <c r="P964" s="6" t="str">
        <f t="shared" si="4"/>
        <v>2013</v>
      </c>
    </row>
    <row r="965">
      <c r="A965" s="3"/>
      <c r="M965" s="50" t="s">
        <v>1370</v>
      </c>
      <c r="N965" s="51">
        <v>3.989</v>
      </c>
      <c r="O965" s="6" t="str">
        <f t="shared" si="3"/>
        <v>Jun</v>
      </c>
      <c r="P965" s="6" t="str">
        <f t="shared" si="4"/>
        <v>2013</v>
      </c>
    </row>
    <row r="966">
      <c r="A966" s="3"/>
      <c r="M966" s="50" t="s">
        <v>1371</v>
      </c>
      <c r="N966" s="51">
        <v>4.075</v>
      </c>
      <c r="O966" s="6" t="str">
        <f t="shared" si="3"/>
        <v>Jun</v>
      </c>
      <c r="P966" s="6" t="str">
        <f t="shared" si="4"/>
        <v>2013</v>
      </c>
    </row>
    <row r="967">
      <c r="A967" s="3"/>
      <c r="M967" s="50" t="s">
        <v>1372</v>
      </c>
      <c r="N967" s="51">
        <v>4.002</v>
      </c>
      <c r="O967" s="6" t="str">
        <f t="shared" si="3"/>
        <v>Jul</v>
      </c>
      <c r="P967" s="6" t="str">
        <f t="shared" si="4"/>
        <v>2013</v>
      </c>
    </row>
    <row r="968">
      <c r="A968" s="3"/>
      <c r="M968" s="50" t="s">
        <v>1373</v>
      </c>
      <c r="N968" s="51">
        <v>3.985</v>
      </c>
      <c r="O968" s="6" t="str">
        <f t="shared" si="3"/>
        <v>Jul</v>
      </c>
      <c r="P968" s="6" t="str">
        <f t="shared" si="4"/>
        <v>2013</v>
      </c>
    </row>
    <row r="969">
      <c r="A969" s="3"/>
      <c r="M969" s="50" t="s">
        <v>1374</v>
      </c>
      <c r="N969" s="51">
        <v>4.015</v>
      </c>
      <c r="O969" s="6" t="str">
        <f t="shared" si="3"/>
        <v>Jul</v>
      </c>
      <c r="P969" s="6" t="str">
        <f t="shared" si="4"/>
        <v>2013</v>
      </c>
    </row>
    <row r="970">
      <c r="A970" s="3"/>
      <c r="M970" s="50" t="s">
        <v>1375</v>
      </c>
      <c r="N970" s="51">
        <v>4.036</v>
      </c>
      <c r="O970" s="6" t="str">
        <f t="shared" si="3"/>
        <v>Jul</v>
      </c>
      <c r="P970" s="6" t="str">
        <f t="shared" si="4"/>
        <v>2013</v>
      </c>
    </row>
    <row r="971">
      <c r="A971" s="3"/>
      <c r="M971" s="50" t="s">
        <v>1376</v>
      </c>
      <c r="N971" s="51">
        <v>4.002</v>
      </c>
      <c r="O971" s="6" t="str">
        <f t="shared" si="3"/>
        <v>Jul</v>
      </c>
      <c r="P971" s="6" t="str">
        <f t="shared" si="4"/>
        <v>2013</v>
      </c>
    </row>
    <row r="972">
      <c r="A972" s="3"/>
      <c r="M972" s="50" t="s">
        <v>1377</v>
      </c>
      <c r="N972" s="51">
        <v>3.95</v>
      </c>
      <c r="O972" s="6" t="str">
        <f t="shared" si="3"/>
        <v>Aug</v>
      </c>
      <c r="P972" s="6" t="str">
        <f t="shared" si="4"/>
        <v>2013</v>
      </c>
    </row>
    <row r="973">
      <c r="A973" s="3"/>
      <c r="M973" s="50" t="s">
        <v>1378</v>
      </c>
      <c r="N973" s="51">
        <v>3.901</v>
      </c>
      <c r="O973" s="6" t="str">
        <f t="shared" si="3"/>
        <v>Aug</v>
      </c>
      <c r="P973" s="6" t="str">
        <f t="shared" si="4"/>
        <v>2013</v>
      </c>
    </row>
    <row r="974">
      <c r="A974" s="3"/>
      <c r="M974" s="50" t="s">
        <v>1379</v>
      </c>
      <c r="N974" s="51">
        <v>3.83</v>
      </c>
      <c r="O974" s="6" t="str">
        <f t="shared" si="3"/>
        <v>Aug</v>
      </c>
      <c r="P974" s="6" t="str">
        <f t="shared" si="4"/>
        <v>2013</v>
      </c>
    </row>
    <row r="975">
      <c r="A975" s="3"/>
      <c r="M975" s="50" t="s">
        <v>1380</v>
      </c>
      <c r="N975" s="51">
        <v>3.802</v>
      </c>
      <c r="O975" s="6" t="str">
        <f t="shared" si="3"/>
        <v>Aug</v>
      </c>
      <c r="P975" s="6" t="str">
        <f t="shared" si="4"/>
        <v>2013</v>
      </c>
    </row>
    <row r="976">
      <c r="A976" s="3"/>
      <c r="M976" s="50" t="s">
        <v>1381</v>
      </c>
      <c r="N976" s="51">
        <v>3.822</v>
      </c>
      <c r="O976" s="6" t="str">
        <f t="shared" si="3"/>
        <v>Sep</v>
      </c>
      <c r="P976" s="6" t="str">
        <f t="shared" si="4"/>
        <v>2013</v>
      </c>
    </row>
    <row r="977">
      <c r="A977" s="3"/>
      <c r="M977" s="50" t="s">
        <v>1382</v>
      </c>
      <c r="N977" s="51">
        <v>3.899</v>
      </c>
      <c r="O977" s="6" t="str">
        <f t="shared" si="3"/>
        <v>Sep</v>
      </c>
      <c r="P977" s="6" t="str">
        <f t="shared" si="4"/>
        <v>2013</v>
      </c>
    </row>
    <row r="978">
      <c r="A978" s="3"/>
      <c r="M978" s="50" t="s">
        <v>1383</v>
      </c>
      <c r="N978" s="51">
        <v>4.051</v>
      </c>
      <c r="O978" s="6" t="str">
        <f t="shared" si="3"/>
        <v>Sep</v>
      </c>
      <c r="P978" s="6" t="str">
        <f t="shared" si="4"/>
        <v>2013</v>
      </c>
    </row>
    <row r="979">
      <c r="A979" s="3"/>
      <c r="M979" s="50" t="s">
        <v>1384</v>
      </c>
      <c r="N979" s="51">
        <v>4.005</v>
      </c>
      <c r="O979" s="6" t="str">
        <f t="shared" si="3"/>
        <v>Sep</v>
      </c>
      <c r="P979" s="6" t="str">
        <f t="shared" si="4"/>
        <v>2013</v>
      </c>
    </row>
    <row r="980">
      <c r="A980" s="3"/>
      <c r="M980" s="50" t="s">
        <v>1385</v>
      </c>
      <c r="N980" s="51">
        <v>3.932</v>
      </c>
      <c r="O980" s="6" t="str">
        <f t="shared" si="3"/>
        <v>Sep</v>
      </c>
      <c r="P980" s="6" t="str">
        <f t="shared" si="4"/>
        <v>2013</v>
      </c>
    </row>
    <row r="981">
      <c r="A981" s="3"/>
      <c r="M981" s="50" t="s">
        <v>1386</v>
      </c>
      <c r="N981" s="51">
        <v>3.85</v>
      </c>
      <c r="O981" s="6" t="str">
        <f t="shared" si="3"/>
        <v>Oct</v>
      </c>
      <c r="P981" s="6" t="str">
        <f t="shared" si="4"/>
        <v>2013</v>
      </c>
    </row>
    <row r="982">
      <c r="A982" s="3"/>
      <c r="M982" s="50" t="s">
        <v>1387</v>
      </c>
      <c r="N982" s="51">
        <v>3.791</v>
      </c>
      <c r="O982" s="6" t="str">
        <f t="shared" si="3"/>
        <v>Oct</v>
      </c>
      <c r="P982" s="6" t="str">
        <f t="shared" si="4"/>
        <v>2013</v>
      </c>
    </row>
    <row r="983">
      <c r="A983" s="3"/>
      <c r="M983" s="50" t="s">
        <v>1388</v>
      </c>
      <c r="N983" s="51">
        <v>3.766</v>
      </c>
      <c r="O983" s="6" t="str">
        <f t="shared" si="3"/>
        <v>Oct</v>
      </c>
      <c r="P983" s="6" t="str">
        <f t="shared" si="4"/>
        <v>2013</v>
      </c>
    </row>
    <row r="984">
      <c r="A984" s="3"/>
      <c r="M984" s="50" t="s">
        <v>1389</v>
      </c>
      <c r="N984" s="51">
        <v>3.718</v>
      </c>
      <c r="O984" s="6" t="str">
        <f t="shared" si="3"/>
        <v>Oct</v>
      </c>
      <c r="P984" s="6" t="str">
        <f t="shared" si="4"/>
        <v>2013</v>
      </c>
    </row>
    <row r="985">
      <c r="A985" s="3"/>
      <c r="M985" s="50" t="s">
        <v>1390</v>
      </c>
      <c r="N985" s="51">
        <v>3.665</v>
      </c>
      <c r="O985" s="6" t="str">
        <f t="shared" si="3"/>
        <v>Nov</v>
      </c>
      <c r="P985" s="6" t="str">
        <f t="shared" si="4"/>
        <v>2013</v>
      </c>
    </row>
    <row r="986">
      <c r="A986" s="3"/>
      <c r="M986" s="50" t="s">
        <v>1391</v>
      </c>
      <c r="N986" s="51">
        <v>3.603</v>
      </c>
      <c r="O986" s="6" t="str">
        <f t="shared" si="3"/>
        <v>Nov</v>
      </c>
      <c r="P986" s="6" t="str">
        <f t="shared" si="4"/>
        <v>2013</v>
      </c>
    </row>
    <row r="987">
      <c r="A987" s="3"/>
      <c r="M987" s="50" t="s">
        <v>1392</v>
      </c>
      <c r="N987" s="51">
        <v>3.56</v>
      </c>
      <c r="O987" s="6" t="str">
        <f t="shared" si="3"/>
        <v>Nov</v>
      </c>
      <c r="P987" s="6" t="str">
        <f t="shared" si="4"/>
        <v>2013</v>
      </c>
    </row>
    <row r="988">
      <c r="A988" s="3"/>
      <c r="M988" s="50" t="s">
        <v>1393</v>
      </c>
      <c r="N988" s="51">
        <v>3.547</v>
      </c>
      <c r="O988" s="6" t="str">
        <f t="shared" si="3"/>
        <v>Nov</v>
      </c>
      <c r="P988" s="6" t="str">
        <f t="shared" si="4"/>
        <v>2013</v>
      </c>
    </row>
    <row r="989">
      <c r="A989" s="3"/>
      <c r="M989" s="50" t="s">
        <v>1394</v>
      </c>
      <c r="N989" s="51">
        <v>3.576</v>
      </c>
      <c r="O989" s="6" t="str">
        <f t="shared" si="3"/>
        <v>Dec</v>
      </c>
      <c r="P989" s="6" t="str">
        <f t="shared" si="4"/>
        <v>2013</v>
      </c>
    </row>
    <row r="990">
      <c r="A990" s="3"/>
      <c r="M990" s="50" t="s">
        <v>1395</v>
      </c>
      <c r="N990" s="51">
        <v>3.58</v>
      </c>
      <c r="O990" s="6" t="str">
        <f t="shared" si="3"/>
        <v>Dec</v>
      </c>
      <c r="P990" s="6" t="str">
        <f t="shared" si="4"/>
        <v>2013</v>
      </c>
    </row>
    <row r="991">
      <c r="A991" s="3"/>
      <c r="M991" s="50" t="s">
        <v>1396</v>
      </c>
      <c r="N991" s="51">
        <v>3.574</v>
      </c>
      <c r="O991" s="6" t="str">
        <f t="shared" si="3"/>
        <v>Dec</v>
      </c>
      <c r="P991" s="6" t="str">
        <f t="shared" si="4"/>
        <v>2013</v>
      </c>
    </row>
    <row r="992">
      <c r="A992" s="3"/>
      <c r="M992" s="50" t="s">
        <v>1397</v>
      </c>
      <c r="N992" s="51">
        <v>3.594</v>
      </c>
      <c r="O992" s="6" t="str">
        <f t="shared" si="3"/>
        <v>Dec</v>
      </c>
      <c r="P992" s="6" t="str">
        <f t="shared" si="4"/>
        <v>2013</v>
      </c>
    </row>
    <row r="993">
      <c r="A993" s="3"/>
      <c r="M993" s="50" t="s">
        <v>1398</v>
      </c>
      <c r="N993" s="51">
        <v>3.647</v>
      </c>
      <c r="O993" s="6" t="str">
        <f t="shared" si="3"/>
        <v>Dec</v>
      </c>
      <c r="P993" s="6" t="str">
        <f t="shared" si="4"/>
        <v>2013</v>
      </c>
    </row>
    <row r="994">
      <c r="A994" s="3"/>
      <c r="M994" s="50" t="s">
        <v>1399</v>
      </c>
      <c r="N994" s="51">
        <v>3.667</v>
      </c>
      <c r="O994" s="6" t="str">
        <f t="shared" si="3"/>
        <v>Jan</v>
      </c>
      <c r="P994" s="6" t="str">
        <f t="shared" si="4"/>
        <v>2014</v>
      </c>
    </row>
    <row r="995">
      <c r="A995" s="3"/>
      <c r="M995" s="50" t="s">
        <v>1400</v>
      </c>
      <c r="N995" s="51">
        <v>3.635</v>
      </c>
      <c r="O995" s="6" t="str">
        <f t="shared" si="3"/>
        <v>Jan</v>
      </c>
      <c r="P995" s="6" t="str">
        <f t="shared" si="4"/>
        <v>2014</v>
      </c>
    </row>
    <row r="996">
      <c r="A996" s="3"/>
      <c r="M996" s="50" t="s">
        <v>1401</v>
      </c>
      <c r="N996" s="51">
        <v>3.589</v>
      </c>
      <c r="O996" s="6" t="str">
        <f t="shared" si="3"/>
        <v>Jan</v>
      </c>
      <c r="P996" s="6" t="str">
        <f t="shared" si="4"/>
        <v>2014</v>
      </c>
    </row>
    <row r="997">
      <c r="A997" s="3"/>
      <c r="M997" s="50" t="s">
        <v>1402</v>
      </c>
      <c r="N997" s="51">
        <v>3.582</v>
      </c>
      <c r="O997" s="6" t="str">
        <f t="shared" si="3"/>
        <v>Jan</v>
      </c>
      <c r="P997" s="6" t="str">
        <f t="shared" si="4"/>
        <v>2014</v>
      </c>
    </row>
    <row r="998">
      <c r="A998" s="3"/>
      <c r="M998" s="50" t="s">
        <v>1403</v>
      </c>
      <c r="N998" s="51">
        <v>3.59</v>
      </c>
      <c r="O998" s="6" t="str">
        <f t="shared" si="3"/>
        <v>Feb</v>
      </c>
      <c r="P998" s="6" t="str">
        <f t="shared" si="4"/>
        <v>2014</v>
      </c>
    </row>
    <row r="999">
      <c r="A999" s="3"/>
      <c r="M999" s="50" t="s">
        <v>1404</v>
      </c>
      <c r="N999" s="51">
        <v>3.626</v>
      </c>
      <c r="O999" s="6" t="str">
        <f t="shared" si="3"/>
        <v>Feb</v>
      </c>
      <c r="P999" s="6" t="str">
        <f t="shared" si="4"/>
        <v>2014</v>
      </c>
    </row>
    <row r="1000">
      <c r="A1000" s="3"/>
      <c r="M1000" s="50" t="s">
        <v>1405</v>
      </c>
      <c r="N1000" s="51">
        <v>3.697</v>
      </c>
      <c r="O1000" s="6" t="str">
        <f t="shared" si="3"/>
        <v>Feb</v>
      </c>
      <c r="P1000" s="6" t="str">
        <f t="shared" si="4"/>
        <v>2014</v>
      </c>
    </row>
    <row r="1001">
      <c r="A1001" s="3"/>
      <c r="M1001" s="50" t="s">
        <v>1406</v>
      </c>
      <c r="N1001" s="51">
        <v>3.795</v>
      </c>
      <c r="O1001" s="6" t="str">
        <f t="shared" si="3"/>
        <v>Feb</v>
      </c>
      <c r="P1001" s="6" t="str">
        <f t="shared" si="4"/>
        <v>2014</v>
      </c>
    </row>
    <row r="1002">
      <c r="A1002" s="3"/>
      <c r="M1002" s="50" t="s">
        <v>1407</v>
      </c>
      <c r="N1002" s="51">
        <v>3.855</v>
      </c>
      <c r="O1002" s="6" t="str">
        <f t="shared" si="3"/>
        <v>Mar</v>
      </c>
      <c r="P1002" s="6" t="str">
        <f t="shared" si="4"/>
        <v>2014</v>
      </c>
    </row>
    <row r="1003">
      <c r="A1003" s="3"/>
      <c r="M1003" s="50" t="s">
        <v>1408</v>
      </c>
      <c r="N1003" s="51">
        <v>3.897</v>
      </c>
      <c r="O1003" s="6" t="str">
        <f t="shared" si="3"/>
        <v>Mar</v>
      </c>
      <c r="P1003" s="6" t="str">
        <f t="shared" si="4"/>
        <v>2014</v>
      </c>
    </row>
    <row r="1004">
      <c r="A1004" s="3"/>
      <c r="M1004" s="50" t="s">
        <v>1409</v>
      </c>
      <c r="N1004" s="51">
        <v>3.958</v>
      </c>
      <c r="O1004" s="6" t="str">
        <f t="shared" si="3"/>
        <v>Mar</v>
      </c>
      <c r="P1004" s="6" t="str">
        <f t="shared" si="4"/>
        <v>2014</v>
      </c>
    </row>
    <row r="1005">
      <c r="A1005" s="3"/>
      <c r="M1005" s="50" t="s">
        <v>1410</v>
      </c>
      <c r="N1005" s="51">
        <v>3.969</v>
      </c>
      <c r="O1005" s="6" t="str">
        <f t="shared" si="3"/>
        <v>Mar</v>
      </c>
      <c r="P1005" s="6" t="str">
        <f t="shared" si="4"/>
        <v>2014</v>
      </c>
    </row>
    <row r="1006">
      <c r="A1006" s="3"/>
      <c r="M1006" s="50" t="s">
        <v>1411</v>
      </c>
      <c r="N1006" s="51">
        <v>3.997</v>
      </c>
      <c r="O1006" s="6" t="str">
        <f t="shared" si="3"/>
        <v>Mar</v>
      </c>
      <c r="P1006" s="6" t="str">
        <f t="shared" si="4"/>
        <v>2014</v>
      </c>
    </row>
    <row r="1007">
      <c r="A1007" s="3"/>
      <c r="M1007" s="50" t="s">
        <v>1412</v>
      </c>
      <c r="N1007" s="51">
        <v>4.028</v>
      </c>
      <c r="O1007" s="6" t="str">
        <f t="shared" si="3"/>
        <v>Apr</v>
      </c>
      <c r="P1007" s="6" t="str">
        <f t="shared" si="4"/>
        <v>2014</v>
      </c>
    </row>
    <row r="1008">
      <c r="A1008" s="3"/>
      <c r="M1008" s="50" t="s">
        <v>1413</v>
      </c>
      <c r="N1008" s="51">
        <v>4.156</v>
      </c>
      <c r="O1008" s="6" t="str">
        <f t="shared" si="3"/>
        <v>Apr</v>
      </c>
      <c r="P1008" s="6" t="str">
        <f t="shared" si="4"/>
        <v>2014</v>
      </c>
    </row>
    <row r="1009">
      <c r="A1009" s="3"/>
      <c r="M1009" s="50" t="s">
        <v>1414</v>
      </c>
      <c r="N1009" s="51">
        <v>4.206</v>
      </c>
      <c r="O1009" s="6" t="str">
        <f t="shared" si="3"/>
        <v>Apr</v>
      </c>
      <c r="P1009" s="6" t="str">
        <f t="shared" si="4"/>
        <v>2014</v>
      </c>
    </row>
    <row r="1010">
      <c r="A1010" s="3"/>
      <c r="M1010" s="50" t="s">
        <v>1415</v>
      </c>
      <c r="N1010" s="51">
        <v>4.254</v>
      </c>
      <c r="O1010" s="6" t="str">
        <f t="shared" si="3"/>
        <v>Apr</v>
      </c>
      <c r="P1010" s="6" t="str">
        <f t="shared" si="4"/>
        <v>2014</v>
      </c>
    </row>
    <row r="1011">
      <c r="A1011" s="3"/>
      <c r="M1011" s="50" t="s">
        <v>1416</v>
      </c>
      <c r="N1011" s="51">
        <v>4.222</v>
      </c>
      <c r="O1011" s="6" t="str">
        <f t="shared" si="3"/>
        <v>May</v>
      </c>
      <c r="P1011" s="6" t="str">
        <f t="shared" si="4"/>
        <v>2014</v>
      </c>
    </row>
    <row r="1012">
      <c r="A1012" s="3"/>
      <c r="M1012" s="50" t="s">
        <v>1417</v>
      </c>
      <c r="N1012" s="51">
        <v>4.169</v>
      </c>
      <c r="O1012" s="6" t="str">
        <f t="shared" si="3"/>
        <v>May</v>
      </c>
      <c r="P1012" s="6" t="str">
        <f t="shared" si="4"/>
        <v>2014</v>
      </c>
    </row>
    <row r="1013">
      <c r="A1013" s="3"/>
      <c r="M1013" s="50" t="s">
        <v>1418</v>
      </c>
      <c r="N1013" s="51">
        <v>4.159</v>
      </c>
      <c r="O1013" s="6" t="str">
        <f t="shared" si="3"/>
        <v>May</v>
      </c>
      <c r="P1013" s="6" t="str">
        <f t="shared" si="4"/>
        <v>2014</v>
      </c>
    </row>
    <row r="1014">
      <c r="A1014" s="3"/>
      <c r="M1014" s="50" t="s">
        <v>1419</v>
      </c>
      <c r="N1014" s="51">
        <v>4.135</v>
      </c>
      <c r="O1014" s="6" t="str">
        <f t="shared" si="3"/>
        <v>May</v>
      </c>
      <c r="P1014" s="6" t="str">
        <f t="shared" si="4"/>
        <v>2014</v>
      </c>
    </row>
    <row r="1015">
      <c r="A1015" s="3"/>
      <c r="M1015" s="50" t="s">
        <v>1420</v>
      </c>
      <c r="N1015" s="51">
        <v>4.127</v>
      </c>
      <c r="O1015" s="6" t="str">
        <f t="shared" si="3"/>
        <v>Jun</v>
      </c>
      <c r="P1015" s="6" t="str">
        <f t="shared" si="4"/>
        <v>2014</v>
      </c>
    </row>
    <row r="1016">
      <c r="A1016" s="3"/>
      <c r="M1016" s="50" t="s">
        <v>1421</v>
      </c>
      <c r="N1016" s="51">
        <v>4.106</v>
      </c>
      <c r="O1016" s="6" t="str">
        <f t="shared" si="3"/>
        <v>Jun</v>
      </c>
      <c r="P1016" s="6" t="str">
        <f t="shared" si="4"/>
        <v>2014</v>
      </c>
    </row>
    <row r="1017">
      <c r="A1017" s="3"/>
      <c r="M1017" s="50" t="s">
        <v>1422</v>
      </c>
      <c r="N1017" s="51">
        <v>4.102</v>
      </c>
      <c r="O1017" s="6" t="str">
        <f t="shared" si="3"/>
        <v>Jun</v>
      </c>
      <c r="P1017" s="6" t="str">
        <f t="shared" si="4"/>
        <v>2014</v>
      </c>
    </row>
    <row r="1018">
      <c r="A1018" s="3"/>
      <c r="M1018" s="50" t="s">
        <v>1423</v>
      </c>
      <c r="N1018" s="51">
        <v>4.102</v>
      </c>
      <c r="O1018" s="6" t="str">
        <f t="shared" si="3"/>
        <v>Jun</v>
      </c>
      <c r="P1018" s="6" t="str">
        <f t="shared" si="4"/>
        <v>2014</v>
      </c>
    </row>
    <row r="1019">
      <c r="A1019" s="3"/>
      <c r="M1019" s="50" t="s">
        <v>1424</v>
      </c>
      <c r="N1019" s="51">
        <v>4.132</v>
      </c>
      <c r="O1019" s="6" t="str">
        <f t="shared" si="3"/>
        <v>Jun</v>
      </c>
      <c r="P1019" s="6" t="str">
        <f t="shared" si="4"/>
        <v>2014</v>
      </c>
    </row>
    <row r="1020">
      <c r="A1020" s="3"/>
      <c r="M1020" s="50" t="s">
        <v>1425</v>
      </c>
      <c r="N1020" s="51">
        <v>4.128</v>
      </c>
      <c r="O1020" s="6" t="str">
        <f t="shared" si="3"/>
        <v>Jul</v>
      </c>
      <c r="P1020" s="6" t="str">
        <f t="shared" si="4"/>
        <v>2014</v>
      </c>
    </row>
    <row r="1021">
      <c r="A1021" s="3"/>
      <c r="M1021" s="50" t="s">
        <v>1426</v>
      </c>
      <c r="N1021" s="51">
        <v>4.09</v>
      </c>
      <c r="O1021" s="6" t="str">
        <f t="shared" si="3"/>
        <v>Jul</v>
      </c>
      <c r="P1021" s="6" t="str">
        <f t="shared" si="4"/>
        <v>2014</v>
      </c>
    </row>
    <row r="1022">
      <c r="A1022" s="3"/>
      <c r="M1022" s="50" t="s">
        <v>1427</v>
      </c>
      <c r="N1022" s="51">
        <v>4.034</v>
      </c>
      <c r="O1022" s="6" t="str">
        <f t="shared" si="3"/>
        <v>Jul</v>
      </c>
      <c r="P1022" s="6" t="str">
        <f t="shared" si="4"/>
        <v>2014</v>
      </c>
    </row>
    <row r="1023">
      <c r="A1023" s="3"/>
      <c r="M1023" s="50" t="s">
        <v>1428</v>
      </c>
      <c r="N1023" s="51">
        <v>3.991</v>
      </c>
      <c r="O1023" s="6" t="str">
        <f t="shared" si="3"/>
        <v>Jul</v>
      </c>
      <c r="P1023" s="6" t="str">
        <f t="shared" si="4"/>
        <v>2014</v>
      </c>
    </row>
    <row r="1024">
      <c r="A1024" s="3"/>
      <c r="M1024" s="50" t="s">
        <v>1429</v>
      </c>
      <c r="N1024" s="51">
        <v>3.948</v>
      </c>
      <c r="O1024" s="6" t="str">
        <f t="shared" si="3"/>
        <v>Aug</v>
      </c>
      <c r="P1024" s="6" t="str">
        <f t="shared" si="4"/>
        <v>2014</v>
      </c>
    </row>
    <row r="1025">
      <c r="A1025" s="3"/>
      <c r="M1025" s="50" t="s">
        <v>1430</v>
      </c>
      <c r="N1025" s="51">
        <v>3.926</v>
      </c>
      <c r="O1025" s="6" t="str">
        <f t="shared" si="3"/>
        <v>Aug</v>
      </c>
      <c r="P1025" s="6" t="str">
        <f t="shared" si="4"/>
        <v>2014</v>
      </c>
    </row>
    <row r="1026">
      <c r="A1026" s="3"/>
      <c r="M1026" s="50" t="s">
        <v>1431</v>
      </c>
      <c r="N1026" s="51">
        <v>3.898</v>
      </c>
      <c r="O1026" s="6" t="str">
        <f t="shared" si="3"/>
        <v>Aug</v>
      </c>
      <c r="P1026" s="6" t="str">
        <f t="shared" si="4"/>
        <v>2014</v>
      </c>
    </row>
    <row r="1027">
      <c r="A1027" s="3"/>
      <c r="M1027" s="50" t="s">
        <v>1432</v>
      </c>
      <c r="N1027" s="51">
        <v>3.876</v>
      </c>
      <c r="O1027" s="6" t="str">
        <f t="shared" si="3"/>
        <v>Aug</v>
      </c>
      <c r="P1027" s="6" t="str">
        <f t="shared" si="4"/>
        <v>2014</v>
      </c>
    </row>
    <row r="1028">
      <c r="A1028" s="3"/>
      <c r="M1028" s="50" t="s">
        <v>1433</v>
      </c>
      <c r="N1028" s="51">
        <v>3.843</v>
      </c>
      <c r="O1028" s="6" t="str">
        <f t="shared" si="3"/>
        <v>Sep</v>
      </c>
      <c r="P1028" s="6" t="str">
        <f t="shared" si="4"/>
        <v>2014</v>
      </c>
    </row>
    <row r="1029">
      <c r="A1029" s="3"/>
      <c r="M1029" s="50" t="s">
        <v>1434</v>
      </c>
      <c r="N1029" s="51">
        <v>3.816</v>
      </c>
      <c r="O1029" s="6" t="str">
        <f t="shared" si="3"/>
        <v>Sep</v>
      </c>
      <c r="P1029" s="6" t="str">
        <f t="shared" si="4"/>
        <v>2014</v>
      </c>
    </row>
    <row r="1030">
      <c r="A1030" s="3"/>
      <c r="M1030" s="50" t="s">
        <v>1435</v>
      </c>
      <c r="N1030" s="51">
        <v>3.786</v>
      </c>
      <c r="O1030" s="6" t="str">
        <f t="shared" si="3"/>
        <v>Sep</v>
      </c>
      <c r="P1030" s="6" t="str">
        <f t="shared" si="4"/>
        <v>2014</v>
      </c>
    </row>
    <row r="1031">
      <c r="A1031" s="3"/>
      <c r="M1031" s="50" t="s">
        <v>1436</v>
      </c>
      <c r="N1031" s="51">
        <v>3.728</v>
      </c>
      <c r="O1031" s="6" t="str">
        <f t="shared" si="3"/>
        <v>Sep</v>
      </c>
      <c r="P1031" s="6" t="str">
        <f t="shared" si="4"/>
        <v>2014</v>
      </c>
    </row>
    <row r="1032">
      <c r="A1032" s="3"/>
      <c r="M1032" s="50" t="s">
        <v>1437</v>
      </c>
      <c r="N1032" s="51">
        <v>3.693</v>
      </c>
      <c r="O1032" s="6" t="str">
        <f t="shared" si="3"/>
        <v>Sep</v>
      </c>
      <c r="P1032" s="6" t="str">
        <f t="shared" si="4"/>
        <v>2014</v>
      </c>
    </row>
    <row r="1033">
      <c r="A1033" s="3"/>
      <c r="M1033" s="50" t="s">
        <v>1438</v>
      </c>
      <c r="N1033" s="51">
        <v>3.666</v>
      </c>
      <c r="O1033" s="6" t="str">
        <f t="shared" si="3"/>
        <v>Oct</v>
      </c>
      <c r="P1033" s="6" t="str">
        <f t="shared" si="4"/>
        <v>2014</v>
      </c>
    </row>
    <row r="1034">
      <c r="A1034" s="3"/>
      <c r="M1034" s="50" t="s">
        <v>1439</v>
      </c>
      <c r="N1034" s="51">
        <v>3.598</v>
      </c>
      <c r="O1034" s="6" t="str">
        <f t="shared" si="3"/>
        <v>Oct</v>
      </c>
      <c r="P1034" s="6" t="str">
        <f t="shared" si="4"/>
        <v>2014</v>
      </c>
    </row>
    <row r="1035">
      <c r="A1035" s="3"/>
      <c r="M1035" s="50" t="s">
        <v>1440</v>
      </c>
      <c r="N1035" s="51">
        <v>3.489</v>
      </c>
      <c r="O1035" s="6" t="str">
        <f t="shared" si="3"/>
        <v>Oct</v>
      </c>
      <c r="P1035" s="6" t="str">
        <f t="shared" si="4"/>
        <v>2014</v>
      </c>
    </row>
    <row r="1036">
      <c r="A1036" s="3"/>
      <c r="M1036" s="50" t="s">
        <v>1441</v>
      </c>
      <c r="N1036" s="51">
        <v>3.39</v>
      </c>
      <c r="O1036" s="6" t="str">
        <f t="shared" si="3"/>
        <v>Oct</v>
      </c>
      <c r="P1036" s="6" t="str">
        <f t="shared" si="4"/>
        <v>2014</v>
      </c>
    </row>
    <row r="1037">
      <c r="A1037" s="3"/>
      <c r="M1037" s="50" t="s">
        <v>1442</v>
      </c>
      <c r="N1037" s="51">
        <v>3.3</v>
      </c>
      <c r="O1037" s="6" t="str">
        <f t="shared" si="3"/>
        <v>Nov</v>
      </c>
      <c r="P1037" s="6" t="str">
        <f t="shared" si="4"/>
        <v>2014</v>
      </c>
    </row>
    <row r="1038">
      <c r="A1038" s="3"/>
      <c r="M1038" s="50" t="s">
        <v>1443</v>
      </c>
      <c r="N1038" s="51">
        <v>3.217</v>
      </c>
      <c r="O1038" s="6" t="str">
        <f t="shared" si="3"/>
        <v>Nov</v>
      </c>
      <c r="P1038" s="6" t="str">
        <f t="shared" si="4"/>
        <v>2014</v>
      </c>
    </row>
    <row r="1039">
      <c r="A1039" s="3"/>
      <c r="M1039" s="50" t="s">
        <v>1444</v>
      </c>
      <c r="N1039" s="51">
        <v>3.151</v>
      </c>
      <c r="O1039" s="6" t="str">
        <f t="shared" si="3"/>
        <v>Nov</v>
      </c>
      <c r="P1039" s="6" t="str">
        <f t="shared" si="4"/>
        <v>2014</v>
      </c>
    </row>
    <row r="1040">
      <c r="A1040" s="3"/>
      <c r="M1040" s="50" t="s">
        <v>1445</v>
      </c>
      <c r="N1040" s="51">
        <v>3.072</v>
      </c>
      <c r="O1040" s="6" t="str">
        <f t="shared" si="3"/>
        <v>Nov</v>
      </c>
      <c r="P1040" s="6" t="str">
        <f t="shared" si="4"/>
        <v>2014</v>
      </c>
    </row>
    <row r="1041">
      <c r="A1041" s="3"/>
      <c r="M1041" s="50" t="s">
        <v>1446</v>
      </c>
      <c r="N1041" s="51">
        <v>3.047</v>
      </c>
      <c r="O1041" s="6" t="str">
        <f t="shared" si="3"/>
        <v>Dec</v>
      </c>
      <c r="P1041" s="6" t="str">
        <f t="shared" si="4"/>
        <v>2014</v>
      </c>
    </row>
    <row r="1042">
      <c r="A1042" s="3"/>
      <c r="M1042" s="50" t="s">
        <v>1447</v>
      </c>
      <c r="N1042" s="51">
        <v>2.979</v>
      </c>
      <c r="O1042" s="6" t="str">
        <f t="shared" si="3"/>
        <v>Dec</v>
      </c>
      <c r="P1042" s="6" t="str">
        <f t="shared" si="4"/>
        <v>2014</v>
      </c>
    </row>
    <row r="1043">
      <c r="A1043" s="3"/>
      <c r="M1043" s="50" t="s">
        <v>1448</v>
      </c>
      <c r="N1043" s="51">
        <v>2.878</v>
      </c>
      <c r="O1043" s="6" t="str">
        <f t="shared" si="3"/>
        <v>Dec</v>
      </c>
      <c r="P1043" s="6" t="str">
        <f t="shared" si="4"/>
        <v>2014</v>
      </c>
    </row>
    <row r="1044">
      <c r="A1044" s="3"/>
      <c r="M1044" s="50" t="s">
        <v>1449</v>
      </c>
      <c r="N1044" s="51">
        <v>2.75</v>
      </c>
      <c r="O1044" s="6" t="str">
        <f t="shared" si="3"/>
        <v>Dec</v>
      </c>
      <c r="P1044" s="6" t="str">
        <f t="shared" si="4"/>
        <v>2014</v>
      </c>
    </row>
    <row r="1045">
      <c r="A1045" s="3"/>
      <c r="M1045" s="50" t="s">
        <v>1450</v>
      </c>
      <c r="N1045" s="51">
        <v>2.68</v>
      </c>
      <c r="O1045" s="6" t="str">
        <f t="shared" si="3"/>
        <v>Dec</v>
      </c>
      <c r="P1045" s="6" t="str">
        <f t="shared" si="4"/>
        <v>2014</v>
      </c>
    </row>
    <row r="1046">
      <c r="A1046" s="3"/>
      <c r="M1046" s="50" t="s">
        <v>1451</v>
      </c>
      <c r="N1046" s="51">
        <v>2.671</v>
      </c>
      <c r="O1046" s="6" t="str">
        <f t="shared" si="3"/>
        <v>Jan</v>
      </c>
      <c r="P1046" s="6" t="str">
        <f t="shared" si="4"/>
        <v>2015</v>
      </c>
    </row>
    <row r="1047">
      <c r="A1047" s="3"/>
      <c r="M1047" s="50" t="s">
        <v>1452</v>
      </c>
      <c r="N1047" s="51">
        <v>2.594</v>
      </c>
      <c r="O1047" s="6" t="str">
        <f t="shared" si="3"/>
        <v>Jan</v>
      </c>
      <c r="P1047" s="6" t="str">
        <f t="shared" si="4"/>
        <v>2015</v>
      </c>
    </row>
    <row r="1048">
      <c r="A1048" s="3"/>
      <c r="M1048" s="50" t="s">
        <v>1453</v>
      </c>
      <c r="N1048" s="51">
        <v>2.484</v>
      </c>
      <c r="O1048" s="6" t="str">
        <f t="shared" si="3"/>
        <v>Jan</v>
      </c>
      <c r="P1048" s="6" t="str">
        <f t="shared" si="4"/>
        <v>2015</v>
      </c>
    </row>
    <row r="1049">
      <c r="A1049" s="3"/>
      <c r="M1049" s="50" t="s">
        <v>1454</v>
      </c>
      <c r="N1049" s="51">
        <v>2.44</v>
      </c>
      <c r="O1049" s="6" t="str">
        <f t="shared" si="3"/>
        <v>Jan</v>
      </c>
      <c r="P1049" s="6" t="str">
        <f t="shared" si="4"/>
        <v>2015</v>
      </c>
    </row>
    <row r="1050">
      <c r="A1050" s="3"/>
      <c r="M1050" s="50" t="s">
        <v>1455</v>
      </c>
      <c r="N1050" s="51">
        <v>2.441</v>
      </c>
      <c r="O1050" s="6" t="str">
        <f t="shared" si="3"/>
        <v>Feb</v>
      </c>
      <c r="P1050" s="6" t="str">
        <f t="shared" si="4"/>
        <v>2015</v>
      </c>
    </row>
    <row r="1051">
      <c r="A1051" s="3"/>
      <c r="M1051" s="50" t="s">
        <v>1456</v>
      </c>
      <c r="N1051" s="51">
        <v>2.627</v>
      </c>
      <c r="O1051" s="6" t="str">
        <f t="shared" si="3"/>
        <v>Feb</v>
      </c>
      <c r="P1051" s="6" t="str">
        <f t="shared" si="4"/>
        <v>2015</v>
      </c>
    </row>
    <row r="1052">
      <c r="A1052" s="3"/>
      <c r="M1052" s="50" t="s">
        <v>1457</v>
      </c>
      <c r="N1052" s="51">
        <v>2.798</v>
      </c>
      <c r="O1052" s="6" t="str">
        <f t="shared" si="3"/>
        <v>Feb</v>
      </c>
      <c r="P1052" s="6" t="str">
        <f t="shared" si="4"/>
        <v>2015</v>
      </c>
    </row>
    <row r="1053">
      <c r="A1053" s="3"/>
      <c r="M1053" s="50" t="s">
        <v>1458</v>
      </c>
      <c r="N1053" s="51">
        <v>2.959</v>
      </c>
      <c r="O1053" s="6" t="str">
        <f t="shared" si="3"/>
        <v>Feb</v>
      </c>
      <c r="P1053" s="6" t="str">
        <f t="shared" si="4"/>
        <v>2015</v>
      </c>
    </row>
    <row r="1054">
      <c r="A1054" s="3"/>
      <c r="M1054" s="50" t="s">
        <v>1459</v>
      </c>
      <c r="N1054" s="51">
        <v>3.418</v>
      </c>
      <c r="O1054" s="6" t="str">
        <f t="shared" si="3"/>
        <v>Mar</v>
      </c>
      <c r="P1054" s="6" t="str">
        <f t="shared" si="4"/>
        <v>2015</v>
      </c>
    </row>
    <row r="1055">
      <c r="A1055" s="3"/>
      <c r="M1055" s="50" t="s">
        <v>1460</v>
      </c>
      <c r="N1055" s="51">
        <v>3.439</v>
      </c>
      <c r="O1055" s="6" t="str">
        <f t="shared" si="3"/>
        <v>Mar</v>
      </c>
      <c r="P1055" s="6" t="str">
        <f t="shared" si="4"/>
        <v>2015</v>
      </c>
    </row>
    <row r="1056">
      <c r="A1056" s="3"/>
      <c r="M1056" s="50" t="s">
        <v>1461</v>
      </c>
      <c r="N1056" s="51">
        <v>3.356</v>
      </c>
      <c r="O1056" s="6" t="str">
        <f t="shared" si="3"/>
        <v>Mar</v>
      </c>
      <c r="P1056" s="6" t="str">
        <f t="shared" si="4"/>
        <v>2015</v>
      </c>
    </row>
    <row r="1057">
      <c r="A1057" s="3"/>
      <c r="M1057" s="50" t="s">
        <v>1462</v>
      </c>
      <c r="N1057" s="51">
        <v>3.267</v>
      </c>
      <c r="O1057" s="6" t="str">
        <f t="shared" si="3"/>
        <v>Mar</v>
      </c>
      <c r="P1057" s="6" t="str">
        <f t="shared" si="4"/>
        <v>2015</v>
      </c>
    </row>
    <row r="1058">
      <c r="A1058" s="3"/>
      <c r="M1058" s="50" t="s">
        <v>1463</v>
      </c>
      <c r="N1058" s="51">
        <v>3.209</v>
      </c>
      <c r="O1058" s="6" t="str">
        <f t="shared" si="3"/>
        <v>Mar</v>
      </c>
      <c r="P1058" s="6" t="str">
        <f t="shared" si="4"/>
        <v>2015</v>
      </c>
    </row>
    <row r="1059">
      <c r="A1059" s="3"/>
      <c r="M1059" s="50" t="s">
        <v>1464</v>
      </c>
      <c r="N1059" s="51">
        <v>3.147</v>
      </c>
      <c r="O1059" s="6" t="str">
        <f t="shared" si="3"/>
        <v>Apr</v>
      </c>
      <c r="P1059" s="6" t="str">
        <f t="shared" si="4"/>
        <v>2015</v>
      </c>
    </row>
    <row r="1060">
      <c r="A1060" s="3"/>
      <c r="M1060" s="50" t="s">
        <v>1465</v>
      </c>
      <c r="N1060" s="51">
        <v>3.102</v>
      </c>
      <c r="O1060" s="6" t="str">
        <f t="shared" si="3"/>
        <v>Apr</v>
      </c>
      <c r="P1060" s="6" t="str">
        <f t="shared" si="4"/>
        <v>2015</v>
      </c>
    </row>
    <row r="1061">
      <c r="A1061" s="3"/>
      <c r="M1061" s="50" t="s">
        <v>1466</v>
      </c>
      <c r="N1061" s="51">
        <v>3.158</v>
      </c>
      <c r="O1061" s="6" t="str">
        <f t="shared" si="3"/>
        <v>Apr</v>
      </c>
      <c r="P1061" s="6" t="str">
        <f t="shared" si="4"/>
        <v>2015</v>
      </c>
    </row>
    <row r="1062">
      <c r="A1062" s="3"/>
      <c r="M1062" s="50" t="s">
        <v>1467</v>
      </c>
      <c r="N1062" s="51">
        <v>3.433</v>
      </c>
      <c r="O1062" s="6" t="str">
        <f t="shared" si="3"/>
        <v>Apr</v>
      </c>
      <c r="P1062" s="6" t="str">
        <f t="shared" si="4"/>
        <v>2015</v>
      </c>
    </row>
    <row r="1063">
      <c r="A1063" s="3"/>
      <c r="M1063" s="50" t="s">
        <v>1468</v>
      </c>
      <c r="N1063" s="51">
        <v>3.711</v>
      </c>
      <c r="O1063" s="6" t="str">
        <f t="shared" si="3"/>
        <v>May</v>
      </c>
      <c r="P1063" s="6" t="str">
        <f t="shared" si="4"/>
        <v>2015</v>
      </c>
    </row>
    <row r="1064">
      <c r="A1064" s="3"/>
      <c r="M1064" s="50" t="s">
        <v>1469</v>
      </c>
      <c r="N1064" s="51">
        <v>3.732</v>
      </c>
      <c r="O1064" s="6" t="str">
        <f t="shared" si="3"/>
        <v>May</v>
      </c>
      <c r="P1064" s="6" t="str">
        <f t="shared" si="4"/>
        <v>2015</v>
      </c>
    </row>
    <row r="1065">
      <c r="A1065" s="3"/>
      <c r="M1065" s="50" t="s">
        <v>1470</v>
      </c>
      <c r="N1065" s="51">
        <v>3.807</v>
      </c>
      <c r="O1065" s="6" t="str">
        <f t="shared" si="3"/>
        <v>May</v>
      </c>
      <c r="P1065" s="6" t="str">
        <f t="shared" si="4"/>
        <v>2015</v>
      </c>
    </row>
    <row r="1066">
      <c r="A1066" s="3"/>
      <c r="M1066" s="50" t="s">
        <v>1471</v>
      </c>
      <c r="N1066" s="51">
        <v>3.757</v>
      </c>
      <c r="O1066" s="6" t="str">
        <f t="shared" si="3"/>
        <v>May</v>
      </c>
      <c r="P1066" s="6" t="str">
        <f t="shared" si="4"/>
        <v>2015</v>
      </c>
    </row>
    <row r="1067">
      <c r="A1067" s="3"/>
      <c r="M1067" s="50" t="s">
        <v>1472</v>
      </c>
      <c r="N1067" s="51">
        <v>3.693</v>
      </c>
      <c r="O1067" s="6" t="str">
        <f t="shared" si="3"/>
        <v>Jun</v>
      </c>
      <c r="P1067" s="6" t="str">
        <f t="shared" si="4"/>
        <v>2015</v>
      </c>
    </row>
    <row r="1068">
      <c r="A1068" s="3"/>
      <c r="M1068" s="50" t="s">
        <v>1473</v>
      </c>
      <c r="N1068" s="51">
        <v>3.591</v>
      </c>
      <c r="O1068" s="6" t="str">
        <f t="shared" si="3"/>
        <v>Jun</v>
      </c>
      <c r="P1068" s="6" t="str">
        <f t="shared" si="4"/>
        <v>2015</v>
      </c>
    </row>
    <row r="1069">
      <c r="A1069" s="3"/>
      <c r="M1069" s="50" t="s">
        <v>1474</v>
      </c>
      <c r="N1069" s="51">
        <v>3.511</v>
      </c>
      <c r="O1069" s="6" t="str">
        <f t="shared" si="3"/>
        <v>Jun</v>
      </c>
      <c r="P1069" s="6" t="str">
        <f t="shared" si="4"/>
        <v>2015</v>
      </c>
    </row>
    <row r="1070">
      <c r="A1070" s="3"/>
      <c r="M1070" s="50" t="s">
        <v>1475</v>
      </c>
      <c r="N1070" s="51">
        <v>3.48</v>
      </c>
      <c r="O1070" s="6" t="str">
        <f t="shared" si="3"/>
        <v>Jun</v>
      </c>
      <c r="P1070" s="6" t="str">
        <f t="shared" si="4"/>
        <v>2015</v>
      </c>
    </row>
    <row r="1071">
      <c r="A1071" s="3"/>
      <c r="M1071" s="50" t="s">
        <v>1476</v>
      </c>
      <c r="N1071" s="51">
        <v>3.45</v>
      </c>
      <c r="O1071" s="6" t="str">
        <f t="shared" si="3"/>
        <v>Jun</v>
      </c>
      <c r="P1071" s="6" t="str">
        <f t="shared" si="4"/>
        <v>2015</v>
      </c>
    </row>
    <row r="1072">
      <c r="A1072" s="3"/>
      <c r="M1072" s="50" t="s">
        <v>1477</v>
      </c>
      <c r="N1072" s="51">
        <v>3.432</v>
      </c>
      <c r="O1072" s="6" t="str">
        <f t="shared" si="3"/>
        <v>Jul</v>
      </c>
      <c r="P1072" s="6" t="str">
        <f t="shared" si="4"/>
        <v>2015</v>
      </c>
    </row>
    <row r="1073">
      <c r="A1073" s="3"/>
      <c r="M1073" s="50" t="s">
        <v>1478</v>
      </c>
      <c r="N1073" s="51">
        <v>3.88</v>
      </c>
      <c r="O1073" s="6" t="str">
        <f t="shared" si="3"/>
        <v>Jul</v>
      </c>
      <c r="P1073" s="6" t="str">
        <f t="shared" si="4"/>
        <v>2015</v>
      </c>
    </row>
    <row r="1074">
      <c r="A1074" s="3"/>
      <c r="M1074" s="50" t="s">
        <v>1479</v>
      </c>
      <c r="N1074" s="51">
        <v>3.897</v>
      </c>
      <c r="O1074" s="6" t="str">
        <f t="shared" si="3"/>
        <v>Jul</v>
      </c>
      <c r="P1074" s="6" t="str">
        <f t="shared" si="4"/>
        <v>2015</v>
      </c>
    </row>
    <row r="1075">
      <c r="A1075" s="3"/>
      <c r="M1075" s="50" t="s">
        <v>1480</v>
      </c>
      <c r="N1075" s="51">
        <v>3.812</v>
      </c>
      <c r="O1075" s="6" t="str">
        <f t="shared" si="3"/>
        <v>Jul</v>
      </c>
      <c r="P1075" s="6" t="str">
        <f t="shared" si="4"/>
        <v>2015</v>
      </c>
    </row>
    <row r="1076">
      <c r="A1076" s="3"/>
      <c r="M1076" s="50" t="s">
        <v>1481</v>
      </c>
      <c r="N1076" s="51">
        <v>3.724</v>
      </c>
      <c r="O1076" s="6" t="str">
        <f t="shared" si="3"/>
        <v>Aug</v>
      </c>
      <c r="P1076" s="6" t="str">
        <f t="shared" si="4"/>
        <v>2015</v>
      </c>
    </row>
    <row r="1077">
      <c r="A1077" s="3"/>
      <c r="M1077" s="50" t="s">
        <v>1482</v>
      </c>
      <c r="N1077" s="51">
        <v>3.565</v>
      </c>
      <c r="O1077" s="6" t="str">
        <f t="shared" si="3"/>
        <v>Aug</v>
      </c>
      <c r="P1077" s="6" t="str">
        <f t="shared" si="4"/>
        <v>2015</v>
      </c>
    </row>
    <row r="1078">
      <c r="A1078" s="3"/>
      <c r="M1078" s="50" t="s">
        <v>1483</v>
      </c>
      <c r="N1078" s="51">
        <v>3.584</v>
      </c>
      <c r="O1078" s="6" t="str">
        <f t="shared" si="3"/>
        <v>Aug</v>
      </c>
      <c r="P1078" s="6" t="str">
        <f t="shared" si="4"/>
        <v>2015</v>
      </c>
    </row>
    <row r="1079">
      <c r="A1079" s="3"/>
      <c r="M1079" s="50" t="s">
        <v>1484</v>
      </c>
      <c r="N1079" s="51">
        <v>3.483</v>
      </c>
      <c r="O1079" s="6" t="str">
        <f t="shared" si="3"/>
        <v>Aug</v>
      </c>
      <c r="P1079" s="6" t="str">
        <f t="shared" si="4"/>
        <v>2015</v>
      </c>
    </row>
    <row r="1080">
      <c r="A1080" s="3"/>
      <c r="M1080" s="50" t="s">
        <v>1485</v>
      </c>
      <c r="N1080" s="51">
        <v>3.342</v>
      </c>
      <c r="O1080" s="6" t="str">
        <f t="shared" si="3"/>
        <v>Aug</v>
      </c>
      <c r="P1080" s="6" t="str">
        <f t="shared" si="4"/>
        <v>2015</v>
      </c>
    </row>
    <row r="1081">
      <c r="A1081" s="3"/>
      <c r="M1081" s="50" t="s">
        <v>1486</v>
      </c>
      <c r="N1081" s="51">
        <v>3.266</v>
      </c>
      <c r="O1081" s="6" t="str">
        <f t="shared" si="3"/>
        <v>Sep</v>
      </c>
      <c r="P1081" s="6" t="str">
        <f t="shared" si="4"/>
        <v>2015</v>
      </c>
    </row>
    <row r="1082">
      <c r="A1082" s="3"/>
      <c r="M1082" s="50" t="s">
        <v>1487</v>
      </c>
      <c r="N1082" s="51">
        <v>3.155</v>
      </c>
      <c r="O1082" s="6" t="str">
        <f t="shared" si="3"/>
        <v>Sep</v>
      </c>
      <c r="P1082" s="6" t="str">
        <f t="shared" si="4"/>
        <v>2015</v>
      </c>
    </row>
    <row r="1083">
      <c r="A1083" s="3"/>
      <c r="M1083" s="50" t="s">
        <v>1488</v>
      </c>
      <c r="N1083" s="51">
        <v>3.072</v>
      </c>
      <c r="O1083" s="6" t="str">
        <f t="shared" si="3"/>
        <v>Sep</v>
      </c>
      <c r="P1083" s="6" t="str">
        <f t="shared" si="4"/>
        <v>2015</v>
      </c>
    </row>
    <row r="1084">
      <c r="A1084" s="3"/>
      <c r="M1084" s="50" t="s">
        <v>1489</v>
      </c>
      <c r="N1084" s="51">
        <v>2.994</v>
      </c>
      <c r="O1084" s="6" t="str">
        <f t="shared" si="3"/>
        <v>Sep</v>
      </c>
      <c r="P1084" s="6" t="str">
        <f t="shared" si="4"/>
        <v>2015</v>
      </c>
    </row>
    <row r="1085">
      <c r="A1085" s="3"/>
      <c r="M1085" s="50" t="s">
        <v>1490</v>
      </c>
      <c r="N1085" s="51">
        <v>2.949</v>
      </c>
      <c r="O1085" s="6" t="str">
        <f t="shared" si="3"/>
        <v>Oct</v>
      </c>
      <c r="P1085" s="6" t="str">
        <f t="shared" si="4"/>
        <v>2015</v>
      </c>
    </row>
    <row r="1086">
      <c r="A1086" s="3"/>
      <c r="M1086" s="50" t="s">
        <v>1491</v>
      </c>
      <c r="N1086" s="51">
        <v>2.914</v>
      </c>
      <c r="O1086" s="6" t="str">
        <f t="shared" si="3"/>
        <v>Oct</v>
      </c>
      <c r="P1086" s="6" t="str">
        <f t="shared" si="4"/>
        <v>2015</v>
      </c>
    </row>
    <row r="1087">
      <c r="A1087" s="3"/>
      <c r="M1087" s="50" t="s">
        <v>1492</v>
      </c>
      <c r="N1087" s="51">
        <v>2.861</v>
      </c>
      <c r="O1087" s="6" t="str">
        <f t="shared" si="3"/>
        <v>Oct</v>
      </c>
      <c r="P1087" s="6" t="str">
        <f t="shared" si="4"/>
        <v>2015</v>
      </c>
    </row>
    <row r="1088">
      <c r="A1088" s="3"/>
      <c r="M1088" s="50" t="s">
        <v>1493</v>
      </c>
      <c r="N1088" s="51">
        <v>2.847</v>
      </c>
      <c r="O1088" s="6" t="str">
        <f t="shared" si="3"/>
        <v>Oct</v>
      </c>
      <c r="P1088" s="6" t="str">
        <f t="shared" si="4"/>
        <v>2015</v>
      </c>
    </row>
    <row r="1089">
      <c r="A1089" s="3"/>
      <c r="M1089" s="50" t="s">
        <v>1494</v>
      </c>
      <c r="N1089" s="51">
        <v>2.817</v>
      </c>
      <c r="O1089" s="6" t="str">
        <f t="shared" si="3"/>
        <v>Nov</v>
      </c>
      <c r="P1089" s="6" t="str">
        <f t="shared" si="4"/>
        <v>2015</v>
      </c>
    </row>
    <row r="1090">
      <c r="A1090" s="3"/>
      <c r="M1090" s="50" t="s">
        <v>1495</v>
      </c>
      <c r="N1090" s="51">
        <v>2.824</v>
      </c>
      <c r="O1090" s="6" t="str">
        <f t="shared" si="3"/>
        <v>Nov</v>
      </c>
      <c r="P1090" s="6" t="str">
        <f t="shared" si="4"/>
        <v>2015</v>
      </c>
    </row>
    <row r="1091">
      <c r="A1091" s="3"/>
      <c r="M1091" s="50" t="s">
        <v>1496</v>
      </c>
      <c r="N1091" s="51">
        <v>2.78</v>
      </c>
      <c r="O1091" s="6" t="str">
        <f t="shared" si="3"/>
        <v>Nov</v>
      </c>
      <c r="P1091" s="6" t="str">
        <f t="shared" si="4"/>
        <v>2015</v>
      </c>
    </row>
    <row r="1092">
      <c r="A1092" s="3"/>
      <c r="M1092" s="50" t="s">
        <v>1497</v>
      </c>
      <c r="N1092" s="51">
        <v>2.716</v>
      </c>
      <c r="O1092" s="6" t="str">
        <f t="shared" si="3"/>
        <v>Nov</v>
      </c>
      <c r="P1092" s="6" t="str">
        <f t="shared" si="4"/>
        <v>2015</v>
      </c>
    </row>
    <row r="1093">
      <c r="A1093" s="3"/>
      <c r="M1093" s="50" t="s">
        <v>1498</v>
      </c>
      <c r="N1093" s="51">
        <v>2.691</v>
      </c>
      <c r="O1093" s="6" t="str">
        <f t="shared" si="3"/>
        <v>Nov</v>
      </c>
      <c r="P1093" s="6" t="str">
        <f t="shared" si="4"/>
        <v>2015</v>
      </c>
    </row>
    <row r="1094">
      <c r="A1094" s="3"/>
      <c r="M1094" s="50" t="s">
        <v>1499</v>
      </c>
      <c r="N1094" s="51">
        <v>2.679</v>
      </c>
      <c r="O1094" s="6" t="str">
        <f t="shared" si="3"/>
        <v>Dec</v>
      </c>
      <c r="P1094" s="6" t="str">
        <f t="shared" si="4"/>
        <v>2015</v>
      </c>
    </row>
    <row r="1095">
      <c r="A1095" s="3"/>
      <c r="M1095" s="50" t="s">
        <v>1500</v>
      </c>
      <c r="N1095" s="51">
        <v>2.654</v>
      </c>
      <c r="O1095" s="6" t="str">
        <f t="shared" si="3"/>
        <v>Dec</v>
      </c>
      <c r="P1095" s="6" t="str">
        <f t="shared" si="4"/>
        <v>2015</v>
      </c>
    </row>
    <row r="1096">
      <c r="A1096" s="3"/>
      <c r="M1096" s="50" t="s">
        <v>1501</v>
      </c>
      <c r="N1096" s="51">
        <v>2.736</v>
      </c>
      <c r="O1096" s="6" t="str">
        <f t="shared" si="3"/>
        <v>Dec</v>
      </c>
      <c r="P1096" s="6" t="str">
        <f t="shared" si="4"/>
        <v>2015</v>
      </c>
    </row>
    <row r="1097">
      <c r="A1097" s="3"/>
      <c r="M1097" s="50" t="s">
        <v>1502</v>
      </c>
      <c r="N1097" s="51">
        <v>2.825</v>
      </c>
      <c r="O1097" s="6" t="str">
        <f t="shared" si="3"/>
        <v>Dec</v>
      </c>
      <c r="P1097" s="6" t="str">
        <f t="shared" si="4"/>
        <v>2015</v>
      </c>
    </row>
    <row r="1098">
      <c r="A1098" s="3"/>
      <c r="M1098" s="50" t="s">
        <v>1503</v>
      </c>
      <c r="N1098" s="51">
        <v>2.875</v>
      </c>
      <c r="O1098" s="6" t="str">
        <f t="shared" si="3"/>
        <v>Jan</v>
      </c>
      <c r="P1098" s="6" t="str">
        <f t="shared" si="4"/>
        <v>2016</v>
      </c>
    </row>
    <row r="1099">
      <c r="A1099" s="3"/>
      <c r="M1099" s="50" t="s">
        <v>1504</v>
      </c>
      <c r="N1099" s="51">
        <v>2.842</v>
      </c>
      <c r="O1099" s="6" t="str">
        <f t="shared" si="3"/>
        <v>Jan</v>
      </c>
      <c r="P1099" s="6" t="str">
        <f t="shared" si="4"/>
        <v>2016</v>
      </c>
    </row>
    <row r="1100">
      <c r="A1100" s="3"/>
      <c r="M1100" s="50" t="s">
        <v>1505</v>
      </c>
      <c r="N1100" s="51">
        <v>2.712</v>
      </c>
      <c r="O1100" s="6" t="str">
        <f t="shared" si="3"/>
        <v>Jan</v>
      </c>
      <c r="P1100" s="6" t="str">
        <f t="shared" si="4"/>
        <v>2016</v>
      </c>
    </row>
    <row r="1101">
      <c r="A1101" s="3"/>
      <c r="M1101" s="50" t="s">
        <v>1506</v>
      </c>
      <c r="N1101" s="51">
        <v>2.643</v>
      </c>
      <c r="O1101" s="6" t="str">
        <f t="shared" si="3"/>
        <v>Jan</v>
      </c>
      <c r="P1101" s="6" t="str">
        <f t="shared" si="4"/>
        <v>2016</v>
      </c>
    </row>
    <row r="1102">
      <c r="A1102" s="3"/>
      <c r="M1102" s="50" t="s">
        <v>1507</v>
      </c>
      <c r="N1102" s="51">
        <v>2.551</v>
      </c>
      <c r="O1102" s="6" t="str">
        <f t="shared" si="3"/>
        <v>Feb</v>
      </c>
      <c r="P1102" s="6" t="str">
        <f t="shared" si="4"/>
        <v>2016</v>
      </c>
    </row>
    <row r="1103">
      <c r="A1103" s="3"/>
      <c r="M1103" s="50" t="s">
        <v>1508</v>
      </c>
      <c r="N1103" s="51">
        <v>2.486</v>
      </c>
      <c r="O1103" s="6" t="str">
        <f t="shared" si="3"/>
        <v>Feb</v>
      </c>
      <c r="P1103" s="6" t="str">
        <f t="shared" si="4"/>
        <v>2016</v>
      </c>
    </row>
    <row r="1104">
      <c r="A1104" s="3"/>
      <c r="M1104" s="50" t="s">
        <v>1509</v>
      </c>
      <c r="N1104" s="51">
        <v>2.378</v>
      </c>
      <c r="O1104" s="6" t="str">
        <f t="shared" si="3"/>
        <v>Feb</v>
      </c>
      <c r="P1104" s="6" t="str">
        <f t="shared" si="4"/>
        <v>2016</v>
      </c>
    </row>
    <row r="1105">
      <c r="A1105" s="3"/>
      <c r="M1105" s="50" t="s">
        <v>1510</v>
      </c>
      <c r="N1105" s="51">
        <v>2.295</v>
      </c>
      <c r="O1105" s="6" t="str">
        <f t="shared" si="3"/>
        <v>Feb</v>
      </c>
      <c r="P1105" s="6" t="str">
        <f t="shared" si="4"/>
        <v>2016</v>
      </c>
    </row>
    <row r="1106">
      <c r="A1106" s="3"/>
      <c r="M1106" s="50" t="s">
        <v>1511</v>
      </c>
      <c r="N1106" s="51">
        <v>2.406</v>
      </c>
      <c r="O1106" s="6" t="str">
        <f t="shared" si="3"/>
        <v>Feb</v>
      </c>
      <c r="P1106" s="6" t="str">
        <f t="shared" si="4"/>
        <v>2016</v>
      </c>
    </row>
    <row r="1107">
      <c r="A1107" s="3"/>
      <c r="M1107" s="50" t="s">
        <v>1512</v>
      </c>
      <c r="N1107" s="51">
        <v>2.441</v>
      </c>
      <c r="O1107" s="6" t="str">
        <f t="shared" si="3"/>
        <v>Mar</v>
      </c>
      <c r="P1107" s="6" t="str">
        <f t="shared" si="4"/>
        <v>2016</v>
      </c>
    </row>
    <row r="1108">
      <c r="A1108" s="3"/>
      <c r="M1108" s="50" t="s">
        <v>1513</v>
      </c>
      <c r="N1108" s="51">
        <v>2.596</v>
      </c>
      <c r="O1108" s="6" t="str">
        <f t="shared" si="3"/>
        <v>Mar</v>
      </c>
      <c r="P1108" s="6" t="str">
        <f t="shared" si="4"/>
        <v>2016</v>
      </c>
    </row>
    <row r="1109">
      <c r="A1109" s="3"/>
      <c r="M1109" s="50" t="s">
        <v>1514</v>
      </c>
      <c r="N1109" s="51">
        <v>2.681</v>
      </c>
      <c r="O1109" s="6" t="str">
        <f t="shared" si="3"/>
        <v>Mar</v>
      </c>
      <c r="P1109" s="6" t="str">
        <f t="shared" si="4"/>
        <v>2016</v>
      </c>
    </row>
    <row r="1110">
      <c r="A1110" s="3"/>
      <c r="M1110" s="50" t="s">
        <v>1515</v>
      </c>
      <c r="N1110" s="51">
        <v>2.782</v>
      </c>
      <c r="O1110" s="6" t="str">
        <f t="shared" si="3"/>
        <v>Mar</v>
      </c>
      <c r="P1110" s="6" t="str">
        <f t="shared" si="4"/>
        <v>2016</v>
      </c>
    </row>
    <row r="1111">
      <c r="A1111" s="3"/>
      <c r="M1111" s="50" t="s">
        <v>1516</v>
      </c>
      <c r="N1111" s="51">
        <v>2.776</v>
      </c>
      <c r="O1111" s="6" t="str">
        <f t="shared" si="3"/>
        <v>Apr</v>
      </c>
      <c r="P1111" s="6" t="str">
        <f t="shared" si="4"/>
        <v>2016</v>
      </c>
    </row>
    <row r="1112">
      <c r="A1112" s="3"/>
      <c r="M1112" s="50" t="s">
        <v>1517</v>
      </c>
      <c r="N1112" s="51">
        <v>2.75</v>
      </c>
      <c r="O1112" s="6" t="str">
        <f t="shared" si="3"/>
        <v>Apr</v>
      </c>
      <c r="P1112" s="6" t="str">
        <f t="shared" si="4"/>
        <v>2016</v>
      </c>
    </row>
    <row r="1113">
      <c r="A1113" s="3"/>
      <c r="M1113" s="50" t="s">
        <v>1518</v>
      </c>
      <c r="N1113" s="51">
        <v>2.771</v>
      </c>
      <c r="O1113" s="6" t="str">
        <f t="shared" si="3"/>
        <v>Apr</v>
      </c>
      <c r="P1113" s="6" t="str">
        <f t="shared" si="4"/>
        <v>2016</v>
      </c>
    </row>
    <row r="1114">
      <c r="A1114" s="3"/>
      <c r="M1114" s="50" t="s">
        <v>1519</v>
      </c>
      <c r="N1114" s="51">
        <v>2.775</v>
      </c>
      <c r="O1114" s="6" t="str">
        <f t="shared" si="3"/>
        <v>Apr</v>
      </c>
      <c r="P1114" s="6" t="str">
        <f t="shared" si="4"/>
        <v>2016</v>
      </c>
    </row>
    <row r="1115">
      <c r="A1115" s="3"/>
      <c r="M1115" s="50" t="s">
        <v>1520</v>
      </c>
      <c r="N1115" s="51">
        <v>2.809</v>
      </c>
      <c r="O1115" s="6" t="str">
        <f t="shared" si="3"/>
        <v>May</v>
      </c>
      <c r="P1115" s="6" t="str">
        <f t="shared" si="4"/>
        <v>2016</v>
      </c>
    </row>
    <row r="1116">
      <c r="A1116" s="3"/>
      <c r="M1116" s="50" t="s">
        <v>1521</v>
      </c>
      <c r="N1116" s="51">
        <v>2.786</v>
      </c>
      <c r="O1116" s="6" t="str">
        <f t="shared" si="3"/>
        <v>May</v>
      </c>
      <c r="P1116" s="6" t="str">
        <f t="shared" si="4"/>
        <v>2016</v>
      </c>
    </row>
    <row r="1117">
      <c r="A1117" s="3"/>
      <c r="M1117" s="50" t="s">
        <v>1522</v>
      </c>
      <c r="N1117" s="51">
        <v>2.789</v>
      </c>
      <c r="O1117" s="6" t="str">
        <f t="shared" si="3"/>
        <v>May</v>
      </c>
      <c r="P1117" s="6" t="str">
        <f t="shared" si="4"/>
        <v>2016</v>
      </c>
    </row>
    <row r="1118">
      <c r="A1118" s="3"/>
      <c r="M1118" s="50" t="s">
        <v>1523</v>
      </c>
      <c r="N1118" s="51">
        <v>2.804</v>
      </c>
      <c r="O1118" s="6" t="str">
        <f t="shared" si="3"/>
        <v>May</v>
      </c>
      <c r="P1118" s="6" t="str">
        <f t="shared" si="4"/>
        <v>2016</v>
      </c>
    </row>
    <row r="1119">
      <c r="A1119" s="3"/>
      <c r="M1119" s="50" t="s">
        <v>1524</v>
      </c>
      <c r="N1119" s="51">
        <v>2.812</v>
      </c>
      <c r="O1119" s="6" t="str">
        <f t="shared" si="3"/>
        <v>May</v>
      </c>
      <c r="P1119" s="6" t="str">
        <f t="shared" si="4"/>
        <v>2016</v>
      </c>
    </row>
    <row r="1120">
      <c r="A1120" s="3"/>
      <c r="M1120" s="50" t="s">
        <v>1525</v>
      </c>
      <c r="N1120" s="51">
        <v>2.84</v>
      </c>
      <c r="O1120" s="6" t="str">
        <f t="shared" si="3"/>
        <v>Jun</v>
      </c>
      <c r="P1120" s="6" t="str">
        <f t="shared" si="4"/>
        <v>2016</v>
      </c>
    </row>
    <row r="1121">
      <c r="A1121" s="3"/>
      <c r="M1121" s="50" t="s">
        <v>1526</v>
      </c>
      <c r="N1121" s="51">
        <v>2.864</v>
      </c>
      <c r="O1121" s="6" t="str">
        <f t="shared" si="3"/>
        <v>Jun</v>
      </c>
      <c r="P1121" s="6" t="str">
        <f t="shared" si="4"/>
        <v>2016</v>
      </c>
    </row>
    <row r="1122">
      <c r="A1122" s="3"/>
      <c r="M1122" s="50" t="s">
        <v>1527</v>
      </c>
      <c r="N1122" s="51">
        <v>2.866</v>
      </c>
      <c r="O1122" s="6" t="str">
        <f t="shared" si="3"/>
        <v>Jun</v>
      </c>
      <c r="P1122" s="6" t="str">
        <f t="shared" si="4"/>
        <v>2016</v>
      </c>
    </row>
    <row r="1123">
      <c r="A1123" s="3"/>
      <c r="M1123" s="50" t="s">
        <v>1528</v>
      </c>
      <c r="N1123" s="51">
        <v>2.929</v>
      </c>
      <c r="O1123" s="6" t="str">
        <f t="shared" si="3"/>
        <v>Jun</v>
      </c>
      <c r="P1123" s="6" t="str">
        <f t="shared" si="4"/>
        <v>2016</v>
      </c>
    </row>
    <row r="1124">
      <c r="A1124" s="3"/>
      <c r="M1124" s="50" t="s">
        <v>1529</v>
      </c>
      <c r="N1124" s="51">
        <v>2.91</v>
      </c>
      <c r="O1124" s="6" t="str">
        <f t="shared" si="3"/>
        <v>Jul</v>
      </c>
      <c r="P1124" s="6" t="str">
        <f t="shared" si="4"/>
        <v>2016</v>
      </c>
    </row>
    <row r="1125">
      <c r="A1125" s="3"/>
      <c r="M1125" s="50" t="s">
        <v>1530</v>
      </c>
      <c r="N1125" s="51">
        <v>2.866</v>
      </c>
      <c r="O1125" s="6" t="str">
        <f t="shared" si="3"/>
        <v>Jul</v>
      </c>
      <c r="P1125" s="6" t="str">
        <f t="shared" si="4"/>
        <v>2016</v>
      </c>
    </row>
    <row r="1126">
      <c r="A1126" s="3"/>
      <c r="M1126" s="50" t="s">
        <v>1531</v>
      </c>
      <c r="N1126" s="51">
        <v>2.858</v>
      </c>
      <c r="O1126" s="6" t="str">
        <f t="shared" si="3"/>
        <v>Jul</v>
      </c>
      <c r="P1126" s="6" t="str">
        <f t="shared" si="4"/>
        <v>2016</v>
      </c>
    </row>
    <row r="1127">
      <c r="A1127" s="3"/>
      <c r="M1127" s="50" t="s">
        <v>1532</v>
      </c>
      <c r="N1127" s="51">
        <v>2.792</v>
      </c>
      <c r="O1127" s="6" t="str">
        <f t="shared" si="3"/>
        <v>Jul</v>
      </c>
      <c r="P1127" s="6" t="str">
        <f t="shared" si="4"/>
        <v>2016</v>
      </c>
    </row>
    <row r="1128">
      <c r="A1128" s="3"/>
      <c r="M1128" s="50" t="s">
        <v>1533</v>
      </c>
      <c r="N1128" s="51">
        <v>2.725</v>
      </c>
      <c r="O1128" s="6" t="str">
        <f t="shared" si="3"/>
        <v>Aug</v>
      </c>
      <c r="P1128" s="6" t="str">
        <f t="shared" si="4"/>
        <v>2016</v>
      </c>
    </row>
    <row r="1129">
      <c r="A1129" s="3"/>
      <c r="M1129" s="50" t="s">
        <v>1534</v>
      </c>
      <c r="N1129" s="51">
        <v>2.681</v>
      </c>
      <c r="O1129" s="6" t="str">
        <f t="shared" si="3"/>
        <v>Aug</v>
      </c>
      <c r="P1129" s="6" t="str">
        <f t="shared" si="4"/>
        <v>2016</v>
      </c>
    </row>
    <row r="1130">
      <c r="A1130" s="3"/>
      <c r="M1130" s="50" t="s">
        <v>1535</v>
      </c>
      <c r="N1130" s="51">
        <v>2.643</v>
      </c>
      <c r="O1130" s="6" t="str">
        <f t="shared" si="3"/>
        <v>Aug</v>
      </c>
      <c r="P1130" s="6" t="str">
        <f t="shared" si="4"/>
        <v>2016</v>
      </c>
    </row>
    <row r="1131">
      <c r="A1131" s="3"/>
      <c r="M1131" s="50" t="s">
        <v>1536</v>
      </c>
      <c r="N1131" s="51">
        <v>2.702</v>
      </c>
      <c r="O1131" s="6" t="str">
        <f t="shared" si="3"/>
        <v>Aug</v>
      </c>
      <c r="P1131" s="6" t="str">
        <f t="shared" si="4"/>
        <v>2016</v>
      </c>
    </row>
    <row r="1132">
      <c r="A1132" s="3"/>
      <c r="M1132" s="50" t="s">
        <v>1537</v>
      </c>
      <c r="N1132" s="51">
        <v>2.709</v>
      </c>
      <c r="O1132" s="6" t="str">
        <f t="shared" si="3"/>
        <v>Aug</v>
      </c>
      <c r="P1132" s="6" t="str">
        <f t="shared" si="4"/>
        <v>2016</v>
      </c>
    </row>
    <row r="1133">
      <c r="A1133" s="3"/>
      <c r="M1133" s="50" t="s">
        <v>1538</v>
      </c>
      <c r="N1133" s="51">
        <v>2.706</v>
      </c>
      <c r="O1133" s="6" t="str">
        <f t="shared" si="3"/>
        <v>Sep</v>
      </c>
      <c r="P1133" s="6" t="str">
        <f t="shared" si="4"/>
        <v>2016</v>
      </c>
    </row>
    <row r="1134">
      <c r="A1134" s="3"/>
      <c r="M1134" s="50" t="s">
        <v>1539</v>
      </c>
      <c r="N1134" s="51">
        <v>2.753</v>
      </c>
      <c r="O1134" s="6" t="str">
        <f t="shared" si="3"/>
        <v>Sep</v>
      </c>
      <c r="P1134" s="6" t="str">
        <f t="shared" si="4"/>
        <v>2016</v>
      </c>
    </row>
    <row r="1135">
      <c r="A1135" s="3"/>
      <c r="M1135" s="50" t="s">
        <v>1540</v>
      </c>
      <c r="N1135" s="51">
        <v>2.763</v>
      </c>
      <c r="O1135" s="6" t="str">
        <f t="shared" si="3"/>
        <v>Sep</v>
      </c>
      <c r="P1135" s="6" t="str">
        <f t="shared" si="4"/>
        <v>2016</v>
      </c>
    </row>
    <row r="1136">
      <c r="A1136" s="3"/>
      <c r="M1136" s="50" t="s">
        <v>1541</v>
      </c>
      <c r="N1136" s="51">
        <v>2.764</v>
      </c>
      <c r="O1136" s="6" t="str">
        <f t="shared" si="3"/>
        <v>Sep</v>
      </c>
      <c r="P1136" s="6" t="str">
        <f t="shared" si="4"/>
        <v>2016</v>
      </c>
    </row>
    <row r="1137">
      <c r="A1137" s="3"/>
      <c r="M1137" s="50" t="s">
        <v>1542</v>
      </c>
      <c r="N1137" s="51">
        <v>2.809</v>
      </c>
      <c r="O1137" s="6" t="str">
        <f t="shared" si="3"/>
        <v>Oct</v>
      </c>
      <c r="P1137" s="6" t="str">
        <f t="shared" si="4"/>
        <v>2016</v>
      </c>
    </row>
    <row r="1138">
      <c r="A1138" s="3"/>
      <c r="M1138" s="50" t="s">
        <v>1543</v>
      </c>
      <c r="N1138" s="51">
        <v>2.799</v>
      </c>
      <c r="O1138" s="6" t="str">
        <f t="shared" si="3"/>
        <v>Oct</v>
      </c>
      <c r="P1138" s="6" t="str">
        <f t="shared" si="4"/>
        <v>2016</v>
      </c>
    </row>
    <row r="1139">
      <c r="A1139" s="3"/>
      <c r="M1139" s="50" t="s">
        <v>1544</v>
      </c>
      <c r="N1139" s="51">
        <v>2.805</v>
      </c>
      <c r="O1139" s="6" t="str">
        <f t="shared" si="3"/>
        <v>Oct</v>
      </c>
      <c r="P1139" s="6" t="str">
        <f t="shared" si="4"/>
        <v>2016</v>
      </c>
    </row>
    <row r="1140">
      <c r="A1140" s="3"/>
      <c r="M1140" s="50" t="s">
        <v>1545</v>
      </c>
      <c r="N1140" s="51">
        <v>2.798</v>
      </c>
      <c r="O1140" s="6" t="str">
        <f t="shared" si="3"/>
        <v>Oct</v>
      </c>
      <c r="P1140" s="6" t="str">
        <f t="shared" si="4"/>
        <v>2016</v>
      </c>
    </row>
    <row r="1141">
      <c r="A1141" s="3"/>
      <c r="M1141" s="50" t="s">
        <v>1546</v>
      </c>
      <c r="N1141" s="51">
        <v>2.824</v>
      </c>
      <c r="O1141" s="6" t="str">
        <f t="shared" si="3"/>
        <v>Oct</v>
      </c>
      <c r="P1141" s="6" t="str">
        <f t="shared" si="4"/>
        <v>2016</v>
      </c>
    </row>
    <row r="1142">
      <c r="A1142" s="3"/>
      <c r="M1142" s="50" t="s">
        <v>1547</v>
      </c>
      <c r="N1142" s="51">
        <v>2.809</v>
      </c>
      <c r="O1142" s="6" t="str">
        <f t="shared" si="3"/>
        <v>Nov</v>
      </c>
      <c r="P1142" s="6" t="str">
        <f t="shared" si="4"/>
        <v>2016</v>
      </c>
    </row>
    <row r="1143">
      <c r="A1143" s="3"/>
      <c r="M1143" s="50" t="s">
        <v>1548</v>
      </c>
      <c r="N1143" s="51">
        <v>2.755</v>
      </c>
      <c r="O1143" s="6" t="str">
        <f t="shared" si="3"/>
        <v>Nov</v>
      </c>
      <c r="P1143" s="6" t="str">
        <f t="shared" si="4"/>
        <v>2016</v>
      </c>
    </row>
    <row r="1144">
      <c r="A1144" s="3"/>
      <c r="M1144" s="50" t="s">
        <v>1549</v>
      </c>
      <c r="N1144" s="51">
        <v>2.69</v>
      </c>
      <c r="O1144" s="6" t="str">
        <f t="shared" si="3"/>
        <v>Nov</v>
      </c>
      <c r="P1144" s="6" t="str">
        <f t="shared" si="4"/>
        <v>2016</v>
      </c>
    </row>
    <row r="1145">
      <c r="A1145" s="3"/>
      <c r="M1145" s="50" t="s">
        <v>1550</v>
      </c>
      <c r="N1145" s="51">
        <v>2.672</v>
      </c>
      <c r="O1145" s="6" t="str">
        <f t="shared" si="3"/>
        <v>Nov</v>
      </c>
      <c r="P1145" s="6" t="str">
        <f t="shared" si="4"/>
        <v>2016</v>
      </c>
    </row>
    <row r="1146">
      <c r="A1146" s="3"/>
      <c r="M1146" s="50" t="s">
        <v>1551</v>
      </c>
      <c r="N1146" s="51">
        <v>2.682</v>
      </c>
      <c r="O1146" s="6" t="str">
        <f t="shared" si="3"/>
        <v>Dec</v>
      </c>
      <c r="P1146" s="6" t="str">
        <f t="shared" si="4"/>
        <v>2016</v>
      </c>
    </row>
    <row r="1147">
      <c r="A1147" s="3"/>
      <c r="M1147" s="50" t="s">
        <v>1552</v>
      </c>
      <c r="N1147" s="51">
        <v>2.666</v>
      </c>
      <c r="O1147" s="6" t="str">
        <f t="shared" si="3"/>
        <v>Dec</v>
      </c>
      <c r="P1147" s="6" t="str">
        <f t="shared" si="4"/>
        <v>2016</v>
      </c>
    </row>
    <row r="1148">
      <c r="A1148" s="3"/>
      <c r="M1148" s="50" t="s">
        <v>1553</v>
      </c>
      <c r="N1148" s="51">
        <v>2.67</v>
      </c>
      <c r="O1148" s="6" t="str">
        <f t="shared" si="3"/>
        <v>Dec</v>
      </c>
      <c r="P1148" s="6" t="str">
        <f t="shared" si="4"/>
        <v>2016</v>
      </c>
    </row>
    <row r="1149">
      <c r="A1149" s="3"/>
      <c r="M1149" s="50" t="s">
        <v>1554</v>
      </c>
      <c r="N1149" s="51">
        <v>2.706</v>
      </c>
      <c r="O1149" s="6" t="str">
        <f t="shared" si="3"/>
        <v>Dec</v>
      </c>
      <c r="P1149" s="6" t="str">
        <f t="shared" si="4"/>
        <v>2016</v>
      </c>
    </row>
    <row r="1150">
      <c r="A1150" s="3"/>
      <c r="M1150" s="50" t="s">
        <v>1555</v>
      </c>
      <c r="N1150" s="51">
        <v>2.779</v>
      </c>
      <c r="O1150" s="6" t="str">
        <f t="shared" si="3"/>
        <v>Jan</v>
      </c>
      <c r="P1150" s="6" t="str">
        <f t="shared" si="4"/>
        <v>2017</v>
      </c>
    </row>
    <row r="1151">
      <c r="A1151" s="3"/>
      <c r="M1151" s="50" t="s">
        <v>1556</v>
      </c>
      <c r="N1151" s="51">
        <v>2.804</v>
      </c>
      <c r="O1151" s="6" t="str">
        <f t="shared" si="3"/>
        <v>Jan</v>
      </c>
      <c r="P1151" s="6" t="str">
        <f t="shared" si="4"/>
        <v>2017</v>
      </c>
    </row>
    <row r="1152">
      <c r="A1152" s="3"/>
      <c r="M1152" s="50" t="s">
        <v>1557</v>
      </c>
      <c r="N1152" s="51">
        <v>2.794</v>
      </c>
      <c r="O1152" s="6" t="str">
        <f t="shared" si="3"/>
        <v>Jan</v>
      </c>
      <c r="P1152" s="6" t="str">
        <f t="shared" si="4"/>
        <v>2017</v>
      </c>
    </row>
    <row r="1153">
      <c r="A1153" s="3"/>
      <c r="M1153" s="50" t="s">
        <v>1558</v>
      </c>
      <c r="N1153" s="51">
        <v>2.783</v>
      </c>
      <c r="O1153" s="6" t="str">
        <f t="shared" si="3"/>
        <v>Jan</v>
      </c>
      <c r="P1153" s="6" t="str">
        <f t="shared" si="4"/>
        <v>2017</v>
      </c>
    </row>
    <row r="1154">
      <c r="A1154" s="3"/>
      <c r="M1154" s="50" t="s">
        <v>1559</v>
      </c>
      <c r="N1154" s="51">
        <v>2.791</v>
      </c>
      <c r="O1154" s="6" t="str">
        <f t="shared" si="3"/>
        <v>Jan</v>
      </c>
      <c r="P1154" s="6" t="str">
        <f t="shared" si="4"/>
        <v>2017</v>
      </c>
    </row>
    <row r="1155">
      <c r="A1155" s="3"/>
      <c r="M1155" s="50" t="s">
        <v>1560</v>
      </c>
      <c r="N1155" s="51">
        <v>2.825</v>
      </c>
      <c r="O1155" s="6" t="str">
        <f t="shared" si="3"/>
        <v>Feb</v>
      </c>
      <c r="P1155" s="6" t="str">
        <f t="shared" si="4"/>
        <v>2017</v>
      </c>
    </row>
    <row r="1156">
      <c r="A1156" s="3"/>
      <c r="M1156" s="50" t="s">
        <v>1561</v>
      </c>
      <c r="N1156" s="51">
        <v>2.874</v>
      </c>
      <c r="O1156" s="6" t="str">
        <f t="shared" si="3"/>
        <v>Feb</v>
      </c>
      <c r="P1156" s="6" t="str">
        <f t="shared" si="4"/>
        <v>2017</v>
      </c>
    </row>
    <row r="1157">
      <c r="A1157" s="3"/>
      <c r="M1157" s="50" t="s">
        <v>1562</v>
      </c>
      <c r="N1157" s="51">
        <v>2.898</v>
      </c>
      <c r="O1157" s="6" t="str">
        <f t="shared" si="3"/>
        <v>Feb</v>
      </c>
      <c r="P1157" s="6" t="str">
        <f t="shared" si="4"/>
        <v>2017</v>
      </c>
    </row>
    <row r="1158">
      <c r="A1158" s="3"/>
      <c r="M1158" s="50" t="s">
        <v>1563</v>
      </c>
      <c r="N1158" s="51">
        <v>2.956</v>
      </c>
      <c r="O1158" s="6" t="str">
        <f t="shared" si="3"/>
        <v>Feb</v>
      </c>
      <c r="P1158" s="6" t="str">
        <f t="shared" si="4"/>
        <v>2017</v>
      </c>
    </row>
    <row r="1159">
      <c r="A1159" s="3"/>
      <c r="M1159" s="50" t="s">
        <v>1564</v>
      </c>
      <c r="N1159" s="51">
        <v>3.0</v>
      </c>
      <c r="O1159" s="6" t="str">
        <f t="shared" si="3"/>
        <v>Mar</v>
      </c>
      <c r="P1159" s="6" t="str">
        <f t="shared" si="4"/>
        <v>2017</v>
      </c>
    </row>
    <row r="1160">
      <c r="A1160" s="3"/>
      <c r="M1160" s="50" t="s">
        <v>1565</v>
      </c>
      <c r="N1160" s="51">
        <v>3.005</v>
      </c>
      <c r="O1160" s="6" t="str">
        <f t="shared" si="3"/>
        <v>Mar</v>
      </c>
      <c r="P1160" s="6" t="str">
        <f t="shared" si="4"/>
        <v>2017</v>
      </c>
    </row>
    <row r="1161">
      <c r="A1161" s="3"/>
      <c r="M1161" s="50" t="s">
        <v>1566</v>
      </c>
      <c r="N1161" s="51">
        <v>3.001</v>
      </c>
      <c r="O1161" s="6" t="str">
        <f t="shared" si="3"/>
        <v>Mar</v>
      </c>
      <c r="P1161" s="6" t="str">
        <f t="shared" si="4"/>
        <v>2017</v>
      </c>
    </row>
    <row r="1162">
      <c r="A1162" s="3"/>
      <c r="M1162" s="50" t="s">
        <v>1567</v>
      </c>
      <c r="N1162" s="51">
        <v>2.998</v>
      </c>
      <c r="O1162" s="6" t="str">
        <f t="shared" si="3"/>
        <v>Mar</v>
      </c>
      <c r="P1162" s="6" t="str">
        <f t="shared" si="4"/>
        <v>2017</v>
      </c>
    </row>
    <row r="1163">
      <c r="A1163" s="3"/>
      <c r="M1163" s="50" t="s">
        <v>1568</v>
      </c>
      <c r="N1163" s="51">
        <v>2.992</v>
      </c>
      <c r="O1163" s="6" t="str">
        <f t="shared" si="3"/>
        <v>Apr</v>
      </c>
      <c r="P1163" s="6" t="str">
        <f t="shared" si="4"/>
        <v>2017</v>
      </c>
    </row>
    <row r="1164">
      <c r="A1164" s="3"/>
      <c r="M1164" s="50" t="s">
        <v>1569</v>
      </c>
      <c r="N1164" s="51">
        <v>3.008</v>
      </c>
      <c r="O1164" s="6" t="str">
        <f t="shared" si="3"/>
        <v>Apr</v>
      </c>
      <c r="P1164" s="6" t="str">
        <f t="shared" si="4"/>
        <v>2017</v>
      </c>
    </row>
    <row r="1165">
      <c r="A1165" s="3"/>
      <c r="M1165" s="50" t="s">
        <v>1570</v>
      </c>
      <c r="N1165" s="51">
        <v>3.017</v>
      </c>
      <c r="O1165" s="6" t="str">
        <f t="shared" si="3"/>
        <v>Apr</v>
      </c>
      <c r="P1165" s="6" t="str">
        <f t="shared" si="4"/>
        <v>2017</v>
      </c>
    </row>
    <row r="1166">
      <c r="A1166" s="3"/>
      <c r="M1166" s="50" t="s">
        <v>1571</v>
      </c>
      <c r="N1166" s="51">
        <v>3.017</v>
      </c>
      <c r="O1166" s="6" t="str">
        <f t="shared" si="3"/>
        <v>Apr</v>
      </c>
      <c r="P1166" s="6" t="str">
        <f t="shared" si="4"/>
        <v>2017</v>
      </c>
    </row>
    <row r="1167">
      <c r="A1167" s="3"/>
      <c r="M1167" s="50" t="s">
        <v>1572</v>
      </c>
      <c r="N1167" s="51">
        <v>3.002</v>
      </c>
      <c r="O1167" s="6" t="str">
        <f t="shared" si="3"/>
        <v>May</v>
      </c>
      <c r="P1167" s="6" t="str">
        <f t="shared" si="4"/>
        <v>2017</v>
      </c>
    </row>
    <row r="1168">
      <c r="A1168" s="3"/>
      <c r="M1168" s="50" t="s">
        <v>1573</v>
      </c>
      <c r="N1168" s="51">
        <v>2.986</v>
      </c>
      <c r="O1168" s="6" t="str">
        <f t="shared" si="3"/>
        <v>May</v>
      </c>
      <c r="P1168" s="6" t="str">
        <f t="shared" si="4"/>
        <v>2017</v>
      </c>
    </row>
    <row r="1169">
      <c r="A1169" s="3"/>
      <c r="M1169" s="50" t="s">
        <v>1574</v>
      </c>
      <c r="N1169" s="51">
        <v>3.005</v>
      </c>
      <c r="O1169" s="6" t="str">
        <f t="shared" si="3"/>
        <v>May</v>
      </c>
      <c r="P1169" s="6" t="str">
        <f t="shared" si="4"/>
        <v>2017</v>
      </c>
    </row>
    <row r="1170">
      <c r="A1170" s="3"/>
      <c r="M1170" s="50" t="s">
        <v>1575</v>
      </c>
      <c r="N1170" s="51">
        <v>3.094</v>
      </c>
      <c r="O1170" s="6" t="str">
        <f t="shared" si="3"/>
        <v>May</v>
      </c>
      <c r="P1170" s="6" t="str">
        <f t="shared" si="4"/>
        <v>2017</v>
      </c>
    </row>
    <row r="1171">
      <c r="A1171" s="3"/>
      <c r="M1171" s="50" t="s">
        <v>1576</v>
      </c>
      <c r="N1171" s="51">
        <v>3.127</v>
      </c>
      <c r="O1171" s="6" t="str">
        <f t="shared" si="3"/>
        <v>May</v>
      </c>
      <c r="P1171" s="6" t="str">
        <f t="shared" si="4"/>
        <v>2017</v>
      </c>
    </row>
    <row r="1172">
      <c r="A1172" s="3"/>
      <c r="M1172" s="50" t="s">
        <v>1577</v>
      </c>
      <c r="N1172" s="51">
        <v>3.104</v>
      </c>
      <c r="O1172" s="6" t="str">
        <f t="shared" si="3"/>
        <v>Jun</v>
      </c>
      <c r="P1172" s="6" t="str">
        <f t="shared" si="4"/>
        <v>2017</v>
      </c>
    </row>
    <row r="1173">
      <c r="A1173" s="3"/>
      <c r="M1173" s="50" t="s">
        <v>1578</v>
      </c>
      <c r="N1173" s="51">
        <v>3.038</v>
      </c>
      <c r="O1173" s="6" t="str">
        <f t="shared" si="3"/>
        <v>Jun</v>
      </c>
      <c r="P1173" s="6" t="str">
        <f t="shared" si="4"/>
        <v>2017</v>
      </c>
    </row>
    <row r="1174">
      <c r="A1174" s="3"/>
      <c r="M1174" s="50" t="s">
        <v>1579</v>
      </c>
      <c r="N1174" s="51">
        <v>2.996</v>
      </c>
      <c r="O1174" s="6" t="str">
        <f t="shared" si="3"/>
        <v>Jun</v>
      </c>
      <c r="P1174" s="6" t="str">
        <f t="shared" si="4"/>
        <v>2017</v>
      </c>
    </row>
    <row r="1175">
      <c r="A1175" s="3"/>
      <c r="M1175" s="50" t="s">
        <v>1580</v>
      </c>
      <c r="N1175" s="51">
        <v>2.953</v>
      </c>
      <c r="O1175" s="6" t="str">
        <f t="shared" si="3"/>
        <v>Jun</v>
      </c>
      <c r="P1175" s="6" t="str">
        <f t="shared" si="4"/>
        <v>2017</v>
      </c>
    </row>
    <row r="1176">
      <c r="A1176" s="3"/>
      <c r="M1176" s="50" t="s">
        <v>1581</v>
      </c>
      <c r="N1176" s="51">
        <v>2.946</v>
      </c>
      <c r="O1176" s="6" t="str">
        <f t="shared" si="3"/>
        <v>Jul</v>
      </c>
      <c r="P1176" s="6" t="str">
        <f t="shared" si="4"/>
        <v>2017</v>
      </c>
    </row>
    <row r="1177">
      <c r="A1177" s="3"/>
      <c r="M1177" s="50" t="s">
        <v>1582</v>
      </c>
      <c r="N1177" s="51">
        <v>2.949</v>
      </c>
      <c r="O1177" s="6" t="str">
        <f t="shared" si="3"/>
        <v>Jul</v>
      </c>
      <c r="P1177" s="6" t="str">
        <f t="shared" si="4"/>
        <v>2017</v>
      </c>
    </row>
    <row r="1178">
      <c r="A1178" s="3"/>
      <c r="M1178" s="50" t="s">
        <v>1583</v>
      </c>
      <c r="N1178" s="51">
        <v>2.934</v>
      </c>
      <c r="O1178" s="6" t="str">
        <f t="shared" si="3"/>
        <v>Jul</v>
      </c>
      <c r="P1178" s="6" t="str">
        <f t="shared" si="4"/>
        <v>2017</v>
      </c>
    </row>
    <row r="1179">
      <c r="A1179" s="3"/>
      <c r="M1179" s="50" t="s">
        <v>1584</v>
      </c>
      <c r="N1179" s="51">
        <v>2.941</v>
      </c>
      <c r="O1179" s="6" t="str">
        <f t="shared" si="3"/>
        <v>Jul</v>
      </c>
      <c r="P1179" s="6" t="str">
        <f t="shared" si="4"/>
        <v>2017</v>
      </c>
    </row>
    <row r="1180">
      <c r="A1180" s="3"/>
      <c r="M1180" s="50" t="s">
        <v>1585</v>
      </c>
      <c r="N1180" s="51">
        <v>2.981</v>
      </c>
      <c r="O1180" s="6" t="str">
        <f t="shared" si="3"/>
        <v>Jul</v>
      </c>
      <c r="P1180" s="6" t="str">
        <f t="shared" si="4"/>
        <v>2017</v>
      </c>
    </row>
    <row r="1181">
      <c r="A1181" s="3"/>
      <c r="M1181" s="50" t="s">
        <v>1586</v>
      </c>
      <c r="N1181" s="51">
        <v>2.989</v>
      </c>
      <c r="O1181" s="6" t="str">
        <f t="shared" si="3"/>
        <v>Aug</v>
      </c>
      <c r="P1181" s="6" t="str">
        <f t="shared" si="4"/>
        <v>2017</v>
      </c>
    </row>
    <row r="1182">
      <c r="A1182" s="3"/>
      <c r="M1182" s="50" t="s">
        <v>1587</v>
      </c>
      <c r="N1182" s="51">
        <v>3.014</v>
      </c>
      <c r="O1182" s="6" t="str">
        <f t="shared" si="3"/>
        <v>Aug</v>
      </c>
      <c r="P1182" s="6" t="str">
        <f t="shared" si="4"/>
        <v>2017</v>
      </c>
    </row>
    <row r="1183">
      <c r="A1183" s="3"/>
      <c r="M1183" s="50" t="s">
        <v>1588</v>
      </c>
      <c r="N1183" s="51">
        <v>3.028</v>
      </c>
      <c r="O1183" s="6" t="str">
        <f t="shared" si="3"/>
        <v>Aug</v>
      </c>
      <c r="P1183" s="6" t="str">
        <f t="shared" si="4"/>
        <v>2017</v>
      </c>
    </row>
    <row r="1184">
      <c r="A1184" s="3"/>
      <c r="M1184" s="50" t="s">
        <v>1589</v>
      </c>
      <c r="N1184" s="51">
        <v>3.035</v>
      </c>
      <c r="O1184" s="6" t="str">
        <f t="shared" si="3"/>
        <v>Aug</v>
      </c>
      <c r="P1184" s="6" t="str">
        <f t="shared" si="4"/>
        <v>2017</v>
      </c>
    </row>
    <row r="1185">
      <c r="A1185" s="3"/>
      <c r="M1185" s="50" t="s">
        <v>1590</v>
      </c>
      <c r="N1185" s="51">
        <v>3.164</v>
      </c>
      <c r="O1185" s="6" t="str">
        <f t="shared" si="3"/>
        <v>Sep</v>
      </c>
      <c r="P1185" s="6" t="str">
        <f t="shared" si="4"/>
        <v>2017</v>
      </c>
    </row>
    <row r="1186">
      <c r="A1186" s="3"/>
      <c r="M1186" s="50" t="s">
        <v>1591</v>
      </c>
      <c r="N1186" s="51">
        <v>3.186</v>
      </c>
      <c r="O1186" s="6" t="str">
        <f t="shared" si="3"/>
        <v>Sep</v>
      </c>
      <c r="P1186" s="6" t="str">
        <f t="shared" si="4"/>
        <v>2017</v>
      </c>
    </row>
    <row r="1187">
      <c r="A1187" s="3"/>
      <c r="M1187" s="50" t="s">
        <v>1592</v>
      </c>
      <c r="N1187" s="51">
        <v>3.163</v>
      </c>
      <c r="O1187" s="6" t="str">
        <f t="shared" si="3"/>
        <v>Sep</v>
      </c>
      <c r="P1187" s="6" t="str">
        <f t="shared" si="4"/>
        <v>2017</v>
      </c>
    </row>
    <row r="1188">
      <c r="A1188" s="3"/>
      <c r="M1188" s="50" t="s">
        <v>1593</v>
      </c>
      <c r="N1188" s="51">
        <v>3.143</v>
      </c>
      <c r="O1188" s="6" t="str">
        <f t="shared" si="3"/>
        <v>Sep</v>
      </c>
      <c r="P1188" s="6" t="str">
        <f t="shared" si="4"/>
        <v>2017</v>
      </c>
    </row>
    <row r="1189">
      <c r="A1189" s="3"/>
      <c r="M1189" s="50" t="s">
        <v>1594</v>
      </c>
      <c r="N1189" s="51">
        <v>3.111</v>
      </c>
      <c r="O1189" s="6" t="str">
        <f t="shared" si="3"/>
        <v>Oct</v>
      </c>
      <c r="P1189" s="6" t="str">
        <f t="shared" si="4"/>
        <v>2017</v>
      </c>
    </row>
    <row r="1190">
      <c r="A1190" s="3"/>
      <c r="M1190" s="50" t="s">
        <v>1595</v>
      </c>
      <c r="N1190" s="51">
        <v>3.083</v>
      </c>
      <c r="O1190" s="6" t="str">
        <f t="shared" si="3"/>
        <v>Oct</v>
      </c>
      <c r="P1190" s="6" t="str">
        <f t="shared" si="4"/>
        <v>2017</v>
      </c>
    </row>
    <row r="1191">
      <c r="A1191" s="3"/>
      <c r="M1191" s="50" t="s">
        <v>1596</v>
      </c>
      <c r="N1191" s="51">
        <v>3.077</v>
      </c>
      <c r="O1191" s="6" t="str">
        <f t="shared" si="3"/>
        <v>Oct</v>
      </c>
      <c r="P1191" s="6" t="str">
        <f t="shared" si="4"/>
        <v>2017</v>
      </c>
    </row>
    <row r="1192">
      <c r="A1192" s="3"/>
      <c r="M1192" s="50" t="s">
        <v>1597</v>
      </c>
      <c r="N1192" s="51">
        <v>3.064</v>
      </c>
      <c r="O1192" s="6" t="str">
        <f t="shared" si="3"/>
        <v>Oct</v>
      </c>
      <c r="P1192" s="6" t="str">
        <f t="shared" si="4"/>
        <v>2017</v>
      </c>
    </row>
    <row r="1193">
      <c r="A1193" s="3"/>
      <c r="M1193" s="50" t="s">
        <v>1598</v>
      </c>
      <c r="N1193" s="51">
        <v>3.066</v>
      </c>
      <c r="O1193" s="6" t="str">
        <f t="shared" si="3"/>
        <v>Oct</v>
      </c>
      <c r="P1193" s="6" t="str">
        <f t="shared" si="4"/>
        <v>2017</v>
      </c>
    </row>
    <row r="1194">
      <c r="A1194" s="3"/>
      <c r="M1194" s="50" t="s">
        <v>1599</v>
      </c>
      <c r="N1194" s="51">
        <v>3.243</v>
      </c>
      <c r="O1194" s="6" t="str">
        <f t="shared" si="3"/>
        <v>Nov</v>
      </c>
      <c r="P1194" s="6" t="str">
        <f t="shared" si="4"/>
        <v>2017</v>
      </c>
    </row>
    <row r="1195">
      <c r="A1195" s="3"/>
      <c r="M1195" s="50" t="s">
        <v>1600</v>
      </c>
      <c r="N1195" s="51">
        <v>3.275</v>
      </c>
      <c r="O1195" s="6" t="str">
        <f t="shared" si="3"/>
        <v>Nov</v>
      </c>
      <c r="P1195" s="6" t="str">
        <f t="shared" si="4"/>
        <v>2017</v>
      </c>
    </row>
    <row r="1196">
      <c r="A1196" s="3"/>
      <c r="M1196" s="50" t="s">
        <v>1601</v>
      </c>
      <c r="N1196" s="51">
        <v>3.222</v>
      </c>
      <c r="O1196" s="6" t="str">
        <f t="shared" si="3"/>
        <v>Nov</v>
      </c>
      <c r="P1196" s="6" t="str">
        <f t="shared" si="4"/>
        <v>2017</v>
      </c>
    </row>
    <row r="1197">
      <c r="A1197" s="3"/>
      <c r="M1197" s="50" t="s">
        <v>1602</v>
      </c>
      <c r="N1197" s="51">
        <v>3.2</v>
      </c>
      <c r="O1197" s="6" t="str">
        <f t="shared" si="3"/>
        <v>Nov</v>
      </c>
      <c r="P1197" s="6" t="str">
        <f t="shared" si="4"/>
        <v>2017</v>
      </c>
    </row>
    <row r="1198">
      <c r="A1198" s="3"/>
      <c r="M1198" s="50" t="s">
        <v>1603</v>
      </c>
      <c r="N1198" s="51">
        <v>3.16</v>
      </c>
      <c r="O1198" s="6" t="str">
        <f t="shared" si="3"/>
        <v>Dec</v>
      </c>
      <c r="P1198" s="6" t="str">
        <f t="shared" si="4"/>
        <v>2017</v>
      </c>
    </row>
    <row r="1199">
      <c r="A1199" s="3"/>
      <c r="M1199" s="50" t="s">
        <v>1604</v>
      </c>
      <c r="N1199" s="51">
        <v>3.12</v>
      </c>
      <c r="O1199" s="6" t="str">
        <f t="shared" si="3"/>
        <v>Dec</v>
      </c>
      <c r="P1199" s="6" t="str">
        <f t="shared" si="4"/>
        <v>2017</v>
      </c>
    </row>
    <row r="1200">
      <c r="A1200" s="3"/>
      <c r="M1200" s="50" t="s">
        <v>1605</v>
      </c>
      <c r="N1200" s="51">
        <v>3.106</v>
      </c>
      <c r="O1200" s="6" t="str">
        <f t="shared" si="3"/>
        <v>Dec</v>
      </c>
      <c r="P1200" s="6" t="str">
        <f t="shared" si="4"/>
        <v>2017</v>
      </c>
    </row>
    <row r="1201">
      <c r="A1201" s="3"/>
      <c r="M1201" s="50" t="s">
        <v>1606</v>
      </c>
      <c r="N1201" s="51">
        <v>3.133</v>
      </c>
      <c r="O1201" s="6" t="str">
        <f t="shared" si="3"/>
        <v>Dec</v>
      </c>
      <c r="P1201" s="6" t="str">
        <f t="shared" si="4"/>
        <v>2017</v>
      </c>
    </row>
    <row r="1202">
      <c r="A1202" s="3"/>
      <c r="M1202" s="50" t="s">
        <v>1607</v>
      </c>
      <c r="N1202" s="51">
        <v>3.148</v>
      </c>
      <c r="O1202" s="6" t="str">
        <f t="shared" si="3"/>
        <v>Jan</v>
      </c>
      <c r="P1202" s="6" t="str">
        <f t="shared" si="4"/>
        <v>2018</v>
      </c>
    </row>
    <row r="1203">
      <c r="A1203" s="3"/>
      <c r="M1203" s="50" t="s">
        <v>1608</v>
      </c>
      <c r="N1203" s="51">
        <v>3.199</v>
      </c>
      <c r="O1203" s="6" t="str">
        <f t="shared" si="3"/>
        <v>Jan</v>
      </c>
      <c r="P1203" s="6" t="str">
        <f t="shared" si="4"/>
        <v>2018</v>
      </c>
    </row>
    <row r="1204">
      <c r="A1204" s="3"/>
      <c r="M1204" s="50" t="s">
        <v>1609</v>
      </c>
      <c r="N1204" s="51">
        <v>3.196</v>
      </c>
      <c r="O1204" s="6" t="str">
        <f t="shared" si="3"/>
        <v>Jan</v>
      </c>
      <c r="P1204" s="6" t="str">
        <f t="shared" si="4"/>
        <v>2018</v>
      </c>
    </row>
    <row r="1205">
      <c r="A1205" s="3"/>
      <c r="M1205" s="50" t="s">
        <v>1610</v>
      </c>
      <c r="N1205" s="51">
        <v>3.209</v>
      </c>
      <c r="O1205" s="6" t="str">
        <f t="shared" si="3"/>
        <v>Jan</v>
      </c>
      <c r="P1205" s="6" t="str">
        <f t="shared" si="4"/>
        <v>2018</v>
      </c>
    </row>
    <row r="1206">
      <c r="A1206" s="3"/>
      <c r="M1206" s="50" t="s">
        <v>1611</v>
      </c>
      <c r="N1206" s="51">
        <v>3.296</v>
      </c>
      <c r="O1206" s="6" t="str">
        <f t="shared" si="3"/>
        <v>Jan</v>
      </c>
      <c r="P1206" s="6" t="str">
        <f t="shared" si="4"/>
        <v>2018</v>
      </c>
    </row>
    <row r="1207">
      <c r="A1207" s="3"/>
      <c r="M1207" s="50" t="s">
        <v>1612</v>
      </c>
      <c r="N1207" s="51">
        <v>3.37</v>
      </c>
      <c r="O1207" s="6" t="str">
        <f t="shared" si="3"/>
        <v>Feb</v>
      </c>
      <c r="P1207" s="6" t="str">
        <f t="shared" si="4"/>
        <v>2018</v>
      </c>
    </row>
    <row r="1208">
      <c r="A1208" s="3"/>
      <c r="M1208" s="50" t="s">
        <v>1613</v>
      </c>
      <c r="N1208" s="51">
        <v>3.358</v>
      </c>
      <c r="O1208" s="6" t="str">
        <f t="shared" si="3"/>
        <v>Feb</v>
      </c>
      <c r="P1208" s="6" t="str">
        <f t="shared" si="4"/>
        <v>2018</v>
      </c>
    </row>
    <row r="1209">
      <c r="A1209" s="3"/>
      <c r="M1209" s="50" t="s">
        <v>1614</v>
      </c>
      <c r="N1209" s="51">
        <v>3.349</v>
      </c>
      <c r="O1209" s="6" t="str">
        <f t="shared" si="3"/>
        <v>Feb</v>
      </c>
      <c r="P1209" s="6" t="str">
        <f t="shared" si="4"/>
        <v>2018</v>
      </c>
    </row>
    <row r="1210">
      <c r="A1210" s="3"/>
      <c r="M1210" s="50" t="s">
        <v>1615</v>
      </c>
      <c r="N1210" s="51">
        <v>3.36</v>
      </c>
      <c r="O1210" s="6" t="str">
        <f t="shared" si="3"/>
        <v>Feb</v>
      </c>
      <c r="P1210" s="6" t="str">
        <f t="shared" si="4"/>
        <v>2018</v>
      </c>
    </row>
    <row r="1211">
      <c r="A1211" s="3"/>
      <c r="M1211" s="50" t="s">
        <v>1616</v>
      </c>
      <c r="N1211" s="51">
        <v>3.356</v>
      </c>
      <c r="O1211" s="6" t="str">
        <f t="shared" si="3"/>
        <v>Mar</v>
      </c>
      <c r="P1211" s="6" t="str">
        <f t="shared" si="4"/>
        <v>2018</v>
      </c>
    </row>
    <row r="1212">
      <c r="A1212" s="3"/>
      <c r="M1212" s="50" t="s">
        <v>1617</v>
      </c>
      <c r="N1212" s="51">
        <v>3.392</v>
      </c>
      <c r="O1212" s="6" t="str">
        <f t="shared" si="3"/>
        <v>Mar</v>
      </c>
      <c r="P1212" s="6" t="str">
        <f t="shared" si="4"/>
        <v>2018</v>
      </c>
    </row>
    <row r="1213">
      <c r="A1213" s="3"/>
      <c r="M1213" s="50" t="s">
        <v>1618</v>
      </c>
      <c r="N1213" s="51">
        <v>3.431</v>
      </c>
      <c r="O1213" s="6" t="str">
        <f t="shared" si="3"/>
        <v>Mar</v>
      </c>
      <c r="P1213" s="6" t="str">
        <f t="shared" si="4"/>
        <v>2018</v>
      </c>
    </row>
    <row r="1214">
      <c r="A1214" s="3"/>
      <c r="M1214" s="50" t="s">
        <v>1619</v>
      </c>
      <c r="N1214" s="51">
        <v>3.487</v>
      </c>
      <c r="O1214" s="6" t="str">
        <f t="shared" si="3"/>
        <v>Mar</v>
      </c>
      <c r="P1214" s="6" t="str">
        <f t="shared" si="4"/>
        <v>2018</v>
      </c>
    </row>
    <row r="1215">
      <c r="A1215" s="3"/>
      <c r="M1215" s="50" t="s">
        <v>1620</v>
      </c>
      <c r="N1215" s="51">
        <v>3.541</v>
      </c>
      <c r="O1215" s="6" t="str">
        <f t="shared" si="3"/>
        <v>Apr</v>
      </c>
      <c r="P1215" s="6" t="str">
        <f t="shared" si="4"/>
        <v>2018</v>
      </c>
    </row>
    <row r="1216">
      <c r="A1216" s="3"/>
      <c r="M1216" s="50" t="s">
        <v>1621</v>
      </c>
      <c r="N1216" s="51">
        <v>3.522</v>
      </c>
      <c r="O1216" s="6" t="str">
        <f t="shared" si="3"/>
        <v>Apr</v>
      </c>
      <c r="P1216" s="6" t="str">
        <f t="shared" si="4"/>
        <v>2018</v>
      </c>
    </row>
    <row r="1217">
      <c r="A1217" s="3"/>
      <c r="M1217" s="50" t="s">
        <v>1622</v>
      </c>
      <c r="N1217" s="51">
        <v>3.553</v>
      </c>
      <c r="O1217" s="6" t="str">
        <f t="shared" si="3"/>
        <v>Apr</v>
      </c>
      <c r="P1217" s="6" t="str">
        <f t="shared" si="4"/>
        <v>2018</v>
      </c>
    </row>
    <row r="1218">
      <c r="A1218" s="3"/>
      <c r="M1218" s="50" t="s">
        <v>1623</v>
      </c>
      <c r="N1218" s="51">
        <v>3.567</v>
      </c>
      <c r="O1218" s="6" t="str">
        <f t="shared" si="3"/>
        <v>Apr</v>
      </c>
      <c r="P1218" s="6" t="str">
        <f t="shared" si="4"/>
        <v>2018</v>
      </c>
    </row>
    <row r="1219">
      <c r="A1219" s="3"/>
      <c r="M1219" s="50" t="s">
        <v>1624</v>
      </c>
      <c r="N1219" s="51">
        <v>3.609</v>
      </c>
      <c r="O1219" s="6" t="str">
        <f t="shared" si="3"/>
        <v>Apr</v>
      </c>
      <c r="P1219" s="6" t="str">
        <f t="shared" si="4"/>
        <v>2018</v>
      </c>
    </row>
    <row r="1220">
      <c r="A1220" s="3"/>
      <c r="M1220" s="50" t="s">
        <v>1625</v>
      </c>
      <c r="N1220" s="51">
        <v>3.632</v>
      </c>
      <c r="O1220" s="6" t="str">
        <f t="shared" si="3"/>
        <v>May</v>
      </c>
      <c r="P1220" s="6" t="str">
        <f t="shared" si="4"/>
        <v>2018</v>
      </c>
    </row>
    <row r="1221">
      <c r="A1221" s="3"/>
      <c r="M1221" s="50" t="s">
        <v>1626</v>
      </c>
      <c r="N1221" s="51">
        <v>3.599</v>
      </c>
      <c r="O1221" s="6" t="str">
        <f t="shared" si="3"/>
        <v>May</v>
      </c>
      <c r="P1221" s="6" t="str">
        <f t="shared" si="4"/>
        <v>2018</v>
      </c>
    </row>
    <row r="1222">
      <c r="A1222" s="3"/>
      <c r="M1222" s="50" t="s">
        <v>1627</v>
      </c>
      <c r="N1222" s="51">
        <v>3.618</v>
      </c>
      <c r="O1222" s="6" t="str">
        <f t="shared" si="3"/>
        <v>May</v>
      </c>
      <c r="P1222" s="6" t="str">
        <f t="shared" si="4"/>
        <v>2018</v>
      </c>
    </row>
    <row r="1223">
      <c r="A1223" s="3"/>
      <c r="M1223" s="50" t="s">
        <v>1628</v>
      </c>
      <c r="N1223" s="51">
        <v>3.636</v>
      </c>
      <c r="O1223" s="6" t="str">
        <f t="shared" si="3"/>
        <v>May</v>
      </c>
      <c r="P1223" s="6" t="str">
        <f t="shared" si="4"/>
        <v>2018</v>
      </c>
    </row>
    <row r="1224">
      <c r="A1224" s="3"/>
      <c r="M1224" s="50" t="s">
        <v>1629</v>
      </c>
      <c r="N1224" s="51">
        <v>3.632</v>
      </c>
      <c r="O1224" s="6" t="str">
        <f t="shared" si="3"/>
        <v>Jun</v>
      </c>
      <c r="P1224" s="6" t="str">
        <f t="shared" si="4"/>
        <v>2018</v>
      </c>
    </row>
    <row r="1225">
      <c r="A1225" s="3"/>
      <c r="M1225" s="50" t="s">
        <v>1630</v>
      </c>
      <c r="N1225" s="51">
        <v>3.618</v>
      </c>
      <c r="O1225" s="6" t="str">
        <f t="shared" si="3"/>
        <v>Jun</v>
      </c>
      <c r="P1225" s="6" t="str">
        <f t="shared" si="4"/>
        <v>2018</v>
      </c>
    </row>
    <row r="1226">
      <c r="A1226" s="3"/>
      <c r="M1226" s="50" t="s">
        <v>1631</v>
      </c>
      <c r="N1226" s="51">
        <v>3.591</v>
      </c>
      <c r="O1226" s="6" t="str">
        <f t="shared" si="3"/>
        <v>Jun</v>
      </c>
      <c r="P1226" s="6" t="str">
        <f t="shared" si="4"/>
        <v>2018</v>
      </c>
    </row>
    <row r="1227">
      <c r="A1227" s="3"/>
      <c r="M1227" s="50" t="s">
        <v>1632</v>
      </c>
      <c r="N1227" s="51">
        <v>3.562</v>
      </c>
      <c r="O1227" s="6" t="str">
        <f t="shared" si="3"/>
        <v>Jun</v>
      </c>
      <c r="P1227" s="6" t="str">
        <f t="shared" si="4"/>
        <v>2018</v>
      </c>
    </row>
    <row r="1228">
      <c r="A1228" s="3"/>
      <c r="M1228" s="50" t="s">
        <v>1633</v>
      </c>
      <c r="N1228" s="51">
        <v>3.546</v>
      </c>
      <c r="O1228" s="6" t="str">
        <f t="shared" si="3"/>
        <v>Jul</v>
      </c>
      <c r="P1228" s="6" t="str">
        <f t="shared" si="4"/>
        <v>2018</v>
      </c>
    </row>
    <row r="1229">
      <c r="A1229" s="3"/>
      <c r="M1229" s="50" t="s">
        <v>1634</v>
      </c>
      <c r="N1229" s="51">
        <v>3.55</v>
      </c>
      <c r="O1229" s="6" t="str">
        <f t="shared" si="3"/>
        <v>Jul</v>
      </c>
      <c r="P1229" s="6" t="str">
        <f t="shared" si="4"/>
        <v>2018</v>
      </c>
    </row>
    <row r="1230">
      <c r="A1230" s="3"/>
      <c r="M1230" s="50" t="s">
        <v>1635</v>
      </c>
      <c r="N1230" s="51">
        <v>3.535</v>
      </c>
      <c r="O1230" s="6" t="str">
        <f t="shared" si="3"/>
        <v>Jul</v>
      </c>
      <c r="P1230" s="6" t="str">
        <f t="shared" si="4"/>
        <v>2018</v>
      </c>
    </row>
    <row r="1231">
      <c r="A1231" s="3"/>
      <c r="M1231" s="50" t="s">
        <v>1636</v>
      </c>
      <c r="N1231" s="51">
        <v>3.514</v>
      </c>
      <c r="O1231" s="6" t="str">
        <f t="shared" si="3"/>
        <v>Jul</v>
      </c>
      <c r="P1231" s="6" t="str">
        <f t="shared" si="4"/>
        <v>2018</v>
      </c>
    </row>
    <row r="1232">
      <c r="A1232" s="3"/>
      <c r="M1232" s="50" t="s">
        <v>1637</v>
      </c>
      <c r="N1232" s="51">
        <v>3.505</v>
      </c>
      <c r="O1232" s="6" t="str">
        <f t="shared" si="3"/>
        <v>Jul</v>
      </c>
      <c r="P1232" s="6" t="str">
        <f t="shared" si="4"/>
        <v>2018</v>
      </c>
    </row>
    <row r="1233">
      <c r="A1233" s="3"/>
      <c r="M1233" s="50" t="s">
        <v>1638</v>
      </c>
      <c r="N1233" s="51">
        <v>3.501</v>
      </c>
      <c r="O1233" s="6" t="str">
        <f t="shared" si="3"/>
        <v>Aug</v>
      </c>
      <c r="P1233" s="6" t="str">
        <f t="shared" si="4"/>
        <v>2018</v>
      </c>
    </row>
    <row r="1234">
      <c r="A1234" s="3"/>
      <c r="M1234" s="50" t="s">
        <v>1639</v>
      </c>
      <c r="N1234" s="51">
        <v>3.491</v>
      </c>
      <c r="O1234" s="6" t="str">
        <f t="shared" si="3"/>
        <v>Aug</v>
      </c>
      <c r="P1234" s="6" t="str">
        <f t="shared" si="4"/>
        <v>2018</v>
      </c>
    </row>
    <row r="1235">
      <c r="A1235" s="3"/>
      <c r="M1235" s="50" t="s">
        <v>1640</v>
      </c>
      <c r="N1235" s="51">
        <v>3.462</v>
      </c>
      <c r="O1235" s="6" t="str">
        <f t="shared" si="3"/>
        <v>Aug</v>
      </c>
      <c r="P1235" s="6" t="str">
        <f t="shared" si="4"/>
        <v>2018</v>
      </c>
    </row>
    <row r="1236">
      <c r="A1236" s="3"/>
      <c r="M1236" s="50" t="s">
        <v>1641</v>
      </c>
      <c r="N1236" s="51">
        <v>3.471</v>
      </c>
      <c r="O1236" s="6" t="str">
        <f t="shared" si="3"/>
        <v>Aug</v>
      </c>
      <c r="P1236" s="6" t="str">
        <f t="shared" si="4"/>
        <v>2018</v>
      </c>
    </row>
    <row r="1237">
      <c r="A1237" s="3"/>
      <c r="M1237" s="50" t="s">
        <v>1642</v>
      </c>
      <c r="N1237" s="51">
        <v>3.498</v>
      </c>
      <c r="O1237" s="6" t="str">
        <f t="shared" si="3"/>
        <v>Sep</v>
      </c>
      <c r="P1237" s="6" t="str">
        <f t="shared" si="4"/>
        <v>2018</v>
      </c>
    </row>
    <row r="1238">
      <c r="A1238" s="3"/>
      <c r="M1238" s="50" t="s">
        <v>1643</v>
      </c>
      <c r="N1238" s="51">
        <v>3.513</v>
      </c>
      <c r="O1238" s="6" t="str">
        <f t="shared" si="3"/>
        <v>Sep</v>
      </c>
      <c r="P1238" s="6" t="str">
        <f t="shared" si="4"/>
        <v>2018</v>
      </c>
    </row>
    <row r="1239">
      <c r="A1239" s="3"/>
      <c r="M1239" s="50" t="s">
        <v>1644</v>
      </c>
      <c r="N1239" s="51">
        <v>3.52</v>
      </c>
      <c r="O1239" s="6" t="str">
        <f t="shared" si="3"/>
        <v>Sep</v>
      </c>
      <c r="P1239" s="6" t="str">
        <f t="shared" si="4"/>
        <v>2018</v>
      </c>
    </row>
    <row r="1240">
      <c r="A1240" s="3"/>
      <c r="M1240" s="50" t="s">
        <v>1645</v>
      </c>
      <c r="N1240" s="51">
        <v>3.527</v>
      </c>
      <c r="O1240" s="6" t="str">
        <f t="shared" si="3"/>
        <v>Sep</v>
      </c>
      <c r="P1240" s="6" t="str">
        <f t="shared" si="4"/>
        <v>2018</v>
      </c>
    </row>
    <row r="1241">
      <c r="A1241" s="3"/>
      <c r="M1241" s="50" t="s">
        <v>1646</v>
      </c>
      <c r="N1241" s="51">
        <v>3.624</v>
      </c>
      <c r="O1241" s="6" t="str">
        <f t="shared" si="3"/>
        <v>Oct</v>
      </c>
      <c r="P1241" s="6" t="str">
        <f t="shared" si="4"/>
        <v>2018</v>
      </c>
    </row>
    <row r="1242">
      <c r="A1242" s="3"/>
      <c r="M1242" s="50" t="s">
        <v>1647</v>
      </c>
      <c r="N1242" s="51">
        <v>3.707</v>
      </c>
      <c r="O1242" s="6" t="str">
        <f t="shared" si="3"/>
        <v>Oct</v>
      </c>
      <c r="P1242" s="6" t="str">
        <f t="shared" si="4"/>
        <v>2018</v>
      </c>
    </row>
    <row r="1243">
      <c r="A1243" s="3"/>
      <c r="M1243" s="50" t="s">
        <v>1648</v>
      </c>
      <c r="N1243" s="51">
        <v>3.708</v>
      </c>
      <c r="O1243" s="6" t="str">
        <f t="shared" si="3"/>
        <v>Oct</v>
      </c>
      <c r="P1243" s="6" t="str">
        <f t="shared" si="4"/>
        <v>2018</v>
      </c>
    </row>
    <row r="1244">
      <c r="A1244" s="3"/>
      <c r="M1244" s="50" t="s">
        <v>1649</v>
      </c>
      <c r="N1244" s="51">
        <v>3.709</v>
      </c>
      <c r="O1244" s="6" t="str">
        <f t="shared" si="3"/>
        <v>Oct</v>
      </c>
      <c r="P1244" s="6" t="str">
        <f t="shared" si="4"/>
        <v>2018</v>
      </c>
    </row>
    <row r="1245">
      <c r="A1245" s="3"/>
      <c r="M1245" s="50" t="s">
        <v>1650</v>
      </c>
      <c r="N1245" s="51">
        <v>3.683</v>
      </c>
      <c r="O1245" s="6" t="str">
        <f t="shared" si="3"/>
        <v>Oct</v>
      </c>
      <c r="P1245" s="6" t="str">
        <f t="shared" si="4"/>
        <v>2018</v>
      </c>
    </row>
    <row r="1246">
      <c r="A1246" s="3"/>
      <c r="M1246" s="50" t="s">
        <v>1651</v>
      </c>
      <c r="N1246" s="51">
        <v>3.644</v>
      </c>
      <c r="O1246" s="6" t="str">
        <f t="shared" si="3"/>
        <v>Nov</v>
      </c>
      <c r="P1246" s="6" t="str">
        <f t="shared" si="4"/>
        <v>2018</v>
      </c>
    </row>
    <row r="1247">
      <c r="A1247" s="3"/>
      <c r="M1247" s="50" t="s">
        <v>1652</v>
      </c>
      <c r="N1247" s="51">
        <v>3.582</v>
      </c>
      <c r="O1247" s="6" t="str">
        <f t="shared" si="3"/>
        <v>Nov</v>
      </c>
      <c r="P1247" s="6" t="str">
        <f t="shared" si="4"/>
        <v>2018</v>
      </c>
    </row>
    <row r="1248">
      <c r="A1248" s="3"/>
      <c r="M1248" s="50" t="s">
        <v>1653</v>
      </c>
      <c r="N1248" s="51">
        <v>3.526</v>
      </c>
      <c r="O1248" s="6" t="str">
        <f t="shared" si="3"/>
        <v>Nov</v>
      </c>
      <c r="P1248" s="6" t="str">
        <f t="shared" si="4"/>
        <v>2018</v>
      </c>
    </row>
    <row r="1249">
      <c r="A1249" s="3"/>
      <c r="M1249" s="50" t="s">
        <v>1654</v>
      </c>
      <c r="N1249" s="51">
        <v>3.478</v>
      </c>
      <c r="O1249" s="6" t="str">
        <f t="shared" si="3"/>
        <v>Nov</v>
      </c>
      <c r="P1249" s="6" t="str">
        <f t="shared" si="4"/>
        <v>2018</v>
      </c>
    </row>
    <row r="1250">
      <c r="A1250" s="3"/>
      <c r="M1250" s="50" t="s">
        <v>1655</v>
      </c>
      <c r="N1250" s="51">
        <v>3.399</v>
      </c>
      <c r="O1250" s="6" t="str">
        <f t="shared" si="3"/>
        <v>Dec</v>
      </c>
      <c r="P1250" s="6" t="str">
        <f t="shared" si="4"/>
        <v>2018</v>
      </c>
    </row>
    <row r="1251">
      <c r="A1251" s="3"/>
      <c r="M1251" s="50" t="s">
        <v>1656</v>
      </c>
      <c r="N1251" s="51">
        <v>3.318</v>
      </c>
      <c r="O1251" s="6" t="str">
        <f t="shared" si="3"/>
        <v>Dec</v>
      </c>
      <c r="P1251" s="6" t="str">
        <f t="shared" si="4"/>
        <v>2018</v>
      </c>
    </row>
    <row r="1252">
      <c r="A1252" s="3"/>
      <c r="M1252" s="50" t="s">
        <v>1657</v>
      </c>
      <c r="N1252" s="51">
        <v>3.271</v>
      </c>
      <c r="O1252" s="6" t="str">
        <f t="shared" si="3"/>
        <v>Dec</v>
      </c>
      <c r="P1252" s="6" t="str">
        <f t="shared" si="4"/>
        <v>2018</v>
      </c>
    </row>
    <row r="1253">
      <c r="A1253" s="3"/>
      <c r="M1253" s="50" t="s">
        <v>1658</v>
      </c>
      <c r="N1253" s="51">
        <v>3.253</v>
      </c>
      <c r="O1253" s="6" t="str">
        <f t="shared" si="3"/>
        <v>Dec</v>
      </c>
      <c r="P1253" s="6" t="str">
        <f t="shared" si="4"/>
        <v>2018</v>
      </c>
    </row>
    <row r="1254">
      <c r="A1254" s="3"/>
      <c r="M1254" s="50" t="s">
        <v>1659</v>
      </c>
      <c r="N1254" s="51">
        <v>3.219</v>
      </c>
      <c r="O1254" s="6" t="str">
        <f t="shared" si="3"/>
        <v>Dec</v>
      </c>
      <c r="P1254" s="6" t="str">
        <f t="shared" si="4"/>
        <v>2018</v>
      </c>
    </row>
    <row r="1255">
      <c r="A1255" s="3"/>
      <c r="M1255" s="50" t="s">
        <v>1660</v>
      </c>
      <c r="N1255" s="51">
        <v>3.183</v>
      </c>
      <c r="O1255" s="6" t="str">
        <f t="shared" si="3"/>
        <v>Jan</v>
      </c>
      <c r="P1255" s="6" t="str">
        <f t="shared" si="4"/>
        <v>2019</v>
      </c>
    </row>
    <row r="1256">
      <c r="A1256" s="3"/>
      <c r="M1256" s="50" t="s">
        <v>1661</v>
      </c>
      <c r="N1256" s="51">
        <v>3.161</v>
      </c>
      <c r="O1256" s="6" t="str">
        <f t="shared" si="3"/>
        <v>Jan</v>
      </c>
      <c r="P1256" s="6" t="str">
        <f t="shared" si="4"/>
        <v>2019</v>
      </c>
    </row>
    <row r="1257">
      <c r="A1257" s="3"/>
      <c r="M1257" s="50" t="s">
        <v>1662</v>
      </c>
      <c r="N1257" s="51">
        <v>3.148</v>
      </c>
      <c r="O1257" s="6" t="str">
        <f t="shared" si="3"/>
        <v>Jan</v>
      </c>
      <c r="P1257" s="6" t="str">
        <f t="shared" si="4"/>
        <v>2019</v>
      </c>
    </row>
    <row r="1258">
      <c r="A1258" s="3"/>
      <c r="M1258" s="50" t="s">
        <v>1663</v>
      </c>
      <c r="N1258" s="51">
        <v>3.13</v>
      </c>
      <c r="O1258" s="6" t="str">
        <f t="shared" si="3"/>
        <v>Jan</v>
      </c>
      <c r="P1258" s="6" t="str">
        <f t="shared" si="4"/>
        <v>2019</v>
      </c>
    </row>
    <row r="1259">
      <c r="A1259" s="3"/>
      <c r="M1259" s="50" t="s">
        <v>1664</v>
      </c>
      <c r="N1259" s="51">
        <v>3.131</v>
      </c>
      <c r="O1259" s="6" t="str">
        <f t="shared" si="3"/>
        <v>Feb</v>
      </c>
      <c r="P1259" s="6" t="str">
        <f t="shared" si="4"/>
        <v>2019</v>
      </c>
    </row>
    <row r="1260">
      <c r="A1260" s="3"/>
      <c r="M1260" s="50" t="s">
        <v>1665</v>
      </c>
      <c r="N1260" s="51">
        <v>3.155</v>
      </c>
      <c r="O1260" s="6" t="str">
        <f t="shared" si="3"/>
        <v>Feb</v>
      </c>
      <c r="P1260" s="6" t="str">
        <f t="shared" si="4"/>
        <v>2019</v>
      </c>
    </row>
    <row r="1261">
      <c r="A1261" s="3"/>
      <c r="M1261" s="50" t="s">
        <v>1666</v>
      </c>
      <c r="N1261" s="51">
        <v>3.161</v>
      </c>
      <c r="O1261" s="6" t="str">
        <f t="shared" si="3"/>
        <v>Feb</v>
      </c>
      <c r="P1261" s="6" t="str">
        <f t="shared" si="4"/>
        <v>2019</v>
      </c>
    </row>
    <row r="1262">
      <c r="A1262" s="3"/>
      <c r="M1262" s="50" t="s">
        <v>1667</v>
      </c>
      <c r="N1262" s="51">
        <v>3.184</v>
      </c>
      <c r="O1262" s="6" t="str">
        <f t="shared" si="3"/>
        <v>Feb</v>
      </c>
      <c r="P1262" s="6" t="str">
        <f t="shared" si="4"/>
        <v>2019</v>
      </c>
    </row>
    <row r="1263">
      <c r="A1263" s="3"/>
      <c r="M1263" s="50" t="s">
        <v>1668</v>
      </c>
      <c r="N1263" s="51">
        <v>3.195</v>
      </c>
      <c r="O1263" s="6" t="str">
        <f t="shared" si="3"/>
        <v>Mar</v>
      </c>
      <c r="P1263" s="6" t="str">
        <f t="shared" si="4"/>
        <v>2019</v>
      </c>
    </row>
    <row r="1264">
      <c r="A1264" s="3"/>
      <c r="M1264" s="50" t="s">
        <v>1669</v>
      </c>
      <c r="N1264" s="51">
        <v>3.223</v>
      </c>
      <c r="O1264" s="6" t="str">
        <f t="shared" si="3"/>
        <v>Mar</v>
      </c>
      <c r="P1264" s="6" t="str">
        <f t="shared" si="4"/>
        <v>2019</v>
      </c>
    </row>
    <row r="1265">
      <c r="A1265" s="3"/>
      <c r="M1265" s="50" t="s">
        <v>1670</v>
      </c>
      <c r="N1265" s="51">
        <v>3.264</v>
      </c>
      <c r="O1265" s="6" t="str">
        <f t="shared" si="3"/>
        <v>Mar</v>
      </c>
      <c r="P1265" s="6" t="str">
        <f t="shared" si="4"/>
        <v>2019</v>
      </c>
    </row>
    <row r="1266">
      <c r="A1266" s="3"/>
      <c r="M1266" s="50" t="s">
        <v>1671</v>
      </c>
      <c r="N1266" s="51">
        <v>3.389</v>
      </c>
      <c r="O1266" s="6" t="str">
        <f t="shared" si="3"/>
        <v>Mar</v>
      </c>
      <c r="P1266" s="6" t="str">
        <f t="shared" si="4"/>
        <v>2019</v>
      </c>
    </row>
    <row r="1267">
      <c r="A1267" s="3"/>
      <c r="M1267" s="50" t="s">
        <v>1672</v>
      </c>
      <c r="N1267" s="51">
        <v>3.529</v>
      </c>
      <c r="O1267" s="6" t="str">
        <f t="shared" si="3"/>
        <v>Apr</v>
      </c>
      <c r="P1267" s="6" t="str">
        <f t="shared" si="4"/>
        <v>2019</v>
      </c>
    </row>
    <row r="1268">
      <c r="A1268" s="3"/>
      <c r="M1268" s="50" t="s">
        <v>1673</v>
      </c>
      <c r="N1268" s="51">
        <v>3.718</v>
      </c>
      <c r="O1268" s="6" t="str">
        <f t="shared" si="3"/>
        <v>Apr</v>
      </c>
      <c r="P1268" s="6" t="str">
        <f t="shared" si="4"/>
        <v>2019</v>
      </c>
    </row>
    <row r="1269">
      <c r="A1269" s="3"/>
      <c r="M1269" s="50" t="s">
        <v>1674</v>
      </c>
      <c r="N1269" s="51">
        <v>3.922</v>
      </c>
      <c r="O1269" s="6" t="str">
        <f t="shared" si="3"/>
        <v>Apr</v>
      </c>
      <c r="P1269" s="6" t="str">
        <f t="shared" si="4"/>
        <v>2019</v>
      </c>
    </row>
    <row r="1270">
      <c r="A1270" s="3"/>
      <c r="M1270" s="50" t="s">
        <v>1675</v>
      </c>
      <c r="N1270" s="51">
        <v>3.948</v>
      </c>
      <c r="O1270" s="6" t="str">
        <f t="shared" si="3"/>
        <v>Apr</v>
      </c>
      <c r="P1270" s="6" t="str">
        <f t="shared" si="4"/>
        <v>2019</v>
      </c>
    </row>
    <row r="1271">
      <c r="A1271" s="3"/>
      <c r="M1271" s="50" t="s">
        <v>1676</v>
      </c>
      <c r="N1271" s="51">
        <v>3.982</v>
      </c>
      <c r="O1271" s="6" t="str">
        <f t="shared" si="3"/>
        <v>Apr</v>
      </c>
      <c r="P1271" s="6" t="str">
        <f t="shared" si="4"/>
        <v>2019</v>
      </c>
    </row>
    <row r="1272">
      <c r="A1272" s="3"/>
      <c r="M1272" s="50" t="s">
        <v>1677</v>
      </c>
      <c r="N1272" s="51">
        <v>4.006</v>
      </c>
      <c r="O1272" s="6" t="str">
        <f t="shared" si="3"/>
        <v>May</v>
      </c>
      <c r="P1272" s="6" t="str">
        <f t="shared" si="4"/>
        <v>2019</v>
      </c>
    </row>
    <row r="1273">
      <c r="A1273" s="3"/>
      <c r="M1273" s="50" t="s">
        <v>1678</v>
      </c>
      <c r="N1273" s="51">
        <v>3.968</v>
      </c>
      <c r="O1273" s="6" t="str">
        <f t="shared" si="3"/>
        <v>May</v>
      </c>
      <c r="P1273" s="6" t="str">
        <f t="shared" si="4"/>
        <v>2019</v>
      </c>
    </row>
    <row r="1274">
      <c r="A1274" s="3"/>
      <c r="M1274" s="50" t="s">
        <v>1679</v>
      </c>
      <c r="N1274" s="51">
        <v>3.934</v>
      </c>
      <c r="O1274" s="6" t="str">
        <f t="shared" si="3"/>
        <v>May</v>
      </c>
      <c r="P1274" s="6" t="str">
        <f t="shared" si="4"/>
        <v>2019</v>
      </c>
    </row>
    <row r="1275">
      <c r="A1275" s="3"/>
      <c r="M1275" s="50" t="s">
        <v>1680</v>
      </c>
      <c r="N1275" s="51">
        <v>3.878</v>
      </c>
      <c r="O1275" s="6" t="str">
        <f t="shared" si="3"/>
        <v>May</v>
      </c>
      <c r="P1275" s="6" t="str">
        <f t="shared" si="4"/>
        <v>2019</v>
      </c>
    </row>
    <row r="1276">
      <c r="A1276" s="3"/>
      <c r="M1276" s="50" t="s">
        <v>1681</v>
      </c>
      <c r="N1276" s="51">
        <v>3.83</v>
      </c>
      <c r="O1276" s="6" t="str">
        <f t="shared" si="3"/>
        <v>Jun</v>
      </c>
      <c r="P1276" s="6" t="str">
        <f t="shared" si="4"/>
        <v>2019</v>
      </c>
    </row>
    <row r="1277">
      <c r="A1277" s="3"/>
      <c r="M1277" s="50" t="s">
        <v>1682</v>
      </c>
      <c r="N1277" s="51">
        <v>3.745</v>
      </c>
      <c r="O1277" s="6" t="str">
        <f t="shared" si="3"/>
        <v>Jun</v>
      </c>
      <c r="P1277" s="6" t="str">
        <f t="shared" si="4"/>
        <v>2019</v>
      </c>
    </row>
    <row r="1278">
      <c r="A1278" s="3"/>
      <c r="M1278" s="50" t="s">
        <v>1683</v>
      </c>
      <c r="N1278" s="51">
        <v>3.678</v>
      </c>
      <c r="O1278" s="6" t="str">
        <f t="shared" si="3"/>
        <v>Jun</v>
      </c>
      <c r="P1278" s="6" t="str">
        <f t="shared" si="4"/>
        <v>2019</v>
      </c>
    </row>
    <row r="1279">
      <c r="A1279" s="3"/>
      <c r="M1279" s="50" t="s">
        <v>1684</v>
      </c>
      <c r="N1279" s="51">
        <v>3.613</v>
      </c>
      <c r="O1279" s="6" t="str">
        <f t="shared" si="3"/>
        <v>Jun</v>
      </c>
      <c r="P1279" s="6" t="str">
        <f t="shared" si="4"/>
        <v>2019</v>
      </c>
    </row>
    <row r="1280">
      <c r="A1280" s="3"/>
      <c r="M1280" s="50" t="s">
        <v>1685</v>
      </c>
      <c r="N1280" s="51">
        <v>3.621</v>
      </c>
      <c r="O1280" s="6" t="str">
        <f t="shared" si="3"/>
        <v>Jul</v>
      </c>
      <c r="P1280" s="6" t="str">
        <f t="shared" si="4"/>
        <v>2019</v>
      </c>
    </row>
    <row r="1281">
      <c r="A1281" s="3"/>
      <c r="M1281" s="50" t="s">
        <v>1686</v>
      </c>
      <c r="N1281" s="51">
        <v>3.627</v>
      </c>
      <c r="O1281" s="6" t="str">
        <f t="shared" si="3"/>
        <v>Jul</v>
      </c>
      <c r="P1281" s="6" t="str">
        <f t="shared" si="4"/>
        <v>2019</v>
      </c>
    </row>
    <row r="1282">
      <c r="A1282" s="3"/>
      <c r="M1282" s="50" t="s">
        <v>1687</v>
      </c>
      <c r="N1282" s="51">
        <v>3.605</v>
      </c>
      <c r="O1282" s="6" t="str">
        <f t="shared" si="3"/>
        <v>Jul</v>
      </c>
      <c r="P1282" s="6" t="str">
        <f t="shared" si="4"/>
        <v>2019</v>
      </c>
    </row>
    <row r="1283">
      <c r="A1283" s="3"/>
      <c r="M1283" s="50" t="s">
        <v>1688</v>
      </c>
      <c r="N1283" s="51">
        <v>3.569</v>
      </c>
      <c r="O1283" s="6" t="str">
        <f t="shared" si="3"/>
        <v>Jul</v>
      </c>
      <c r="P1283" s="6" t="str">
        <f t="shared" si="4"/>
        <v>2019</v>
      </c>
    </row>
    <row r="1284">
      <c r="A1284" s="3"/>
      <c r="M1284" s="50" t="s">
        <v>1689</v>
      </c>
      <c r="N1284" s="51">
        <v>3.551</v>
      </c>
      <c r="O1284" s="6" t="str">
        <f t="shared" si="3"/>
        <v>Jul</v>
      </c>
      <c r="P1284" s="6" t="str">
        <f t="shared" si="4"/>
        <v>2019</v>
      </c>
    </row>
    <row r="1285">
      <c r="A1285" s="3"/>
      <c r="M1285" s="50" t="s">
        <v>1690</v>
      </c>
      <c r="N1285" s="51">
        <v>3.537</v>
      </c>
      <c r="O1285" s="6" t="str">
        <f t="shared" si="3"/>
        <v>Aug</v>
      </c>
      <c r="P1285" s="6" t="str">
        <f t="shared" si="4"/>
        <v>2019</v>
      </c>
    </row>
    <row r="1286">
      <c r="A1286" s="3"/>
      <c r="M1286" s="50" t="s">
        <v>1691</v>
      </c>
      <c r="N1286" s="51">
        <v>3.487</v>
      </c>
      <c r="O1286" s="6" t="str">
        <f t="shared" si="3"/>
        <v>Aug</v>
      </c>
      <c r="P1286" s="6" t="str">
        <f t="shared" si="4"/>
        <v>2019</v>
      </c>
    </row>
    <row r="1287">
      <c r="A1287" s="3"/>
      <c r="M1287" s="50" t="s">
        <v>1692</v>
      </c>
      <c r="N1287" s="51">
        <v>3.463</v>
      </c>
      <c r="O1287" s="6" t="str">
        <f t="shared" si="3"/>
        <v>Aug</v>
      </c>
      <c r="P1287" s="6" t="str">
        <f t="shared" si="4"/>
        <v>2019</v>
      </c>
    </row>
    <row r="1288">
      <c r="A1288" s="3"/>
      <c r="M1288" s="50" t="s">
        <v>1693</v>
      </c>
      <c r="N1288" s="51">
        <v>3.44</v>
      </c>
      <c r="O1288" s="6" t="str">
        <f t="shared" si="3"/>
        <v>Aug</v>
      </c>
      <c r="P1288" s="6" t="str">
        <f t="shared" si="4"/>
        <v>2019</v>
      </c>
    </row>
    <row r="1289">
      <c r="A1289" s="3"/>
      <c r="M1289" s="50" t="s">
        <v>1694</v>
      </c>
      <c r="N1289" s="51">
        <v>3.491</v>
      </c>
      <c r="O1289" s="6" t="str">
        <f t="shared" si="3"/>
        <v>Sep</v>
      </c>
      <c r="P1289" s="6" t="str">
        <f t="shared" si="4"/>
        <v>2019</v>
      </c>
    </row>
    <row r="1290">
      <c r="A1290" s="3"/>
      <c r="M1290" s="50" t="s">
        <v>1695</v>
      </c>
      <c r="N1290" s="51">
        <v>3.494</v>
      </c>
      <c r="O1290" s="6" t="str">
        <f t="shared" si="3"/>
        <v>Sep</v>
      </c>
      <c r="P1290" s="6" t="str">
        <f t="shared" si="4"/>
        <v>2019</v>
      </c>
    </row>
    <row r="1291">
      <c r="A1291" s="3"/>
      <c r="M1291" s="50" t="s">
        <v>1696</v>
      </c>
      <c r="N1291" s="51">
        <v>3.496</v>
      </c>
      <c r="O1291" s="6" t="str">
        <f t="shared" si="3"/>
        <v>Sep</v>
      </c>
      <c r="P1291" s="6" t="str">
        <f t="shared" si="4"/>
        <v>2019</v>
      </c>
    </row>
    <row r="1292">
      <c r="A1292" s="3"/>
      <c r="M1292" s="50" t="s">
        <v>1697</v>
      </c>
      <c r="N1292" s="51">
        <v>3.613</v>
      </c>
      <c r="O1292" s="6" t="str">
        <f t="shared" si="3"/>
        <v>Sep</v>
      </c>
      <c r="P1292" s="6" t="str">
        <f t="shared" si="4"/>
        <v>2019</v>
      </c>
    </row>
    <row r="1293">
      <c r="A1293" s="3"/>
      <c r="M1293" s="50" t="s">
        <v>1698</v>
      </c>
      <c r="N1293" s="51">
        <v>3.953</v>
      </c>
      <c r="O1293" s="6" t="str">
        <f t="shared" si="3"/>
        <v>Sep</v>
      </c>
      <c r="P1293" s="6" t="str">
        <f t="shared" si="4"/>
        <v>2019</v>
      </c>
    </row>
    <row r="1294">
      <c r="A1294" s="3"/>
      <c r="M1294" s="50" t="s">
        <v>1699</v>
      </c>
      <c r="N1294" s="51">
        <v>4.091</v>
      </c>
      <c r="O1294" s="6" t="str">
        <f t="shared" si="3"/>
        <v>Oct</v>
      </c>
      <c r="P1294" s="6" t="str">
        <f t="shared" si="4"/>
        <v>2019</v>
      </c>
    </row>
    <row r="1295">
      <c r="A1295" s="3"/>
      <c r="M1295" s="50" t="s">
        <v>1700</v>
      </c>
      <c r="N1295" s="51">
        <v>4.089</v>
      </c>
      <c r="O1295" s="6" t="str">
        <f t="shared" si="3"/>
        <v>Oct</v>
      </c>
      <c r="P1295" s="6" t="str">
        <f t="shared" si="4"/>
        <v>2019</v>
      </c>
    </row>
    <row r="1296">
      <c r="A1296" s="3"/>
      <c r="M1296" s="50" t="s">
        <v>1701</v>
      </c>
      <c r="N1296" s="51">
        <v>4.03</v>
      </c>
      <c r="O1296" s="6" t="str">
        <f t="shared" si="3"/>
        <v>Oct</v>
      </c>
      <c r="P1296" s="6" t="str">
        <f t="shared" si="4"/>
        <v>2019</v>
      </c>
    </row>
    <row r="1297">
      <c r="A1297" s="3"/>
      <c r="M1297" s="50" t="s">
        <v>1702</v>
      </c>
      <c r="N1297" s="51">
        <v>3.948</v>
      </c>
      <c r="O1297" s="6" t="str">
        <f t="shared" si="3"/>
        <v>Oct</v>
      </c>
      <c r="P1297" s="6" t="str">
        <f t="shared" si="4"/>
        <v>2019</v>
      </c>
    </row>
    <row r="1298">
      <c r="A1298" s="3"/>
      <c r="M1298" s="50" t="s">
        <v>1703</v>
      </c>
      <c r="N1298" s="51">
        <v>3.953</v>
      </c>
      <c r="O1298" s="6" t="str">
        <f t="shared" si="3"/>
        <v>Nov</v>
      </c>
      <c r="P1298" s="6" t="str">
        <f t="shared" si="4"/>
        <v>2019</v>
      </c>
    </row>
    <row r="1299">
      <c r="A1299" s="3"/>
      <c r="M1299" s="50" t="s">
        <v>1704</v>
      </c>
      <c r="N1299" s="51">
        <v>3.921</v>
      </c>
      <c r="O1299" s="6" t="str">
        <f t="shared" si="3"/>
        <v>Nov</v>
      </c>
      <c r="P1299" s="6" t="str">
        <f t="shared" si="4"/>
        <v>2019</v>
      </c>
    </row>
    <row r="1300">
      <c r="A1300" s="3"/>
      <c r="M1300" s="50" t="s">
        <v>1705</v>
      </c>
      <c r="N1300" s="51">
        <v>3.847</v>
      </c>
      <c r="O1300" s="6" t="str">
        <f t="shared" si="3"/>
        <v>Nov</v>
      </c>
      <c r="P1300" s="6" t="str">
        <f t="shared" si="4"/>
        <v>2019</v>
      </c>
    </row>
    <row r="1301">
      <c r="A1301" s="3"/>
      <c r="M1301" s="50" t="s">
        <v>1706</v>
      </c>
      <c r="N1301" s="51">
        <v>3.753</v>
      </c>
      <c r="O1301" s="6" t="str">
        <f t="shared" si="3"/>
        <v>Nov</v>
      </c>
      <c r="P1301" s="6" t="str">
        <f t="shared" si="4"/>
        <v>2019</v>
      </c>
    </row>
    <row r="1302">
      <c r="A1302" s="3"/>
      <c r="M1302" s="50" t="s">
        <v>1707</v>
      </c>
      <c r="N1302" s="51">
        <v>3.674</v>
      </c>
      <c r="O1302" s="6" t="str">
        <f t="shared" si="3"/>
        <v>Dec</v>
      </c>
      <c r="P1302" s="6" t="str">
        <f t="shared" si="4"/>
        <v>2019</v>
      </c>
    </row>
    <row r="1303">
      <c r="A1303" s="3"/>
      <c r="M1303" s="50" t="s">
        <v>1708</v>
      </c>
      <c r="N1303" s="51">
        <v>3.58</v>
      </c>
      <c r="O1303" s="6" t="str">
        <f t="shared" si="3"/>
        <v>Dec</v>
      </c>
      <c r="P1303" s="6" t="str">
        <f t="shared" si="4"/>
        <v>2019</v>
      </c>
    </row>
    <row r="1304">
      <c r="A1304" s="3"/>
      <c r="M1304" s="50" t="s">
        <v>1709</v>
      </c>
      <c r="N1304" s="51">
        <v>3.508</v>
      </c>
      <c r="O1304" s="6" t="str">
        <f t="shared" si="3"/>
        <v>Dec</v>
      </c>
      <c r="P1304" s="6" t="str">
        <f t="shared" si="4"/>
        <v>2019</v>
      </c>
    </row>
    <row r="1305">
      <c r="A1305" s="3"/>
      <c r="M1305" s="50" t="s">
        <v>1710</v>
      </c>
      <c r="N1305" s="51">
        <v>3.457</v>
      </c>
      <c r="O1305" s="6" t="str">
        <f t="shared" si="3"/>
        <v>Dec</v>
      </c>
      <c r="P1305" s="6" t="str">
        <f t="shared" si="4"/>
        <v>2019</v>
      </c>
    </row>
    <row r="1306">
      <c r="A1306" s="3"/>
      <c r="M1306" s="50" t="s">
        <v>1711</v>
      </c>
      <c r="N1306" s="51">
        <v>3.438</v>
      </c>
      <c r="O1306" s="6" t="str">
        <f t="shared" si="3"/>
        <v>Dec</v>
      </c>
      <c r="P1306" s="6" t="str">
        <f t="shared" si="4"/>
        <v>2019</v>
      </c>
    </row>
    <row r="1307">
      <c r="A1307" s="3"/>
      <c r="M1307" s="50" t="s">
        <v>1712</v>
      </c>
      <c r="N1307" s="51">
        <v>3.428</v>
      </c>
      <c r="O1307" s="6" t="str">
        <f t="shared" si="3"/>
        <v>Jan</v>
      </c>
      <c r="P1307" s="6" t="str">
        <f t="shared" si="4"/>
        <v>2020</v>
      </c>
    </row>
    <row r="1308">
      <c r="A1308" s="3"/>
      <c r="M1308" s="50" t="s">
        <v>1713</v>
      </c>
      <c r="N1308" s="51">
        <v>3.419</v>
      </c>
      <c r="O1308" s="6" t="str">
        <f t="shared" si="3"/>
        <v>Jan</v>
      </c>
      <c r="P1308" s="6" t="str">
        <f t="shared" si="4"/>
        <v>2020</v>
      </c>
    </row>
    <row r="1309">
      <c r="A1309" s="3"/>
      <c r="M1309" s="50" t="s">
        <v>1714</v>
      </c>
      <c r="N1309" s="51">
        <v>3.408</v>
      </c>
      <c r="O1309" s="6" t="str">
        <f t="shared" si="3"/>
        <v>Jan</v>
      </c>
      <c r="P1309" s="6" t="str">
        <f t="shared" si="4"/>
        <v>2020</v>
      </c>
    </row>
    <row r="1310">
      <c r="A1310" s="3"/>
      <c r="M1310" s="50" t="s">
        <v>1715</v>
      </c>
      <c r="N1310" s="51">
        <v>3.388</v>
      </c>
      <c r="O1310" s="6" t="str">
        <f t="shared" si="3"/>
        <v>Jan</v>
      </c>
      <c r="P1310" s="6" t="str">
        <f t="shared" si="4"/>
        <v>2020</v>
      </c>
    </row>
    <row r="1311">
      <c r="A1311" s="3"/>
      <c r="M1311" s="50" t="s">
        <v>1716</v>
      </c>
      <c r="N1311" s="51">
        <v>3.371</v>
      </c>
      <c r="O1311" s="6" t="str">
        <f t="shared" si="3"/>
        <v>Feb</v>
      </c>
      <c r="P1311" s="6" t="str">
        <f t="shared" si="4"/>
        <v>2020</v>
      </c>
    </row>
    <row r="1312">
      <c r="A1312" s="3"/>
      <c r="M1312" s="50" t="s">
        <v>1717</v>
      </c>
      <c r="N1312" s="51">
        <v>3.366</v>
      </c>
      <c r="O1312" s="6" t="str">
        <f t="shared" si="3"/>
        <v>Feb</v>
      </c>
      <c r="P1312" s="6" t="str">
        <f t="shared" si="4"/>
        <v>2020</v>
      </c>
    </row>
    <row r="1313">
      <c r="A1313" s="3"/>
      <c r="M1313" s="50" t="s">
        <v>1718</v>
      </c>
      <c r="N1313" s="51">
        <v>3.358</v>
      </c>
      <c r="O1313" s="6" t="str">
        <f t="shared" si="3"/>
        <v>Feb</v>
      </c>
      <c r="P1313" s="6" t="str">
        <f t="shared" si="4"/>
        <v>2020</v>
      </c>
    </row>
    <row r="1314">
      <c r="A1314" s="3"/>
      <c r="M1314" s="50" t="s">
        <v>1719</v>
      </c>
      <c r="N1314" s="51">
        <v>3.36</v>
      </c>
      <c r="O1314" s="6" t="str">
        <f t="shared" si="3"/>
        <v>Feb</v>
      </c>
      <c r="P1314" s="6" t="str">
        <f t="shared" si="4"/>
        <v>2020</v>
      </c>
    </row>
    <row r="1315">
      <c r="A1315" s="3"/>
      <c r="M1315" s="50" t="s">
        <v>1720</v>
      </c>
      <c r="N1315" s="51">
        <v>3.353</v>
      </c>
      <c r="O1315" s="6" t="str">
        <f t="shared" si="3"/>
        <v>Mar</v>
      </c>
      <c r="P1315" s="6" t="str">
        <f t="shared" si="4"/>
        <v>2020</v>
      </c>
    </row>
    <row r="1316">
      <c r="A1316" s="3"/>
      <c r="M1316" s="50" t="s">
        <v>1721</v>
      </c>
      <c r="N1316" s="51">
        <v>3.325</v>
      </c>
      <c r="O1316" s="6" t="str">
        <f t="shared" si="3"/>
        <v>Mar</v>
      </c>
      <c r="P1316" s="6" t="str">
        <f t="shared" si="4"/>
        <v>2020</v>
      </c>
    </row>
    <row r="1317">
      <c r="A1317" s="3"/>
      <c r="M1317" s="50" t="s">
        <v>1722</v>
      </c>
      <c r="N1317" s="51">
        <v>3.222</v>
      </c>
      <c r="O1317" s="6" t="str">
        <f t="shared" si="3"/>
        <v>Mar</v>
      </c>
      <c r="P1317" s="6" t="str">
        <f t="shared" si="4"/>
        <v>2020</v>
      </c>
    </row>
    <row r="1318">
      <c r="A1318" s="3"/>
      <c r="M1318" s="50" t="s">
        <v>1723</v>
      </c>
      <c r="N1318" s="51">
        <v>3.066</v>
      </c>
      <c r="O1318" s="6" t="str">
        <f t="shared" si="3"/>
        <v>Mar</v>
      </c>
      <c r="P1318" s="6" t="str">
        <f t="shared" si="4"/>
        <v>2020</v>
      </c>
    </row>
    <row r="1319">
      <c r="A1319" s="3"/>
      <c r="M1319" s="50" t="s">
        <v>1724</v>
      </c>
      <c r="N1319" s="51">
        <v>2.953</v>
      </c>
      <c r="O1319" s="6" t="str">
        <f t="shared" si="3"/>
        <v>Mar</v>
      </c>
      <c r="P1319" s="6" t="str">
        <f t="shared" si="4"/>
        <v>2020</v>
      </c>
    </row>
    <row r="1320">
      <c r="A1320" s="3"/>
      <c r="M1320" s="50" t="s">
        <v>1725</v>
      </c>
      <c r="N1320" s="51">
        <v>2.872</v>
      </c>
      <c r="O1320" s="6" t="str">
        <f t="shared" si="3"/>
        <v>Apr</v>
      </c>
      <c r="P1320" s="6" t="str">
        <f t="shared" si="4"/>
        <v>2020</v>
      </c>
    </row>
    <row r="1321">
      <c r="A1321" s="3"/>
      <c r="M1321" s="50" t="s">
        <v>1726</v>
      </c>
      <c r="N1321" s="51">
        <v>2.751</v>
      </c>
      <c r="O1321" s="6" t="str">
        <f t="shared" si="3"/>
        <v>Apr</v>
      </c>
      <c r="P1321" s="6" t="str">
        <f t="shared" si="4"/>
        <v>2020</v>
      </c>
    </row>
    <row r="1322">
      <c r="A1322" s="3"/>
      <c r="M1322" s="50" t="s">
        <v>1727</v>
      </c>
      <c r="N1322" s="51">
        <v>2.7</v>
      </c>
      <c r="O1322" s="6" t="str">
        <f t="shared" si="3"/>
        <v>Apr</v>
      </c>
      <c r="P1322" s="6" t="str">
        <f t="shared" si="4"/>
        <v>2020</v>
      </c>
    </row>
    <row r="1323">
      <c r="A1323" s="3"/>
      <c r="M1323" s="50" t="s">
        <v>1728</v>
      </c>
      <c r="N1323" s="51">
        <v>2.652</v>
      </c>
      <c r="O1323" s="6" t="str">
        <f t="shared" si="3"/>
        <v>Apr</v>
      </c>
      <c r="P1323" s="6" t="str">
        <f t="shared" si="4"/>
        <v>2020</v>
      </c>
    </row>
    <row r="1324">
      <c r="A1324" s="3"/>
      <c r="M1324" s="50" t="s">
        <v>1729</v>
      </c>
      <c r="N1324" s="51">
        <v>2.635</v>
      </c>
      <c r="O1324" s="6" t="str">
        <f t="shared" si="3"/>
        <v>May</v>
      </c>
      <c r="P1324" s="6" t="str">
        <f t="shared" si="4"/>
        <v>2020</v>
      </c>
    </row>
    <row r="1325">
      <c r="A1325" s="3"/>
      <c r="M1325" s="50" t="s">
        <v>1730</v>
      </c>
      <c r="N1325" s="51">
        <v>2.65</v>
      </c>
      <c r="O1325" s="6" t="str">
        <f t="shared" si="3"/>
        <v>May</v>
      </c>
      <c r="P1325" s="6" t="str">
        <f t="shared" si="4"/>
        <v>2020</v>
      </c>
    </row>
    <row r="1326">
      <c r="A1326" s="3"/>
      <c r="M1326" s="50" t="s">
        <v>1731</v>
      </c>
      <c r="N1326" s="51">
        <v>2.688</v>
      </c>
      <c r="O1326" s="6" t="str">
        <f t="shared" si="3"/>
        <v>May</v>
      </c>
      <c r="P1326" s="6" t="str">
        <f t="shared" si="4"/>
        <v>2020</v>
      </c>
    </row>
    <row r="1327">
      <c r="A1327" s="3"/>
      <c r="M1327" s="50" t="s">
        <v>1732</v>
      </c>
      <c r="N1327" s="51">
        <v>2.766</v>
      </c>
      <c r="O1327" s="6" t="str">
        <f t="shared" si="3"/>
        <v>May</v>
      </c>
      <c r="P1327" s="6" t="str">
        <f t="shared" si="4"/>
        <v>2020</v>
      </c>
    </row>
    <row r="1328">
      <c r="A1328" s="3"/>
      <c r="M1328" s="50" t="s">
        <v>1733</v>
      </c>
      <c r="N1328" s="51">
        <v>2.798</v>
      </c>
      <c r="O1328" s="6" t="str">
        <f t="shared" si="3"/>
        <v>Jun</v>
      </c>
      <c r="P1328" s="6" t="str">
        <f t="shared" si="4"/>
        <v>2020</v>
      </c>
    </row>
    <row r="1329">
      <c r="A1329" s="3"/>
      <c r="M1329" s="50" t="s">
        <v>1734</v>
      </c>
      <c r="N1329" s="51">
        <v>2.855</v>
      </c>
      <c r="O1329" s="6" t="str">
        <f t="shared" si="3"/>
        <v>Jun</v>
      </c>
      <c r="P1329" s="6" t="str">
        <f t="shared" si="4"/>
        <v>2020</v>
      </c>
    </row>
    <row r="1330">
      <c r="A1330" s="3"/>
      <c r="M1330" s="50" t="s">
        <v>1735</v>
      </c>
      <c r="N1330" s="51">
        <v>2.891</v>
      </c>
      <c r="O1330" s="6" t="str">
        <f t="shared" si="3"/>
        <v>Jun</v>
      </c>
      <c r="P1330" s="6" t="str">
        <f t="shared" si="4"/>
        <v>2020</v>
      </c>
    </row>
    <row r="1331">
      <c r="A1331" s="3"/>
      <c r="M1331" s="50" t="s">
        <v>1736</v>
      </c>
      <c r="N1331" s="51">
        <v>2.939</v>
      </c>
      <c r="O1331" s="6" t="str">
        <f t="shared" si="3"/>
        <v>Jun</v>
      </c>
      <c r="P1331" s="6" t="str">
        <f t="shared" si="4"/>
        <v>2020</v>
      </c>
    </row>
    <row r="1332">
      <c r="A1332" s="3"/>
      <c r="M1332" s="50" t="s">
        <v>1737</v>
      </c>
      <c r="N1332" s="51">
        <v>2.963</v>
      </c>
      <c r="O1332" s="6" t="str">
        <f t="shared" si="3"/>
        <v>Jun</v>
      </c>
      <c r="P1332" s="6" t="str">
        <f t="shared" si="4"/>
        <v>2020</v>
      </c>
    </row>
    <row r="1333">
      <c r="A1333" s="3"/>
      <c r="M1333" s="50" t="s">
        <v>1738</v>
      </c>
      <c r="N1333" s="51">
        <v>2.981</v>
      </c>
      <c r="O1333" s="6" t="str">
        <f t="shared" si="3"/>
        <v>Jul</v>
      </c>
      <c r="P1333" s="6" t="str">
        <f t="shared" si="4"/>
        <v>2020</v>
      </c>
    </row>
    <row r="1334">
      <c r="A1334" s="3"/>
      <c r="M1334" s="50" t="s">
        <v>1739</v>
      </c>
      <c r="N1334" s="51">
        <v>3.022</v>
      </c>
      <c r="O1334" s="6" t="str">
        <f t="shared" si="3"/>
        <v>Jul</v>
      </c>
      <c r="P1334" s="6" t="str">
        <f t="shared" si="4"/>
        <v>2020</v>
      </c>
    </row>
    <row r="1335">
      <c r="A1335" s="3"/>
      <c r="M1335" s="50" t="s">
        <v>1740</v>
      </c>
      <c r="N1335" s="51">
        <v>3.031</v>
      </c>
      <c r="O1335" s="6" t="str">
        <f t="shared" si="3"/>
        <v>Jul</v>
      </c>
      <c r="P1335" s="6" t="str">
        <f t="shared" si="4"/>
        <v>2020</v>
      </c>
    </row>
    <row r="1336">
      <c r="A1336" s="3"/>
      <c r="M1336" s="50" t="s">
        <v>1741</v>
      </c>
      <c r="N1336" s="51">
        <v>3.049</v>
      </c>
      <c r="O1336" s="6" t="str">
        <f t="shared" si="3"/>
        <v>Jul</v>
      </c>
      <c r="P1336" s="6" t="str">
        <f t="shared" si="4"/>
        <v>2020</v>
      </c>
    </row>
    <row r="1337">
      <c r="A1337" s="3"/>
      <c r="M1337" s="50" t="s">
        <v>1742</v>
      </c>
      <c r="N1337" s="51">
        <v>3.058</v>
      </c>
      <c r="O1337" s="6" t="str">
        <f t="shared" si="3"/>
        <v>Aug</v>
      </c>
      <c r="P1337" s="6" t="str">
        <f t="shared" si="4"/>
        <v>2020</v>
      </c>
    </row>
    <row r="1338">
      <c r="A1338" s="3"/>
      <c r="M1338" s="50" t="s">
        <v>1743</v>
      </c>
      <c r="N1338" s="51">
        <v>3.054</v>
      </c>
      <c r="O1338" s="6" t="str">
        <f t="shared" si="3"/>
        <v>Aug</v>
      </c>
      <c r="P1338" s="6" t="str">
        <f t="shared" si="4"/>
        <v>2020</v>
      </c>
    </row>
    <row r="1339">
      <c r="A1339" s="3"/>
      <c r="M1339" s="50" t="s">
        <v>1744</v>
      </c>
      <c r="N1339" s="51">
        <v>3.067</v>
      </c>
      <c r="O1339" s="6" t="str">
        <f t="shared" si="3"/>
        <v>Aug</v>
      </c>
      <c r="P1339" s="6" t="str">
        <f t="shared" si="4"/>
        <v>2020</v>
      </c>
    </row>
    <row r="1340">
      <c r="A1340" s="3"/>
      <c r="M1340" s="50" t="s">
        <v>1745</v>
      </c>
      <c r="N1340" s="51">
        <v>3.092</v>
      </c>
      <c r="O1340" s="6" t="str">
        <f t="shared" si="3"/>
        <v>Aug</v>
      </c>
      <c r="P1340" s="6" t="str">
        <f t="shared" si="4"/>
        <v>2020</v>
      </c>
    </row>
    <row r="1341">
      <c r="A1341" s="3"/>
      <c r="M1341" s="50" t="s">
        <v>1746</v>
      </c>
      <c r="N1341" s="51">
        <v>3.1</v>
      </c>
      <c r="O1341" s="6" t="str">
        <f t="shared" si="3"/>
        <v>Aug</v>
      </c>
      <c r="P1341" s="6" t="str">
        <f t="shared" si="4"/>
        <v>2020</v>
      </c>
    </row>
    <row r="1342">
      <c r="A1342" s="3"/>
      <c r="M1342" s="50" t="s">
        <v>1747</v>
      </c>
      <c r="N1342" s="51">
        <v>3.106</v>
      </c>
      <c r="O1342" s="6" t="str">
        <f t="shared" si="3"/>
        <v>Sep</v>
      </c>
      <c r="P1342" s="6" t="str">
        <f t="shared" si="4"/>
        <v>2020</v>
      </c>
    </row>
    <row r="1343">
      <c r="A1343" s="3"/>
      <c r="M1343" s="50" t="s">
        <v>1748</v>
      </c>
      <c r="N1343" s="51">
        <v>3.102</v>
      </c>
      <c r="O1343" s="6" t="str">
        <f t="shared" si="3"/>
        <v>Sep</v>
      </c>
      <c r="P1343" s="6" t="str">
        <f t="shared" si="4"/>
        <v>2020</v>
      </c>
    </row>
    <row r="1344">
      <c r="A1344" s="3"/>
      <c r="M1344" s="50" t="s">
        <v>1749</v>
      </c>
      <c r="N1344" s="51">
        <v>3.086</v>
      </c>
      <c r="O1344" s="6" t="str">
        <f t="shared" si="3"/>
        <v>Sep</v>
      </c>
      <c r="P1344" s="6" t="str">
        <f t="shared" si="4"/>
        <v>2020</v>
      </c>
    </row>
    <row r="1345">
      <c r="A1345" s="3"/>
      <c r="M1345" s="50" t="s">
        <v>1750</v>
      </c>
      <c r="N1345" s="51">
        <v>3.069</v>
      </c>
      <c r="O1345" s="6" t="str">
        <f t="shared" si="3"/>
        <v>Sep</v>
      </c>
      <c r="P1345" s="6" t="str">
        <f t="shared" si="4"/>
        <v>2020</v>
      </c>
    </row>
    <row r="1346">
      <c r="A1346" s="3"/>
      <c r="M1346" s="50" t="s">
        <v>1751</v>
      </c>
      <c r="N1346" s="51">
        <v>3.061</v>
      </c>
      <c r="O1346" s="6" t="str">
        <f t="shared" si="3"/>
        <v>Oct</v>
      </c>
      <c r="P1346" s="6" t="str">
        <f t="shared" si="4"/>
        <v>2020</v>
      </c>
    </row>
    <row r="1347">
      <c r="A1347" s="3"/>
      <c r="M1347" s="50" t="s">
        <v>1752</v>
      </c>
      <c r="N1347" s="51">
        <v>3.049</v>
      </c>
      <c r="O1347" s="6" t="str">
        <f t="shared" si="3"/>
        <v>Oct</v>
      </c>
      <c r="P1347" s="6" t="str">
        <f t="shared" si="4"/>
        <v>2020</v>
      </c>
    </row>
    <row r="1348">
      <c r="A1348" s="3"/>
      <c r="M1348" s="50" t="s">
        <v>1753</v>
      </c>
      <c r="N1348" s="51">
        <v>3.047</v>
      </c>
      <c r="O1348" s="6" t="str">
        <f t="shared" si="3"/>
        <v>Oct</v>
      </c>
      <c r="P1348" s="6" t="str">
        <f t="shared" si="4"/>
        <v>2020</v>
      </c>
    </row>
    <row r="1349">
      <c r="A1349" s="3"/>
      <c r="M1349" s="50" t="s">
        <v>1754</v>
      </c>
      <c r="N1349" s="51">
        <v>3.051</v>
      </c>
      <c r="O1349" s="6" t="str">
        <f t="shared" si="3"/>
        <v>Oct</v>
      </c>
      <c r="P1349" s="6" t="str">
        <f t="shared" si="4"/>
        <v>2020</v>
      </c>
    </row>
    <row r="1350">
      <c r="A1350" s="3"/>
      <c r="M1350" s="50" t="s">
        <v>1755</v>
      </c>
      <c r="N1350" s="51">
        <v>3.033</v>
      </c>
      <c r="O1350" s="6" t="str">
        <f t="shared" si="3"/>
        <v>Nov</v>
      </c>
      <c r="P1350" s="6" t="str">
        <f t="shared" si="4"/>
        <v>2020</v>
      </c>
    </row>
    <row r="1351">
      <c r="A1351" s="3"/>
      <c r="M1351" s="50" t="s">
        <v>1756</v>
      </c>
      <c r="N1351" s="51">
        <v>3.029</v>
      </c>
      <c r="O1351" s="6" t="str">
        <f t="shared" si="3"/>
        <v>Nov</v>
      </c>
      <c r="P1351" s="6" t="str">
        <f t="shared" si="4"/>
        <v>2020</v>
      </c>
    </row>
    <row r="1352">
      <c r="A1352" s="3"/>
      <c r="M1352" s="50" t="s">
        <v>1757</v>
      </c>
      <c r="N1352" s="51">
        <v>3.027</v>
      </c>
      <c r="O1352" s="6" t="str">
        <f t="shared" si="3"/>
        <v>Nov</v>
      </c>
      <c r="P1352" s="6" t="str">
        <f t="shared" si="4"/>
        <v>2020</v>
      </c>
    </row>
    <row r="1353">
      <c r="A1353" s="3"/>
      <c r="M1353" s="50" t="s">
        <v>1758</v>
      </c>
      <c r="N1353" s="51">
        <v>3.025</v>
      </c>
      <c r="O1353" s="6" t="str">
        <f t="shared" si="3"/>
        <v>Nov</v>
      </c>
      <c r="P1353" s="6" t="str">
        <f t="shared" si="4"/>
        <v>2020</v>
      </c>
    </row>
    <row r="1354">
      <c r="A1354" s="3"/>
      <c r="M1354" s="50" t="s">
        <v>1759</v>
      </c>
      <c r="N1354" s="51">
        <v>3.032</v>
      </c>
      <c r="O1354" s="6" t="str">
        <f t="shared" si="3"/>
        <v>Nov</v>
      </c>
      <c r="P1354" s="6" t="str">
        <f t="shared" si="4"/>
        <v>2020</v>
      </c>
    </row>
    <row r="1355">
      <c r="A1355" s="3"/>
      <c r="M1355" s="50" t="s">
        <v>1760</v>
      </c>
      <c r="N1355" s="51">
        <v>3.041</v>
      </c>
      <c r="O1355" s="6" t="str">
        <f t="shared" si="3"/>
        <v>Dec</v>
      </c>
      <c r="P1355" s="6" t="str">
        <f t="shared" si="4"/>
        <v>2020</v>
      </c>
    </row>
    <row r="1356">
      <c r="A1356" s="3"/>
      <c r="M1356" s="50" t="s">
        <v>1761</v>
      </c>
      <c r="N1356" s="51">
        <v>3.04</v>
      </c>
      <c r="O1356" s="6" t="str">
        <f t="shared" si="3"/>
        <v>Dec</v>
      </c>
      <c r="P1356" s="6" t="str">
        <f t="shared" si="4"/>
        <v>2020</v>
      </c>
    </row>
    <row r="1357">
      <c r="A1357" s="3"/>
      <c r="M1357" s="50" t="s">
        <v>1762</v>
      </c>
      <c r="N1357" s="51">
        <v>3.06</v>
      </c>
      <c r="O1357" s="6" t="str">
        <f t="shared" si="3"/>
        <v>Dec</v>
      </c>
      <c r="P1357" s="6" t="str">
        <f t="shared" si="4"/>
        <v>2020</v>
      </c>
    </row>
    <row r="1358">
      <c r="A1358" s="3"/>
      <c r="M1358" s="50" t="s">
        <v>1763</v>
      </c>
      <c r="N1358" s="51">
        <v>3.085</v>
      </c>
      <c r="O1358" s="6" t="str">
        <f t="shared" si="3"/>
        <v>Dec</v>
      </c>
      <c r="P1358" s="6" t="str">
        <f t="shared" si="4"/>
        <v>2020</v>
      </c>
    </row>
    <row r="1359">
      <c r="A1359" s="3"/>
      <c r="M1359" s="50" t="s">
        <v>1764</v>
      </c>
      <c r="N1359" s="51">
        <v>3.1</v>
      </c>
      <c r="O1359" s="6" t="str">
        <f t="shared" si="3"/>
        <v>Jan</v>
      </c>
      <c r="P1359" s="6" t="str">
        <f t="shared" si="4"/>
        <v>2021</v>
      </c>
    </row>
    <row r="1360">
      <c r="A1360" s="3"/>
      <c r="M1360" s="50" t="s">
        <v>1765</v>
      </c>
      <c r="N1360" s="51">
        <v>3.145</v>
      </c>
      <c r="O1360" s="6" t="str">
        <f t="shared" si="3"/>
        <v>Jan</v>
      </c>
      <c r="P1360" s="6" t="str">
        <f t="shared" si="4"/>
        <v>2021</v>
      </c>
    </row>
    <row r="1361">
      <c r="A1361" s="3"/>
      <c r="M1361" s="50" t="s">
        <v>1766</v>
      </c>
      <c r="N1361" s="51">
        <v>3.213</v>
      </c>
      <c r="O1361" s="6" t="str">
        <f t="shared" si="3"/>
        <v>Jan</v>
      </c>
      <c r="P1361" s="6" t="str">
        <f t="shared" si="4"/>
        <v>2021</v>
      </c>
    </row>
    <row r="1362">
      <c r="A1362" s="3"/>
      <c r="M1362" s="50" t="s">
        <v>1767</v>
      </c>
      <c r="N1362" s="51">
        <v>3.245</v>
      </c>
      <c r="O1362" s="6" t="str">
        <f t="shared" si="3"/>
        <v>Jan</v>
      </c>
      <c r="P1362" s="6" t="str">
        <f t="shared" si="4"/>
        <v>2021</v>
      </c>
    </row>
    <row r="1363">
      <c r="A1363" s="3"/>
      <c r="M1363" s="50" t="s">
        <v>1768</v>
      </c>
      <c r="N1363" s="51">
        <v>3.272</v>
      </c>
      <c r="O1363" s="6" t="str">
        <f t="shared" si="3"/>
        <v>Feb</v>
      </c>
      <c r="P1363" s="6" t="str">
        <f t="shared" si="4"/>
        <v>2021</v>
      </c>
    </row>
    <row r="1364">
      <c r="A1364" s="3"/>
      <c r="M1364" s="50" t="s">
        <v>1769</v>
      </c>
      <c r="N1364" s="51">
        <v>3.316</v>
      </c>
      <c r="O1364" s="6" t="str">
        <f t="shared" si="3"/>
        <v>Feb</v>
      </c>
      <c r="P1364" s="6" t="str">
        <f t="shared" si="4"/>
        <v>2021</v>
      </c>
    </row>
    <row r="1365">
      <c r="A1365" s="3"/>
      <c r="M1365" s="50" t="s">
        <v>1770</v>
      </c>
      <c r="N1365" s="51">
        <v>3.35</v>
      </c>
      <c r="O1365" s="6" t="str">
        <f t="shared" si="3"/>
        <v>Feb</v>
      </c>
      <c r="P1365" s="6" t="str">
        <f t="shared" si="4"/>
        <v>2021</v>
      </c>
    </row>
    <row r="1366">
      <c r="A1366" s="3"/>
      <c r="M1366" s="50" t="s">
        <v>1771</v>
      </c>
      <c r="N1366" s="51">
        <v>3.451</v>
      </c>
      <c r="O1366" s="6" t="str">
        <f t="shared" si="3"/>
        <v>Feb</v>
      </c>
      <c r="P1366" s="6" t="str">
        <f t="shared" si="4"/>
        <v>2021</v>
      </c>
    </row>
    <row r="1367">
      <c r="A1367" s="3"/>
      <c r="M1367" s="50" t="s">
        <v>1772</v>
      </c>
      <c r="N1367" s="51">
        <v>3.563</v>
      </c>
      <c r="O1367" s="6" t="str">
        <f t="shared" si="3"/>
        <v>Mar</v>
      </c>
      <c r="P1367" s="6" t="str">
        <f t="shared" si="4"/>
        <v>2021</v>
      </c>
    </row>
    <row r="1368">
      <c r="A1368" s="3"/>
      <c r="M1368" s="50" t="s">
        <v>1773</v>
      </c>
      <c r="N1368" s="51">
        <v>3.638</v>
      </c>
      <c r="O1368" s="6" t="str">
        <f t="shared" si="3"/>
        <v>Mar</v>
      </c>
      <c r="P1368" s="6" t="str">
        <f t="shared" si="4"/>
        <v>2021</v>
      </c>
    </row>
    <row r="1369">
      <c r="A1369" s="3"/>
      <c r="M1369" s="50" t="s">
        <v>1774</v>
      </c>
      <c r="N1369" s="51">
        <v>3.731</v>
      </c>
      <c r="O1369" s="6" t="str">
        <f t="shared" si="3"/>
        <v>Mar</v>
      </c>
      <c r="P1369" s="6" t="str">
        <f t="shared" si="4"/>
        <v>2021</v>
      </c>
    </row>
    <row r="1370">
      <c r="A1370" s="3"/>
      <c r="M1370" s="50" t="s">
        <v>1775</v>
      </c>
      <c r="N1370" s="51">
        <v>3.76</v>
      </c>
      <c r="O1370" s="6" t="str">
        <f t="shared" si="3"/>
        <v>Mar</v>
      </c>
      <c r="P1370" s="6" t="str">
        <f t="shared" si="4"/>
        <v>2021</v>
      </c>
    </row>
    <row r="1371">
      <c r="A1371" s="3"/>
      <c r="M1371" s="50" t="s">
        <v>1776</v>
      </c>
      <c r="N1371" s="51">
        <v>3.77</v>
      </c>
      <c r="O1371" s="6" t="str">
        <f t="shared" si="3"/>
        <v>Mar</v>
      </c>
      <c r="P1371" s="6" t="str">
        <f t="shared" si="4"/>
        <v>2021</v>
      </c>
    </row>
    <row r="1372">
      <c r="A1372" s="3"/>
      <c r="M1372" s="50" t="s">
        <v>1777</v>
      </c>
      <c r="N1372" s="51">
        <v>3.787</v>
      </c>
      <c r="O1372" s="6" t="str">
        <f t="shared" si="3"/>
        <v>Apr</v>
      </c>
      <c r="P1372" s="6" t="str">
        <f t="shared" si="4"/>
        <v>2021</v>
      </c>
    </row>
    <row r="1373">
      <c r="A1373" s="3"/>
      <c r="M1373" s="50" t="s">
        <v>1778</v>
      </c>
      <c r="N1373" s="51">
        <v>3.803</v>
      </c>
      <c r="O1373" s="6" t="str">
        <f t="shared" si="3"/>
        <v>Apr</v>
      </c>
      <c r="P1373" s="6" t="str">
        <f t="shared" si="4"/>
        <v>2021</v>
      </c>
    </row>
    <row r="1374">
      <c r="A1374" s="3"/>
      <c r="M1374" s="50" t="s">
        <v>1779</v>
      </c>
      <c r="N1374" s="51">
        <v>3.835</v>
      </c>
      <c r="O1374" s="6" t="str">
        <f t="shared" si="3"/>
        <v>Apr</v>
      </c>
      <c r="P1374" s="6" t="str">
        <f t="shared" si="4"/>
        <v>2021</v>
      </c>
    </row>
    <row r="1375">
      <c r="A1375" s="3"/>
      <c r="M1375" s="50" t="s">
        <v>1780</v>
      </c>
      <c r="N1375" s="51">
        <v>3.862</v>
      </c>
      <c r="O1375" s="6" t="str">
        <f t="shared" si="3"/>
        <v>Apr</v>
      </c>
      <c r="P1375" s="6" t="str">
        <f t="shared" si="4"/>
        <v>2021</v>
      </c>
    </row>
    <row r="1376">
      <c r="A1376" s="3"/>
      <c r="M1376" s="50" t="s">
        <v>1781</v>
      </c>
      <c r="N1376" s="51">
        <v>3.906</v>
      </c>
      <c r="O1376" s="6" t="str">
        <f t="shared" si="3"/>
        <v>May</v>
      </c>
      <c r="P1376" s="6" t="str">
        <f t="shared" si="4"/>
        <v>2021</v>
      </c>
    </row>
    <row r="1377">
      <c r="A1377" s="3"/>
      <c r="M1377" s="50" t="s">
        <v>1782</v>
      </c>
      <c r="N1377" s="51">
        <v>3.952</v>
      </c>
      <c r="O1377" s="6" t="str">
        <f t="shared" si="3"/>
        <v>May</v>
      </c>
      <c r="P1377" s="6" t="str">
        <f t="shared" si="4"/>
        <v>2021</v>
      </c>
    </row>
    <row r="1378">
      <c r="A1378" s="3"/>
      <c r="M1378" s="50" t="s">
        <v>1783</v>
      </c>
      <c r="N1378" s="51">
        <v>3.981</v>
      </c>
      <c r="O1378" s="6" t="str">
        <f t="shared" si="3"/>
        <v>May</v>
      </c>
      <c r="P1378" s="6" t="str">
        <f t="shared" si="4"/>
        <v>2021</v>
      </c>
    </row>
    <row r="1379">
      <c r="A1379" s="3"/>
      <c r="M1379" s="50" t="s">
        <v>1784</v>
      </c>
      <c r="N1379" s="51">
        <v>4.014</v>
      </c>
      <c r="O1379" s="6" t="str">
        <f t="shared" si="3"/>
        <v>May</v>
      </c>
      <c r="P1379" s="6" t="str">
        <f t="shared" si="4"/>
        <v>2021</v>
      </c>
    </row>
    <row r="1380">
      <c r="A1380" s="3"/>
      <c r="M1380" s="50" t="s">
        <v>1785</v>
      </c>
      <c r="N1380" s="51">
        <v>4.057</v>
      </c>
      <c r="O1380" s="6" t="str">
        <f t="shared" si="3"/>
        <v>May</v>
      </c>
      <c r="P1380" s="6" t="str">
        <f t="shared" si="4"/>
        <v>2021</v>
      </c>
    </row>
    <row r="1381">
      <c r="A1381" s="3"/>
      <c r="M1381" s="50" t="s">
        <v>1786</v>
      </c>
      <c r="N1381" s="51">
        <v>4.078</v>
      </c>
      <c r="O1381" s="6" t="str">
        <f t="shared" si="3"/>
        <v>Jun</v>
      </c>
      <c r="P1381" s="6" t="str">
        <f t="shared" si="4"/>
        <v>2021</v>
      </c>
    </row>
    <row r="1382">
      <c r="A1382" s="3"/>
      <c r="M1382" s="50" t="s">
        <v>1787</v>
      </c>
      <c r="N1382" s="51">
        <v>4.086</v>
      </c>
      <c r="O1382" s="6" t="str">
        <f t="shared" si="3"/>
        <v>Jun</v>
      </c>
      <c r="P1382" s="6" t="str">
        <f t="shared" si="4"/>
        <v>2021</v>
      </c>
    </row>
    <row r="1383">
      <c r="A1383" s="3"/>
      <c r="M1383" s="50" t="s">
        <v>1788</v>
      </c>
      <c r="N1383" s="51">
        <v>4.087</v>
      </c>
      <c r="O1383" s="6" t="str">
        <f t="shared" si="3"/>
        <v>Jun</v>
      </c>
      <c r="P1383" s="6" t="str">
        <f t="shared" si="4"/>
        <v>2021</v>
      </c>
    </row>
    <row r="1384">
      <c r="A1384" s="3"/>
      <c r="M1384" s="50" t="s">
        <v>1789</v>
      </c>
      <c r="N1384" s="51">
        <v>4.126</v>
      </c>
      <c r="O1384" s="6" t="str">
        <f t="shared" si="3"/>
        <v>Jun</v>
      </c>
      <c r="P1384" s="6" t="str">
        <f t="shared" si="4"/>
        <v>2021</v>
      </c>
    </row>
    <row r="1385">
      <c r="A1385" s="3"/>
      <c r="M1385" s="50" t="s">
        <v>1790</v>
      </c>
      <c r="N1385" s="51">
        <v>4.141</v>
      </c>
      <c r="O1385" s="6" t="str">
        <f t="shared" si="3"/>
        <v>Jul</v>
      </c>
      <c r="P1385" s="6" t="str">
        <f t="shared" si="4"/>
        <v>2021</v>
      </c>
    </row>
    <row r="1386">
      <c r="A1386" s="3"/>
      <c r="M1386" s="50" t="s">
        <v>1791</v>
      </c>
      <c r="N1386" s="51">
        <v>4.165</v>
      </c>
      <c r="O1386" s="6" t="str">
        <f t="shared" si="3"/>
        <v>Jul</v>
      </c>
      <c r="P1386" s="6" t="str">
        <f t="shared" si="4"/>
        <v>2021</v>
      </c>
    </row>
    <row r="1387">
      <c r="A1387" s="3"/>
      <c r="M1387" s="50" t="s">
        <v>1792</v>
      </c>
      <c r="N1387" s="51">
        <v>4.179</v>
      </c>
      <c r="O1387" s="6" t="str">
        <f t="shared" si="3"/>
        <v>Jul</v>
      </c>
      <c r="P1387" s="6" t="str">
        <f t="shared" si="4"/>
        <v>2021</v>
      </c>
    </row>
    <row r="1388">
      <c r="A1388" s="3"/>
      <c r="M1388" s="50" t="s">
        <v>1793</v>
      </c>
      <c r="N1388" s="51">
        <v>4.174</v>
      </c>
      <c r="O1388" s="6" t="str">
        <f t="shared" si="3"/>
        <v>Jul</v>
      </c>
      <c r="P1388" s="6" t="str">
        <f t="shared" si="4"/>
        <v>2021</v>
      </c>
    </row>
    <row r="1389">
      <c r="A1389" s="3"/>
      <c r="M1389" s="50" t="s">
        <v>1794</v>
      </c>
      <c r="N1389" s="51">
        <v>4.213</v>
      </c>
      <c r="O1389" s="6" t="str">
        <f t="shared" si="3"/>
        <v>Aug</v>
      </c>
      <c r="P1389" s="6" t="str">
        <f t="shared" si="4"/>
        <v>2021</v>
      </c>
    </row>
    <row r="1390">
      <c r="A1390" s="3"/>
      <c r="M1390" s="50" t="s">
        <v>1795</v>
      </c>
      <c r="N1390" s="51">
        <v>4.234</v>
      </c>
      <c r="O1390" s="6" t="str">
        <f t="shared" si="3"/>
        <v>Aug</v>
      </c>
      <c r="P1390" s="6" t="str">
        <f t="shared" si="4"/>
        <v>2021</v>
      </c>
    </row>
    <row r="1391">
      <c r="A1391" s="3"/>
      <c r="M1391" s="50" t="s">
        <v>1796</v>
      </c>
      <c r="N1391" s="51">
        <v>4.256</v>
      </c>
      <c r="O1391" s="6" t="str">
        <f t="shared" si="3"/>
        <v>Aug</v>
      </c>
      <c r="P1391" s="6" t="str">
        <f t="shared" si="4"/>
        <v>2021</v>
      </c>
    </row>
    <row r="1392">
      <c r="A1392" s="3"/>
      <c r="M1392" s="50" t="s">
        <v>1797</v>
      </c>
      <c r="N1392" s="51">
        <v>4.232</v>
      </c>
      <c r="O1392" s="6" t="str">
        <f t="shared" si="3"/>
        <v>Aug</v>
      </c>
      <c r="P1392" s="6" t="str">
        <f t="shared" si="4"/>
        <v>2021</v>
      </c>
    </row>
    <row r="1393">
      <c r="A1393" s="3"/>
      <c r="M1393" s="50" t="s">
        <v>1798</v>
      </c>
      <c r="N1393" s="51">
        <v>4.226</v>
      </c>
      <c r="O1393" s="6" t="str">
        <f t="shared" si="3"/>
        <v>Aug</v>
      </c>
      <c r="P1393" s="6" t="str">
        <f t="shared" si="4"/>
        <v>2021</v>
      </c>
    </row>
    <row r="1394">
      <c r="A1394" s="3"/>
      <c r="M1394" s="50" t="s">
        <v>1799</v>
      </c>
      <c r="N1394" s="51">
        <v>4.227</v>
      </c>
      <c r="O1394" s="6" t="str">
        <f t="shared" si="3"/>
        <v>Sep</v>
      </c>
      <c r="P1394" s="6" t="str">
        <f t="shared" si="4"/>
        <v>2021</v>
      </c>
    </row>
    <row r="1395">
      <c r="A1395" s="3"/>
      <c r="M1395" s="50" t="s">
        <v>1800</v>
      </c>
      <c r="N1395" s="51">
        <v>4.225</v>
      </c>
      <c r="O1395" s="6" t="str">
        <f t="shared" si="3"/>
        <v>Sep</v>
      </c>
      <c r="P1395" s="6" t="str">
        <f t="shared" si="4"/>
        <v>2021</v>
      </c>
    </row>
    <row r="1396">
      <c r="A1396" s="3"/>
      <c r="M1396" s="50" t="s">
        <v>1801</v>
      </c>
      <c r="N1396" s="51">
        <v>4.217</v>
      </c>
      <c r="O1396" s="6" t="str">
        <f t="shared" si="3"/>
        <v>Sep</v>
      </c>
      <c r="P1396" s="6" t="str">
        <f t="shared" si="4"/>
        <v>2021</v>
      </c>
    </row>
    <row r="1397">
      <c r="A1397" s="3"/>
      <c r="M1397" s="50" t="s">
        <v>1802</v>
      </c>
      <c r="N1397" s="51">
        <v>4.217</v>
      </c>
      <c r="O1397" s="6" t="str">
        <f t="shared" si="3"/>
        <v>Sep</v>
      </c>
      <c r="P1397" s="6" t="str">
        <f t="shared" si="4"/>
        <v>2021</v>
      </c>
    </row>
    <row r="1398">
      <c r="A1398" s="3"/>
      <c r="M1398" s="50" t="s">
        <v>1803</v>
      </c>
      <c r="N1398" s="51">
        <v>4.241</v>
      </c>
      <c r="O1398" s="6" t="str">
        <f t="shared" si="3"/>
        <v>Oct</v>
      </c>
      <c r="P1398" s="6" t="str">
        <f t="shared" si="4"/>
        <v>2021</v>
      </c>
    </row>
    <row r="1399">
      <c r="A1399" s="3"/>
      <c r="M1399" s="50" t="s">
        <v>1804</v>
      </c>
      <c r="N1399" s="51">
        <v>4.268</v>
      </c>
      <c r="O1399" s="6" t="str">
        <f t="shared" si="3"/>
        <v>Oct</v>
      </c>
      <c r="P1399" s="6" t="str">
        <f t="shared" si="4"/>
        <v>2021</v>
      </c>
    </row>
    <row r="1400">
      <c r="A1400" s="3"/>
      <c r="M1400" s="50" t="s">
        <v>1805</v>
      </c>
      <c r="N1400" s="51">
        <v>4.339</v>
      </c>
      <c r="O1400" s="6" t="str">
        <f t="shared" si="3"/>
        <v>Oct</v>
      </c>
      <c r="P1400" s="6" t="str">
        <f t="shared" si="4"/>
        <v>2021</v>
      </c>
    </row>
    <row r="1401">
      <c r="A1401" s="3"/>
      <c r="M1401" s="50" t="s">
        <v>1806</v>
      </c>
      <c r="N1401" s="51">
        <v>4.393</v>
      </c>
      <c r="O1401" s="6" t="str">
        <f t="shared" si="3"/>
        <v>Oct</v>
      </c>
      <c r="P1401" s="6" t="str">
        <f t="shared" si="4"/>
        <v>2021</v>
      </c>
    </row>
    <row r="1402">
      <c r="A1402" s="3"/>
      <c r="M1402" s="50" t="s">
        <v>1807</v>
      </c>
      <c r="N1402" s="51">
        <v>4.439</v>
      </c>
      <c r="O1402" s="6" t="str">
        <f t="shared" si="3"/>
        <v>Nov</v>
      </c>
      <c r="P1402" s="6" t="str">
        <f t="shared" si="4"/>
        <v>2021</v>
      </c>
    </row>
    <row r="1403">
      <c r="A1403" s="3"/>
      <c r="M1403" s="50" t="s">
        <v>1808</v>
      </c>
      <c r="N1403" s="51">
        <v>4.473</v>
      </c>
      <c r="O1403" s="6" t="str">
        <f t="shared" si="3"/>
        <v>Nov</v>
      </c>
      <c r="P1403" s="6" t="str">
        <f t="shared" si="4"/>
        <v>2021</v>
      </c>
    </row>
    <row r="1404">
      <c r="A1404" s="3"/>
      <c r="M1404" s="50" t="s">
        <v>1809</v>
      </c>
      <c r="N1404" s="51">
        <v>4.532</v>
      </c>
      <c r="O1404" s="6" t="str">
        <f t="shared" si="3"/>
        <v>Nov</v>
      </c>
      <c r="P1404" s="6" t="str">
        <f t="shared" si="4"/>
        <v>2021</v>
      </c>
    </row>
    <row r="1405">
      <c r="A1405" s="3"/>
      <c r="M1405" s="50" t="s">
        <v>1810</v>
      </c>
      <c r="N1405" s="51">
        <v>4.551</v>
      </c>
      <c r="O1405" s="6" t="str">
        <f t="shared" si="3"/>
        <v>Nov</v>
      </c>
      <c r="P1405" s="6" t="str">
        <f t="shared" si="4"/>
        <v>2021</v>
      </c>
    </row>
    <row r="1406">
      <c r="A1406" s="3"/>
      <c r="M1406" s="50" t="s">
        <v>1811</v>
      </c>
      <c r="N1406" s="51">
        <v>4.554</v>
      </c>
      <c r="O1406" s="6" t="str">
        <f t="shared" si="3"/>
        <v>Nov</v>
      </c>
      <c r="P1406" s="6" t="str">
        <f t="shared" si="4"/>
        <v>2021</v>
      </c>
    </row>
    <row r="1407">
      <c r="A1407" s="3"/>
      <c r="M1407" s="50" t="s">
        <v>1812</v>
      </c>
      <c r="N1407" s="51">
        <v>4.53</v>
      </c>
      <c r="O1407" s="6" t="str">
        <f t="shared" si="3"/>
        <v>Dec</v>
      </c>
      <c r="P1407" s="6" t="str">
        <f t="shared" si="4"/>
        <v>2021</v>
      </c>
    </row>
    <row r="1408">
      <c r="A1408" s="3"/>
      <c r="M1408" s="50" t="s">
        <v>1813</v>
      </c>
      <c r="N1408" s="51">
        <v>4.513</v>
      </c>
      <c r="O1408" s="6" t="str">
        <f t="shared" si="3"/>
        <v>Dec</v>
      </c>
      <c r="P1408" s="6" t="str">
        <f t="shared" si="4"/>
        <v>2021</v>
      </c>
    </row>
    <row r="1409">
      <c r="A1409" s="3"/>
      <c r="M1409" s="50" t="s">
        <v>1814</v>
      </c>
      <c r="N1409" s="51">
        <v>4.503</v>
      </c>
      <c r="O1409" s="6" t="str">
        <f t="shared" si="3"/>
        <v>Dec</v>
      </c>
      <c r="P1409" s="6" t="str">
        <f t="shared" si="4"/>
        <v>2021</v>
      </c>
    </row>
    <row r="1410">
      <c r="A1410" s="3"/>
      <c r="M1410" s="50" t="s">
        <v>1815</v>
      </c>
      <c r="N1410" s="51">
        <v>4.485</v>
      </c>
      <c r="O1410" s="6" t="str">
        <f t="shared" si="3"/>
        <v>Dec</v>
      </c>
      <c r="P1410" s="6" t="str">
        <f t="shared" si="4"/>
        <v>2021</v>
      </c>
    </row>
    <row r="1411">
      <c r="A1411" s="3"/>
      <c r="M1411" s="50" t="s">
        <v>1816</v>
      </c>
      <c r="N1411" s="51">
        <v>4.501</v>
      </c>
      <c r="O1411" s="6" t="str">
        <f t="shared" si="3"/>
        <v>Jan</v>
      </c>
      <c r="P1411" s="6" t="str">
        <f t="shared" si="4"/>
        <v>2022</v>
      </c>
    </row>
    <row r="1412">
      <c r="A1412" s="3"/>
      <c r="M1412" s="50" t="s">
        <v>1817</v>
      </c>
      <c r="N1412" s="51">
        <v>4.503</v>
      </c>
      <c r="O1412" s="6" t="str">
        <f t="shared" si="3"/>
        <v>Jan</v>
      </c>
      <c r="P1412" s="6" t="str">
        <f t="shared" si="4"/>
        <v>2022</v>
      </c>
    </row>
    <row r="1413">
      <c r="A1413" s="3"/>
      <c r="M1413" s="50" t="s">
        <v>1818</v>
      </c>
      <c r="N1413" s="51">
        <v>4.497</v>
      </c>
      <c r="O1413" s="6" t="str">
        <f t="shared" si="3"/>
        <v>Jan</v>
      </c>
      <c r="P1413" s="6" t="str">
        <f t="shared" si="4"/>
        <v>2022</v>
      </c>
    </row>
    <row r="1414">
      <c r="A1414" s="3"/>
      <c r="M1414" s="50" t="s">
        <v>1819</v>
      </c>
      <c r="N1414" s="51">
        <v>4.486</v>
      </c>
      <c r="O1414" s="6" t="str">
        <f t="shared" si="3"/>
        <v>Jan</v>
      </c>
      <c r="P1414" s="6" t="str">
        <f t="shared" si="4"/>
        <v>2022</v>
      </c>
    </row>
    <row r="1415">
      <c r="A1415" s="3"/>
      <c r="M1415" s="50" t="s">
        <v>1820</v>
      </c>
      <c r="N1415" s="51">
        <v>4.488</v>
      </c>
      <c r="O1415" s="6" t="str">
        <f t="shared" si="3"/>
        <v>Jan</v>
      </c>
      <c r="P1415" s="6" t="str">
        <f t="shared" si="4"/>
        <v>2022</v>
      </c>
    </row>
    <row r="1416">
      <c r="A1416" s="3"/>
      <c r="M1416" s="50" t="s">
        <v>1821</v>
      </c>
      <c r="N1416" s="51">
        <v>4.507</v>
      </c>
      <c r="O1416" s="6" t="str">
        <f t="shared" si="3"/>
        <v>Feb</v>
      </c>
      <c r="P1416" s="6" t="str">
        <f t="shared" si="4"/>
        <v>2022</v>
      </c>
    </row>
    <row r="1417">
      <c r="A1417" s="3"/>
      <c r="M1417" s="50" t="s">
        <v>1822</v>
      </c>
      <c r="N1417" s="51">
        <v>4.524</v>
      </c>
      <c r="O1417" s="6" t="str">
        <f t="shared" si="3"/>
        <v>Feb</v>
      </c>
      <c r="P1417" s="6" t="str">
        <f t="shared" si="4"/>
        <v>2022</v>
      </c>
    </row>
    <row r="1418">
      <c r="A1418" s="3"/>
      <c r="M1418" s="50" t="s">
        <v>1823</v>
      </c>
      <c r="N1418" s="51">
        <v>4.57</v>
      </c>
      <c r="O1418" s="6" t="str">
        <f t="shared" si="3"/>
        <v>Feb</v>
      </c>
      <c r="P1418" s="6" t="str">
        <f t="shared" si="4"/>
        <v>2022</v>
      </c>
    </row>
    <row r="1419">
      <c r="A1419" s="3"/>
      <c r="M1419" s="50" t="s">
        <v>1824</v>
      </c>
      <c r="N1419" s="51">
        <v>4.671</v>
      </c>
      <c r="O1419" s="6" t="str">
        <f t="shared" si="3"/>
        <v>Feb</v>
      </c>
      <c r="P1419" s="6" t="str">
        <f t="shared" si="4"/>
        <v>2022</v>
      </c>
    </row>
    <row r="1420">
      <c r="A1420" s="3"/>
      <c r="M1420" s="50" t="s">
        <v>1825</v>
      </c>
      <c r="N1420" s="51">
        <v>5.187</v>
      </c>
      <c r="O1420" s="6" t="str">
        <f t="shared" si="3"/>
        <v>Mar</v>
      </c>
      <c r="P1420" s="6" t="str">
        <f t="shared" si="4"/>
        <v>2022</v>
      </c>
    </row>
    <row r="1421">
      <c r="A1421" s="3"/>
      <c r="M1421" s="50" t="s">
        <v>1826</v>
      </c>
      <c r="N1421" s="51">
        <v>5.587</v>
      </c>
      <c r="O1421" s="6" t="str">
        <f t="shared" si="3"/>
        <v>Mar</v>
      </c>
      <c r="P1421" s="6" t="str">
        <f t="shared" si="4"/>
        <v>2022</v>
      </c>
    </row>
    <row r="1422">
      <c r="A1422" s="3"/>
      <c r="M1422" s="50" t="s">
        <v>1827</v>
      </c>
      <c r="N1422" s="51">
        <v>5.71</v>
      </c>
      <c r="O1422" s="6" t="str">
        <f t="shared" si="3"/>
        <v>Mar</v>
      </c>
      <c r="P1422" s="6" t="str">
        <f t="shared" si="4"/>
        <v>2022</v>
      </c>
    </row>
    <row r="1423">
      <c r="A1423" s="3"/>
      <c r="M1423" s="50" t="s">
        <v>1828</v>
      </c>
      <c r="N1423" s="51">
        <v>5.764</v>
      </c>
      <c r="O1423" s="6" t="str">
        <f t="shared" si="3"/>
        <v>Mar</v>
      </c>
      <c r="P1423" s="6" t="str">
        <f t="shared" si="4"/>
        <v>2022</v>
      </c>
    </row>
    <row r="1424">
      <c r="A1424" s="3"/>
      <c r="M1424" s="50" t="s">
        <v>1829</v>
      </c>
      <c r="N1424" s="51">
        <v>5.714</v>
      </c>
      <c r="O1424" s="6" t="str">
        <f t="shared" si="3"/>
        <v>Apr</v>
      </c>
      <c r="P1424" s="6" t="str">
        <f t="shared" si="4"/>
        <v>2022</v>
      </c>
    </row>
    <row r="1425">
      <c r="A1425" s="3"/>
      <c r="M1425" s="50" t="s">
        <v>1830</v>
      </c>
      <c r="N1425" s="51">
        <v>5.619</v>
      </c>
      <c r="O1425" s="6" t="str">
        <f t="shared" si="3"/>
        <v>Apr</v>
      </c>
      <c r="P1425" s="6" t="str">
        <f t="shared" si="4"/>
        <v>2022</v>
      </c>
    </row>
    <row r="1426">
      <c r="A1426" s="3"/>
      <c r="M1426" s="50" t="s">
        <v>1831</v>
      </c>
      <c r="N1426" s="51">
        <v>5.545</v>
      </c>
      <c r="O1426" s="6" t="str">
        <f t="shared" si="3"/>
        <v>Apr</v>
      </c>
      <c r="P1426" s="6" t="str">
        <f t="shared" si="4"/>
        <v>2022</v>
      </c>
    </row>
    <row r="1427">
      <c r="A1427" s="3"/>
      <c r="M1427" s="50" t="s">
        <v>1832</v>
      </c>
      <c r="N1427" s="51">
        <v>5.514</v>
      </c>
      <c r="O1427" s="6" t="str">
        <f t="shared" si="3"/>
        <v>Apr</v>
      </c>
      <c r="P1427" s="6" t="str">
        <f t="shared" si="4"/>
        <v>2022</v>
      </c>
    </row>
    <row r="1428">
      <c r="A1428" s="3"/>
      <c r="M1428" s="50" t="s">
        <v>1833</v>
      </c>
      <c r="N1428" s="51">
        <v>5.526</v>
      </c>
      <c r="O1428" s="6" t="str">
        <f t="shared" si="3"/>
        <v>May</v>
      </c>
      <c r="P1428" s="6" t="str">
        <f t="shared" si="4"/>
        <v>2022</v>
      </c>
    </row>
    <row r="1429">
      <c r="A1429" s="3"/>
      <c r="M1429" s="50" t="s">
        <v>1834</v>
      </c>
      <c r="N1429" s="51">
        <v>5.654</v>
      </c>
      <c r="O1429" s="6" t="str">
        <f t="shared" si="3"/>
        <v>May</v>
      </c>
      <c r="P1429" s="6" t="str">
        <f t="shared" si="4"/>
        <v>2022</v>
      </c>
    </row>
    <row r="1430">
      <c r="A1430" s="3"/>
      <c r="M1430" s="50" t="s">
        <v>1835</v>
      </c>
      <c r="N1430" s="51">
        <v>5.793</v>
      </c>
      <c r="O1430" s="6" t="str">
        <f t="shared" si="3"/>
        <v>May</v>
      </c>
      <c r="P1430" s="6" t="str">
        <f t="shared" si="4"/>
        <v>2022</v>
      </c>
    </row>
    <row r="1431">
      <c r="A1431" s="3"/>
      <c r="M1431" s="50" t="s">
        <v>1836</v>
      </c>
      <c r="N1431" s="51">
        <v>5.904</v>
      </c>
      <c r="O1431" s="6" t="str">
        <f t="shared" si="3"/>
        <v>May</v>
      </c>
      <c r="P1431" s="6" t="str">
        <f t="shared" si="4"/>
        <v>2022</v>
      </c>
    </row>
    <row r="1432">
      <c r="A1432" s="3"/>
      <c r="M1432" s="50" t="s">
        <v>1837</v>
      </c>
      <c r="N1432" s="51">
        <v>5.993</v>
      </c>
      <c r="O1432" s="6" t="str">
        <f t="shared" si="3"/>
        <v>May</v>
      </c>
      <c r="P1432" s="6" t="str">
        <f t="shared" si="4"/>
        <v>2022</v>
      </c>
    </row>
    <row r="1433">
      <c r="A1433" s="3"/>
      <c r="M1433" s="50" t="s">
        <v>1838</v>
      </c>
      <c r="N1433" s="51">
        <v>6.178</v>
      </c>
      <c r="O1433" s="6" t="str">
        <f t="shared" si="3"/>
        <v>Jun</v>
      </c>
      <c r="P1433" s="6" t="str">
        <f t="shared" si="4"/>
        <v>2022</v>
      </c>
    </row>
    <row r="1434">
      <c r="A1434" s="3"/>
      <c r="M1434" s="50" t="s">
        <v>1839</v>
      </c>
      <c r="N1434" s="51">
        <v>6.271</v>
      </c>
      <c r="O1434" s="6" t="str">
        <f t="shared" si="3"/>
        <v>Jun</v>
      </c>
      <c r="P1434" s="6" t="str">
        <f t="shared" si="4"/>
        <v>2022</v>
      </c>
    </row>
    <row r="1435">
      <c r="A1435" s="3"/>
      <c r="M1435" s="50" t="s">
        <v>1840</v>
      </c>
      <c r="N1435" s="51">
        <v>6.216</v>
      </c>
      <c r="O1435" s="6" t="str">
        <f t="shared" si="3"/>
        <v>Jun</v>
      </c>
      <c r="P1435" s="6" t="str">
        <f t="shared" si="4"/>
        <v>2022</v>
      </c>
    </row>
    <row r="1436">
      <c r="A1436" s="3"/>
      <c r="M1436" s="50" t="s">
        <v>1841</v>
      </c>
      <c r="N1436" s="51">
        <v>6.138</v>
      </c>
      <c r="O1436" s="6" t="str">
        <f t="shared" si="3"/>
        <v>Jun</v>
      </c>
      <c r="P1436" s="6" t="str">
        <f t="shared" si="4"/>
        <v>2022</v>
      </c>
    </row>
    <row r="1437">
      <c r="A1437" s="3"/>
      <c r="M1437" s="50" t="s">
        <v>1842</v>
      </c>
      <c r="N1437" s="51">
        <v>6.042</v>
      </c>
      <c r="O1437" s="6" t="str">
        <f t="shared" si="3"/>
        <v>Jul</v>
      </c>
      <c r="P1437" s="6" t="str">
        <f t="shared" si="4"/>
        <v>2022</v>
      </c>
    </row>
    <row r="1438">
      <c r="A1438" s="3"/>
      <c r="M1438" s="50" t="s">
        <v>1843</v>
      </c>
      <c r="N1438" s="51">
        <v>5.903</v>
      </c>
      <c r="O1438" s="6" t="str">
        <f t="shared" si="3"/>
        <v>Jul</v>
      </c>
      <c r="P1438" s="6" t="str">
        <f t="shared" si="4"/>
        <v>2022</v>
      </c>
    </row>
    <row r="1439">
      <c r="A1439" s="3"/>
      <c r="M1439" s="50" t="s">
        <v>1844</v>
      </c>
      <c r="N1439" s="51">
        <v>5.708</v>
      </c>
      <c r="O1439" s="6" t="str">
        <f t="shared" si="3"/>
        <v>Jul</v>
      </c>
      <c r="P1439" s="6" t="str">
        <f t="shared" si="4"/>
        <v>2022</v>
      </c>
    </row>
    <row r="1440">
      <c r="A1440" s="3"/>
      <c r="M1440" s="50" t="s">
        <v>1845</v>
      </c>
      <c r="N1440" s="51">
        <v>5.573</v>
      </c>
      <c r="O1440" s="6" t="str">
        <f t="shared" si="3"/>
        <v>Jul</v>
      </c>
      <c r="P1440" s="6" t="str">
        <f t="shared" si="4"/>
        <v>2022</v>
      </c>
    </row>
    <row r="1441">
      <c r="A1441" s="3"/>
      <c r="M1441" s="50" t="s">
        <v>1846</v>
      </c>
      <c r="N1441" s="51">
        <v>5.472</v>
      </c>
      <c r="O1441" s="6" t="str">
        <f t="shared" si="3"/>
        <v>Aug</v>
      </c>
      <c r="P1441" s="6" t="str">
        <f t="shared" si="4"/>
        <v>2022</v>
      </c>
    </row>
    <row r="1442">
      <c r="A1442" s="3"/>
      <c r="M1442" s="50" t="s">
        <v>1847</v>
      </c>
      <c r="N1442" s="51">
        <v>5.298</v>
      </c>
      <c r="O1442" s="6" t="str">
        <f t="shared" si="3"/>
        <v>Aug</v>
      </c>
      <c r="P1442" s="6" t="str">
        <f t="shared" si="4"/>
        <v>2022</v>
      </c>
    </row>
    <row r="1443">
      <c r="A1443" s="3"/>
      <c r="M1443" s="50" t="s">
        <v>1848</v>
      </c>
      <c r="N1443" s="51">
        <v>5.218</v>
      </c>
      <c r="O1443" s="6" t="str">
        <f t="shared" si="3"/>
        <v>Aug</v>
      </c>
      <c r="P1443" s="6" t="str">
        <f t="shared" si="4"/>
        <v>2022</v>
      </c>
    </row>
    <row r="1444">
      <c r="A1444" s="3"/>
      <c r="M1444" s="50" t="s">
        <v>1849</v>
      </c>
      <c r="N1444" s="51">
        <v>5.146</v>
      </c>
      <c r="O1444" s="6" t="str">
        <f t="shared" si="3"/>
        <v>Aug</v>
      </c>
      <c r="P1444" s="6" t="str">
        <f t="shared" si="4"/>
        <v>2022</v>
      </c>
    </row>
    <row r="1445">
      <c r="A1445" s="3"/>
      <c r="M1445" s="50" t="s">
        <v>1850</v>
      </c>
      <c r="N1445" s="51">
        <v>5.061</v>
      </c>
      <c r="O1445" s="6" t="str">
        <f t="shared" si="3"/>
        <v>Aug</v>
      </c>
      <c r="P1445" s="6" t="str">
        <f t="shared" si="4"/>
        <v>2022</v>
      </c>
    </row>
    <row r="1446">
      <c r="A1446" s="3"/>
      <c r="M1446" s="50" t="s">
        <v>1851</v>
      </c>
      <c r="N1446" s="51">
        <v>5.053</v>
      </c>
      <c r="O1446" s="6" t="str">
        <f t="shared" si="3"/>
        <v>Sep</v>
      </c>
      <c r="P1446" s="6" t="str">
        <f t="shared" si="4"/>
        <v>2022</v>
      </c>
    </row>
    <row r="1447">
      <c r="A1447" s="3"/>
      <c r="M1447" s="50" t="s">
        <v>1852</v>
      </c>
      <c r="N1447" s="51">
        <v>5.182</v>
      </c>
      <c r="O1447" s="6" t="str">
        <f t="shared" si="3"/>
        <v>Sep</v>
      </c>
      <c r="P1447" s="6" t="str">
        <f t="shared" si="4"/>
        <v>2022</v>
      </c>
    </row>
    <row r="1448">
      <c r="A1448" s="3"/>
      <c r="M1448" s="50" t="s">
        <v>1853</v>
      </c>
      <c r="N1448" s="51">
        <v>5.239</v>
      </c>
      <c r="O1448" s="6" t="str">
        <f t="shared" si="3"/>
        <v>Sep</v>
      </c>
      <c r="P1448" s="6" t="str">
        <f t="shared" si="4"/>
        <v>2022</v>
      </c>
    </row>
    <row r="1449">
      <c r="A1449" s="3"/>
      <c r="M1449" s="50" t="s">
        <v>1854</v>
      </c>
      <c r="N1449" s="51">
        <v>5.615</v>
      </c>
      <c r="O1449" s="6" t="str">
        <f t="shared" si="3"/>
        <v>Sep</v>
      </c>
      <c r="P1449" s="6" t="str">
        <f t="shared" si="4"/>
        <v>2022</v>
      </c>
    </row>
    <row r="1450">
      <c r="A1450" s="3"/>
      <c r="M1450" s="50" t="s">
        <v>1855</v>
      </c>
      <c r="N1450" s="51">
        <v>6.213</v>
      </c>
      <c r="O1450" s="6" t="str">
        <f t="shared" si="3"/>
        <v>Oct</v>
      </c>
      <c r="P1450" s="6" t="str">
        <f t="shared" si="4"/>
        <v>2022</v>
      </c>
    </row>
    <row r="1451">
      <c r="A1451" s="3"/>
      <c r="M1451" s="50" t="s">
        <v>1856</v>
      </c>
      <c r="N1451" s="51">
        <v>6.156</v>
      </c>
      <c r="O1451" s="6" t="str">
        <f t="shared" si="3"/>
        <v>Oct</v>
      </c>
      <c r="P1451" s="6" t="str">
        <f t="shared" si="4"/>
        <v>2022</v>
      </c>
    </row>
    <row r="1452">
      <c r="A1452" s="3"/>
      <c r="M1452" s="50" t="s">
        <v>1857</v>
      </c>
      <c r="N1452" s="51">
        <v>5.847</v>
      </c>
      <c r="O1452" s="6" t="str">
        <f t="shared" si="3"/>
        <v>Oct</v>
      </c>
      <c r="P1452" s="6" t="str">
        <f t="shared" si="4"/>
        <v>2022</v>
      </c>
    </row>
    <row r="1453">
      <c r="A1453" s="3"/>
      <c r="M1453" s="50" t="s">
        <v>1858</v>
      </c>
      <c r="N1453" s="51">
        <v>5.5</v>
      </c>
      <c r="O1453" s="6" t="str">
        <f t="shared" si="3"/>
        <v>Oct</v>
      </c>
      <c r="P1453" s="6" t="str">
        <f t="shared" si="4"/>
        <v>2022</v>
      </c>
    </row>
    <row r="1454">
      <c r="A1454" s="3"/>
      <c r="M1454" s="50" t="s">
        <v>1859</v>
      </c>
      <c r="N1454" s="51">
        <v>5.311</v>
      </c>
      <c r="O1454" s="6" t="str">
        <f t="shared" si="3"/>
        <v>Oct</v>
      </c>
      <c r="P1454" s="6" t="str">
        <f t="shared" si="4"/>
        <v>2022</v>
      </c>
    </row>
    <row r="1455">
      <c r="A1455" s="3"/>
      <c r="M1455" s="50" t="s">
        <v>1860</v>
      </c>
      <c r="N1455" s="51">
        <v>5.228</v>
      </c>
      <c r="O1455" s="6" t="str">
        <f t="shared" si="3"/>
        <v>Nov</v>
      </c>
      <c r="P1455" s="6" t="str">
        <f t="shared" si="4"/>
        <v>2022</v>
      </c>
    </row>
    <row r="1456">
      <c r="A1456" s="3"/>
      <c r="M1456" s="50" t="s">
        <v>1861</v>
      </c>
      <c r="N1456" s="51">
        <v>5.21</v>
      </c>
      <c r="O1456" s="6" t="str">
        <f t="shared" si="3"/>
        <v>Nov</v>
      </c>
      <c r="P1456" s="6" t="str">
        <f t="shared" si="4"/>
        <v>2022</v>
      </c>
    </row>
    <row r="1457">
      <c r="A1457" s="3"/>
      <c r="M1457" s="50" t="s">
        <v>1862</v>
      </c>
      <c r="N1457" s="51">
        <v>5.034</v>
      </c>
      <c r="O1457" s="6" t="str">
        <f t="shared" si="3"/>
        <v>Nov</v>
      </c>
      <c r="P1457" s="6" t="str">
        <f t="shared" si="4"/>
        <v>2022</v>
      </c>
    </row>
    <row r="1458">
      <c r="A1458" s="3"/>
      <c r="M1458" s="50" t="s">
        <v>1863</v>
      </c>
      <c r="N1458" s="51">
        <v>4.813</v>
      </c>
      <c r="O1458" s="6" t="str">
        <f t="shared" si="3"/>
        <v>Nov</v>
      </c>
      <c r="P1458" s="6" t="str">
        <f t="shared" si="4"/>
        <v>2022</v>
      </c>
    </row>
    <row r="1459">
      <c r="A1459" s="3"/>
      <c r="M1459" s="50" t="s">
        <v>1864</v>
      </c>
      <c r="N1459" s="51">
        <v>4.564</v>
      </c>
      <c r="O1459" s="6" t="str">
        <f t="shared" si="3"/>
        <v>Dec</v>
      </c>
      <c r="P1459" s="6" t="str">
        <f t="shared" si="4"/>
        <v>2022</v>
      </c>
    </row>
    <row r="1460">
      <c r="A1460" s="3"/>
      <c r="M1460" s="50" t="s">
        <v>1865</v>
      </c>
      <c r="N1460" s="51">
        <v>4.352</v>
      </c>
      <c r="O1460" s="6" t="str">
        <f t="shared" si="3"/>
        <v>Dec</v>
      </c>
      <c r="P1460" s="6" t="str">
        <f t="shared" si="4"/>
        <v>2022</v>
      </c>
    </row>
    <row r="1461">
      <c r="A1461" s="3"/>
      <c r="M1461" s="50" t="s">
        <v>1866</v>
      </c>
      <c r="N1461" s="51">
        <v>4.198</v>
      </c>
      <c r="O1461" s="6" t="str">
        <f t="shared" si="3"/>
        <v>Dec</v>
      </c>
      <c r="P1461" s="6" t="str">
        <f t="shared" si="4"/>
        <v>2022</v>
      </c>
    </row>
    <row r="1462">
      <c r="A1462" s="3"/>
      <c r="M1462" s="50" t="s">
        <v>1867</v>
      </c>
      <c r="N1462" s="51">
        <v>4.155</v>
      </c>
      <c r="O1462" s="6" t="str">
        <f t="shared" si="3"/>
        <v>Dec</v>
      </c>
      <c r="P1462" s="6" t="str">
        <f t="shared" si="4"/>
        <v>2022</v>
      </c>
    </row>
    <row r="1463">
      <c r="A1463" s="3"/>
      <c r="M1463" s="50" t="s">
        <v>1868</v>
      </c>
      <c r="N1463" s="51">
        <v>4.216</v>
      </c>
      <c r="O1463" s="6" t="str">
        <f t="shared" si="3"/>
        <v>Jan</v>
      </c>
      <c r="P1463" s="6" t="str">
        <f t="shared" si="4"/>
        <v>2023</v>
      </c>
    </row>
    <row r="1464">
      <c r="A1464" s="3"/>
      <c r="M1464" s="50" t="s">
        <v>1869</v>
      </c>
      <c r="N1464" s="51">
        <v>4.228</v>
      </c>
      <c r="O1464" s="6" t="str">
        <f t="shared" si="3"/>
        <v>Jan</v>
      </c>
      <c r="P1464" s="6" t="str">
        <f t="shared" si="4"/>
        <v>2023</v>
      </c>
    </row>
    <row r="1465">
      <c r="A1465" s="3"/>
      <c r="M1465" s="50" t="s">
        <v>1870</v>
      </c>
      <c r="N1465" s="51">
        <v>4.248</v>
      </c>
      <c r="O1465" s="6" t="str">
        <f t="shared" si="3"/>
        <v>Jan</v>
      </c>
      <c r="P1465" s="6" t="str">
        <f t="shared" si="4"/>
        <v>2023</v>
      </c>
    </row>
    <row r="1466">
      <c r="A1466" s="3"/>
      <c r="M1466" s="50" t="s">
        <v>1871</v>
      </c>
      <c r="N1466" s="51">
        <v>4.276</v>
      </c>
      <c r="O1466" s="6" t="str">
        <f t="shared" si="3"/>
        <v>Jan</v>
      </c>
      <c r="P1466" s="6" t="str">
        <f t="shared" si="4"/>
        <v>2023</v>
      </c>
    </row>
    <row r="1467">
      <c r="A1467" s="3"/>
      <c r="M1467" s="50" t="s">
        <v>1872</v>
      </c>
      <c r="N1467" s="51">
        <v>4.358</v>
      </c>
      <c r="O1467" s="6" t="str">
        <f t="shared" si="3"/>
        <v>Jan</v>
      </c>
      <c r="P1467" s="6" t="str">
        <f t="shared" si="4"/>
        <v>2023</v>
      </c>
    </row>
    <row r="1468">
      <c r="A1468" s="3"/>
      <c r="M1468" s="50" t="s">
        <v>1873</v>
      </c>
      <c r="N1468" s="51">
        <v>4.414</v>
      </c>
      <c r="O1468" s="6" t="str">
        <f t="shared" si="3"/>
        <v>Feb</v>
      </c>
      <c r="P1468" s="6" t="str">
        <f t="shared" si="4"/>
        <v>2023</v>
      </c>
    </row>
    <row r="1469">
      <c r="A1469" s="3"/>
      <c r="M1469" s="50" t="s">
        <v>1874</v>
      </c>
      <c r="N1469" s="51">
        <v>4.428</v>
      </c>
      <c r="O1469" s="6" t="str">
        <f t="shared" si="3"/>
        <v>Feb</v>
      </c>
      <c r="P1469" s="6" t="str">
        <f t="shared" si="4"/>
        <v>2023</v>
      </c>
    </row>
    <row r="1470">
      <c r="A1470" s="3"/>
      <c r="M1470" s="50" t="s">
        <v>1875</v>
      </c>
      <c r="N1470" s="51">
        <v>4.518</v>
      </c>
      <c r="O1470" s="6" t="str">
        <f t="shared" si="3"/>
        <v>Feb</v>
      </c>
      <c r="P1470" s="6" t="str">
        <f t="shared" si="4"/>
        <v>2023</v>
      </c>
    </row>
    <row r="1471">
      <c r="A1471" s="3"/>
      <c r="M1471" s="50" t="s">
        <v>1876</v>
      </c>
      <c r="N1471" s="51">
        <v>4.586</v>
      </c>
      <c r="O1471" s="6" t="str">
        <f t="shared" si="3"/>
        <v>Feb</v>
      </c>
      <c r="P1471" s="6" t="str">
        <f t="shared" si="4"/>
        <v>2023</v>
      </c>
    </row>
    <row r="1472">
      <c r="A1472" s="3"/>
      <c r="M1472" s="50" t="s">
        <v>1877</v>
      </c>
      <c r="N1472" s="51">
        <v>4.704</v>
      </c>
      <c r="O1472" s="6" t="str">
        <f t="shared" si="3"/>
        <v>Mar</v>
      </c>
      <c r="P1472" s="6" t="str">
        <f t="shared" si="4"/>
        <v>2023</v>
      </c>
    </row>
    <row r="1473">
      <c r="A1473" s="3"/>
      <c r="M1473" s="50" t="s">
        <v>1878</v>
      </c>
      <c r="N1473" s="51">
        <v>4.732</v>
      </c>
      <c r="O1473" s="6" t="str">
        <f t="shared" si="3"/>
        <v>Mar</v>
      </c>
      <c r="P1473" s="6" t="str">
        <f t="shared" si="4"/>
        <v>2023</v>
      </c>
    </row>
    <row r="1474">
      <c r="A1474" s="3"/>
      <c r="M1474" s="50" t="s">
        <v>1879</v>
      </c>
      <c r="N1474" s="51">
        <v>4.656</v>
      </c>
      <c r="O1474" s="6" t="str">
        <f t="shared" si="3"/>
        <v>Mar</v>
      </c>
      <c r="P1474" s="6" t="str">
        <f t="shared" si="4"/>
        <v>2023</v>
      </c>
    </row>
    <row r="1475">
      <c r="A1475" s="3"/>
      <c r="M1475" s="50" t="s">
        <v>1880</v>
      </c>
      <c r="N1475" s="51">
        <v>4.634</v>
      </c>
      <c r="O1475" s="6" t="str">
        <f t="shared" si="3"/>
        <v>Mar</v>
      </c>
      <c r="P1475" s="6" t="str">
        <f t="shared" si="4"/>
        <v>2023</v>
      </c>
    </row>
    <row r="1476">
      <c r="A1476" s="3"/>
      <c r="M1476" s="50" t="s">
        <v>1881</v>
      </c>
      <c r="N1476" s="51">
        <v>4.625</v>
      </c>
      <c r="O1476" s="6" t="str">
        <f t="shared" si="3"/>
        <v>Apr</v>
      </c>
      <c r="P1476" s="6" t="str">
        <f t="shared" si="4"/>
        <v>2023</v>
      </c>
    </row>
    <row r="1477">
      <c r="A1477" s="3"/>
      <c r="M1477" s="50" t="s">
        <v>1882</v>
      </c>
      <c r="N1477" s="51">
        <v>4.682</v>
      </c>
      <c r="O1477" s="6" t="str">
        <f t="shared" si="3"/>
        <v>Apr</v>
      </c>
      <c r="P1477" s="6" t="str">
        <f t="shared" si="4"/>
        <v>2023</v>
      </c>
    </row>
    <row r="1478">
      <c r="A1478" s="3"/>
      <c r="M1478" s="50" t="s">
        <v>1883</v>
      </c>
      <c r="N1478" s="51">
        <v>4.725</v>
      </c>
      <c r="O1478" s="6" t="str">
        <f t="shared" si="3"/>
        <v>Apr</v>
      </c>
      <c r="P1478" s="6" t="str">
        <f t="shared" si="4"/>
        <v>2023</v>
      </c>
    </row>
    <row r="1479">
      <c r="A1479" s="3"/>
      <c r="M1479" s="50" t="s">
        <v>1884</v>
      </c>
      <c r="N1479" s="51">
        <v>4.694</v>
      </c>
      <c r="O1479" s="6" t="str">
        <f t="shared" si="3"/>
        <v>Apr</v>
      </c>
      <c r="P1479" s="6" t="str">
        <f t="shared" si="4"/>
        <v>2023</v>
      </c>
    </row>
    <row r="1480">
      <c r="A1480" s="3"/>
      <c r="M1480" s="50" t="s">
        <v>1885</v>
      </c>
      <c r="N1480" s="51">
        <v>4.661</v>
      </c>
      <c r="O1480" s="6" t="str">
        <f t="shared" si="3"/>
        <v>May</v>
      </c>
      <c r="P1480" s="6" t="str">
        <f t="shared" si="4"/>
        <v>2023</v>
      </c>
    </row>
    <row r="1481">
      <c r="A1481" s="3"/>
      <c r="M1481" s="50" t="s">
        <v>1886</v>
      </c>
      <c r="N1481" s="51">
        <v>4.638</v>
      </c>
      <c r="O1481" s="6" t="str">
        <f t="shared" si="3"/>
        <v>May</v>
      </c>
      <c r="P1481" s="6" t="str">
        <f t="shared" si="4"/>
        <v>2023</v>
      </c>
    </row>
    <row r="1482">
      <c r="A1482" s="3"/>
      <c r="M1482" s="50" t="s">
        <v>1887</v>
      </c>
      <c r="N1482" s="51">
        <v>4.615</v>
      </c>
      <c r="O1482" s="6" t="str">
        <f t="shared" si="3"/>
        <v>May</v>
      </c>
      <c r="P1482" s="6" t="str">
        <f t="shared" si="4"/>
        <v>2023</v>
      </c>
    </row>
    <row r="1483">
      <c r="A1483" s="3"/>
      <c r="M1483" s="50" t="s">
        <v>1888</v>
      </c>
      <c r="N1483" s="51">
        <v>4.609</v>
      </c>
      <c r="O1483" s="6" t="str">
        <f t="shared" si="3"/>
        <v>May</v>
      </c>
      <c r="P1483" s="6" t="str">
        <f t="shared" si="4"/>
        <v>2023</v>
      </c>
    </row>
    <row r="1484">
      <c r="A1484" s="3"/>
      <c r="M1484" s="50" t="s">
        <v>1889</v>
      </c>
      <c r="N1484" s="51">
        <v>4.643</v>
      </c>
      <c r="O1484" s="6" t="str">
        <f t="shared" si="3"/>
        <v>May</v>
      </c>
      <c r="P1484" s="6" t="str">
        <f t="shared" si="4"/>
        <v>2023</v>
      </c>
    </row>
    <row r="1485">
      <c r="A1485" s="3"/>
      <c r="M1485" s="50" t="s">
        <v>1890</v>
      </c>
      <c r="N1485" s="51">
        <v>4.648</v>
      </c>
      <c r="O1485" s="6" t="str">
        <f t="shared" si="3"/>
        <v>Jun</v>
      </c>
      <c r="P1485" s="6" t="str">
        <f t="shared" si="4"/>
        <v>2023</v>
      </c>
    </row>
    <row r="1486">
      <c r="A1486" s="3"/>
      <c r="M1486" s="50" t="s">
        <v>1891</v>
      </c>
      <c r="N1486" s="51">
        <v>4.709</v>
      </c>
      <c r="O1486" s="6" t="str">
        <f t="shared" si="3"/>
        <v>Jun</v>
      </c>
      <c r="P1486" s="6" t="str">
        <f t="shared" si="4"/>
        <v>2023</v>
      </c>
    </row>
    <row r="1487">
      <c r="A1487" s="3"/>
      <c r="M1487" s="50" t="s">
        <v>1892</v>
      </c>
      <c r="N1487" s="51">
        <v>4.689</v>
      </c>
      <c r="O1487" s="6" t="str">
        <f t="shared" si="3"/>
        <v>Jun</v>
      </c>
      <c r="P1487" s="6" t="str">
        <f t="shared" si="4"/>
        <v>2023</v>
      </c>
    </row>
    <row r="1488">
      <c r="A1488" s="3"/>
      <c r="M1488" s="50" t="s">
        <v>1893</v>
      </c>
      <c r="N1488" s="51">
        <v>4.649</v>
      </c>
      <c r="O1488" s="6" t="str">
        <f t="shared" si="3"/>
        <v>Jun</v>
      </c>
      <c r="P1488" s="6" t="str">
        <f t="shared" si="4"/>
        <v>2023</v>
      </c>
    </row>
    <row r="1489">
      <c r="A1489" s="3"/>
      <c r="M1489" s="50" t="s">
        <v>1894</v>
      </c>
      <c r="N1489" s="51">
        <v>4.651</v>
      </c>
      <c r="O1489" s="6" t="str">
        <f t="shared" si="3"/>
        <v>Jul</v>
      </c>
      <c r="P1489" s="6" t="str">
        <f t="shared" si="4"/>
        <v>2023</v>
      </c>
    </row>
    <row r="1490">
      <c r="A1490" s="3"/>
      <c r="M1490" s="50" t="s">
        <v>1895</v>
      </c>
      <c r="N1490" s="51">
        <v>4.675</v>
      </c>
      <c r="O1490" s="6" t="str">
        <f t="shared" si="3"/>
        <v>Jul</v>
      </c>
      <c r="P1490" s="6" t="str">
        <f t="shared" si="4"/>
        <v>2023</v>
      </c>
    </row>
    <row r="1491">
      <c r="A1491" s="3"/>
      <c r="M1491" s="50" t="s">
        <v>1896</v>
      </c>
      <c r="N1491" s="51">
        <v>4.721</v>
      </c>
      <c r="O1491" s="6" t="str">
        <f t="shared" si="3"/>
        <v>Jul</v>
      </c>
      <c r="P1491" s="6" t="str">
        <f t="shared" si="4"/>
        <v>2023</v>
      </c>
    </row>
    <row r="1492">
      <c r="A1492" s="3"/>
      <c r="M1492" s="50" t="s">
        <v>1897</v>
      </c>
      <c r="N1492" s="51">
        <v>4.709</v>
      </c>
      <c r="O1492" s="6" t="str">
        <f t="shared" si="3"/>
        <v>Jul</v>
      </c>
      <c r="P1492" s="6" t="str">
        <f t="shared" si="4"/>
        <v>2023</v>
      </c>
    </row>
    <row r="1493">
      <c r="A1493" s="3"/>
      <c r="M1493" s="50" t="s">
        <v>1898</v>
      </c>
      <c r="N1493" s="51">
        <v>4.828</v>
      </c>
      <c r="O1493" s="6" t="str">
        <f t="shared" si="3"/>
        <v>Jul</v>
      </c>
      <c r="P1493" s="6" t="str">
        <f t="shared" si="4"/>
        <v>2023</v>
      </c>
    </row>
    <row r="1494">
      <c r="A1494" s="3"/>
      <c r="M1494" s="50" t="s">
        <v>1899</v>
      </c>
      <c r="N1494" s="51">
        <v>4.901</v>
      </c>
      <c r="O1494" s="6" t="str">
        <f t="shared" si="3"/>
        <v>Aug</v>
      </c>
      <c r="P1494" s="6" t="str">
        <f t="shared" si="4"/>
        <v>2023</v>
      </c>
    </row>
    <row r="1495">
      <c r="A1495" s="3"/>
      <c r="M1495" s="50" t="s">
        <v>1900</v>
      </c>
      <c r="N1495" s="51">
        <v>4.981</v>
      </c>
      <c r="O1495" s="6" t="str">
        <f t="shared" si="3"/>
        <v>Aug</v>
      </c>
      <c r="P1495" s="6" t="str">
        <f t="shared" si="4"/>
        <v>2023</v>
      </c>
    </row>
    <row r="1496">
      <c r="A1496" s="3"/>
      <c r="M1496" s="50" t="s">
        <v>1901</v>
      </c>
      <c r="N1496" s="51">
        <v>5.102</v>
      </c>
      <c r="O1496" s="6" t="str">
        <f t="shared" si="3"/>
        <v>Aug</v>
      </c>
      <c r="P1496" s="6" t="str">
        <f t="shared" si="4"/>
        <v>2023</v>
      </c>
    </row>
    <row r="1497">
      <c r="A1497" s="3"/>
      <c r="M1497" s="50" t="s">
        <v>1902</v>
      </c>
      <c r="N1497" s="51">
        <v>5.106</v>
      </c>
      <c r="O1497" s="6" t="str">
        <f t="shared" si="3"/>
        <v>Aug</v>
      </c>
      <c r="P1497" s="6" t="str">
        <f t="shared" si="4"/>
        <v>2023</v>
      </c>
    </row>
    <row r="1498">
      <c r="A1498" s="3"/>
      <c r="M1498" s="50" t="s">
        <v>1903</v>
      </c>
      <c r="N1498" s="51">
        <v>5.146</v>
      </c>
      <c r="O1498" s="6" t="str">
        <f t="shared" si="3"/>
        <v>Sep</v>
      </c>
      <c r="P1498" s="6" t="str">
        <f t="shared" si="4"/>
        <v>2023</v>
      </c>
    </row>
    <row r="1499">
      <c r="A1499" s="3"/>
      <c r="M1499" s="50" t="s">
        <v>1904</v>
      </c>
      <c r="N1499" s="51">
        <v>5.254</v>
      </c>
      <c r="O1499" s="6" t="str">
        <f t="shared" si="3"/>
        <v>Sep</v>
      </c>
      <c r="P1499" s="6" t="str">
        <f t="shared" si="4"/>
        <v>2023</v>
      </c>
    </row>
    <row r="1500">
      <c r="A1500" s="3"/>
      <c r="M1500" s="50" t="s">
        <v>1905</v>
      </c>
      <c r="N1500" s="51">
        <v>5.549</v>
      </c>
      <c r="O1500" s="6" t="str">
        <f t="shared" si="3"/>
        <v>Sep</v>
      </c>
      <c r="P1500" s="6" t="str">
        <f t="shared" si="4"/>
        <v>2023</v>
      </c>
    </row>
    <row r="1501">
      <c r="A1501" s="3"/>
      <c r="M1501" s="50" t="s">
        <v>1906</v>
      </c>
      <c r="N1501" s="51">
        <v>5.699</v>
      </c>
      <c r="O1501" s="6" t="str">
        <f t="shared" si="3"/>
        <v>Sep</v>
      </c>
      <c r="P1501" s="6" t="str">
        <f t="shared" si="4"/>
        <v>2023</v>
      </c>
    </row>
    <row r="1502">
      <c r="A1502" s="3"/>
      <c r="M1502" s="50" t="s">
        <v>1907</v>
      </c>
      <c r="N1502" s="51">
        <v>5.901</v>
      </c>
      <c r="O1502" s="6" t="str">
        <f t="shared" si="3"/>
        <v>Oct</v>
      </c>
      <c r="P1502" s="6" t="str">
        <f t="shared" si="4"/>
        <v>2023</v>
      </c>
    </row>
    <row r="1503">
      <c r="A1503" s="3"/>
      <c r="M1503" s="50" t="s">
        <v>1908</v>
      </c>
      <c r="N1503" s="51">
        <v>5.604</v>
      </c>
      <c r="O1503" s="6" t="str">
        <f t="shared" si="3"/>
        <v>Oct</v>
      </c>
      <c r="P1503" s="6" t="str">
        <f t="shared" si="4"/>
        <v>2023</v>
      </c>
    </row>
    <row r="1504">
      <c r="A1504" s="3"/>
      <c r="M1504" s="50" t="s">
        <v>1909</v>
      </c>
      <c r="N1504" s="51">
        <v>5.399</v>
      </c>
      <c r="O1504" s="6" t="str">
        <f t="shared" si="3"/>
        <v>Oct</v>
      </c>
      <c r="P1504" s="6" t="str">
        <f t="shared" si="4"/>
        <v>2023</v>
      </c>
    </row>
    <row r="1505">
      <c r="A1505" s="3"/>
      <c r="M1505" s="50" t="s">
        <v>1910</v>
      </c>
      <c r="N1505" s="51">
        <v>5.223</v>
      </c>
      <c r="O1505" s="6" t="str">
        <f t="shared" si="3"/>
        <v>Oct</v>
      </c>
      <c r="P1505" s="6" t="str">
        <f t="shared" si="4"/>
        <v>2023</v>
      </c>
    </row>
    <row r="1506">
      <c r="A1506" s="3"/>
      <c r="M1506" s="50" t="s">
        <v>1911</v>
      </c>
      <c r="N1506" s="51">
        <v>5.066</v>
      </c>
      <c r="O1506" s="6" t="str">
        <f t="shared" si="3"/>
        <v>Oct</v>
      </c>
      <c r="P1506" s="6" t="str">
        <f t="shared" si="4"/>
        <v>2023</v>
      </c>
    </row>
    <row r="1507">
      <c r="A1507" s="3"/>
      <c r="M1507" s="50" t="s">
        <v>1912</v>
      </c>
      <c r="N1507" s="51">
        <v>4.944</v>
      </c>
      <c r="O1507" s="6" t="str">
        <f t="shared" si="3"/>
        <v>Nov</v>
      </c>
      <c r="P1507" s="6" t="str">
        <f t="shared" si="4"/>
        <v>2023</v>
      </c>
    </row>
    <row r="1508">
      <c r="A1508" s="3"/>
      <c r="M1508" s="50" t="s">
        <v>1913</v>
      </c>
      <c r="N1508" s="51">
        <v>4.87</v>
      </c>
      <c r="O1508" s="6" t="str">
        <f t="shared" si="3"/>
        <v>Nov</v>
      </c>
      <c r="P1508" s="6" t="str">
        <f t="shared" si="4"/>
        <v>2023</v>
      </c>
    </row>
    <row r="1509">
      <c r="A1509" s="3"/>
      <c r="M1509" s="50" t="s">
        <v>1914</v>
      </c>
      <c r="N1509" s="51">
        <v>4.769</v>
      </c>
      <c r="O1509" s="6" t="str">
        <f t="shared" si="3"/>
        <v>Nov</v>
      </c>
      <c r="P1509" s="6" t="str">
        <f t="shared" si="4"/>
        <v>2023</v>
      </c>
    </row>
    <row r="1510">
      <c r="A1510" s="3"/>
      <c r="M1510" s="50" t="s">
        <v>1915</v>
      </c>
      <c r="N1510" s="51">
        <v>4.719</v>
      </c>
      <c r="O1510" s="6" t="str">
        <f t="shared" si="3"/>
        <v>Nov</v>
      </c>
      <c r="P1510" s="6" t="str">
        <f t="shared" si="4"/>
        <v>2023</v>
      </c>
    </row>
    <row r="1511">
      <c r="A1511" s="3"/>
      <c r="M1511" s="50" t="s">
        <v>1916</v>
      </c>
      <c r="N1511" s="51">
        <v>4.596</v>
      </c>
      <c r="O1511" s="6" t="str">
        <f t="shared" si="3"/>
        <v>Dec</v>
      </c>
      <c r="P1511" s="6" t="str">
        <f t="shared" si="4"/>
        <v>2023</v>
      </c>
    </row>
    <row r="1512">
      <c r="A1512" s="3"/>
      <c r="M1512" s="50" t="s">
        <v>1917</v>
      </c>
      <c r="N1512" s="51">
        <v>4.457</v>
      </c>
      <c r="O1512" s="6" t="str">
        <f t="shared" si="3"/>
        <v>Dec</v>
      </c>
      <c r="P1512" s="6" t="str">
        <f t="shared" si="4"/>
        <v>2023</v>
      </c>
    </row>
    <row r="1513">
      <c r="A1513" s="3"/>
      <c r="M1513" s="50" t="s">
        <v>1918</v>
      </c>
      <c r="N1513" s="51">
        <v>4.359</v>
      </c>
      <c r="O1513" s="6" t="str">
        <f t="shared" si="3"/>
        <v>Dec</v>
      </c>
      <c r="P1513" s="6" t="str">
        <f t="shared" si="4"/>
        <v>2023</v>
      </c>
    </row>
    <row r="1514">
      <c r="A1514" s="3"/>
      <c r="M1514" s="50" t="s">
        <v>1919</v>
      </c>
      <c r="N1514" s="51">
        <v>4.371</v>
      </c>
      <c r="O1514" s="6" t="str">
        <f t="shared" si="3"/>
        <v>Dec</v>
      </c>
      <c r="P1514" s="6" t="str">
        <f t="shared" si="4"/>
        <v>2023</v>
      </c>
    </row>
    <row r="1515">
      <c r="A1515" s="3"/>
      <c r="M1515" s="50" t="s">
        <v>1920</v>
      </c>
      <c r="N1515" s="51">
        <v>4.479</v>
      </c>
      <c r="O1515" s="6" t="str">
        <f t="shared" si="3"/>
        <v>Jan</v>
      </c>
      <c r="P1515" s="6" t="str">
        <f t="shared" si="4"/>
        <v>2024</v>
      </c>
    </row>
    <row r="1516">
      <c r="A1516" s="3"/>
      <c r="M1516" s="50" t="s">
        <v>1921</v>
      </c>
      <c r="N1516" s="51">
        <v>4.459</v>
      </c>
      <c r="O1516" s="6" t="str">
        <f t="shared" si="3"/>
        <v>Jan</v>
      </c>
      <c r="P1516" s="6" t="str">
        <f t="shared" si="4"/>
        <v>2024</v>
      </c>
    </row>
    <row r="1517">
      <c r="A1517" s="3"/>
      <c r="M1517" s="50" t="s">
        <v>1922</v>
      </c>
      <c r="N1517" s="51">
        <v>4.339</v>
      </c>
      <c r="O1517" s="6" t="str">
        <f t="shared" si="3"/>
        <v>Jan</v>
      </c>
      <c r="P1517" s="6" t="str">
        <f t="shared" si="4"/>
        <v>2024</v>
      </c>
    </row>
    <row r="1518">
      <c r="A1518" s="3"/>
      <c r="M1518" s="50" t="s">
        <v>1923</v>
      </c>
      <c r="N1518" s="51">
        <v>4.273</v>
      </c>
      <c r="O1518" s="6" t="str">
        <f t="shared" si="3"/>
        <v>Jan</v>
      </c>
      <c r="P1518" s="6" t="str">
        <f t="shared" si="4"/>
        <v>2024</v>
      </c>
    </row>
    <row r="1519">
      <c r="A1519" s="3"/>
      <c r="M1519" s="50" t="s">
        <v>1924</v>
      </c>
      <c r="N1519" s="51">
        <v>4.294</v>
      </c>
      <c r="O1519" s="6" t="str">
        <f t="shared" si="3"/>
        <v>Jan</v>
      </c>
      <c r="P1519" s="6" t="str">
        <f t="shared" si="4"/>
        <v>2024</v>
      </c>
    </row>
    <row r="1520">
      <c r="A1520" s="3"/>
      <c r="M1520" s="50" t="s">
        <v>1925</v>
      </c>
      <c r="N1520" s="51">
        <v>4.366</v>
      </c>
      <c r="O1520" s="6" t="str">
        <f t="shared" si="3"/>
        <v>Feb</v>
      </c>
      <c r="P1520" s="6" t="str">
        <f t="shared" si="4"/>
        <v>2024</v>
      </c>
    </row>
    <row r="1521">
      <c r="A1521" s="3"/>
      <c r="M1521" s="50" t="s">
        <v>1926</v>
      </c>
      <c r="N1521" s="51">
        <v>4.422</v>
      </c>
      <c r="O1521" s="6" t="str">
        <f t="shared" si="3"/>
        <v>Feb</v>
      </c>
      <c r="P1521" s="6" t="str">
        <f t="shared" si="4"/>
        <v>2024</v>
      </c>
    </row>
    <row r="1522">
      <c r="A1522" s="3"/>
      <c r="M1522" s="50" t="s">
        <v>1927</v>
      </c>
      <c r="N1522" s="51">
        <v>4.467</v>
      </c>
      <c r="O1522" s="6" t="str">
        <f t="shared" si="3"/>
        <v>Feb</v>
      </c>
      <c r="P1522" s="6" t="str">
        <f t="shared" si="4"/>
        <v>2024</v>
      </c>
    </row>
    <row r="1523">
      <c r="A1523" s="3"/>
      <c r="M1523" s="50" t="s">
        <v>1928</v>
      </c>
      <c r="N1523" s="51">
        <v>4.44</v>
      </c>
      <c r="O1523" s="6" t="str">
        <f t="shared" si="3"/>
        <v>Feb</v>
      </c>
      <c r="P1523" s="6" t="str">
        <f t="shared" si="4"/>
        <v>2024</v>
      </c>
    </row>
    <row r="1524">
      <c r="A1524" s="3"/>
      <c r="M1524" s="50" t="s">
        <v>1929</v>
      </c>
      <c r="N1524" s="51">
        <v>4.651</v>
      </c>
      <c r="O1524" s="6" t="str">
        <f t="shared" si="3"/>
        <v>Mar</v>
      </c>
      <c r="P1524" s="6" t="str">
        <f t="shared" si="4"/>
        <v>2024</v>
      </c>
    </row>
    <row r="1525">
      <c r="A1525" s="3"/>
      <c r="M1525" s="50" t="s">
        <v>1930</v>
      </c>
      <c r="N1525" s="51">
        <v>4.693</v>
      </c>
      <c r="O1525" s="6" t="str">
        <f t="shared" si="3"/>
        <v>Mar</v>
      </c>
      <c r="P1525" s="6" t="str">
        <f t="shared" si="4"/>
        <v>2024</v>
      </c>
    </row>
    <row r="1526">
      <c r="A1526" s="3"/>
      <c r="M1526" s="50" t="s">
        <v>1931</v>
      </c>
      <c r="N1526" s="51">
        <v>4.734</v>
      </c>
      <c r="O1526" s="6" t="str">
        <f t="shared" si="3"/>
        <v>Mar</v>
      </c>
      <c r="P1526" s="6" t="str">
        <f t="shared" si="4"/>
        <v>2024</v>
      </c>
    </row>
    <row r="1527">
      <c r="A1527" s="3"/>
      <c r="M1527" s="50" t="s">
        <v>1932</v>
      </c>
      <c r="N1527" s="51">
        <v>4.801</v>
      </c>
      <c r="O1527" s="6" t="str">
        <f t="shared" si="3"/>
        <v>Mar</v>
      </c>
      <c r="P1527" s="6" t="str">
        <f t="shared" si="4"/>
        <v>2024</v>
      </c>
    </row>
    <row r="1528">
      <c r="A1528" s="3"/>
      <c r="M1528" s="50" t="s">
        <v>1933</v>
      </c>
      <c r="N1528" s="51">
        <v>4.904</v>
      </c>
      <c r="O1528" s="6" t="str">
        <f t="shared" si="3"/>
        <v>Apr</v>
      </c>
      <c r="P1528" s="6" t="str">
        <f t="shared" si="4"/>
        <v>2024</v>
      </c>
    </row>
    <row r="1529">
      <c r="A1529" s="3"/>
      <c r="M1529" s="50" t="s">
        <v>1934</v>
      </c>
      <c r="N1529" s="51">
        <v>5.142</v>
      </c>
      <c r="O1529" s="6" t="str">
        <f t="shared" si="3"/>
        <v>Apr</v>
      </c>
      <c r="P1529" s="6" t="str">
        <f t="shared" si="4"/>
        <v>2024</v>
      </c>
    </row>
    <row r="1530">
      <c r="A1530" s="3"/>
      <c r="M1530" s="50" t="s">
        <v>1935</v>
      </c>
      <c r="N1530" s="51">
        <v>5.271</v>
      </c>
      <c r="O1530" s="6" t="str">
        <f t="shared" si="3"/>
        <v>Apr</v>
      </c>
      <c r="P1530" s="6" t="str">
        <f t="shared" si="4"/>
        <v>2024</v>
      </c>
    </row>
    <row r="1531">
      <c r="A1531" s="3"/>
      <c r="M1531" s="50" t="s">
        <v>1936</v>
      </c>
      <c r="N1531" s="51">
        <v>5.237</v>
      </c>
      <c r="O1531" s="6" t="str">
        <f t="shared" si="3"/>
        <v>Apr</v>
      </c>
      <c r="P1531" s="6" t="str">
        <f t="shared" si="4"/>
        <v>2024</v>
      </c>
    </row>
    <row r="1532">
      <c r="A1532" s="3"/>
      <c r="M1532" s="50" t="s">
        <v>1937</v>
      </c>
      <c r="N1532" s="51">
        <v>5.172</v>
      </c>
      <c r="O1532" s="6" t="str">
        <f t="shared" si="3"/>
        <v>Apr</v>
      </c>
      <c r="P1532" s="6" t="str">
        <f t="shared" si="4"/>
        <v>2024</v>
      </c>
    </row>
    <row r="1533">
      <c r="A1533" s="3"/>
      <c r="M1533" s="50" t="s">
        <v>1938</v>
      </c>
      <c r="N1533" s="51">
        <v>5.116</v>
      </c>
      <c r="O1533" s="6" t="str">
        <f t="shared" si="3"/>
        <v>May</v>
      </c>
      <c r="P1533" s="6" t="str">
        <f t="shared" si="4"/>
        <v>2024</v>
      </c>
    </row>
    <row r="1534">
      <c r="A1534" s="3"/>
      <c r="M1534" s="50" t="s">
        <v>1939</v>
      </c>
      <c r="N1534" s="51">
        <v>5.046</v>
      </c>
      <c r="O1534" s="6" t="str">
        <f t="shared" si="3"/>
        <v>May</v>
      </c>
      <c r="P1534" s="6" t="str">
        <f t="shared" si="4"/>
        <v>2024</v>
      </c>
    </row>
    <row r="1535">
      <c r="A1535" s="3"/>
      <c r="M1535" s="50" t="s">
        <v>1940</v>
      </c>
      <c r="N1535" s="51">
        <v>4.965</v>
      </c>
      <c r="O1535" s="6" t="str">
        <f t="shared" si="3"/>
        <v>May</v>
      </c>
      <c r="P1535" s="6" t="str">
        <f t="shared" si="4"/>
        <v>2024</v>
      </c>
    </row>
    <row r="1536">
      <c r="A1536" s="3"/>
      <c r="M1536" s="50" t="s">
        <v>1941</v>
      </c>
      <c r="N1536" s="51">
        <v>4.892</v>
      </c>
      <c r="O1536" s="6" t="str">
        <f t="shared" si="3"/>
        <v>May</v>
      </c>
      <c r="P1536" s="6" t="str">
        <f t="shared" si="4"/>
        <v>2024</v>
      </c>
    </row>
    <row r="1537">
      <c r="A1537" s="3"/>
      <c r="M1537" s="50" t="s">
        <v>1942</v>
      </c>
      <c r="N1537" s="51">
        <v>4.808</v>
      </c>
      <c r="O1537" s="6" t="str">
        <f t="shared" si="3"/>
        <v>Jun</v>
      </c>
      <c r="P1537" s="6" t="str">
        <f t="shared" si="4"/>
        <v>2024</v>
      </c>
    </row>
    <row r="1538">
      <c r="A1538" s="3"/>
      <c r="M1538" s="50" t="s">
        <v>1943</v>
      </c>
      <c r="N1538" s="51">
        <v>4.679</v>
      </c>
      <c r="O1538" s="6" t="str">
        <f t="shared" si="3"/>
        <v>Jun</v>
      </c>
      <c r="P1538" s="6" t="str">
        <f t="shared" si="4"/>
        <v>2024</v>
      </c>
    </row>
    <row r="1539">
      <c r="A1539" s="3"/>
      <c r="M1539" s="50" t="s">
        <v>1944</v>
      </c>
      <c r="N1539" s="51">
        <v>4.599</v>
      </c>
      <c r="O1539" s="6" t="str">
        <f t="shared" si="3"/>
        <v>Jun</v>
      </c>
      <c r="P1539" s="6" t="str">
        <f t="shared" si="4"/>
        <v>2024</v>
      </c>
    </row>
    <row r="1540">
      <c r="A1540" s="3"/>
      <c r="M1540" s="50" t="s">
        <v>1945</v>
      </c>
      <c r="N1540" s="51">
        <v>4.564</v>
      </c>
      <c r="O1540" s="6" t="str">
        <f t="shared" si="3"/>
        <v>Jun</v>
      </c>
      <c r="P1540" s="6" t="str">
        <f t="shared" si="4"/>
        <v>2024</v>
      </c>
    </row>
    <row r="1541">
      <c r="A1541" s="3"/>
      <c r="M1541" s="50" t="s">
        <v>1946</v>
      </c>
      <c r="N1541" s="51">
        <v>4.533</v>
      </c>
      <c r="O1541" s="6" t="str">
        <f t="shared" si="3"/>
        <v>Jul</v>
      </c>
      <c r="P1541" s="6" t="str">
        <f t="shared" si="4"/>
        <v>2024</v>
      </c>
    </row>
    <row r="1542">
      <c r="A1542" s="3"/>
      <c r="M1542" s="50" t="s">
        <v>1947</v>
      </c>
      <c r="N1542" s="51">
        <v>4.535</v>
      </c>
      <c r="O1542" s="6" t="str">
        <f t="shared" si="3"/>
        <v>Jul</v>
      </c>
      <c r="P1542" s="6" t="str">
        <f t="shared" si="4"/>
        <v>2024</v>
      </c>
    </row>
    <row r="1543">
      <c r="A1543" s="3"/>
      <c r="M1543" s="50" t="s">
        <v>1948</v>
      </c>
      <c r="N1543" s="51">
        <v>4.487</v>
      </c>
      <c r="O1543" s="6" t="str">
        <f t="shared" si="3"/>
        <v>Jul</v>
      </c>
      <c r="P1543" s="6" t="str">
        <f t="shared" si="4"/>
        <v>2024</v>
      </c>
    </row>
    <row r="1544">
      <c r="A1544" s="3"/>
      <c r="M1544" s="50" t="s">
        <v>1949</v>
      </c>
      <c r="N1544" s="51">
        <v>4.428</v>
      </c>
      <c r="O1544" s="6" t="str">
        <f t="shared" si="3"/>
        <v>Jul</v>
      </c>
      <c r="P1544" s="6" t="str">
        <f t="shared" si="4"/>
        <v>2024</v>
      </c>
    </row>
    <row r="1545">
      <c r="A1545" s="3"/>
      <c r="M1545" s="50" t="s">
        <v>1950</v>
      </c>
      <c r="N1545" s="51">
        <v>4.37</v>
      </c>
      <c r="O1545" s="6" t="str">
        <f t="shared" si="3"/>
        <v>Jul</v>
      </c>
      <c r="P1545" s="6" t="str">
        <f t="shared" si="4"/>
        <v>2024</v>
      </c>
    </row>
    <row r="1546">
      <c r="A1546" s="3"/>
      <c r="M1546" s="50" t="s">
        <v>1951</v>
      </c>
      <c r="N1546" s="51">
        <v>4.355</v>
      </c>
      <c r="O1546" s="6" t="str">
        <f t="shared" si="3"/>
        <v>Aug</v>
      </c>
      <c r="P1546" s="6" t="str">
        <f t="shared" si="4"/>
        <v>2024</v>
      </c>
    </row>
    <row r="1547">
      <c r="A1547" s="3"/>
      <c r="M1547" s="50" t="s">
        <v>1952</v>
      </c>
      <c r="N1547" s="51">
        <v>4.33</v>
      </c>
      <c r="O1547" s="6" t="str">
        <f t="shared" si="3"/>
        <v>Aug</v>
      </c>
      <c r="P1547" s="6" t="str">
        <f t="shared" si="4"/>
        <v>2024</v>
      </c>
    </row>
    <row r="1548">
      <c r="A1548" s="3"/>
      <c r="M1548" s="50" t="s">
        <v>1953</v>
      </c>
      <c r="N1548" s="51">
        <v>4.318</v>
      </c>
      <c r="O1548" s="6" t="str">
        <f t="shared" si="3"/>
        <v>Aug</v>
      </c>
      <c r="P1548" s="6" t="str">
        <f t="shared" si="4"/>
        <v>2024</v>
      </c>
    </row>
    <row r="1549">
      <c r="A1549" s="3"/>
      <c r="M1549" s="50" t="s">
        <v>1954</v>
      </c>
      <c r="N1549" s="51">
        <v>4.325</v>
      </c>
      <c r="O1549" s="6" t="str">
        <f t="shared" si="3"/>
        <v>Aug</v>
      </c>
      <c r="P1549" s="6" t="str">
        <f t="shared" si="4"/>
        <v>2024</v>
      </c>
    </row>
    <row r="1550">
      <c r="A1550" s="3"/>
      <c r="M1550" s="50" t="s">
        <v>1955</v>
      </c>
      <c r="N1550" s="51">
        <v>4.406</v>
      </c>
      <c r="O1550" s="6" t="str">
        <f t="shared" si="3"/>
        <v>Sep</v>
      </c>
      <c r="P1550" s="6" t="str">
        <f t="shared" si="4"/>
        <v>2024</v>
      </c>
    </row>
    <row r="1551">
      <c r="A1551" s="3"/>
      <c r="M1551" s="50" t="s">
        <v>1956</v>
      </c>
      <c r="N1551" s="51">
        <v>4.45</v>
      </c>
      <c r="O1551" s="6" t="str">
        <f t="shared" si="3"/>
        <v>Sep</v>
      </c>
      <c r="P1551" s="6" t="str">
        <f t="shared" si="4"/>
        <v>2024</v>
      </c>
    </row>
    <row r="1552">
      <c r="A1552" s="3"/>
      <c r="M1552" s="50" t="s">
        <v>1957</v>
      </c>
      <c r="N1552" s="51">
        <v>4.515</v>
      </c>
      <c r="O1552" s="6" t="str">
        <f t="shared" si="3"/>
        <v>Sep</v>
      </c>
      <c r="P1552" s="6" t="str">
        <f t="shared" si="4"/>
        <v>2024</v>
      </c>
    </row>
    <row r="1553">
      <c r="A1553" s="3"/>
      <c r="M1553" s="50" t="s">
        <v>1958</v>
      </c>
      <c r="N1553" s="51">
        <v>4.49</v>
      </c>
      <c r="O1553" s="6" t="str">
        <f t="shared" si="3"/>
        <v>Sep</v>
      </c>
      <c r="P1553" s="6" t="str">
        <f t="shared" si="4"/>
        <v>2024</v>
      </c>
    </row>
    <row r="1554">
      <c r="A1554" s="3"/>
      <c r="M1554" s="50" t="s">
        <v>1959</v>
      </c>
      <c r="N1554" s="51">
        <v>4.412</v>
      </c>
      <c r="O1554" s="6" t="str">
        <f t="shared" si="3"/>
        <v>Sep</v>
      </c>
      <c r="P1554" s="6" t="str">
        <f t="shared" si="4"/>
        <v>2024</v>
      </c>
    </row>
    <row r="1555">
      <c r="A1555" s="3"/>
      <c r="M1555" s="50" t="s">
        <v>1960</v>
      </c>
      <c r="N1555" s="51">
        <v>4.408</v>
      </c>
      <c r="O1555" s="6" t="str">
        <f t="shared" si="3"/>
        <v>Oct</v>
      </c>
      <c r="P1555" s="6" t="str">
        <f t="shared" si="4"/>
        <v>2024</v>
      </c>
    </row>
    <row r="1556">
      <c r="A1556" s="3"/>
      <c r="M1556" s="50" t="s">
        <v>1961</v>
      </c>
      <c r="N1556" s="51">
        <v>4.428</v>
      </c>
      <c r="O1556" s="6" t="str">
        <f t="shared" si="3"/>
        <v>Oct</v>
      </c>
      <c r="P1556" s="6" t="str">
        <f t="shared" si="4"/>
        <v>2024</v>
      </c>
    </row>
    <row r="1557">
      <c r="A1557" s="3"/>
      <c r="M1557" s="50" t="s">
        <v>1962</v>
      </c>
      <c r="N1557" s="51">
        <v>4.406</v>
      </c>
      <c r="O1557" s="6" t="str">
        <f t="shared" si="3"/>
        <v>Oct</v>
      </c>
      <c r="P1557" s="6" t="str">
        <f t="shared" si="4"/>
        <v>2024</v>
      </c>
    </row>
    <row r="1558">
      <c r="A1558" s="3"/>
      <c r="M1558" s="50" t="s">
        <v>1963</v>
      </c>
      <c r="N1558" s="51">
        <v>4.326</v>
      </c>
      <c r="O1558" s="6" t="str">
        <f t="shared" si="3"/>
        <v>Oct</v>
      </c>
      <c r="P1558" s="6" t="str">
        <f t="shared" si="4"/>
        <v>2024</v>
      </c>
    </row>
    <row r="1559">
      <c r="A1559" s="3"/>
      <c r="M1559" s="50" t="s">
        <v>1964</v>
      </c>
      <c r="N1559" s="51">
        <v>4.292</v>
      </c>
      <c r="O1559" s="6" t="str">
        <f t="shared" si="3"/>
        <v>Nov</v>
      </c>
      <c r="P1559" s="6" t="str">
        <f t="shared" si="4"/>
        <v>2024</v>
      </c>
    </row>
    <row r="1560">
      <c r="A1560" s="3"/>
      <c r="M1560" s="50" t="s">
        <v>1965</v>
      </c>
      <c r="N1560" s="51">
        <v>4.253</v>
      </c>
      <c r="O1560" s="6" t="str">
        <f t="shared" si="3"/>
        <v>Nov</v>
      </c>
      <c r="P1560" s="6" t="str">
        <f t="shared" si="4"/>
        <v>2024</v>
      </c>
    </row>
    <row r="1561">
      <c r="A1561" s="3"/>
      <c r="M1561" s="50" t="s">
        <v>1966</v>
      </c>
      <c r="N1561" s="51">
        <v>4.196</v>
      </c>
      <c r="O1561" s="6" t="str">
        <f t="shared" si="3"/>
        <v>Nov</v>
      </c>
      <c r="P1561" s="6" t="str">
        <f t="shared" si="4"/>
        <v>2024</v>
      </c>
    </row>
    <row r="1562">
      <c r="A1562" s="3"/>
      <c r="M1562" s="50" t="s">
        <v>1967</v>
      </c>
      <c r="N1562" s="51">
        <v>4.202</v>
      </c>
      <c r="O1562" s="6" t="str">
        <f t="shared" si="3"/>
        <v>Nov</v>
      </c>
      <c r="P1562" s="6" t="str">
        <f t="shared" si="4"/>
        <v>2024</v>
      </c>
    </row>
    <row r="1563">
      <c r="A1563" s="3"/>
      <c r="M1563" s="50" t="s">
        <v>1968</v>
      </c>
      <c r="N1563" s="51">
        <v>4.177</v>
      </c>
      <c r="O1563" s="6" t="str">
        <f t="shared" si="3"/>
        <v>Dec</v>
      </c>
      <c r="P1563" s="6" t="str">
        <f t="shared" si="4"/>
        <v>2024</v>
      </c>
    </row>
    <row r="1564">
      <c r="A1564" s="3"/>
      <c r="M1564" s="50" t="s">
        <v>1969</v>
      </c>
      <c r="N1564" s="51">
        <v>4.141</v>
      </c>
      <c r="O1564" s="6" t="str">
        <f t="shared" si="3"/>
        <v>Dec</v>
      </c>
      <c r="P1564" s="6" t="str">
        <f t="shared" si="4"/>
        <v>2024</v>
      </c>
    </row>
    <row r="1565">
      <c r="A1565" s="3"/>
      <c r="M1565" s="50" t="s">
        <v>1970</v>
      </c>
      <c r="N1565" s="51">
        <v>4.096</v>
      </c>
      <c r="O1565" s="6" t="str">
        <f t="shared" si="3"/>
        <v>Dec</v>
      </c>
      <c r="P1565" s="6" t="str">
        <f t="shared" si="4"/>
        <v>2024</v>
      </c>
    </row>
    <row r="1566">
      <c r="A1566" s="3"/>
      <c r="M1566" s="50" t="s">
        <v>1971</v>
      </c>
      <c r="N1566" s="51">
        <v>4.094</v>
      </c>
      <c r="O1566" s="6" t="str">
        <f t="shared" si="3"/>
        <v>Dec</v>
      </c>
      <c r="P1566" s="6" t="str">
        <f t="shared" si="4"/>
        <v>2024</v>
      </c>
    </row>
    <row r="1567">
      <c r="A1567" s="3"/>
      <c r="M1567" s="50" t="s">
        <v>1972</v>
      </c>
      <c r="N1567" s="51">
        <v>4.105</v>
      </c>
      <c r="O1567" s="6" t="str">
        <f t="shared" si="3"/>
        <v>Dec</v>
      </c>
      <c r="P1567" s="6" t="str">
        <f t="shared" si="4"/>
        <v>2024</v>
      </c>
    </row>
    <row r="1568">
      <c r="A1568" s="3"/>
      <c r="M1568" s="50" t="s">
        <v>1973</v>
      </c>
      <c r="N1568" s="51">
        <v>4.154</v>
      </c>
      <c r="O1568" s="6" t="str">
        <f t="shared" si="3"/>
        <v>Jan</v>
      </c>
      <c r="P1568" s="6" t="str">
        <f t="shared" si="4"/>
        <v>2025</v>
      </c>
    </row>
    <row r="1569">
      <c r="A1569" s="3"/>
      <c r="M1569" s="50" t="s">
        <v>1974</v>
      </c>
      <c r="N1569" s="51">
        <v>4.161</v>
      </c>
      <c r="O1569" s="6" t="str">
        <f t="shared" si="3"/>
        <v>Jan</v>
      </c>
      <c r="P1569" s="6" t="str">
        <f t="shared" si="4"/>
        <v>2025</v>
      </c>
    </row>
    <row r="1570">
      <c r="A1570" s="3"/>
      <c r="M1570" s="50" t="s">
        <v>1975</v>
      </c>
      <c r="N1570" s="51">
        <v>4.212</v>
      </c>
      <c r="O1570" s="6" t="str">
        <f t="shared" si="3"/>
        <v>Jan</v>
      </c>
      <c r="P1570" s="6" t="str">
        <f t="shared" si="4"/>
        <v>2025</v>
      </c>
    </row>
  </sheetData>
  <autoFilter ref="$C$1:$F$302"/>
  <hyperlinks>
    <hyperlink r:id="rId1" ref="B2"/>
    <hyperlink r:id="rId2" ref="B7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13"/>
    <col customWidth="1" min="3" max="3" width="12.63"/>
    <col customWidth="1" min="4" max="4" width="68.38"/>
    <col customWidth="1" min="5" max="5" width="63.63"/>
    <col customWidth="1" min="6" max="6" width="8.5"/>
    <col customWidth="1" min="7" max="7" width="12.75"/>
    <col customWidth="1" min="8" max="8" width="7.63"/>
    <col customWidth="1" min="9" max="9" width="5.63"/>
    <col customWidth="1" min="10" max="10" width="12.0"/>
    <col customWidth="1" min="11" max="11" width="6.38"/>
    <col customWidth="1" min="12" max="12" width="9.5"/>
    <col customWidth="1" min="13" max="13" width="17.5"/>
    <col customWidth="1" min="14" max="14" width="19.63"/>
  </cols>
  <sheetData>
    <row r="1">
      <c r="A1" s="1" t="s">
        <v>63</v>
      </c>
      <c r="B1" s="1" t="s">
        <v>8</v>
      </c>
      <c r="D1" s="52" t="s">
        <v>326</v>
      </c>
      <c r="E1" s="52" t="s">
        <v>327</v>
      </c>
      <c r="F1" s="52" t="s">
        <v>17</v>
      </c>
      <c r="G1" s="52" t="s">
        <v>227</v>
      </c>
      <c r="H1" s="53" t="s">
        <v>328</v>
      </c>
      <c r="I1" s="53" t="s">
        <v>330</v>
      </c>
      <c r="J1" s="53" t="s">
        <v>331</v>
      </c>
      <c r="K1" s="53" t="s">
        <v>332</v>
      </c>
      <c r="L1" s="53" t="s">
        <v>333</v>
      </c>
      <c r="M1" s="53" t="s">
        <v>334</v>
      </c>
      <c r="N1" s="53" t="s">
        <v>335</v>
      </c>
      <c r="O1" s="53" t="s">
        <v>337</v>
      </c>
    </row>
    <row r="2">
      <c r="A2" s="1" t="s">
        <v>68</v>
      </c>
      <c r="B2" s="15" t="s">
        <v>338</v>
      </c>
      <c r="D2" s="54">
        <f>E2*'Measure conversion'!$C$2</f>
        <v>0.1089</v>
      </c>
      <c r="E2" s="54">
        <f t="shared" ref="E2:E287" si="1">N2/100</f>
        <v>0.1089</v>
      </c>
      <c r="F2" s="54">
        <f t="shared" ref="F2:F287" si="2">YEAR(I2)</f>
        <v>2001</v>
      </c>
      <c r="G2" s="54">
        <f t="shared" ref="G2:G287" si="3">MONTH(I2)</f>
        <v>1</v>
      </c>
      <c r="H2" s="55" t="s">
        <v>343</v>
      </c>
      <c r="I2" s="56">
        <v>36892.0</v>
      </c>
      <c r="J2" s="57" t="s">
        <v>344</v>
      </c>
      <c r="K2" s="57" t="s">
        <v>162</v>
      </c>
      <c r="L2" s="57" t="s">
        <v>346</v>
      </c>
      <c r="M2" s="57" t="s">
        <v>347</v>
      </c>
      <c r="N2" s="57">
        <v>10.89</v>
      </c>
      <c r="O2" s="57" t="s">
        <v>348</v>
      </c>
    </row>
    <row r="3">
      <c r="A3" s="1" t="s">
        <v>85</v>
      </c>
      <c r="B3" s="4" t="s">
        <v>316</v>
      </c>
      <c r="D3" s="54">
        <f>E3*'Measure conversion'!$C$2</f>
        <v>0.1114</v>
      </c>
      <c r="E3" s="54">
        <f t="shared" si="1"/>
        <v>0.1114</v>
      </c>
      <c r="F3" s="54">
        <f t="shared" si="2"/>
        <v>2001</v>
      </c>
      <c r="G3" s="54">
        <f t="shared" si="3"/>
        <v>2</v>
      </c>
      <c r="H3" s="58" t="s">
        <v>343</v>
      </c>
      <c r="I3" s="59">
        <v>36923.0</v>
      </c>
      <c r="J3" s="60" t="s">
        <v>344</v>
      </c>
      <c r="K3" s="60" t="s">
        <v>162</v>
      </c>
      <c r="L3" s="60" t="s">
        <v>346</v>
      </c>
      <c r="M3" s="60" t="s">
        <v>347</v>
      </c>
      <c r="N3" s="60">
        <v>11.14</v>
      </c>
      <c r="O3" s="60" t="s">
        <v>348</v>
      </c>
    </row>
    <row r="4">
      <c r="A4" s="1" t="s">
        <v>351</v>
      </c>
      <c r="B4" s="6">
        <f>AVERAGE(D2:D287)</f>
        <v>0.1724870629</v>
      </c>
      <c r="D4" s="54">
        <f>E4*'Measure conversion'!$C$2</f>
        <v>0.1129</v>
      </c>
      <c r="E4" s="54">
        <f t="shared" si="1"/>
        <v>0.1129</v>
      </c>
      <c r="F4" s="54">
        <f t="shared" si="2"/>
        <v>2001</v>
      </c>
      <c r="G4" s="54">
        <f t="shared" si="3"/>
        <v>3</v>
      </c>
      <c r="H4" s="58" t="s">
        <v>343</v>
      </c>
      <c r="I4" s="59">
        <v>36951.0</v>
      </c>
      <c r="J4" s="60" t="s">
        <v>344</v>
      </c>
      <c r="K4" s="60" t="s">
        <v>162</v>
      </c>
      <c r="L4" s="60" t="s">
        <v>346</v>
      </c>
      <c r="M4" s="60" t="s">
        <v>347</v>
      </c>
      <c r="N4" s="60">
        <v>11.29</v>
      </c>
      <c r="O4" s="60" t="s">
        <v>348</v>
      </c>
    </row>
    <row r="5">
      <c r="D5" s="54">
        <f>E5*'Measure conversion'!$C$2</f>
        <v>0.1114</v>
      </c>
      <c r="E5" s="54">
        <f t="shared" si="1"/>
        <v>0.1114</v>
      </c>
      <c r="F5" s="54">
        <f t="shared" si="2"/>
        <v>2001</v>
      </c>
      <c r="G5" s="54">
        <f t="shared" si="3"/>
        <v>4</v>
      </c>
      <c r="H5" s="58" t="s">
        <v>343</v>
      </c>
      <c r="I5" s="59">
        <v>36982.0</v>
      </c>
      <c r="J5" s="60" t="s">
        <v>344</v>
      </c>
      <c r="K5" s="60" t="s">
        <v>162</v>
      </c>
      <c r="L5" s="60" t="s">
        <v>346</v>
      </c>
      <c r="M5" s="60" t="s">
        <v>347</v>
      </c>
      <c r="N5" s="60">
        <v>11.14</v>
      </c>
      <c r="O5" s="60" t="s">
        <v>348</v>
      </c>
    </row>
    <row r="6">
      <c r="D6" s="54">
        <f>E6*'Measure conversion'!$C$2</f>
        <v>0.1197</v>
      </c>
      <c r="E6" s="54">
        <f t="shared" si="1"/>
        <v>0.1197</v>
      </c>
      <c r="F6" s="54">
        <f t="shared" si="2"/>
        <v>2001</v>
      </c>
      <c r="G6" s="54">
        <f t="shared" si="3"/>
        <v>5</v>
      </c>
      <c r="H6" s="58" t="s">
        <v>343</v>
      </c>
      <c r="I6" s="59">
        <v>37012.0</v>
      </c>
      <c r="J6" s="60" t="s">
        <v>344</v>
      </c>
      <c r="K6" s="60" t="s">
        <v>162</v>
      </c>
      <c r="L6" s="60" t="s">
        <v>346</v>
      </c>
      <c r="M6" s="60" t="s">
        <v>347</v>
      </c>
      <c r="N6" s="60">
        <v>11.97</v>
      </c>
      <c r="O6" s="60" t="s">
        <v>348</v>
      </c>
    </row>
    <row r="7">
      <c r="D7" s="54">
        <f>E7*'Measure conversion'!$C$2</f>
        <v>0.1287</v>
      </c>
      <c r="E7" s="54">
        <f t="shared" si="1"/>
        <v>0.1287</v>
      </c>
      <c r="F7" s="54">
        <f t="shared" si="2"/>
        <v>2001</v>
      </c>
      <c r="G7" s="54">
        <f t="shared" si="3"/>
        <v>6</v>
      </c>
      <c r="H7" s="58" t="s">
        <v>343</v>
      </c>
      <c r="I7" s="59">
        <v>37043.0</v>
      </c>
      <c r="J7" s="60" t="s">
        <v>344</v>
      </c>
      <c r="K7" s="60" t="s">
        <v>162</v>
      </c>
      <c r="L7" s="60" t="s">
        <v>346</v>
      </c>
      <c r="M7" s="60" t="s">
        <v>347</v>
      </c>
      <c r="N7" s="60">
        <v>12.87</v>
      </c>
      <c r="O7" s="60" t="s">
        <v>348</v>
      </c>
    </row>
    <row r="8">
      <c r="D8" s="54">
        <f>E8*'Measure conversion'!$C$2</f>
        <v>0.1305</v>
      </c>
      <c r="E8" s="54">
        <f t="shared" si="1"/>
        <v>0.1305</v>
      </c>
      <c r="F8" s="54">
        <f t="shared" si="2"/>
        <v>2001</v>
      </c>
      <c r="G8" s="54">
        <f t="shared" si="3"/>
        <v>7</v>
      </c>
      <c r="H8" s="58" t="s">
        <v>343</v>
      </c>
      <c r="I8" s="59">
        <v>37073.0</v>
      </c>
      <c r="J8" s="60" t="s">
        <v>344</v>
      </c>
      <c r="K8" s="60" t="s">
        <v>162</v>
      </c>
      <c r="L8" s="60" t="s">
        <v>346</v>
      </c>
      <c r="M8" s="60" t="s">
        <v>347</v>
      </c>
      <c r="N8" s="60">
        <v>13.05</v>
      </c>
      <c r="O8" s="60" t="s">
        <v>348</v>
      </c>
    </row>
    <row r="9">
      <c r="D9" s="54">
        <f>E9*'Measure conversion'!$C$2</f>
        <v>0.128</v>
      </c>
      <c r="E9" s="54">
        <f t="shared" si="1"/>
        <v>0.128</v>
      </c>
      <c r="F9" s="54">
        <f t="shared" si="2"/>
        <v>2001</v>
      </c>
      <c r="G9" s="54">
        <f t="shared" si="3"/>
        <v>8</v>
      </c>
      <c r="H9" s="58" t="s">
        <v>343</v>
      </c>
      <c r="I9" s="59">
        <v>37104.0</v>
      </c>
      <c r="J9" s="60" t="s">
        <v>344</v>
      </c>
      <c r="K9" s="60" t="s">
        <v>162</v>
      </c>
      <c r="L9" s="60" t="s">
        <v>346</v>
      </c>
      <c r="M9" s="60" t="s">
        <v>347</v>
      </c>
      <c r="N9" s="60">
        <v>12.8</v>
      </c>
      <c r="O9" s="60" t="s">
        <v>348</v>
      </c>
    </row>
    <row r="10">
      <c r="D10" s="54">
        <f>E10*'Measure conversion'!$C$2</f>
        <v>0.1287</v>
      </c>
      <c r="E10" s="54">
        <f t="shared" si="1"/>
        <v>0.1287</v>
      </c>
      <c r="F10" s="54">
        <f t="shared" si="2"/>
        <v>2001</v>
      </c>
      <c r="G10" s="54">
        <f t="shared" si="3"/>
        <v>9</v>
      </c>
      <c r="H10" s="58" t="s">
        <v>343</v>
      </c>
      <c r="I10" s="59">
        <v>37135.0</v>
      </c>
      <c r="J10" s="60" t="s">
        <v>344</v>
      </c>
      <c r="K10" s="60" t="s">
        <v>162</v>
      </c>
      <c r="L10" s="60" t="s">
        <v>346</v>
      </c>
      <c r="M10" s="60" t="s">
        <v>347</v>
      </c>
      <c r="N10" s="60">
        <v>12.87</v>
      </c>
      <c r="O10" s="60" t="s">
        <v>348</v>
      </c>
    </row>
    <row r="11">
      <c r="D11" s="54">
        <f>E11*'Measure conversion'!$C$2</f>
        <v>0.1249</v>
      </c>
      <c r="E11" s="54">
        <f t="shared" si="1"/>
        <v>0.1249</v>
      </c>
      <c r="F11" s="54">
        <f t="shared" si="2"/>
        <v>2001</v>
      </c>
      <c r="G11" s="54">
        <f t="shared" si="3"/>
        <v>10</v>
      </c>
      <c r="H11" s="58" t="s">
        <v>343</v>
      </c>
      <c r="I11" s="61">
        <v>37165.0</v>
      </c>
      <c r="J11" s="60" t="s">
        <v>344</v>
      </c>
      <c r="K11" s="60" t="s">
        <v>162</v>
      </c>
      <c r="L11" s="60" t="s">
        <v>346</v>
      </c>
      <c r="M11" s="60" t="s">
        <v>347</v>
      </c>
      <c r="N11" s="60">
        <v>12.49</v>
      </c>
      <c r="O11" s="60" t="s">
        <v>348</v>
      </c>
    </row>
    <row r="12">
      <c r="D12" s="54">
        <f>E12*'Measure conversion'!$C$2</f>
        <v>0.1212</v>
      </c>
      <c r="E12" s="54">
        <f t="shared" si="1"/>
        <v>0.1212</v>
      </c>
      <c r="F12" s="54">
        <f t="shared" si="2"/>
        <v>2001</v>
      </c>
      <c r="G12" s="54">
        <f t="shared" si="3"/>
        <v>11</v>
      </c>
      <c r="H12" s="58" t="s">
        <v>343</v>
      </c>
      <c r="I12" s="61">
        <v>37196.0</v>
      </c>
      <c r="J12" s="60" t="s">
        <v>344</v>
      </c>
      <c r="K12" s="60" t="s">
        <v>162</v>
      </c>
      <c r="L12" s="60" t="s">
        <v>346</v>
      </c>
      <c r="M12" s="60" t="s">
        <v>347</v>
      </c>
      <c r="N12" s="60">
        <v>12.12</v>
      </c>
      <c r="O12" s="60" t="s">
        <v>348</v>
      </c>
    </row>
    <row r="13">
      <c r="D13" s="54">
        <f>E13*'Measure conversion'!$C$2</f>
        <v>0.1226</v>
      </c>
      <c r="E13" s="54">
        <f t="shared" si="1"/>
        <v>0.1226</v>
      </c>
      <c r="F13" s="54">
        <f t="shared" si="2"/>
        <v>2001</v>
      </c>
      <c r="G13" s="54">
        <f t="shared" si="3"/>
        <v>12</v>
      </c>
      <c r="H13" s="58" t="s">
        <v>343</v>
      </c>
      <c r="I13" s="61">
        <v>37226.0</v>
      </c>
      <c r="J13" s="60" t="s">
        <v>344</v>
      </c>
      <c r="K13" s="60" t="s">
        <v>162</v>
      </c>
      <c r="L13" s="60" t="s">
        <v>346</v>
      </c>
      <c r="M13" s="60" t="s">
        <v>347</v>
      </c>
      <c r="N13" s="60">
        <v>12.26</v>
      </c>
      <c r="O13" s="60" t="s">
        <v>348</v>
      </c>
    </row>
    <row r="14">
      <c r="D14" s="54">
        <f>E14*'Measure conversion'!$C$2</f>
        <v>0.1303</v>
      </c>
      <c r="E14" s="54">
        <f t="shared" si="1"/>
        <v>0.1303</v>
      </c>
      <c r="F14" s="54">
        <f t="shared" si="2"/>
        <v>2002</v>
      </c>
      <c r="G14" s="54">
        <f t="shared" si="3"/>
        <v>1</v>
      </c>
      <c r="H14" s="58" t="s">
        <v>343</v>
      </c>
      <c r="I14" s="59">
        <v>37257.0</v>
      </c>
      <c r="J14" s="60" t="s">
        <v>344</v>
      </c>
      <c r="K14" s="60" t="s">
        <v>162</v>
      </c>
      <c r="L14" s="60" t="s">
        <v>346</v>
      </c>
      <c r="M14" s="60" t="s">
        <v>347</v>
      </c>
      <c r="N14" s="60">
        <v>13.03</v>
      </c>
      <c r="O14" s="60" t="s">
        <v>348</v>
      </c>
    </row>
    <row r="15">
      <c r="D15" s="54">
        <f>E15*'Measure conversion'!$C$2</f>
        <v>0.1258</v>
      </c>
      <c r="E15" s="54">
        <f t="shared" si="1"/>
        <v>0.1258</v>
      </c>
      <c r="F15" s="54">
        <f t="shared" si="2"/>
        <v>2002</v>
      </c>
      <c r="G15" s="54">
        <f t="shared" si="3"/>
        <v>2</v>
      </c>
      <c r="H15" s="58" t="s">
        <v>343</v>
      </c>
      <c r="I15" s="59">
        <v>37288.0</v>
      </c>
      <c r="J15" s="60" t="s">
        <v>344</v>
      </c>
      <c r="K15" s="60" t="s">
        <v>162</v>
      </c>
      <c r="L15" s="60" t="s">
        <v>346</v>
      </c>
      <c r="M15" s="60" t="s">
        <v>347</v>
      </c>
      <c r="N15" s="60">
        <v>12.58</v>
      </c>
      <c r="O15" s="60" t="s">
        <v>348</v>
      </c>
    </row>
    <row r="16">
      <c r="D16" s="54">
        <f>E16*'Measure conversion'!$C$2</f>
        <v>0.1258</v>
      </c>
      <c r="E16" s="54">
        <f t="shared" si="1"/>
        <v>0.1258</v>
      </c>
      <c r="F16" s="54">
        <f t="shared" si="2"/>
        <v>2002</v>
      </c>
      <c r="G16" s="54">
        <f t="shared" si="3"/>
        <v>3</v>
      </c>
      <c r="H16" s="58" t="s">
        <v>343</v>
      </c>
      <c r="I16" s="59">
        <v>37316.0</v>
      </c>
      <c r="J16" s="60" t="s">
        <v>344</v>
      </c>
      <c r="K16" s="60" t="s">
        <v>162</v>
      </c>
      <c r="L16" s="60" t="s">
        <v>346</v>
      </c>
      <c r="M16" s="60" t="s">
        <v>347</v>
      </c>
      <c r="N16" s="60">
        <v>12.58</v>
      </c>
      <c r="O16" s="60" t="s">
        <v>348</v>
      </c>
    </row>
    <row r="17">
      <c r="D17" s="54">
        <f>E17*'Measure conversion'!$C$2</f>
        <v>0.1205</v>
      </c>
      <c r="E17" s="54">
        <f t="shared" si="1"/>
        <v>0.1205</v>
      </c>
      <c r="F17" s="54">
        <f t="shared" si="2"/>
        <v>2002</v>
      </c>
      <c r="G17" s="54">
        <f t="shared" si="3"/>
        <v>4</v>
      </c>
      <c r="H17" s="58" t="s">
        <v>343</v>
      </c>
      <c r="I17" s="59">
        <v>37347.0</v>
      </c>
      <c r="J17" s="60" t="s">
        <v>344</v>
      </c>
      <c r="K17" s="60" t="s">
        <v>162</v>
      </c>
      <c r="L17" s="60" t="s">
        <v>346</v>
      </c>
      <c r="M17" s="60" t="s">
        <v>347</v>
      </c>
      <c r="N17" s="60">
        <v>12.05</v>
      </c>
      <c r="O17" s="60" t="s">
        <v>348</v>
      </c>
    </row>
    <row r="18">
      <c r="D18" s="54">
        <f>E18*'Measure conversion'!$C$2</f>
        <v>0.1282</v>
      </c>
      <c r="E18" s="54">
        <f t="shared" si="1"/>
        <v>0.1282</v>
      </c>
      <c r="F18" s="54">
        <f t="shared" si="2"/>
        <v>2002</v>
      </c>
      <c r="G18" s="54">
        <f t="shared" si="3"/>
        <v>5</v>
      </c>
      <c r="H18" s="58" t="s">
        <v>343</v>
      </c>
      <c r="I18" s="59">
        <v>37377.0</v>
      </c>
      <c r="J18" s="60" t="s">
        <v>344</v>
      </c>
      <c r="K18" s="60" t="s">
        <v>162</v>
      </c>
      <c r="L18" s="60" t="s">
        <v>346</v>
      </c>
      <c r="M18" s="60" t="s">
        <v>347</v>
      </c>
      <c r="N18" s="60">
        <v>12.82</v>
      </c>
      <c r="O18" s="60" t="s">
        <v>348</v>
      </c>
    </row>
    <row r="19">
      <c r="D19" s="54">
        <f>E19*'Measure conversion'!$C$2</f>
        <v>0.1287</v>
      </c>
      <c r="E19" s="54">
        <f t="shared" si="1"/>
        <v>0.1287</v>
      </c>
      <c r="F19" s="54">
        <f t="shared" si="2"/>
        <v>2002</v>
      </c>
      <c r="G19" s="54">
        <f t="shared" si="3"/>
        <v>6</v>
      </c>
      <c r="H19" s="58" t="s">
        <v>343</v>
      </c>
      <c r="I19" s="59">
        <v>37408.0</v>
      </c>
      <c r="J19" s="60" t="s">
        <v>344</v>
      </c>
      <c r="K19" s="60" t="s">
        <v>162</v>
      </c>
      <c r="L19" s="60" t="s">
        <v>346</v>
      </c>
      <c r="M19" s="60" t="s">
        <v>347</v>
      </c>
      <c r="N19" s="60">
        <v>12.87</v>
      </c>
      <c r="O19" s="60" t="s">
        <v>348</v>
      </c>
    </row>
    <row r="20">
      <c r="D20" s="54">
        <f>E20*'Measure conversion'!$C$2</f>
        <v>0.1328</v>
      </c>
      <c r="E20" s="54">
        <f t="shared" si="1"/>
        <v>0.1328</v>
      </c>
      <c r="F20" s="54">
        <f t="shared" si="2"/>
        <v>2002</v>
      </c>
      <c r="G20" s="54">
        <f t="shared" si="3"/>
        <v>7</v>
      </c>
      <c r="H20" s="58" t="s">
        <v>343</v>
      </c>
      <c r="I20" s="59">
        <v>37438.0</v>
      </c>
      <c r="J20" s="60" t="s">
        <v>344</v>
      </c>
      <c r="K20" s="60" t="s">
        <v>162</v>
      </c>
      <c r="L20" s="60" t="s">
        <v>346</v>
      </c>
      <c r="M20" s="60" t="s">
        <v>347</v>
      </c>
      <c r="N20" s="60">
        <v>13.28</v>
      </c>
      <c r="O20" s="60" t="s">
        <v>348</v>
      </c>
    </row>
    <row r="21">
      <c r="D21" s="54">
        <f>E21*'Measure conversion'!$C$2</f>
        <v>0.1292</v>
      </c>
      <c r="E21" s="54">
        <f t="shared" si="1"/>
        <v>0.1292</v>
      </c>
      <c r="F21" s="54">
        <f t="shared" si="2"/>
        <v>2002</v>
      </c>
      <c r="G21" s="54">
        <f t="shared" si="3"/>
        <v>8</v>
      </c>
      <c r="H21" s="58" t="s">
        <v>343</v>
      </c>
      <c r="I21" s="59">
        <v>37469.0</v>
      </c>
      <c r="J21" s="60" t="s">
        <v>344</v>
      </c>
      <c r="K21" s="60" t="s">
        <v>162</v>
      </c>
      <c r="L21" s="60" t="s">
        <v>346</v>
      </c>
      <c r="M21" s="60" t="s">
        <v>347</v>
      </c>
      <c r="N21" s="60">
        <v>12.92</v>
      </c>
      <c r="O21" s="60" t="s">
        <v>348</v>
      </c>
    </row>
    <row r="22">
      <c r="D22" s="54">
        <f>E22*'Measure conversion'!$C$2</f>
        <v>0.1161</v>
      </c>
      <c r="E22" s="54">
        <f t="shared" si="1"/>
        <v>0.1161</v>
      </c>
      <c r="F22" s="54">
        <f t="shared" si="2"/>
        <v>2002</v>
      </c>
      <c r="G22" s="54">
        <f t="shared" si="3"/>
        <v>9</v>
      </c>
      <c r="H22" s="58" t="s">
        <v>343</v>
      </c>
      <c r="I22" s="59">
        <v>37500.0</v>
      </c>
      <c r="J22" s="60" t="s">
        <v>344</v>
      </c>
      <c r="K22" s="60" t="s">
        <v>162</v>
      </c>
      <c r="L22" s="60" t="s">
        <v>346</v>
      </c>
      <c r="M22" s="60" t="s">
        <v>347</v>
      </c>
      <c r="N22" s="60">
        <v>11.61</v>
      </c>
      <c r="O22" s="60" t="s">
        <v>348</v>
      </c>
    </row>
    <row r="23">
      <c r="D23" s="54">
        <f>E23*'Measure conversion'!$C$2</f>
        <v>0.1198</v>
      </c>
      <c r="E23" s="54">
        <f t="shared" si="1"/>
        <v>0.1198</v>
      </c>
      <c r="F23" s="54">
        <f t="shared" si="2"/>
        <v>2002</v>
      </c>
      <c r="G23" s="54">
        <f t="shared" si="3"/>
        <v>10</v>
      </c>
      <c r="H23" s="58" t="s">
        <v>343</v>
      </c>
      <c r="I23" s="61">
        <v>37530.0</v>
      </c>
      <c r="J23" s="60" t="s">
        <v>344</v>
      </c>
      <c r="K23" s="60" t="s">
        <v>162</v>
      </c>
      <c r="L23" s="60" t="s">
        <v>346</v>
      </c>
      <c r="M23" s="60" t="s">
        <v>347</v>
      </c>
      <c r="N23" s="60">
        <v>11.98</v>
      </c>
      <c r="O23" s="60" t="s">
        <v>348</v>
      </c>
    </row>
    <row r="24">
      <c r="D24" s="54">
        <f>E24*'Measure conversion'!$C$2</f>
        <v>0.1255</v>
      </c>
      <c r="E24" s="54">
        <f t="shared" si="1"/>
        <v>0.1255</v>
      </c>
      <c r="F24" s="54">
        <f t="shared" si="2"/>
        <v>2002</v>
      </c>
      <c r="G24" s="54">
        <f t="shared" si="3"/>
        <v>11</v>
      </c>
      <c r="H24" s="58" t="s">
        <v>343</v>
      </c>
      <c r="I24" s="61">
        <v>37561.0</v>
      </c>
      <c r="J24" s="60" t="s">
        <v>344</v>
      </c>
      <c r="K24" s="60" t="s">
        <v>162</v>
      </c>
      <c r="L24" s="60" t="s">
        <v>346</v>
      </c>
      <c r="M24" s="60" t="s">
        <v>347</v>
      </c>
      <c r="N24" s="60">
        <v>12.55</v>
      </c>
      <c r="O24" s="60" t="s">
        <v>348</v>
      </c>
    </row>
    <row r="25">
      <c r="D25" s="54">
        <f>E25*'Measure conversion'!$C$2</f>
        <v>0.1331</v>
      </c>
      <c r="E25" s="54">
        <f t="shared" si="1"/>
        <v>0.1331</v>
      </c>
      <c r="F25" s="54">
        <f t="shared" si="2"/>
        <v>2002</v>
      </c>
      <c r="G25" s="54">
        <f t="shared" si="3"/>
        <v>12</v>
      </c>
      <c r="H25" s="58" t="s">
        <v>343</v>
      </c>
      <c r="I25" s="61">
        <v>37591.0</v>
      </c>
      <c r="J25" s="60" t="s">
        <v>344</v>
      </c>
      <c r="K25" s="60" t="s">
        <v>162</v>
      </c>
      <c r="L25" s="60" t="s">
        <v>346</v>
      </c>
      <c r="M25" s="60" t="s">
        <v>347</v>
      </c>
      <c r="N25" s="60">
        <v>13.31</v>
      </c>
      <c r="O25" s="60" t="s">
        <v>348</v>
      </c>
    </row>
    <row r="26">
      <c r="D26" s="54">
        <f>E26*'Measure conversion'!$C$2</f>
        <v>0.1281</v>
      </c>
      <c r="E26" s="54">
        <f t="shared" si="1"/>
        <v>0.1281</v>
      </c>
      <c r="F26" s="54">
        <f t="shared" si="2"/>
        <v>2003</v>
      </c>
      <c r="G26" s="54">
        <f t="shared" si="3"/>
        <v>1</v>
      </c>
      <c r="H26" s="58" t="s">
        <v>343</v>
      </c>
      <c r="I26" s="59">
        <v>37622.0</v>
      </c>
      <c r="J26" s="60" t="s">
        <v>344</v>
      </c>
      <c r="K26" s="60" t="s">
        <v>162</v>
      </c>
      <c r="L26" s="60" t="s">
        <v>346</v>
      </c>
      <c r="M26" s="60" t="s">
        <v>347</v>
      </c>
      <c r="N26" s="60">
        <v>12.81</v>
      </c>
      <c r="O26" s="60" t="s">
        <v>348</v>
      </c>
    </row>
    <row r="27">
      <c r="D27" s="54">
        <f>E27*'Measure conversion'!$C$2</f>
        <v>0.1241</v>
      </c>
      <c r="E27" s="54">
        <f t="shared" si="1"/>
        <v>0.1241</v>
      </c>
      <c r="F27" s="54">
        <f t="shared" si="2"/>
        <v>2003</v>
      </c>
      <c r="G27" s="54">
        <f t="shared" si="3"/>
        <v>2</v>
      </c>
      <c r="H27" s="58" t="s">
        <v>343</v>
      </c>
      <c r="I27" s="59">
        <v>37653.0</v>
      </c>
      <c r="J27" s="60" t="s">
        <v>344</v>
      </c>
      <c r="K27" s="60" t="s">
        <v>162</v>
      </c>
      <c r="L27" s="60" t="s">
        <v>346</v>
      </c>
      <c r="M27" s="60" t="s">
        <v>347</v>
      </c>
      <c r="N27" s="60">
        <v>12.41</v>
      </c>
      <c r="O27" s="60" t="s">
        <v>348</v>
      </c>
    </row>
    <row r="28">
      <c r="D28" s="54">
        <f>E28*'Measure conversion'!$C$2</f>
        <v>0.1142</v>
      </c>
      <c r="E28" s="54">
        <f t="shared" si="1"/>
        <v>0.1142</v>
      </c>
      <c r="F28" s="54">
        <f t="shared" si="2"/>
        <v>2003</v>
      </c>
      <c r="G28" s="54">
        <f t="shared" si="3"/>
        <v>3</v>
      </c>
      <c r="H28" s="58" t="s">
        <v>343</v>
      </c>
      <c r="I28" s="59">
        <v>37681.0</v>
      </c>
      <c r="J28" s="60" t="s">
        <v>344</v>
      </c>
      <c r="K28" s="60" t="s">
        <v>162</v>
      </c>
      <c r="L28" s="60" t="s">
        <v>346</v>
      </c>
      <c r="M28" s="60" t="s">
        <v>347</v>
      </c>
      <c r="N28" s="60">
        <v>11.42</v>
      </c>
      <c r="O28" s="60" t="s">
        <v>348</v>
      </c>
    </row>
    <row r="29">
      <c r="D29" s="54">
        <f>E29*'Measure conversion'!$C$2</f>
        <v>0.1251</v>
      </c>
      <c r="E29" s="54">
        <f t="shared" si="1"/>
        <v>0.1251</v>
      </c>
      <c r="F29" s="54">
        <f t="shared" si="2"/>
        <v>2003</v>
      </c>
      <c r="G29" s="54">
        <f t="shared" si="3"/>
        <v>4</v>
      </c>
      <c r="H29" s="58" t="s">
        <v>343</v>
      </c>
      <c r="I29" s="59">
        <v>37712.0</v>
      </c>
      <c r="J29" s="60" t="s">
        <v>344</v>
      </c>
      <c r="K29" s="60" t="s">
        <v>162</v>
      </c>
      <c r="L29" s="60" t="s">
        <v>346</v>
      </c>
      <c r="M29" s="60" t="s">
        <v>347</v>
      </c>
      <c r="N29" s="60">
        <v>12.51</v>
      </c>
      <c r="O29" s="60" t="s">
        <v>348</v>
      </c>
    </row>
    <row r="30">
      <c r="D30" s="54">
        <f>E30*'Measure conversion'!$C$2</f>
        <v>0.1274</v>
      </c>
      <c r="E30" s="54">
        <f t="shared" si="1"/>
        <v>0.1274</v>
      </c>
      <c r="F30" s="54">
        <f t="shared" si="2"/>
        <v>2003</v>
      </c>
      <c r="G30" s="54">
        <f t="shared" si="3"/>
        <v>5</v>
      </c>
      <c r="H30" s="58" t="s">
        <v>343</v>
      </c>
      <c r="I30" s="59">
        <v>37742.0</v>
      </c>
      <c r="J30" s="60" t="s">
        <v>344</v>
      </c>
      <c r="K30" s="60" t="s">
        <v>162</v>
      </c>
      <c r="L30" s="60" t="s">
        <v>346</v>
      </c>
      <c r="M30" s="60" t="s">
        <v>347</v>
      </c>
      <c r="N30" s="60">
        <v>12.74</v>
      </c>
      <c r="O30" s="60" t="s">
        <v>348</v>
      </c>
    </row>
    <row r="31">
      <c r="D31" s="54">
        <f>E31*'Measure conversion'!$C$2</f>
        <v>0.1312</v>
      </c>
      <c r="E31" s="54">
        <f t="shared" si="1"/>
        <v>0.1312</v>
      </c>
      <c r="F31" s="54">
        <f t="shared" si="2"/>
        <v>2003</v>
      </c>
      <c r="G31" s="54">
        <f t="shared" si="3"/>
        <v>6</v>
      </c>
      <c r="H31" s="58" t="s">
        <v>343</v>
      </c>
      <c r="I31" s="59">
        <v>37773.0</v>
      </c>
      <c r="J31" s="60" t="s">
        <v>344</v>
      </c>
      <c r="K31" s="60" t="s">
        <v>162</v>
      </c>
      <c r="L31" s="60" t="s">
        <v>346</v>
      </c>
      <c r="M31" s="60" t="s">
        <v>347</v>
      </c>
      <c r="N31" s="60">
        <v>13.12</v>
      </c>
      <c r="O31" s="60" t="s">
        <v>348</v>
      </c>
    </row>
    <row r="32">
      <c r="D32" s="54">
        <f>E32*'Measure conversion'!$C$2</f>
        <v>0.135</v>
      </c>
      <c r="E32" s="54">
        <f t="shared" si="1"/>
        <v>0.135</v>
      </c>
      <c r="F32" s="54">
        <f t="shared" si="2"/>
        <v>2003</v>
      </c>
      <c r="G32" s="54">
        <f t="shared" si="3"/>
        <v>7</v>
      </c>
      <c r="H32" s="58" t="s">
        <v>343</v>
      </c>
      <c r="I32" s="59">
        <v>37803.0</v>
      </c>
      <c r="J32" s="60" t="s">
        <v>344</v>
      </c>
      <c r="K32" s="60" t="s">
        <v>162</v>
      </c>
      <c r="L32" s="60" t="s">
        <v>346</v>
      </c>
      <c r="M32" s="60" t="s">
        <v>347</v>
      </c>
      <c r="N32" s="60">
        <v>13.5</v>
      </c>
      <c r="O32" s="60" t="s">
        <v>348</v>
      </c>
    </row>
    <row r="33">
      <c r="D33" s="54">
        <f>E33*'Measure conversion'!$C$2</f>
        <v>0.129</v>
      </c>
      <c r="E33" s="54">
        <f t="shared" si="1"/>
        <v>0.129</v>
      </c>
      <c r="F33" s="54">
        <f t="shared" si="2"/>
        <v>2003</v>
      </c>
      <c r="G33" s="54">
        <f t="shared" si="3"/>
        <v>8</v>
      </c>
      <c r="H33" s="58" t="s">
        <v>343</v>
      </c>
      <c r="I33" s="59">
        <v>37834.0</v>
      </c>
      <c r="J33" s="60" t="s">
        <v>344</v>
      </c>
      <c r="K33" s="60" t="s">
        <v>162</v>
      </c>
      <c r="L33" s="60" t="s">
        <v>346</v>
      </c>
      <c r="M33" s="60" t="s">
        <v>347</v>
      </c>
      <c r="N33" s="60">
        <v>12.9</v>
      </c>
      <c r="O33" s="60" t="s">
        <v>348</v>
      </c>
    </row>
    <row r="34">
      <c r="D34" s="54">
        <f>E34*'Measure conversion'!$C$2</f>
        <v>0.1008</v>
      </c>
      <c r="E34" s="54">
        <f t="shared" si="1"/>
        <v>0.1008</v>
      </c>
      <c r="F34" s="54">
        <f t="shared" si="2"/>
        <v>2003</v>
      </c>
      <c r="G34" s="54">
        <f t="shared" si="3"/>
        <v>9</v>
      </c>
      <c r="H34" s="58" t="s">
        <v>343</v>
      </c>
      <c r="I34" s="59">
        <v>37865.0</v>
      </c>
      <c r="J34" s="60" t="s">
        <v>344</v>
      </c>
      <c r="K34" s="60" t="s">
        <v>162</v>
      </c>
      <c r="L34" s="60" t="s">
        <v>346</v>
      </c>
      <c r="M34" s="60" t="s">
        <v>347</v>
      </c>
      <c r="N34" s="60">
        <v>10.08</v>
      </c>
      <c r="O34" s="60" t="s">
        <v>348</v>
      </c>
    </row>
    <row r="35">
      <c r="D35" s="54">
        <f>E35*'Measure conversion'!$C$2</f>
        <v>0.1047</v>
      </c>
      <c r="E35" s="54">
        <f t="shared" si="1"/>
        <v>0.1047</v>
      </c>
      <c r="F35" s="54">
        <f t="shared" si="2"/>
        <v>2003</v>
      </c>
      <c r="G35" s="54">
        <f t="shared" si="3"/>
        <v>10</v>
      </c>
      <c r="H35" s="58" t="s">
        <v>343</v>
      </c>
      <c r="I35" s="61">
        <v>37895.0</v>
      </c>
      <c r="J35" s="60" t="s">
        <v>344</v>
      </c>
      <c r="K35" s="60" t="s">
        <v>162</v>
      </c>
      <c r="L35" s="60" t="s">
        <v>346</v>
      </c>
      <c r="M35" s="60" t="s">
        <v>347</v>
      </c>
      <c r="N35" s="60">
        <v>10.47</v>
      </c>
      <c r="O35" s="60" t="s">
        <v>348</v>
      </c>
    </row>
    <row r="36">
      <c r="D36" s="54">
        <f>E36*'Measure conversion'!$C$2</f>
        <v>0.1254</v>
      </c>
      <c r="E36" s="54">
        <f t="shared" si="1"/>
        <v>0.1254</v>
      </c>
      <c r="F36" s="54">
        <f t="shared" si="2"/>
        <v>2003</v>
      </c>
      <c r="G36" s="54">
        <f t="shared" si="3"/>
        <v>11</v>
      </c>
      <c r="H36" s="58" t="s">
        <v>343</v>
      </c>
      <c r="I36" s="61">
        <v>37926.0</v>
      </c>
      <c r="J36" s="60" t="s">
        <v>344</v>
      </c>
      <c r="K36" s="60" t="s">
        <v>162</v>
      </c>
      <c r="L36" s="60" t="s">
        <v>346</v>
      </c>
      <c r="M36" s="60" t="s">
        <v>347</v>
      </c>
      <c r="N36" s="60">
        <v>12.54</v>
      </c>
      <c r="O36" s="60" t="s">
        <v>348</v>
      </c>
    </row>
    <row r="37">
      <c r="D37" s="54">
        <f>E37*'Measure conversion'!$C$2</f>
        <v>0.1245</v>
      </c>
      <c r="E37" s="54">
        <f t="shared" si="1"/>
        <v>0.1245</v>
      </c>
      <c r="F37" s="54">
        <f t="shared" si="2"/>
        <v>2003</v>
      </c>
      <c r="G37" s="54">
        <f t="shared" si="3"/>
        <v>12</v>
      </c>
      <c r="H37" s="58" t="s">
        <v>343</v>
      </c>
      <c r="I37" s="61">
        <v>37956.0</v>
      </c>
      <c r="J37" s="60" t="s">
        <v>344</v>
      </c>
      <c r="K37" s="60" t="s">
        <v>162</v>
      </c>
      <c r="L37" s="60" t="s">
        <v>346</v>
      </c>
      <c r="M37" s="60" t="s">
        <v>347</v>
      </c>
      <c r="N37" s="60">
        <v>12.45</v>
      </c>
      <c r="O37" s="60" t="s">
        <v>348</v>
      </c>
    </row>
    <row r="38">
      <c r="D38" s="54">
        <f>E38*'Measure conversion'!$C$2</f>
        <v>0.1259</v>
      </c>
      <c r="E38" s="54">
        <f t="shared" si="1"/>
        <v>0.1259</v>
      </c>
      <c r="F38" s="54">
        <f t="shared" si="2"/>
        <v>2004</v>
      </c>
      <c r="G38" s="54">
        <f t="shared" si="3"/>
        <v>1</v>
      </c>
      <c r="H38" s="58" t="s">
        <v>343</v>
      </c>
      <c r="I38" s="59">
        <v>37987.0</v>
      </c>
      <c r="J38" s="60" t="s">
        <v>344</v>
      </c>
      <c r="K38" s="60" t="s">
        <v>162</v>
      </c>
      <c r="L38" s="60" t="s">
        <v>346</v>
      </c>
      <c r="M38" s="60" t="s">
        <v>347</v>
      </c>
      <c r="N38" s="60">
        <v>12.59</v>
      </c>
      <c r="O38" s="60" t="s">
        <v>348</v>
      </c>
    </row>
    <row r="39">
      <c r="D39" s="54">
        <f>E39*'Measure conversion'!$C$2</f>
        <v>0.1239</v>
      </c>
      <c r="E39" s="54">
        <f t="shared" si="1"/>
        <v>0.1239</v>
      </c>
      <c r="F39" s="54">
        <f t="shared" si="2"/>
        <v>2004</v>
      </c>
      <c r="G39" s="54">
        <f t="shared" si="3"/>
        <v>2</v>
      </c>
      <c r="H39" s="58" t="s">
        <v>343</v>
      </c>
      <c r="I39" s="59">
        <v>38018.0</v>
      </c>
      <c r="J39" s="60" t="s">
        <v>344</v>
      </c>
      <c r="K39" s="60" t="s">
        <v>162</v>
      </c>
      <c r="L39" s="60" t="s">
        <v>346</v>
      </c>
      <c r="M39" s="60" t="s">
        <v>347</v>
      </c>
      <c r="N39" s="60">
        <v>12.39</v>
      </c>
      <c r="O39" s="60" t="s">
        <v>348</v>
      </c>
    </row>
    <row r="40">
      <c r="D40" s="54">
        <f>E40*'Measure conversion'!$C$2</f>
        <v>0.1214</v>
      </c>
      <c r="E40" s="54">
        <f t="shared" si="1"/>
        <v>0.1214</v>
      </c>
      <c r="F40" s="54">
        <f t="shared" si="2"/>
        <v>2004</v>
      </c>
      <c r="G40" s="54">
        <f t="shared" si="3"/>
        <v>3</v>
      </c>
      <c r="H40" s="58" t="s">
        <v>343</v>
      </c>
      <c r="I40" s="59">
        <v>38047.0</v>
      </c>
      <c r="J40" s="60" t="s">
        <v>344</v>
      </c>
      <c r="K40" s="60" t="s">
        <v>162</v>
      </c>
      <c r="L40" s="60" t="s">
        <v>346</v>
      </c>
      <c r="M40" s="60" t="s">
        <v>347</v>
      </c>
      <c r="N40" s="60">
        <v>12.14</v>
      </c>
      <c r="O40" s="60" t="s">
        <v>348</v>
      </c>
    </row>
    <row r="41">
      <c r="D41" s="54">
        <f>E41*'Measure conversion'!$C$2</f>
        <v>0.1143</v>
      </c>
      <c r="E41" s="54">
        <f t="shared" si="1"/>
        <v>0.1143</v>
      </c>
      <c r="F41" s="54">
        <f t="shared" si="2"/>
        <v>2004</v>
      </c>
      <c r="G41" s="54">
        <f t="shared" si="3"/>
        <v>4</v>
      </c>
      <c r="H41" s="58" t="s">
        <v>343</v>
      </c>
      <c r="I41" s="59">
        <v>38078.0</v>
      </c>
      <c r="J41" s="60" t="s">
        <v>344</v>
      </c>
      <c r="K41" s="60" t="s">
        <v>162</v>
      </c>
      <c r="L41" s="60" t="s">
        <v>346</v>
      </c>
      <c r="M41" s="60" t="s">
        <v>347</v>
      </c>
      <c r="N41" s="60">
        <v>11.43</v>
      </c>
      <c r="O41" s="60" t="s">
        <v>348</v>
      </c>
    </row>
    <row r="42">
      <c r="D42" s="54">
        <f>E42*'Measure conversion'!$C$2</f>
        <v>0.1197</v>
      </c>
      <c r="E42" s="54">
        <f t="shared" si="1"/>
        <v>0.1197</v>
      </c>
      <c r="F42" s="54">
        <f t="shared" si="2"/>
        <v>2004</v>
      </c>
      <c r="G42" s="54">
        <f t="shared" si="3"/>
        <v>5</v>
      </c>
      <c r="H42" s="58" t="s">
        <v>343</v>
      </c>
      <c r="I42" s="59">
        <v>38108.0</v>
      </c>
      <c r="J42" s="60" t="s">
        <v>344</v>
      </c>
      <c r="K42" s="60" t="s">
        <v>162</v>
      </c>
      <c r="L42" s="60" t="s">
        <v>346</v>
      </c>
      <c r="M42" s="60" t="s">
        <v>347</v>
      </c>
      <c r="N42" s="60">
        <v>11.97</v>
      </c>
      <c r="O42" s="60" t="s">
        <v>348</v>
      </c>
    </row>
    <row r="43">
      <c r="D43" s="54">
        <f>E43*'Measure conversion'!$C$2</f>
        <v>0.124</v>
      </c>
      <c r="E43" s="54">
        <f t="shared" si="1"/>
        <v>0.124</v>
      </c>
      <c r="F43" s="54">
        <f t="shared" si="2"/>
        <v>2004</v>
      </c>
      <c r="G43" s="54">
        <f t="shared" si="3"/>
        <v>6</v>
      </c>
      <c r="H43" s="58" t="s">
        <v>343</v>
      </c>
      <c r="I43" s="59">
        <v>38139.0</v>
      </c>
      <c r="J43" s="60" t="s">
        <v>344</v>
      </c>
      <c r="K43" s="60" t="s">
        <v>162</v>
      </c>
      <c r="L43" s="60" t="s">
        <v>346</v>
      </c>
      <c r="M43" s="60" t="s">
        <v>347</v>
      </c>
      <c r="N43" s="60">
        <v>12.4</v>
      </c>
      <c r="O43" s="60" t="s">
        <v>348</v>
      </c>
    </row>
    <row r="44">
      <c r="D44" s="54">
        <f>E44*'Measure conversion'!$C$2</f>
        <v>0.1219</v>
      </c>
      <c r="E44" s="54">
        <f t="shared" si="1"/>
        <v>0.1219</v>
      </c>
      <c r="F44" s="54">
        <f t="shared" si="2"/>
        <v>2004</v>
      </c>
      <c r="G44" s="54">
        <f t="shared" si="3"/>
        <v>7</v>
      </c>
      <c r="H44" s="58" t="s">
        <v>343</v>
      </c>
      <c r="I44" s="59">
        <v>38169.0</v>
      </c>
      <c r="J44" s="60" t="s">
        <v>344</v>
      </c>
      <c r="K44" s="60" t="s">
        <v>162</v>
      </c>
      <c r="L44" s="60" t="s">
        <v>346</v>
      </c>
      <c r="M44" s="60" t="s">
        <v>347</v>
      </c>
      <c r="N44" s="60">
        <v>12.19</v>
      </c>
      <c r="O44" s="60" t="s">
        <v>348</v>
      </c>
    </row>
    <row r="45">
      <c r="D45" s="54">
        <f>E45*'Measure conversion'!$C$2</f>
        <v>0.125</v>
      </c>
      <c r="E45" s="54">
        <f t="shared" si="1"/>
        <v>0.125</v>
      </c>
      <c r="F45" s="54">
        <f t="shared" si="2"/>
        <v>2004</v>
      </c>
      <c r="G45" s="54">
        <f t="shared" si="3"/>
        <v>8</v>
      </c>
      <c r="H45" s="58" t="s">
        <v>343</v>
      </c>
      <c r="I45" s="59">
        <v>38200.0</v>
      </c>
      <c r="J45" s="60" t="s">
        <v>344</v>
      </c>
      <c r="K45" s="60" t="s">
        <v>162</v>
      </c>
      <c r="L45" s="60" t="s">
        <v>346</v>
      </c>
      <c r="M45" s="60" t="s">
        <v>347</v>
      </c>
      <c r="N45" s="60">
        <v>12.5</v>
      </c>
      <c r="O45" s="60" t="s">
        <v>348</v>
      </c>
    </row>
    <row r="46">
      <c r="D46" s="54">
        <f>E46*'Measure conversion'!$C$2</f>
        <v>0.1218</v>
      </c>
      <c r="E46" s="54">
        <f t="shared" si="1"/>
        <v>0.1218</v>
      </c>
      <c r="F46" s="54">
        <f t="shared" si="2"/>
        <v>2004</v>
      </c>
      <c r="G46" s="54">
        <f t="shared" si="3"/>
        <v>9</v>
      </c>
      <c r="H46" s="58" t="s">
        <v>343</v>
      </c>
      <c r="I46" s="59">
        <v>38231.0</v>
      </c>
      <c r="J46" s="60" t="s">
        <v>344</v>
      </c>
      <c r="K46" s="60" t="s">
        <v>162</v>
      </c>
      <c r="L46" s="60" t="s">
        <v>346</v>
      </c>
      <c r="M46" s="60" t="s">
        <v>347</v>
      </c>
      <c r="N46" s="60">
        <v>12.18</v>
      </c>
      <c r="O46" s="60" t="s">
        <v>348</v>
      </c>
    </row>
    <row r="47">
      <c r="D47" s="54">
        <f>E47*'Measure conversion'!$C$2</f>
        <v>0.1143</v>
      </c>
      <c r="E47" s="54">
        <f t="shared" si="1"/>
        <v>0.1143</v>
      </c>
      <c r="F47" s="54">
        <f t="shared" si="2"/>
        <v>2004</v>
      </c>
      <c r="G47" s="54">
        <f t="shared" si="3"/>
        <v>10</v>
      </c>
      <c r="H47" s="58" t="s">
        <v>343</v>
      </c>
      <c r="I47" s="61">
        <v>38261.0</v>
      </c>
      <c r="J47" s="60" t="s">
        <v>344</v>
      </c>
      <c r="K47" s="60" t="s">
        <v>162</v>
      </c>
      <c r="L47" s="60" t="s">
        <v>346</v>
      </c>
      <c r="M47" s="60" t="s">
        <v>347</v>
      </c>
      <c r="N47" s="60">
        <v>11.43</v>
      </c>
      <c r="O47" s="60" t="s">
        <v>348</v>
      </c>
    </row>
    <row r="48">
      <c r="D48" s="54">
        <f>E48*'Measure conversion'!$C$2</f>
        <v>0.125</v>
      </c>
      <c r="E48" s="54">
        <f t="shared" si="1"/>
        <v>0.125</v>
      </c>
      <c r="F48" s="54">
        <f t="shared" si="2"/>
        <v>2004</v>
      </c>
      <c r="G48" s="54">
        <f t="shared" si="3"/>
        <v>11</v>
      </c>
      <c r="H48" s="58" t="s">
        <v>343</v>
      </c>
      <c r="I48" s="61">
        <v>38292.0</v>
      </c>
      <c r="J48" s="60" t="s">
        <v>344</v>
      </c>
      <c r="K48" s="60" t="s">
        <v>162</v>
      </c>
      <c r="L48" s="60" t="s">
        <v>346</v>
      </c>
      <c r="M48" s="60" t="s">
        <v>347</v>
      </c>
      <c r="N48" s="60">
        <v>12.5</v>
      </c>
      <c r="O48" s="60" t="s">
        <v>348</v>
      </c>
    </row>
    <row r="49">
      <c r="D49" s="54">
        <f>E49*'Measure conversion'!$C$2</f>
        <v>0.124</v>
      </c>
      <c r="E49" s="54">
        <f t="shared" si="1"/>
        <v>0.124</v>
      </c>
      <c r="F49" s="54">
        <f t="shared" si="2"/>
        <v>2004</v>
      </c>
      <c r="G49" s="54">
        <f t="shared" si="3"/>
        <v>12</v>
      </c>
      <c r="H49" s="58" t="s">
        <v>343</v>
      </c>
      <c r="I49" s="61">
        <v>38322.0</v>
      </c>
      <c r="J49" s="60" t="s">
        <v>344</v>
      </c>
      <c r="K49" s="60" t="s">
        <v>162</v>
      </c>
      <c r="L49" s="60" t="s">
        <v>346</v>
      </c>
      <c r="M49" s="60" t="s">
        <v>347</v>
      </c>
      <c r="N49" s="60">
        <v>12.4</v>
      </c>
      <c r="O49" s="60" t="s">
        <v>348</v>
      </c>
    </row>
    <row r="50">
      <c r="D50" s="54">
        <f>E50*'Measure conversion'!$C$2</f>
        <v>0.1219</v>
      </c>
      <c r="E50" s="54">
        <f t="shared" si="1"/>
        <v>0.1219</v>
      </c>
      <c r="F50" s="54">
        <f t="shared" si="2"/>
        <v>2005</v>
      </c>
      <c r="G50" s="54">
        <f t="shared" si="3"/>
        <v>1</v>
      </c>
      <c r="H50" s="58" t="s">
        <v>343</v>
      </c>
      <c r="I50" s="59">
        <v>38353.0</v>
      </c>
      <c r="J50" s="60" t="s">
        <v>344</v>
      </c>
      <c r="K50" s="60" t="s">
        <v>162</v>
      </c>
      <c r="L50" s="60" t="s">
        <v>346</v>
      </c>
      <c r="M50" s="60" t="s">
        <v>347</v>
      </c>
      <c r="N50" s="60">
        <v>12.19</v>
      </c>
      <c r="O50" s="60" t="s">
        <v>348</v>
      </c>
    </row>
    <row r="51">
      <c r="D51" s="54">
        <f>E51*'Measure conversion'!$C$2</f>
        <v>0.1233</v>
      </c>
      <c r="E51" s="54">
        <f t="shared" si="1"/>
        <v>0.1233</v>
      </c>
      <c r="F51" s="54">
        <f t="shared" si="2"/>
        <v>2005</v>
      </c>
      <c r="G51" s="54">
        <f t="shared" si="3"/>
        <v>2</v>
      </c>
      <c r="H51" s="58" t="s">
        <v>343</v>
      </c>
      <c r="I51" s="59">
        <v>38384.0</v>
      </c>
      <c r="J51" s="60" t="s">
        <v>344</v>
      </c>
      <c r="K51" s="60" t="s">
        <v>162</v>
      </c>
      <c r="L51" s="60" t="s">
        <v>346</v>
      </c>
      <c r="M51" s="60" t="s">
        <v>347</v>
      </c>
      <c r="N51" s="60">
        <v>12.33</v>
      </c>
      <c r="O51" s="60" t="s">
        <v>348</v>
      </c>
    </row>
    <row r="52">
      <c r="D52" s="54">
        <f>E52*'Measure conversion'!$C$2</f>
        <v>0.1128</v>
      </c>
      <c r="E52" s="54">
        <f t="shared" si="1"/>
        <v>0.1128</v>
      </c>
      <c r="F52" s="54">
        <f t="shared" si="2"/>
        <v>2005</v>
      </c>
      <c r="G52" s="54">
        <f t="shared" si="3"/>
        <v>3</v>
      </c>
      <c r="H52" s="58" t="s">
        <v>343</v>
      </c>
      <c r="I52" s="59">
        <v>38412.0</v>
      </c>
      <c r="J52" s="60" t="s">
        <v>344</v>
      </c>
      <c r="K52" s="60" t="s">
        <v>162</v>
      </c>
      <c r="L52" s="60" t="s">
        <v>346</v>
      </c>
      <c r="M52" s="60" t="s">
        <v>347</v>
      </c>
      <c r="N52" s="60">
        <v>11.28</v>
      </c>
      <c r="O52" s="60" t="s">
        <v>348</v>
      </c>
    </row>
    <row r="53">
      <c r="D53" s="54">
        <f>E53*'Measure conversion'!$C$2</f>
        <v>0.1212</v>
      </c>
      <c r="E53" s="54">
        <f t="shared" si="1"/>
        <v>0.1212</v>
      </c>
      <c r="F53" s="54">
        <f t="shared" si="2"/>
        <v>2005</v>
      </c>
      <c r="G53" s="54">
        <f t="shared" si="3"/>
        <v>4</v>
      </c>
      <c r="H53" s="58" t="s">
        <v>343</v>
      </c>
      <c r="I53" s="59">
        <v>38443.0</v>
      </c>
      <c r="J53" s="60" t="s">
        <v>344</v>
      </c>
      <c r="K53" s="60" t="s">
        <v>162</v>
      </c>
      <c r="L53" s="60" t="s">
        <v>346</v>
      </c>
      <c r="M53" s="60" t="s">
        <v>347</v>
      </c>
      <c r="N53" s="60">
        <v>12.12</v>
      </c>
      <c r="O53" s="60" t="s">
        <v>348</v>
      </c>
    </row>
    <row r="54">
      <c r="D54" s="54">
        <f>E54*'Measure conversion'!$C$2</f>
        <v>0.1257</v>
      </c>
      <c r="E54" s="54">
        <f t="shared" si="1"/>
        <v>0.1257</v>
      </c>
      <c r="F54" s="54">
        <f t="shared" si="2"/>
        <v>2005</v>
      </c>
      <c r="G54" s="54">
        <f t="shared" si="3"/>
        <v>5</v>
      </c>
      <c r="H54" s="58" t="s">
        <v>343</v>
      </c>
      <c r="I54" s="59">
        <v>38473.0</v>
      </c>
      <c r="J54" s="60" t="s">
        <v>344</v>
      </c>
      <c r="K54" s="60" t="s">
        <v>162</v>
      </c>
      <c r="L54" s="60" t="s">
        <v>346</v>
      </c>
      <c r="M54" s="60" t="s">
        <v>347</v>
      </c>
      <c r="N54" s="60">
        <v>12.57</v>
      </c>
      <c r="O54" s="60" t="s">
        <v>348</v>
      </c>
    </row>
    <row r="55">
      <c r="D55" s="54">
        <f>E55*'Measure conversion'!$C$2</f>
        <v>0.134</v>
      </c>
      <c r="E55" s="54">
        <f t="shared" si="1"/>
        <v>0.134</v>
      </c>
      <c r="F55" s="54">
        <f t="shared" si="2"/>
        <v>2005</v>
      </c>
      <c r="G55" s="54">
        <f t="shared" si="3"/>
        <v>6</v>
      </c>
      <c r="H55" s="58" t="s">
        <v>343</v>
      </c>
      <c r="I55" s="59">
        <v>38504.0</v>
      </c>
      <c r="J55" s="60" t="s">
        <v>344</v>
      </c>
      <c r="K55" s="60" t="s">
        <v>162</v>
      </c>
      <c r="L55" s="60" t="s">
        <v>346</v>
      </c>
      <c r="M55" s="60" t="s">
        <v>347</v>
      </c>
      <c r="N55" s="60">
        <v>13.4</v>
      </c>
      <c r="O55" s="60" t="s">
        <v>348</v>
      </c>
    </row>
    <row r="56">
      <c r="D56" s="54">
        <f>E56*'Measure conversion'!$C$2</f>
        <v>0.1316</v>
      </c>
      <c r="E56" s="54">
        <f t="shared" si="1"/>
        <v>0.1316</v>
      </c>
      <c r="F56" s="54">
        <f t="shared" si="2"/>
        <v>2005</v>
      </c>
      <c r="G56" s="54">
        <f t="shared" si="3"/>
        <v>7</v>
      </c>
      <c r="H56" s="58" t="s">
        <v>343</v>
      </c>
      <c r="I56" s="59">
        <v>38534.0</v>
      </c>
      <c r="J56" s="60" t="s">
        <v>344</v>
      </c>
      <c r="K56" s="60" t="s">
        <v>162</v>
      </c>
      <c r="L56" s="60" t="s">
        <v>346</v>
      </c>
      <c r="M56" s="60" t="s">
        <v>347</v>
      </c>
      <c r="N56" s="60">
        <v>13.16</v>
      </c>
      <c r="O56" s="60" t="s">
        <v>348</v>
      </c>
    </row>
    <row r="57">
      <c r="D57" s="54">
        <f>E57*'Measure conversion'!$C$2</f>
        <v>0.1343</v>
      </c>
      <c r="E57" s="54">
        <f t="shared" si="1"/>
        <v>0.1343</v>
      </c>
      <c r="F57" s="54">
        <f t="shared" si="2"/>
        <v>2005</v>
      </c>
      <c r="G57" s="54">
        <f t="shared" si="3"/>
        <v>8</v>
      </c>
      <c r="H57" s="58" t="s">
        <v>343</v>
      </c>
      <c r="I57" s="59">
        <v>38565.0</v>
      </c>
      <c r="J57" s="60" t="s">
        <v>344</v>
      </c>
      <c r="K57" s="60" t="s">
        <v>162</v>
      </c>
      <c r="L57" s="60" t="s">
        <v>346</v>
      </c>
      <c r="M57" s="60" t="s">
        <v>347</v>
      </c>
      <c r="N57" s="60">
        <v>13.43</v>
      </c>
      <c r="O57" s="60" t="s">
        <v>348</v>
      </c>
    </row>
    <row r="58">
      <c r="D58" s="54">
        <f>E58*'Measure conversion'!$C$2</f>
        <v>0.1214</v>
      </c>
      <c r="E58" s="54">
        <f t="shared" si="1"/>
        <v>0.1214</v>
      </c>
      <c r="F58" s="54">
        <f t="shared" si="2"/>
        <v>2005</v>
      </c>
      <c r="G58" s="54">
        <f t="shared" si="3"/>
        <v>9</v>
      </c>
      <c r="H58" s="58" t="s">
        <v>343</v>
      </c>
      <c r="I58" s="59">
        <v>38596.0</v>
      </c>
      <c r="J58" s="60" t="s">
        <v>344</v>
      </c>
      <c r="K58" s="60" t="s">
        <v>162</v>
      </c>
      <c r="L58" s="60" t="s">
        <v>346</v>
      </c>
      <c r="M58" s="60" t="s">
        <v>347</v>
      </c>
      <c r="N58" s="60">
        <v>12.14</v>
      </c>
      <c r="O58" s="60" t="s">
        <v>348</v>
      </c>
    </row>
    <row r="59">
      <c r="D59" s="54">
        <f>E59*'Measure conversion'!$C$2</f>
        <v>0.113</v>
      </c>
      <c r="E59" s="54">
        <f t="shared" si="1"/>
        <v>0.113</v>
      </c>
      <c r="F59" s="54">
        <f t="shared" si="2"/>
        <v>2005</v>
      </c>
      <c r="G59" s="54">
        <f t="shared" si="3"/>
        <v>10</v>
      </c>
      <c r="H59" s="58" t="s">
        <v>343</v>
      </c>
      <c r="I59" s="61">
        <v>38626.0</v>
      </c>
      <c r="J59" s="60" t="s">
        <v>344</v>
      </c>
      <c r="K59" s="60" t="s">
        <v>162</v>
      </c>
      <c r="L59" s="60" t="s">
        <v>346</v>
      </c>
      <c r="M59" s="60" t="s">
        <v>347</v>
      </c>
      <c r="N59" s="60">
        <v>11.3</v>
      </c>
      <c r="O59" s="60" t="s">
        <v>348</v>
      </c>
    </row>
    <row r="60">
      <c r="D60" s="54">
        <f>E60*'Measure conversion'!$C$2</f>
        <v>0.128</v>
      </c>
      <c r="E60" s="54">
        <f t="shared" si="1"/>
        <v>0.128</v>
      </c>
      <c r="F60" s="54">
        <f t="shared" si="2"/>
        <v>2005</v>
      </c>
      <c r="G60" s="54">
        <f t="shared" si="3"/>
        <v>11</v>
      </c>
      <c r="H60" s="58" t="s">
        <v>343</v>
      </c>
      <c r="I60" s="61">
        <v>38657.0</v>
      </c>
      <c r="J60" s="60" t="s">
        <v>344</v>
      </c>
      <c r="K60" s="60" t="s">
        <v>162</v>
      </c>
      <c r="L60" s="60" t="s">
        <v>346</v>
      </c>
      <c r="M60" s="60" t="s">
        <v>347</v>
      </c>
      <c r="N60" s="60">
        <v>12.8</v>
      </c>
      <c r="O60" s="60" t="s">
        <v>348</v>
      </c>
    </row>
    <row r="61">
      <c r="D61" s="54">
        <f>E61*'Measure conversion'!$C$2</f>
        <v>0.1291</v>
      </c>
      <c r="E61" s="54">
        <f t="shared" si="1"/>
        <v>0.1291</v>
      </c>
      <c r="F61" s="54">
        <f t="shared" si="2"/>
        <v>2005</v>
      </c>
      <c r="G61" s="54">
        <f t="shared" si="3"/>
        <v>12</v>
      </c>
      <c r="H61" s="58" t="s">
        <v>343</v>
      </c>
      <c r="I61" s="61">
        <v>38687.0</v>
      </c>
      <c r="J61" s="60" t="s">
        <v>344</v>
      </c>
      <c r="K61" s="60" t="s">
        <v>162</v>
      </c>
      <c r="L61" s="60" t="s">
        <v>346</v>
      </c>
      <c r="M61" s="60" t="s">
        <v>347</v>
      </c>
      <c r="N61" s="60">
        <v>12.91</v>
      </c>
      <c r="O61" s="60" t="s">
        <v>348</v>
      </c>
    </row>
    <row r="62">
      <c r="D62" s="54">
        <f>E62*'Measure conversion'!$C$2</f>
        <v>0.1314</v>
      </c>
      <c r="E62" s="54">
        <f t="shared" si="1"/>
        <v>0.1314</v>
      </c>
      <c r="F62" s="54">
        <f t="shared" si="2"/>
        <v>2006</v>
      </c>
      <c r="G62" s="54">
        <f t="shared" si="3"/>
        <v>1</v>
      </c>
      <c r="H62" s="58" t="s">
        <v>343</v>
      </c>
      <c r="I62" s="59">
        <v>38718.0</v>
      </c>
      <c r="J62" s="60" t="s">
        <v>344</v>
      </c>
      <c r="K62" s="60" t="s">
        <v>162</v>
      </c>
      <c r="L62" s="60" t="s">
        <v>346</v>
      </c>
      <c r="M62" s="60" t="s">
        <v>347</v>
      </c>
      <c r="N62" s="60">
        <v>13.14</v>
      </c>
      <c r="O62" s="60" t="s">
        <v>348</v>
      </c>
    </row>
    <row r="63">
      <c r="D63" s="54">
        <f>E63*'Measure conversion'!$C$2</f>
        <v>0.1345</v>
      </c>
      <c r="E63" s="54">
        <f t="shared" si="1"/>
        <v>0.1345</v>
      </c>
      <c r="F63" s="54">
        <f t="shared" si="2"/>
        <v>2006</v>
      </c>
      <c r="G63" s="54">
        <f t="shared" si="3"/>
        <v>2</v>
      </c>
      <c r="H63" s="58" t="s">
        <v>343</v>
      </c>
      <c r="I63" s="59">
        <v>38749.0</v>
      </c>
      <c r="J63" s="60" t="s">
        <v>344</v>
      </c>
      <c r="K63" s="60" t="s">
        <v>162</v>
      </c>
      <c r="L63" s="60" t="s">
        <v>346</v>
      </c>
      <c r="M63" s="60" t="s">
        <v>347</v>
      </c>
      <c r="N63" s="60">
        <v>13.45</v>
      </c>
      <c r="O63" s="60" t="s">
        <v>348</v>
      </c>
    </row>
    <row r="64">
      <c r="D64" s="54">
        <f>E64*'Measure conversion'!$C$2</f>
        <v>0.1372</v>
      </c>
      <c r="E64" s="54">
        <f t="shared" si="1"/>
        <v>0.1372</v>
      </c>
      <c r="F64" s="54">
        <f t="shared" si="2"/>
        <v>2006</v>
      </c>
      <c r="G64" s="54">
        <f t="shared" si="3"/>
        <v>3</v>
      </c>
      <c r="H64" s="58" t="s">
        <v>343</v>
      </c>
      <c r="I64" s="59">
        <v>38777.0</v>
      </c>
      <c r="J64" s="60" t="s">
        <v>344</v>
      </c>
      <c r="K64" s="60" t="s">
        <v>162</v>
      </c>
      <c r="L64" s="60" t="s">
        <v>346</v>
      </c>
      <c r="M64" s="60" t="s">
        <v>347</v>
      </c>
      <c r="N64" s="60">
        <v>13.72</v>
      </c>
      <c r="O64" s="60" t="s">
        <v>348</v>
      </c>
    </row>
    <row r="65">
      <c r="D65" s="54">
        <f>E65*'Measure conversion'!$C$2</f>
        <v>0.1399</v>
      </c>
      <c r="E65" s="54">
        <f t="shared" si="1"/>
        <v>0.1399</v>
      </c>
      <c r="F65" s="54">
        <f t="shared" si="2"/>
        <v>2006</v>
      </c>
      <c r="G65" s="54">
        <f t="shared" si="3"/>
        <v>4</v>
      </c>
      <c r="H65" s="58" t="s">
        <v>343</v>
      </c>
      <c r="I65" s="59">
        <v>38808.0</v>
      </c>
      <c r="J65" s="60" t="s">
        <v>344</v>
      </c>
      <c r="K65" s="60" t="s">
        <v>162</v>
      </c>
      <c r="L65" s="60" t="s">
        <v>346</v>
      </c>
      <c r="M65" s="60" t="s">
        <v>347</v>
      </c>
      <c r="N65" s="60">
        <v>13.99</v>
      </c>
      <c r="O65" s="60" t="s">
        <v>348</v>
      </c>
    </row>
    <row r="66">
      <c r="D66" s="54">
        <f>E66*'Measure conversion'!$C$2</f>
        <v>0.1404</v>
      </c>
      <c r="E66" s="54">
        <f t="shared" si="1"/>
        <v>0.1404</v>
      </c>
      <c r="F66" s="54">
        <f t="shared" si="2"/>
        <v>2006</v>
      </c>
      <c r="G66" s="54">
        <f t="shared" si="3"/>
        <v>5</v>
      </c>
      <c r="H66" s="58" t="s">
        <v>343</v>
      </c>
      <c r="I66" s="59">
        <v>38838.0</v>
      </c>
      <c r="J66" s="60" t="s">
        <v>344</v>
      </c>
      <c r="K66" s="60" t="s">
        <v>162</v>
      </c>
      <c r="L66" s="60" t="s">
        <v>346</v>
      </c>
      <c r="M66" s="60" t="s">
        <v>347</v>
      </c>
      <c r="N66" s="60">
        <v>14.04</v>
      </c>
      <c r="O66" s="60" t="s">
        <v>348</v>
      </c>
    </row>
    <row r="67">
      <c r="D67" s="54">
        <f>E67*'Measure conversion'!$C$2</f>
        <v>0.1517</v>
      </c>
      <c r="E67" s="54">
        <f t="shared" si="1"/>
        <v>0.1517</v>
      </c>
      <c r="F67" s="54">
        <f t="shared" si="2"/>
        <v>2006</v>
      </c>
      <c r="G67" s="54">
        <f t="shared" si="3"/>
        <v>6</v>
      </c>
      <c r="H67" s="58" t="s">
        <v>343</v>
      </c>
      <c r="I67" s="59">
        <v>38869.0</v>
      </c>
      <c r="J67" s="60" t="s">
        <v>344</v>
      </c>
      <c r="K67" s="60" t="s">
        <v>162</v>
      </c>
      <c r="L67" s="60" t="s">
        <v>346</v>
      </c>
      <c r="M67" s="60" t="s">
        <v>347</v>
      </c>
      <c r="N67" s="60">
        <v>15.17</v>
      </c>
      <c r="O67" s="60" t="s">
        <v>348</v>
      </c>
    </row>
    <row r="68">
      <c r="D68" s="54">
        <f>E68*'Measure conversion'!$C$2</f>
        <v>0.1665</v>
      </c>
      <c r="E68" s="54">
        <f t="shared" si="1"/>
        <v>0.1665</v>
      </c>
      <c r="F68" s="54">
        <f t="shared" si="2"/>
        <v>2006</v>
      </c>
      <c r="G68" s="54">
        <f t="shared" si="3"/>
        <v>7</v>
      </c>
      <c r="H68" s="58" t="s">
        <v>343</v>
      </c>
      <c r="I68" s="59">
        <v>38899.0</v>
      </c>
      <c r="J68" s="60" t="s">
        <v>344</v>
      </c>
      <c r="K68" s="60" t="s">
        <v>162</v>
      </c>
      <c r="L68" s="60" t="s">
        <v>346</v>
      </c>
      <c r="M68" s="60" t="s">
        <v>347</v>
      </c>
      <c r="N68" s="60">
        <v>16.65</v>
      </c>
      <c r="O68" s="60" t="s">
        <v>348</v>
      </c>
    </row>
    <row r="69">
      <c r="D69" s="54">
        <f>E69*'Measure conversion'!$C$2</f>
        <v>0.1489</v>
      </c>
      <c r="E69" s="54">
        <f t="shared" si="1"/>
        <v>0.1489</v>
      </c>
      <c r="F69" s="54">
        <f t="shared" si="2"/>
        <v>2006</v>
      </c>
      <c r="G69" s="54">
        <f t="shared" si="3"/>
        <v>8</v>
      </c>
      <c r="H69" s="58" t="s">
        <v>343</v>
      </c>
      <c r="I69" s="59">
        <v>38930.0</v>
      </c>
      <c r="J69" s="60" t="s">
        <v>344</v>
      </c>
      <c r="K69" s="60" t="s">
        <v>162</v>
      </c>
      <c r="L69" s="60" t="s">
        <v>346</v>
      </c>
      <c r="M69" s="60" t="s">
        <v>347</v>
      </c>
      <c r="N69" s="60">
        <v>14.89</v>
      </c>
      <c r="O69" s="60" t="s">
        <v>348</v>
      </c>
    </row>
    <row r="70">
      <c r="D70" s="54">
        <f>E70*'Measure conversion'!$C$2</f>
        <v>0.1457</v>
      </c>
      <c r="E70" s="54">
        <f t="shared" si="1"/>
        <v>0.1457</v>
      </c>
      <c r="F70" s="54">
        <f t="shared" si="2"/>
        <v>2006</v>
      </c>
      <c r="G70" s="54">
        <f t="shared" si="3"/>
        <v>9</v>
      </c>
      <c r="H70" s="58" t="s">
        <v>343</v>
      </c>
      <c r="I70" s="59">
        <v>38961.0</v>
      </c>
      <c r="J70" s="60" t="s">
        <v>344</v>
      </c>
      <c r="K70" s="60" t="s">
        <v>162</v>
      </c>
      <c r="L70" s="60" t="s">
        <v>346</v>
      </c>
      <c r="M70" s="60" t="s">
        <v>347</v>
      </c>
      <c r="N70" s="60">
        <v>14.57</v>
      </c>
      <c r="O70" s="60" t="s">
        <v>348</v>
      </c>
    </row>
    <row r="71">
      <c r="D71" s="54">
        <f>E71*'Measure conversion'!$C$2</f>
        <v>0.122</v>
      </c>
      <c r="E71" s="54">
        <f t="shared" si="1"/>
        <v>0.122</v>
      </c>
      <c r="F71" s="54">
        <f t="shared" si="2"/>
        <v>2006</v>
      </c>
      <c r="G71" s="54">
        <f t="shared" si="3"/>
        <v>10</v>
      </c>
      <c r="H71" s="58" t="s">
        <v>343</v>
      </c>
      <c r="I71" s="61">
        <v>38991.0</v>
      </c>
      <c r="J71" s="60" t="s">
        <v>344</v>
      </c>
      <c r="K71" s="60" t="s">
        <v>162</v>
      </c>
      <c r="L71" s="60" t="s">
        <v>346</v>
      </c>
      <c r="M71" s="60" t="s">
        <v>347</v>
      </c>
      <c r="N71" s="60">
        <v>12.2</v>
      </c>
      <c r="O71" s="60" t="s">
        <v>348</v>
      </c>
    </row>
    <row r="72">
      <c r="D72" s="54">
        <f>E72*'Measure conversion'!$C$2</f>
        <v>0.1447</v>
      </c>
      <c r="E72" s="54">
        <f t="shared" si="1"/>
        <v>0.1447</v>
      </c>
      <c r="F72" s="54">
        <f t="shared" si="2"/>
        <v>2006</v>
      </c>
      <c r="G72" s="54">
        <f t="shared" si="3"/>
        <v>11</v>
      </c>
      <c r="H72" s="58" t="s">
        <v>343</v>
      </c>
      <c r="I72" s="61">
        <v>39022.0</v>
      </c>
      <c r="J72" s="60" t="s">
        <v>344</v>
      </c>
      <c r="K72" s="60" t="s">
        <v>162</v>
      </c>
      <c r="L72" s="60" t="s">
        <v>346</v>
      </c>
      <c r="M72" s="60" t="s">
        <v>347</v>
      </c>
      <c r="N72" s="60">
        <v>14.47</v>
      </c>
      <c r="O72" s="60" t="s">
        <v>348</v>
      </c>
    </row>
    <row r="73">
      <c r="D73" s="54">
        <f>E73*'Measure conversion'!$C$2</f>
        <v>0.1447</v>
      </c>
      <c r="E73" s="54">
        <f t="shared" si="1"/>
        <v>0.1447</v>
      </c>
      <c r="F73" s="54">
        <f t="shared" si="2"/>
        <v>2006</v>
      </c>
      <c r="G73" s="54">
        <f t="shared" si="3"/>
        <v>12</v>
      </c>
      <c r="H73" s="58" t="s">
        <v>343</v>
      </c>
      <c r="I73" s="61">
        <v>39052.0</v>
      </c>
      <c r="J73" s="60" t="s">
        <v>344</v>
      </c>
      <c r="K73" s="60" t="s">
        <v>162</v>
      </c>
      <c r="L73" s="60" t="s">
        <v>346</v>
      </c>
      <c r="M73" s="60" t="s">
        <v>347</v>
      </c>
      <c r="N73" s="60">
        <v>14.47</v>
      </c>
      <c r="O73" s="60" t="s">
        <v>348</v>
      </c>
    </row>
    <row r="74">
      <c r="D74" s="54">
        <f>E74*'Measure conversion'!$C$2</f>
        <v>0.1498</v>
      </c>
      <c r="E74" s="54">
        <f t="shared" si="1"/>
        <v>0.1498</v>
      </c>
      <c r="F74" s="54">
        <f t="shared" si="2"/>
        <v>2007</v>
      </c>
      <c r="G74" s="54">
        <f t="shared" si="3"/>
        <v>1</v>
      </c>
      <c r="H74" s="58" t="s">
        <v>343</v>
      </c>
      <c r="I74" s="59">
        <v>39083.0</v>
      </c>
      <c r="J74" s="60" t="s">
        <v>344</v>
      </c>
      <c r="K74" s="60" t="s">
        <v>162</v>
      </c>
      <c r="L74" s="60" t="s">
        <v>346</v>
      </c>
      <c r="M74" s="60" t="s">
        <v>347</v>
      </c>
      <c r="N74" s="60">
        <v>14.98</v>
      </c>
      <c r="O74" s="60" t="s">
        <v>348</v>
      </c>
    </row>
    <row r="75">
      <c r="D75" s="54">
        <f>E75*'Measure conversion'!$C$2</f>
        <v>0.1418</v>
      </c>
      <c r="E75" s="54">
        <f t="shared" si="1"/>
        <v>0.1418</v>
      </c>
      <c r="F75" s="54">
        <f t="shared" si="2"/>
        <v>2007</v>
      </c>
      <c r="G75" s="54">
        <f t="shared" si="3"/>
        <v>2</v>
      </c>
      <c r="H75" s="58" t="s">
        <v>343</v>
      </c>
      <c r="I75" s="59">
        <v>39114.0</v>
      </c>
      <c r="J75" s="60" t="s">
        <v>344</v>
      </c>
      <c r="K75" s="60" t="s">
        <v>162</v>
      </c>
      <c r="L75" s="60" t="s">
        <v>346</v>
      </c>
      <c r="M75" s="60" t="s">
        <v>347</v>
      </c>
      <c r="N75" s="60">
        <v>14.18</v>
      </c>
      <c r="O75" s="60" t="s">
        <v>348</v>
      </c>
    </row>
    <row r="76">
      <c r="D76" s="54">
        <f>E76*'Measure conversion'!$C$2</f>
        <v>0.1382</v>
      </c>
      <c r="E76" s="54">
        <f t="shared" si="1"/>
        <v>0.1382</v>
      </c>
      <c r="F76" s="54">
        <f t="shared" si="2"/>
        <v>2007</v>
      </c>
      <c r="G76" s="54">
        <f t="shared" si="3"/>
        <v>3</v>
      </c>
      <c r="H76" s="58" t="s">
        <v>343</v>
      </c>
      <c r="I76" s="59">
        <v>39142.0</v>
      </c>
      <c r="J76" s="60" t="s">
        <v>344</v>
      </c>
      <c r="K76" s="60" t="s">
        <v>162</v>
      </c>
      <c r="L76" s="60" t="s">
        <v>346</v>
      </c>
      <c r="M76" s="60" t="s">
        <v>347</v>
      </c>
      <c r="N76" s="60">
        <v>13.82</v>
      </c>
      <c r="O76" s="60" t="s">
        <v>348</v>
      </c>
    </row>
    <row r="77">
      <c r="D77" s="54">
        <f>E77*'Measure conversion'!$C$2</f>
        <v>0.1374</v>
      </c>
      <c r="E77" s="54">
        <f t="shared" si="1"/>
        <v>0.1374</v>
      </c>
      <c r="F77" s="54">
        <f t="shared" si="2"/>
        <v>2007</v>
      </c>
      <c r="G77" s="54">
        <f t="shared" si="3"/>
        <v>4</v>
      </c>
      <c r="H77" s="58" t="s">
        <v>343</v>
      </c>
      <c r="I77" s="59">
        <v>39173.0</v>
      </c>
      <c r="J77" s="60" t="s">
        <v>344</v>
      </c>
      <c r="K77" s="60" t="s">
        <v>162</v>
      </c>
      <c r="L77" s="60" t="s">
        <v>346</v>
      </c>
      <c r="M77" s="60" t="s">
        <v>347</v>
      </c>
      <c r="N77" s="60">
        <v>13.74</v>
      </c>
      <c r="O77" s="60" t="s">
        <v>348</v>
      </c>
    </row>
    <row r="78">
      <c r="D78" s="54">
        <f>E78*'Measure conversion'!$C$2</f>
        <v>0.1415</v>
      </c>
      <c r="E78" s="54">
        <f t="shared" si="1"/>
        <v>0.1415</v>
      </c>
      <c r="F78" s="54">
        <f t="shared" si="2"/>
        <v>2007</v>
      </c>
      <c r="G78" s="54">
        <f t="shared" si="3"/>
        <v>5</v>
      </c>
      <c r="H78" s="58" t="s">
        <v>343</v>
      </c>
      <c r="I78" s="59">
        <v>39203.0</v>
      </c>
      <c r="J78" s="60" t="s">
        <v>344</v>
      </c>
      <c r="K78" s="60" t="s">
        <v>162</v>
      </c>
      <c r="L78" s="60" t="s">
        <v>346</v>
      </c>
      <c r="M78" s="60" t="s">
        <v>347</v>
      </c>
      <c r="N78" s="60">
        <v>14.15</v>
      </c>
      <c r="O78" s="60" t="s">
        <v>348</v>
      </c>
    </row>
    <row r="79">
      <c r="D79" s="54">
        <f>E79*'Measure conversion'!$C$2</f>
        <v>0.1472</v>
      </c>
      <c r="E79" s="54">
        <f t="shared" si="1"/>
        <v>0.1472</v>
      </c>
      <c r="F79" s="54">
        <f t="shared" si="2"/>
        <v>2007</v>
      </c>
      <c r="G79" s="54">
        <f t="shared" si="3"/>
        <v>6</v>
      </c>
      <c r="H79" s="58" t="s">
        <v>343</v>
      </c>
      <c r="I79" s="59">
        <v>39234.0</v>
      </c>
      <c r="J79" s="60" t="s">
        <v>344</v>
      </c>
      <c r="K79" s="60" t="s">
        <v>162</v>
      </c>
      <c r="L79" s="60" t="s">
        <v>346</v>
      </c>
      <c r="M79" s="60" t="s">
        <v>347</v>
      </c>
      <c r="N79" s="60">
        <v>14.72</v>
      </c>
      <c r="O79" s="60" t="s">
        <v>348</v>
      </c>
    </row>
    <row r="80">
      <c r="D80" s="54">
        <f>E80*'Measure conversion'!$C$2</f>
        <v>0.1513</v>
      </c>
      <c r="E80" s="54">
        <f t="shared" si="1"/>
        <v>0.1513</v>
      </c>
      <c r="F80" s="54">
        <f t="shared" si="2"/>
        <v>2007</v>
      </c>
      <c r="G80" s="54">
        <f t="shared" si="3"/>
        <v>7</v>
      </c>
      <c r="H80" s="58" t="s">
        <v>343</v>
      </c>
      <c r="I80" s="59">
        <v>39264.0</v>
      </c>
      <c r="J80" s="60" t="s">
        <v>344</v>
      </c>
      <c r="K80" s="60" t="s">
        <v>162</v>
      </c>
      <c r="L80" s="60" t="s">
        <v>346</v>
      </c>
      <c r="M80" s="60" t="s">
        <v>347</v>
      </c>
      <c r="N80" s="60">
        <v>15.13</v>
      </c>
      <c r="O80" s="60" t="s">
        <v>348</v>
      </c>
    </row>
    <row r="81">
      <c r="D81" s="54">
        <f>E81*'Measure conversion'!$C$2</f>
        <v>0.1511</v>
      </c>
      <c r="E81" s="54">
        <f t="shared" si="1"/>
        <v>0.1511</v>
      </c>
      <c r="F81" s="54">
        <f t="shared" si="2"/>
        <v>2007</v>
      </c>
      <c r="G81" s="54">
        <f t="shared" si="3"/>
        <v>8</v>
      </c>
      <c r="H81" s="58" t="s">
        <v>343</v>
      </c>
      <c r="I81" s="59">
        <v>39295.0</v>
      </c>
      <c r="J81" s="60" t="s">
        <v>344</v>
      </c>
      <c r="K81" s="60" t="s">
        <v>162</v>
      </c>
      <c r="L81" s="60" t="s">
        <v>346</v>
      </c>
      <c r="M81" s="60" t="s">
        <v>347</v>
      </c>
      <c r="N81" s="60">
        <v>15.11</v>
      </c>
      <c r="O81" s="60" t="s">
        <v>348</v>
      </c>
    </row>
    <row r="82">
      <c r="D82" s="54">
        <f>E82*'Measure conversion'!$C$2</f>
        <v>0.151</v>
      </c>
      <c r="E82" s="54">
        <f t="shared" si="1"/>
        <v>0.151</v>
      </c>
      <c r="F82" s="54">
        <f t="shared" si="2"/>
        <v>2007</v>
      </c>
      <c r="G82" s="54">
        <f t="shared" si="3"/>
        <v>9</v>
      </c>
      <c r="H82" s="58" t="s">
        <v>343</v>
      </c>
      <c r="I82" s="59">
        <v>39326.0</v>
      </c>
      <c r="J82" s="60" t="s">
        <v>344</v>
      </c>
      <c r="K82" s="60" t="s">
        <v>162</v>
      </c>
      <c r="L82" s="60" t="s">
        <v>346</v>
      </c>
      <c r="M82" s="60" t="s">
        <v>347</v>
      </c>
      <c r="N82" s="60">
        <v>15.1</v>
      </c>
      <c r="O82" s="60" t="s">
        <v>348</v>
      </c>
    </row>
    <row r="83">
      <c r="D83" s="54">
        <f>E83*'Measure conversion'!$C$2</f>
        <v>0.1253</v>
      </c>
      <c r="E83" s="54">
        <f t="shared" si="1"/>
        <v>0.1253</v>
      </c>
      <c r="F83" s="54">
        <f t="shared" si="2"/>
        <v>2007</v>
      </c>
      <c r="G83" s="54">
        <f t="shared" si="3"/>
        <v>10</v>
      </c>
      <c r="H83" s="58" t="s">
        <v>343</v>
      </c>
      <c r="I83" s="61">
        <v>39356.0</v>
      </c>
      <c r="J83" s="60" t="s">
        <v>344</v>
      </c>
      <c r="K83" s="60" t="s">
        <v>162</v>
      </c>
      <c r="L83" s="60" t="s">
        <v>346</v>
      </c>
      <c r="M83" s="60" t="s">
        <v>347</v>
      </c>
      <c r="N83" s="60">
        <v>12.53</v>
      </c>
      <c r="O83" s="60" t="s">
        <v>348</v>
      </c>
    </row>
    <row r="84">
      <c r="D84" s="54">
        <f>E84*'Measure conversion'!$C$2</f>
        <v>0.1437</v>
      </c>
      <c r="E84" s="54">
        <f t="shared" si="1"/>
        <v>0.1437</v>
      </c>
      <c r="F84" s="54">
        <f t="shared" si="2"/>
        <v>2007</v>
      </c>
      <c r="G84" s="54">
        <f t="shared" si="3"/>
        <v>11</v>
      </c>
      <c r="H84" s="58" t="s">
        <v>343</v>
      </c>
      <c r="I84" s="61">
        <v>39387.0</v>
      </c>
      <c r="J84" s="60" t="s">
        <v>344</v>
      </c>
      <c r="K84" s="60" t="s">
        <v>162</v>
      </c>
      <c r="L84" s="60" t="s">
        <v>346</v>
      </c>
      <c r="M84" s="60" t="s">
        <v>347</v>
      </c>
      <c r="N84" s="60">
        <v>14.37</v>
      </c>
      <c r="O84" s="60" t="s">
        <v>348</v>
      </c>
    </row>
    <row r="85">
      <c r="D85" s="54">
        <f>E85*'Measure conversion'!$C$2</f>
        <v>0.1446</v>
      </c>
      <c r="E85" s="54">
        <f t="shared" si="1"/>
        <v>0.1446</v>
      </c>
      <c r="F85" s="54">
        <f t="shared" si="2"/>
        <v>2007</v>
      </c>
      <c r="G85" s="54">
        <f t="shared" si="3"/>
        <v>12</v>
      </c>
      <c r="H85" s="58" t="s">
        <v>343</v>
      </c>
      <c r="I85" s="61">
        <v>39417.0</v>
      </c>
      <c r="J85" s="60" t="s">
        <v>344</v>
      </c>
      <c r="K85" s="60" t="s">
        <v>162</v>
      </c>
      <c r="L85" s="60" t="s">
        <v>346</v>
      </c>
      <c r="M85" s="60" t="s">
        <v>347</v>
      </c>
      <c r="N85" s="60">
        <v>14.46</v>
      </c>
      <c r="O85" s="60" t="s">
        <v>348</v>
      </c>
    </row>
    <row r="86">
      <c r="D86" s="54">
        <f>E86*'Measure conversion'!$C$2</f>
        <v>0.1373</v>
      </c>
      <c r="E86" s="54">
        <f t="shared" si="1"/>
        <v>0.1373</v>
      </c>
      <c r="F86" s="54">
        <f t="shared" si="2"/>
        <v>2008</v>
      </c>
      <c r="G86" s="54">
        <f t="shared" si="3"/>
        <v>1</v>
      </c>
      <c r="H86" s="58" t="s">
        <v>343</v>
      </c>
      <c r="I86" s="59">
        <v>39448.0</v>
      </c>
      <c r="J86" s="60" t="s">
        <v>344</v>
      </c>
      <c r="K86" s="60" t="s">
        <v>162</v>
      </c>
      <c r="L86" s="60" t="s">
        <v>346</v>
      </c>
      <c r="M86" s="60" t="s">
        <v>347</v>
      </c>
      <c r="N86" s="60">
        <v>13.73</v>
      </c>
      <c r="O86" s="60" t="s">
        <v>348</v>
      </c>
    </row>
    <row r="87">
      <c r="D87" s="54">
        <f>E87*'Measure conversion'!$C$2</f>
        <v>0.1336</v>
      </c>
      <c r="E87" s="54">
        <f t="shared" si="1"/>
        <v>0.1336</v>
      </c>
      <c r="F87" s="54">
        <f t="shared" si="2"/>
        <v>2008</v>
      </c>
      <c r="G87" s="54">
        <f t="shared" si="3"/>
        <v>2</v>
      </c>
      <c r="H87" s="58" t="s">
        <v>343</v>
      </c>
      <c r="I87" s="59">
        <v>39479.0</v>
      </c>
      <c r="J87" s="60" t="s">
        <v>344</v>
      </c>
      <c r="K87" s="60" t="s">
        <v>162</v>
      </c>
      <c r="L87" s="60" t="s">
        <v>346</v>
      </c>
      <c r="M87" s="60" t="s">
        <v>347</v>
      </c>
      <c r="N87" s="60">
        <v>13.36</v>
      </c>
      <c r="O87" s="60" t="s">
        <v>348</v>
      </c>
    </row>
    <row r="88">
      <c r="D88" s="54">
        <f>E88*'Measure conversion'!$C$2</f>
        <v>0.1315</v>
      </c>
      <c r="E88" s="54">
        <f t="shared" si="1"/>
        <v>0.1315</v>
      </c>
      <c r="F88" s="54">
        <f t="shared" si="2"/>
        <v>2008</v>
      </c>
      <c r="G88" s="54">
        <f t="shared" si="3"/>
        <v>3</v>
      </c>
      <c r="H88" s="58" t="s">
        <v>343</v>
      </c>
      <c r="I88" s="59">
        <v>39508.0</v>
      </c>
      <c r="J88" s="60" t="s">
        <v>344</v>
      </c>
      <c r="K88" s="60" t="s">
        <v>162</v>
      </c>
      <c r="L88" s="60" t="s">
        <v>346</v>
      </c>
      <c r="M88" s="60" t="s">
        <v>347</v>
      </c>
      <c r="N88" s="60">
        <v>13.15</v>
      </c>
      <c r="O88" s="60" t="s">
        <v>348</v>
      </c>
    </row>
    <row r="89">
      <c r="D89" s="54">
        <f>E89*'Measure conversion'!$C$2</f>
        <v>0.1293</v>
      </c>
      <c r="E89" s="54">
        <f t="shared" si="1"/>
        <v>0.1293</v>
      </c>
      <c r="F89" s="54">
        <f t="shared" si="2"/>
        <v>2008</v>
      </c>
      <c r="G89" s="54">
        <f t="shared" si="3"/>
        <v>4</v>
      </c>
      <c r="H89" s="58" t="s">
        <v>343</v>
      </c>
      <c r="I89" s="59">
        <v>39539.0</v>
      </c>
      <c r="J89" s="60" t="s">
        <v>344</v>
      </c>
      <c r="K89" s="60" t="s">
        <v>162</v>
      </c>
      <c r="L89" s="60" t="s">
        <v>346</v>
      </c>
      <c r="M89" s="60" t="s">
        <v>347</v>
      </c>
      <c r="N89" s="60">
        <v>12.93</v>
      </c>
      <c r="O89" s="60" t="s">
        <v>348</v>
      </c>
    </row>
    <row r="90">
      <c r="D90" s="54">
        <f>E90*'Measure conversion'!$C$2</f>
        <v>0.1355</v>
      </c>
      <c r="E90" s="54">
        <f t="shared" si="1"/>
        <v>0.1355</v>
      </c>
      <c r="F90" s="54">
        <f t="shared" si="2"/>
        <v>2008</v>
      </c>
      <c r="G90" s="54">
        <f t="shared" si="3"/>
        <v>5</v>
      </c>
      <c r="H90" s="58" t="s">
        <v>343</v>
      </c>
      <c r="I90" s="59">
        <v>39569.0</v>
      </c>
      <c r="J90" s="60" t="s">
        <v>344</v>
      </c>
      <c r="K90" s="60" t="s">
        <v>162</v>
      </c>
      <c r="L90" s="60" t="s">
        <v>346</v>
      </c>
      <c r="M90" s="60" t="s">
        <v>347</v>
      </c>
      <c r="N90" s="60">
        <v>13.55</v>
      </c>
      <c r="O90" s="60" t="s">
        <v>348</v>
      </c>
    </row>
    <row r="91">
      <c r="D91" s="54">
        <f>E91*'Measure conversion'!$C$2</f>
        <v>0.145</v>
      </c>
      <c r="E91" s="54">
        <f t="shared" si="1"/>
        <v>0.145</v>
      </c>
      <c r="F91" s="54">
        <f t="shared" si="2"/>
        <v>2008</v>
      </c>
      <c r="G91" s="54">
        <f t="shared" si="3"/>
        <v>6</v>
      </c>
      <c r="H91" s="58" t="s">
        <v>343</v>
      </c>
      <c r="I91" s="59">
        <v>39600.0</v>
      </c>
      <c r="J91" s="60" t="s">
        <v>344</v>
      </c>
      <c r="K91" s="60" t="s">
        <v>162</v>
      </c>
      <c r="L91" s="60" t="s">
        <v>346</v>
      </c>
      <c r="M91" s="60" t="s">
        <v>347</v>
      </c>
      <c r="N91" s="60">
        <v>14.5</v>
      </c>
      <c r="O91" s="60" t="s">
        <v>348</v>
      </c>
    </row>
    <row r="92">
      <c r="D92" s="54">
        <f>E92*'Measure conversion'!$C$2</f>
        <v>0.144</v>
      </c>
      <c r="E92" s="54">
        <f t="shared" si="1"/>
        <v>0.144</v>
      </c>
      <c r="F92" s="54">
        <f t="shared" si="2"/>
        <v>2008</v>
      </c>
      <c r="G92" s="54">
        <f t="shared" si="3"/>
        <v>7</v>
      </c>
      <c r="H92" s="58" t="s">
        <v>343</v>
      </c>
      <c r="I92" s="59">
        <v>39630.0</v>
      </c>
      <c r="J92" s="60" t="s">
        <v>344</v>
      </c>
      <c r="K92" s="60" t="s">
        <v>162</v>
      </c>
      <c r="L92" s="60" t="s">
        <v>346</v>
      </c>
      <c r="M92" s="60" t="s">
        <v>347</v>
      </c>
      <c r="N92" s="60">
        <v>14.4</v>
      </c>
      <c r="O92" s="60" t="s">
        <v>348</v>
      </c>
    </row>
    <row r="93">
      <c r="D93" s="54">
        <f>E93*'Measure conversion'!$C$2</f>
        <v>0.1456</v>
      </c>
      <c r="E93" s="54">
        <f t="shared" si="1"/>
        <v>0.1456</v>
      </c>
      <c r="F93" s="54">
        <f t="shared" si="2"/>
        <v>2008</v>
      </c>
      <c r="G93" s="54">
        <f t="shared" si="3"/>
        <v>8</v>
      </c>
      <c r="H93" s="58" t="s">
        <v>343</v>
      </c>
      <c r="I93" s="59">
        <v>39661.0</v>
      </c>
      <c r="J93" s="60" t="s">
        <v>344</v>
      </c>
      <c r="K93" s="60" t="s">
        <v>162</v>
      </c>
      <c r="L93" s="60" t="s">
        <v>346</v>
      </c>
      <c r="M93" s="60" t="s">
        <v>347</v>
      </c>
      <c r="N93" s="60">
        <v>14.56</v>
      </c>
      <c r="O93" s="60" t="s">
        <v>348</v>
      </c>
    </row>
    <row r="94">
      <c r="D94" s="54">
        <f>E94*'Measure conversion'!$C$2</f>
        <v>0.1402</v>
      </c>
      <c r="E94" s="54">
        <f t="shared" si="1"/>
        <v>0.1402</v>
      </c>
      <c r="F94" s="54">
        <f t="shared" si="2"/>
        <v>2008</v>
      </c>
      <c r="G94" s="54">
        <f t="shared" si="3"/>
        <v>9</v>
      </c>
      <c r="H94" s="58" t="s">
        <v>343</v>
      </c>
      <c r="I94" s="59">
        <v>39692.0</v>
      </c>
      <c r="J94" s="60" t="s">
        <v>344</v>
      </c>
      <c r="K94" s="60" t="s">
        <v>162</v>
      </c>
      <c r="L94" s="60" t="s">
        <v>346</v>
      </c>
      <c r="M94" s="60" t="s">
        <v>347</v>
      </c>
      <c r="N94" s="60">
        <v>14.02</v>
      </c>
      <c r="O94" s="60" t="s">
        <v>348</v>
      </c>
    </row>
    <row r="95">
      <c r="D95" s="54">
        <f>E95*'Measure conversion'!$C$2</f>
        <v>0.1309</v>
      </c>
      <c r="E95" s="54">
        <f t="shared" si="1"/>
        <v>0.1309</v>
      </c>
      <c r="F95" s="54">
        <f t="shared" si="2"/>
        <v>2008</v>
      </c>
      <c r="G95" s="54">
        <f t="shared" si="3"/>
        <v>10</v>
      </c>
      <c r="H95" s="58" t="s">
        <v>343</v>
      </c>
      <c r="I95" s="61">
        <v>39722.0</v>
      </c>
      <c r="J95" s="60" t="s">
        <v>344</v>
      </c>
      <c r="K95" s="60" t="s">
        <v>162</v>
      </c>
      <c r="L95" s="60" t="s">
        <v>346</v>
      </c>
      <c r="M95" s="60" t="s">
        <v>347</v>
      </c>
      <c r="N95" s="60">
        <v>13.09</v>
      </c>
      <c r="O95" s="60" t="s">
        <v>348</v>
      </c>
    </row>
    <row r="96">
      <c r="D96" s="54">
        <f>E96*'Measure conversion'!$C$2</f>
        <v>0.1422</v>
      </c>
      <c r="E96" s="54">
        <f t="shared" si="1"/>
        <v>0.1422</v>
      </c>
      <c r="F96" s="54">
        <f t="shared" si="2"/>
        <v>2008</v>
      </c>
      <c r="G96" s="54">
        <f t="shared" si="3"/>
        <v>11</v>
      </c>
      <c r="H96" s="58" t="s">
        <v>343</v>
      </c>
      <c r="I96" s="61">
        <v>39753.0</v>
      </c>
      <c r="J96" s="60" t="s">
        <v>344</v>
      </c>
      <c r="K96" s="60" t="s">
        <v>162</v>
      </c>
      <c r="L96" s="60" t="s">
        <v>346</v>
      </c>
      <c r="M96" s="60" t="s">
        <v>347</v>
      </c>
      <c r="N96" s="60">
        <v>14.22</v>
      </c>
      <c r="O96" s="60" t="s">
        <v>348</v>
      </c>
    </row>
    <row r="97">
      <c r="D97" s="54">
        <f>E97*'Measure conversion'!$C$2</f>
        <v>0.137</v>
      </c>
      <c r="E97" s="54">
        <f t="shared" si="1"/>
        <v>0.137</v>
      </c>
      <c r="F97" s="54">
        <f t="shared" si="2"/>
        <v>2008</v>
      </c>
      <c r="G97" s="54">
        <f t="shared" si="3"/>
        <v>12</v>
      </c>
      <c r="H97" s="58" t="s">
        <v>343</v>
      </c>
      <c r="I97" s="61">
        <v>39783.0</v>
      </c>
      <c r="J97" s="60" t="s">
        <v>344</v>
      </c>
      <c r="K97" s="60" t="s">
        <v>162</v>
      </c>
      <c r="L97" s="60" t="s">
        <v>346</v>
      </c>
      <c r="M97" s="60" t="s">
        <v>347</v>
      </c>
      <c r="N97" s="60">
        <v>13.7</v>
      </c>
      <c r="O97" s="60" t="s">
        <v>348</v>
      </c>
    </row>
    <row r="98">
      <c r="D98" s="54">
        <f>E98*'Measure conversion'!$C$2</f>
        <v>0.147</v>
      </c>
      <c r="E98" s="54">
        <f t="shared" si="1"/>
        <v>0.147</v>
      </c>
      <c r="F98" s="54">
        <f t="shared" si="2"/>
        <v>2009</v>
      </c>
      <c r="G98" s="54">
        <f t="shared" si="3"/>
        <v>1</v>
      </c>
      <c r="H98" s="58" t="s">
        <v>343</v>
      </c>
      <c r="I98" s="59">
        <v>39814.0</v>
      </c>
      <c r="J98" s="60" t="s">
        <v>344</v>
      </c>
      <c r="K98" s="60" t="s">
        <v>162</v>
      </c>
      <c r="L98" s="60" t="s">
        <v>346</v>
      </c>
      <c r="M98" s="60" t="s">
        <v>347</v>
      </c>
      <c r="N98" s="60">
        <v>14.7</v>
      </c>
      <c r="O98" s="60" t="s">
        <v>348</v>
      </c>
    </row>
    <row r="99">
      <c r="D99" s="54">
        <f>E99*'Measure conversion'!$C$2</f>
        <v>0.1414</v>
      </c>
      <c r="E99" s="54">
        <f t="shared" si="1"/>
        <v>0.1414</v>
      </c>
      <c r="F99" s="54">
        <f t="shared" si="2"/>
        <v>2009</v>
      </c>
      <c r="G99" s="54">
        <f t="shared" si="3"/>
        <v>2</v>
      </c>
      <c r="H99" s="58" t="s">
        <v>343</v>
      </c>
      <c r="I99" s="59">
        <v>39845.0</v>
      </c>
      <c r="J99" s="60" t="s">
        <v>344</v>
      </c>
      <c r="K99" s="60" t="s">
        <v>162</v>
      </c>
      <c r="L99" s="60" t="s">
        <v>346</v>
      </c>
      <c r="M99" s="60" t="s">
        <v>347</v>
      </c>
      <c r="N99" s="60">
        <v>14.14</v>
      </c>
      <c r="O99" s="60" t="s">
        <v>348</v>
      </c>
    </row>
    <row r="100">
      <c r="D100" s="54">
        <f>E100*'Measure conversion'!$C$2</f>
        <v>0.1414</v>
      </c>
      <c r="E100" s="54">
        <f t="shared" si="1"/>
        <v>0.1414</v>
      </c>
      <c r="F100" s="54">
        <f t="shared" si="2"/>
        <v>2009</v>
      </c>
      <c r="G100" s="54">
        <f t="shared" si="3"/>
        <v>3</v>
      </c>
      <c r="H100" s="58" t="s">
        <v>343</v>
      </c>
      <c r="I100" s="59">
        <v>39873.0</v>
      </c>
      <c r="J100" s="60" t="s">
        <v>344</v>
      </c>
      <c r="K100" s="60" t="s">
        <v>162</v>
      </c>
      <c r="L100" s="60" t="s">
        <v>346</v>
      </c>
      <c r="M100" s="60" t="s">
        <v>347</v>
      </c>
      <c r="N100" s="60">
        <v>14.14</v>
      </c>
      <c r="O100" s="60" t="s">
        <v>348</v>
      </c>
    </row>
    <row r="101">
      <c r="D101" s="54">
        <f>E101*'Measure conversion'!$C$2</f>
        <v>0.1396</v>
      </c>
      <c r="E101" s="54">
        <f t="shared" si="1"/>
        <v>0.1396</v>
      </c>
      <c r="F101" s="54">
        <f t="shared" si="2"/>
        <v>2009</v>
      </c>
      <c r="G101" s="54">
        <f t="shared" si="3"/>
        <v>4</v>
      </c>
      <c r="H101" s="58" t="s">
        <v>343</v>
      </c>
      <c r="I101" s="59">
        <v>39904.0</v>
      </c>
      <c r="J101" s="60" t="s">
        <v>344</v>
      </c>
      <c r="K101" s="60" t="s">
        <v>162</v>
      </c>
      <c r="L101" s="60" t="s">
        <v>346</v>
      </c>
      <c r="M101" s="60" t="s">
        <v>347</v>
      </c>
      <c r="N101" s="60">
        <v>13.96</v>
      </c>
      <c r="O101" s="60" t="s">
        <v>348</v>
      </c>
    </row>
    <row r="102">
      <c r="D102" s="54">
        <f>E102*'Measure conversion'!$C$2</f>
        <v>0.1501</v>
      </c>
      <c r="E102" s="54">
        <f t="shared" si="1"/>
        <v>0.1501</v>
      </c>
      <c r="F102" s="54">
        <f t="shared" si="2"/>
        <v>2009</v>
      </c>
      <c r="G102" s="54">
        <f t="shared" si="3"/>
        <v>5</v>
      </c>
      <c r="H102" s="55" t="s">
        <v>343</v>
      </c>
      <c r="I102" s="56">
        <v>39934.0</v>
      </c>
      <c r="J102" s="57" t="s">
        <v>344</v>
      </c>
      <c r="K102" s="57" t="s">
        <v>162</v>
      </c>
      <c r="L102" s="57" t="s">
        <v>346</v>
      </c>
      <c r="M102" s="57" t="s">
        <v>347</v>
      </c>
      <c r="N102" s="57">
        <v>15.01</v>
      </c>
      <c r="O102" s="57" t="s">
        <v>348</v>
      </c>
    </row>
    <row r="103">
      <c r="D103" s="54">
        <f>E103*'Measure conversion'!$C$2</f>
        <v>0.1477</v>
      </c>
      <c r="E103" s="54">
        <f t="shared" si="1"/>
        <v>0.1477</v>
      </c>
      <c r="F103" s="54">
        <f t="shared" si="2"/>
        <v>2009</v>
      </c>
      <c r="G103" s="54">
        <f t="shared" si="3"/>
        <v>6</v>
      </c>
      <c r="H103" s="58" t="s">
        <v>343</v>
      </c>
      <c r="I103" s="59">
        <v>39965.0</v>
      </c>
      <c r="J103" s="60" t="s">
        <v>344</v>
      </c>
      <c r="K103" s="60" t="s">
        <v>162</v>
      </c>
      <c r="L103" s="60" t="s">
        <v>346</v>
      </c>
      <c r="M103" s="60" t="s">
        <v>347</v>
      </c>
      <c r="N103" s="60">
        <v>14.77</v>
      </c>
      <c r="O103" s="60" t="s">
        <v>348</v>
      </c>
    </row>
    <row r="104">
      <c r="D104" s="54">
        <f>E104*'Measure conversion'!$C$2</f>
        <v>0.1566</v>
      </c>
      <c r="E104" s="54">
        <f t="shared" si="1"/>
        <v>0.1566</v>
      </c>
      <c r="F104" s="54">
        <f t="shared" si="2"/>
        <v>2009</v>
      </c>
      <c r="G104" s="54">
        <f t="shared" si="3"/>
        <v>7</v>
      </c>
      <c r="H104" s="58" t="s">
        <v>343</v>
      </c>
      <c r="I104" s="59">
        <v>39995.0</v>
      </c>
      <c r="J104" s="60" t="s">
        <v>344</v>
      </c>
      <c r="K104" s="60" t="s">
        <v>162</v>
      </c>
      <c r="L104" s="60" t="s">
        <v>346</v>
      </c>
      <c r="M104" s="60" t="s">
        <v>347</v>
      </c>
      <c r="N104" s="60">
        <v>15.66</v>
      </c>
      <c r="O104" s="60" t="s">
        <v>348</v>
      </c>
    </row>
    <row r="105">
      <c r="D105" s="54">
        <f>E105*'Measure conversion'!$C$2</f>
        <v>0.1593</v>
      </c>
      <c r="E105" s="54">
        <f t="shared" si="1"/>
        <v>0.1593</v>
      </c>
      <c r="F105" s="54">
        <f t="shared" si="2"/>
        <v>2009</v>
      </c>
      <c r="G105" s="54">
        <f t="shared" si="3"/>
        <v>8</v>
      </c>
      <c r="H105" s="58" t="s">
        <v>343</v>
      </c>
      <c r="I105" s="59">
        <v>40026.0</v>
      </c>
      <c r="J105" s="60" t="s">
        <v>344</v>
      </c>
      <c r="K105" s="60" t="s">
        <v>162</v>
      </c>
      <c r="L105" s="60" t="s">
        <v>346</v>
      </c>
      <c r="M105" s="60" t="s">
        <v>347</v>
      </c>
      <c r="N105" s="60">
        <v>15.93</v>
      </c>
      <c r="O105" s="60" t="s">
        <v>348</v>
      </c>
    </row>
    <row r="106">
      <c r="D106" s="54">
        <f>E106*'Measure conversion'!$C$2</f>
        <v>0.1553</v>
      </c>
      <c r="E106" s="54">
        <f t="shared" si="1"/>
        <v>0.1553</v>
      </c>
      <c r="F106" s="54">
        <f t="shared" si="2"/>
        <v>2009</v>
      </c>
      <c r="G106" s="54">
        <f t="shared" si="3"/>
        <v>9</v>
      </c>
      <c r="H106" s="58" t="s">
        <v>343</v>
      </c>
      <c r="I106" s="59">
        <v>40057.0</v>
      </c>
      <c r="J106" s="60" t="s">
        <v>344</v>
      </c>
      <c r="K106" s="60" t="s">
        <v>162</v>
      </c>
      <c r="L106" s="60" t="s">
        <v>346</v>
      </c>
      <c r="M106" s="60" t="s">
        <v>347</v>
      </c>
      <c r="N106" s="60">
        <v>15.53</v>
      </c>
      <c r="O106" s="60" t="s">
        <v>348</v>
      </c>
    </row>
    <row r="107">
      <c r="D107" s="54">
        <f>E107*'Measure conversion'!$C$2</f>
        <v>0.1385</v>
      </c>
      <c r="E107" s="54">
        <f t="shared" si="1"/>
        <v>0.1385</v>
      </c>
      <c r="F107" s="54">
        <f t="shared" si="2"/>
        <v>2009</v>
      </c>
      <c r="G107" s="54">
        <f t="shared" si="3"/>
        <v>10</v>
      </c>
      <c r="H107" s="58" t="s">
        <v>343</v>
      </c>
      <c r="I107" s="61">
        <v>40087.0</v>
      </c>
      <c r="J107" s="60" t="s">
        <v>344</v>
      </c>
      <c r="K107" s="60" t="s">
        <v>162</v>
      </c>
      <c r="L107" s="60" t="s">
        <v>346</v>
      </c>
      <c r="M107" s="60" t="s">
        <v>347</v>
      </c>
      <c r="N107" s="60">
        <v>13.85</v>
      </c>
      <c r="O107" s="60" t="s">
        <v>348</v>
      </c>
    </row>
    <row r="108">
      <c r="D108" s="54">
        <f>E108*'Measure conversion'!$C$2</f>
        <v>0.1356</v>
      </c>
      <c r="E108" s="54">
        <f t="shared" si="1"/>
        <v>0.1356</v>
      </c>
      <c r="F108" s="54">
        <f t="shared" si="2"/>
        <v>2009</v>
      </c>
      <c r="G108" s="54">
        <f t="shared" si="3"/>
        <v>11</v>
      </c>
      <c r="H108" s="58" t="s">
        <v>343</v>
      </c>
      <c r="I108" s="61">
        <v>40118.0</v>
      </c>
      <c r="J108" s="60" t="s">
        <v>344</v>
      </c>
      <c r="K108" s="60" t="s">
        <v>162</v>
      </c>
      <c r="L108" s="60" t="s">
        <v>346</v>
      </c>
      <c r="M108" s="60" t="s">
        <v>347</v>
      </c>
      <c r="N108" s="60">
        <v>13.56</v>
      </c>
      <c r="O108" s="60" t="s">
        <v>348</v>
      </c>
    </row>
    <row r="109">
      <c r="D109" s="54">
        <f>E109*'Measure conversion'!$C$2</f>
        <v>0.1473</v>
      </c>
      <c r="E109" s="54">
        <f t="shared" si="1"/>
        <v>0.1473</v>
      </c>
      <c r="F109" s="54">
        <f t="shared" si="2"/>
        <v>2009</v>
      </c>
      <c r="G109" s="54">
        <f t="shared" si="3"/>
        <v>12</v>
      </c>
      <c r="H109" s="58" t="s">
        <v>343</v>
      </c>
      <c r="I109" s="61">
        <v>40148.0</v>
      </c>
      <c r="J109" s="60" t="s">
        <v>344</v>
      </c>
      <c r="K109" s="60" t="s">
        <v>162</v>
      </c>
      <c r="L109" s="60" t="s">
        <v>346</v>
      </c>
      <c r="M109" s="60" t="s">
        <v>347</v>
      </c>
      <c r="N109" s="60">
        <v>14.73</v>
      </c>
      <c r="O109" s="60" t="s">
        <v>348</v>
      </c>
    </row>
    <row r="110">
      <c r="D110" s="54">
        <f>E110*'Measure conversion'!$C$2</f>
        <v>0.1518</v>
      </c>
      <c r="E110" s="54">
        <f t="shared" si="1"/>
        <v>0.1518</v>
      </c>
      <c r="F110" s="54">
        <f t="shared" si="2"/>
        <v>2010</v>
      </c>
      <c r="G110" s="54">
        <f t="shared" si="3"/>
        <v>1</v>
      </c>
      <c r="H110" s="58" t="s">
        <v>343</v>
      </c>
      <c r="I110" s="59">
        <v>40179.0</v>
      </c>
      <c r="J110" s="60" t="s">
        <v>344</v>
      </c>
      <c r="K110" s="60" t="s">
        <v>162</v>
      </c>
      <c r="L110" s="60" t="s">
        <v>346</v>
      </c>
      <c r="M110" s="60" t="s">
        <v>347</v>
      </c>
      <c r="N110" s="60">
        <v>15.18</v>
      </c>
      <c r="O110" s="60" t="s">
        <v>348</v>
      </c>
    </row>
    <row r="111">
      <c r="D111" s="54">
        <f>E111*'Measure conversion'!$C$2</f>
        <v>0.1421</v>
      </c>
      <c r="E111" s="54">
        <f t="shared" si="1"/>
        <v>0.1421</v>
      </c>
      <c r="F111" s="54">
        <f t="shared" si="2"/>
        <v>2010</v>
      </c>
      <c r="G111" s="54">
        <f t="shared" si="3"/>
        <v>2</v>
      </c>
      <c r="H111" s="58" t="s">
        <v>343</v>
      </c>
      <c r="I111" s="59">
        <v>40210.0</v>
      </c>
      <c r="J111" s="60" t="s">
        <v>344</v>
      </c>
      <c r="K111" s="60" t="s">
        <v>162</v>
      </c>
      <c r="L111" s="60" t="s">
        <v>346</v>
      </c>
      <c r="M111" s="60" t="s">
        <v>347</v>
      </c>
      <c r="N111" s="60">
        <v>14.21</v>
      </c>
      <c r="O111" s="60" t="s">
        <v>348</v>
      </c>
    </row>
    <row r="112">
      <c r="D112" s="54">
        <f>E112*'Measure conversion'!$C$2</f>
        <v>0.1478</v>
      </c>
      <c r="E112" s="54">
        <f t="shared" si="1"/>
        <v>0.1478</v>
      </c>
      <c r="F112" s="54">
        <f t="shared" si="2"/>
        <v>2010</v>
      </c>
      <c r="G112" s="54">
        <f t="shared" si="3"/>
        <v>3</v>
      </c>
      <c r="H112" s="58" t="s">
        <v>343</v>
      </c>
      <c r="I112" s="59">
        <v>40238.0</v>
      </c>
      <c r="J112" s="60" t="s">
        <v>344</v>
      </c>
      <c r="K112" s="60" t="s">
        <v>162</v>
      </c>
      <c r="L112" s="60" t="s">
        <v>346</v>
      </c>
      <c r="M112" s="60" t="s">
        <v>347</v>
      </c>
      <c r="N112" s="60">
        <v>14.78</v>
      </c>
      <c r="O112" s="60" t="s">
        <v>348</v>
      </c>
    </row>
    <row r="113">
      <c r="D113" s="54">
        <f>E113*'Measure conversion'!$C$2</f>
        <v>0.1391</v>
      </c>
      <c r="E113" s="54">
        <f t="shared" si="1"/>
        <v>0.1391</v>
      </c>
      <c r="F113" s="54">
        <f t="shared" si="2"/>
        <v>2010</v>
      </c>
      <c r="G113" s="54">
        <f t="shared" si="3"/>
        <v>4</v>
      </c>
      <c r="H113" s="58" t="s">
        <v>343</v>
      </c>
      <c r="I113" s="59">
        <v>40269.0</v>
      </c>
      <c r="J113" s="60" t="s">
        <v>344</v>
      </c>
      <c r="K113" s="60" t="s">
        <v>162</v>
      </c>
      <c r="L113" s="60" t="s">
        <v>346</v>
      </c>
      <c r="M113" s="60" t="s">
        <v>347</v>
      </c>
      <c r="N113" s="60">
        <v>13.91</v>
      </c>
      <c r="O113" s="60" t="s">
        <v>348</v>
      </c>
    </row>
    <row r="114">
      <c r="D114" s="54">
        <f>E114*'Measure conversion'!$C$2</f>
        <v>0.149</v>
      </c>
      <c r="E114" s="54">
        <f t="shared" si="1"/>
        <v>0.149</v>
      </c>
      <c r="F114" s="54">
        <f t="shared" si="2"/>
        <v>2010</v>
      </c>
      <c r="G114" s="54">
        <f t="shared" si="3"/>
        <v>5</v>
      </c>
      <c r="H114" s="58" t="s">
        <v>343</v>
      </c>
      <c r="I114" s="59">
        <v>40299.0</v>
      </c>
      <c r="J114" s="60" t="s">
        <v>344</v>
      </c>
      <c r="K114" s="60" t="s">
        <v>162</v>
      </c>
      <c r="L114" s="60" t="s">
        <v>346</v>
      </c>
      <c r="M114" s="60" t="s">
        <v>347</v>
      </c>
      <c r="N114" s="60">
        <v>14.9</v>
      </c>
      <c r="O114" s="60" t="s">
        <v>348</v>
      </c>
    </row>
    <row r="115">
      <c r="D115" s="54">
        <f>E115*'Measure conversion'!$C$2</f>
        <v>0.15</v>
      </c>
      <c r="E115" s="54">
        <f t="shared" si="1"/>
        <v>0.15</v>
      </c>
      <c r="F115" s="54">
        <f t="shared" si="2"/>
        <v>2010</v>
      </c>
      <c r="G115" s="54">
        <f t="shared" si="3"/>
        <v>6</v>
      </c>
      <c r="H115" s="58" t="s">
        <v>343</v>
      </c>
      <c r="I115" s="59">
        <v>40330.0</v>
      </c>
      <c r="J115" s="60" t="s">
        <v>344</v>
      </c>
      <c r="K115" s="60" t="s">
        <v>162</v>
      </c>
      <c r="L115" s="60" t="s">
        <v>346</v>
      </c>
      <c r="M115" s="60" t="s">
        <v>347</v>
      </c>
      <c r="N115" s="60">
        <v>15.0</v>
      </c>
      <c r="O115" s="60" t="s">
        <v>348</v>
      </c>
    </row>
    <row r="116">
      <c r="D116" s="54">
        <f>E116*'Measure conversion'!$C$2</f>
        <v>0.1503</v>
      </c>
      <c r="E116" s="54">
        <f t="shared" si="1"/>
        <v>0.1503</v>
      </c>
      <c r="F116" s="54">
        <f t="shared" si="2"/>
        <v>2010</v>
      </c>
      <c r="G116" s="54">
        <f t="shared" si="3"/>
        <v>7</v>
      </c>
      <c r="H116" s="58" t="s">
        <v>343</v>
      </c>
      <c r="I116" s="59">
        <v>40360.0</v>
      </c>
      <c r="J116" s="60" t="s">
        <v>344</v>
      </c>
      <c r="K116" s="60" t="s">
        <v>162</v>
      </c>
      <c r="L116" s="60" t="s">
        <v>346</v>
      </c>
      <c r="M116" s="60" t="s">
        <v>347</v>
      </c>
      <c r="N116" s="60">
        <v>15.03</v>
      </c>
      <c r="O116" s="60" t="s">
        <v>348</v>
      </c>
    </row>
    <row r="117">
      <c r="D117" s="54">
        <f>E117*'Measure conversion'!$C$2</f>
        <v>0.1519</v>
      </c>
      <c r="E117" s="54">
        <f t="shared" si="1"/>
        <v>0.1519</v>
      </c>
      <c r="F117" s="54">
        <f t="shared" si="2"/>
        <v>2010</v>
      </c>
      <c r="G117" s="54">
        <f t="shared" si="3"/>
        <v>8</v>
      </c>
      <c r="H117" s="58" t="s">
        <v>343</v>
      </c>
      <c r="I117" s="59">
        <v>40391.0</v>
      </c>
      <c r="J117" s="60" t="s">
        <v>344</v>
      </c>
      <c r="K117" s="60" t="s">
        <v>162</v>
      </c>
      <c r="L117" s="60" t="s">
        <v>346</v>
      </c>
      <c r="M117" s="60" t="s">
        <v>347</v>
      </c>
      <c r="N117" s="60">
        <v>15.19</v>
      </c>
      <c r="O117" s="60" t="s">
        <v>348</v>
      </c>
    </row>
    <row r="118">
      <c r="D118" s="54">
        <f>E118*'Measure conversion'!$C$2</f>
        <v>0.1485</v>
      </c>
      <c r="E118" s="54">
        <f t="shared" si="1"/>
        <v>0.1485</v>
      </c>
      <c r="F118" s="54">
        <f t="shared" si="2"/>
        <v>2010</v>
      </c>
      <c r="G118" s="54">
        <f t="shared" si="3"/>
        <v>9</v>
      </c>
      <c r="H118" s="58" t="s">
        <v>343</v>
      </c>
      <c r="I118" s="59">
        <v>40422.0</v>
      </c>
      <c r="J118" s="60" t="s">
        <v>344</v>
      </c>
      <c r="K118" s="60" t="s">
        <v>162</v>
      </c>
      <c r="L118" s="60" t="s">
        <v>346</v>
      </c>
      <c r="M118" s="60" t="s">
        <v>347</v>
      </c>
      <c r="N118" s="60">
        <v>14.85</v>
      </c>
      <c r="O118" s="60" t="s">
        <v>348</v>
      </c>
    </row>
    <row r="119">
      <c r="D119" s="54">
        <f>E119*'Measure conversion'!$C$2</f>
        <v>0.1411</v>
      </c>
      <c r="E119" s="54">
        <f t="shared" si="1"/>
        <v>0.1411</v>
      </c>
      <c r="F119" s="54">
        <f t="shared" si="2"/>
        <v>2010</v>
      </c>
      <c r="G119" s="54">
        <f t="shared" si="3"/>
        <v>10</v>
      </c>
      <c r="H119" s="58" t="s">
        <v>343</v>
      </c>
      <c r="I119" s="61">
        <v>40452.0</v>
      </c>
      <c r="J119" s="60" t="s">
        <v>344</v>
      </c>
      <c r="K119" s="60" t="s">
        <v>162</v>
      </c>
      <c r="L119" s="60" t="s">
        <v>346</v>
      </c>
      <c r="M119" s="60" t="s">
        <v>347</v>
      </c>
      <c r="N119" s="60">
        <v>14.11</v>
      </c>
      <c r="O119" s="60" t="s">
        <v>348</v>
      </c>
    </row>
    <row r="120">
      <c r="D120" s="54">
        <f>E120*'Measure conversion'!$C$2</f>
        <v>0.1467</v>
      </c>
      <c r="E120" s="54">
        <f t="shared" si="1"/>
        <v>0.1467</v>
      </c>
      <c r="F120" s="54">
        <f t="shared" si="2"/>
        <v>2010</v>
      </c>
      <c r="G120" s="54">
        <f t="shared" si="3"/>
        <v>11</v>
      </c>
      <c r="H120" s="58" t="s">
        <v>343</v>
      </c>
      <c r="I120" s="61">
        <v>40483.0</v>
      </c>
      <c r="J120" s="60" t="s">
        <v>344</v>
      </c>
      <c r="K120" s="60" t="s">
        <v>162</v>
      </c>
      <c r="L120" s="60" t="s">
        <v>346</v>
      </c>
      <c r="M120" s="60" t="s">
        <v>347</v>
      </c>
      <c r="N120" s="60">
        <v>14.67</v>
      </c>
      <c r="O120" s="60" t="s">
        <v>348</v>
      </c>
    </row>
    <row r="121">
      <c r="D121" s="54">
        <f>E121*'Measure conversion'!$C$2</f>
        <v>0.1496</v>
      </c>
      <c r="E121" s="54">
        <f t="shared" si="1"/>
        <v>0.1496</v>
      </c>
      <c r="F121" s="54">
        <f t="shared" si="2"/>
        <v>2010</v>
      </c>
      <c r="G121" s="54">
        <f t="shared" si="3"/>
        <v>12</v>
      </c>
      <c r="H121" s="58" t="s">
        <v>343</v>
      </c>
      <c r="I121" s="61">
        <v>40513.0</v>
      </c>
      <c r="J121" s="60" t="s">
        <v>344</v>
      </c>
      <c r="K121" s="60" t="s">
        <v>162</v>
      </c>
      <c r="L121" s="60" t="s">
        <v>346</v>
      </c>
      <c r="M121" s="60" t="s">
        <v>347</v>
      </c>
      <c r="N121" s="60">
        <v>14.96</v>
      </c>
      <c r="O121" s="60" t="s">
        <v>348</v>
      </c>
    </row>
    <row r="122">
      <c r="D122" s="54">
        <f>E122*'Measure conversion'!$C$2</f>
        <v>0.1524</v>
      </c>
      <c r="E122" s="54">
        <f t="shared" si="1"/>
        <v>0.1524</v>
      </c>
      <c r="F122" s="54">
        <f t="shared" si="2"/>
        <v>2011</v>
      </c>
      <c r="G122" s="54">
        <f t="shared" si="3"/>
        <v>1</v>
      </c>
      <c r="H122" s="58" t="s">
        <v>343</v>
      </c>
      <c r="I122" s="59">
        <v>40544.0</v>
      </c>
      <c r="J122" s="60" t="s">
        <v>344</v>
      </c>
      <c r="K122" s="60" t="s">
        <v>162</v>
      </c>
      <c r="L122" s="60" t="s">
        <v>346</v>
      </c>
      <c r="M122" s="60" t="s">
        <v>347</v>
      </c>
      <c r="N122" s="60">
        <v>15.24</v>
      </c>
      <c r="O122" s="60" t="s">
        <v>348</v>
      </c>
    </row>
    <row r="123">
      <c r="D123" s="54">
        <f>E123*'Measure conversion'!$C$2</f>
        <v>0.1438</v>
      </c>
      <c r="E123" s="54">
        <f t="shared" si="1"/>
        <v>0.1438</v>
      </c>
      <c r="F123" s="54">
        <f t="shared" si="2"/>
        <v>2011</v>
      </c>
      <c r="G123" s="54">
        <f t="shared" si="3"/>
        <v>2</v>
      </c>
      <c r="H123" s="58" t="s">
        <v>343</v>
      </c>
      <c r="I123" s="59">
        <v>40575.0</v>
      </c>
      <c r="J123" s="60" t="s">
        <v>344</v>
      </c>
      <c r="K123" s="60" t="s">
        <v>162</v>
      </c>
      <c r="L123" s="60" t="s">
        <v>346</v>
      </c>
      <c r="M123" s="60" t="s">
        <v>347</v>
      </c>
      <c r="N123" s="60">
        <v>14.38</v>
      </c>
      <c r="O123" s="60" t="s">
        <v>348</v>
      </c>
    </row>
    <row r="124">
      <c r="D124" s="54">
        <f>E124*'Measure conversion'!$C$2</f>
        <v>0.1427</v>
      </c>
      <c r="E124" s="54">
        <f t="shared" si="1"/>
        <v>0.1427</v>
      </c>
      <c r="F124" s="54">
        <f t="shared" si="2"/>
        <v>2011</v>
      </c>
      <c r="G124" s="54">
        <f t="shared" si="3"/>
        <v>3</v>
      </c>
      <c r="H124" s="58" t="s">
        <v>343</v>
      </c>
      <c r="I124" s="59">
        <v>40603.0</v>
      </c>
      <c r="J124" s="60" t="s">
        <v>344</v>
      </c>
      <c r="K124" s="60" t="s">
        <v>162</v>
      </c>
      <c r="L124" s="60" t="s">
        <v>346</v>
      </c>
      <c r="M124" s="60" t="s">
        <v>347</v>
      </c>
      <c r="N124" s="60">
        <v>14.27</v>
      </c>
      <c r="O124" s="60" t="s">
        <v>348</v>
      </c>
    </row>
    <row r="125">
      <c r="D125" s="54">
        <f>E125*'Measure conversion'!$C$2</f>
        <v>0.1412</v>
      </c>
      <c r="E125" s="54">
        <f t="shared" si="1"/>
        <v>0.1412</v>
      </c>
      <c r="F125" s="54">
        <f t="shared" si="2"/>
        <v>2011</v>
      </c>
      <c r="G125" s="54">
        <f t="shared" si="3"/>
        <v>4</v>
      </c>
      <c r="H125" s="58" t="s">
        <v>343</v>
      </c>
      <c r="I125" s="59">
        <v>40634.0</v>
      </c>
      <c r="J125" s="60" t="s">
        <v>344</v>
      </c>
      <c r="K125" s="60" t="s">
        <v>162</v>
      </c>
      <c r="L125" s="60" t="s">
        <v>346</v>
      </c>
      <c r="M125" s="60" t="s">
        <v>347</v>
      </c>
      <c r="N125" s="60">
        <v>14.12</v>
      </c>
      <c r="O125" s="60" t="s">
        <v>348</v>
      </c>
    </row>
    <row r="126">
      <c r="D126" s="54">
        <f>E126*'Measure conversion'!$C$2</f>
        <v>0.1462</v>
      </c>
      <c r="E126" s="54">
        <f t="shared" si="1"/>
        <v>0.1462</v>
      </c>
      <c r="F126" s="54">
        <f t="shared" si="2"/>
        <v>2011</v>
      </c>
      <c r="G126" s="54">
        <f t="shared" si="3"/>
        <v>5</v>
      </c>
      <c r="H126" s="58" t="s">
        <v>343</v>
      </c>
      <c r="I126" s="59">
        <v>40664.0</v>
      </c>
      <c r="J126" s="60" t="s">
        <v>344</v>
      </c>
      <c r="K126" s="60" t="s">
        <v>162</v>
      </c>
      <c r="L126" s="60" t="s">
        <v>346</v>
      </c>
      <c r="M126" s="60" t="s">
        <v>347</v>
      </c>
      <c r="N126" s="60">
        <v>14.62</v>
      </c>
      <c r="O126" s="60" t="s">
        <v>348</v>
      </c>
    </row>
    <row r="127">
      <c r="D127" s="54">
        <f>E127*'Measure conversion'!$C$2</f>
        <v>0.1481</v>
      </c>
      <c r="E127" s="54">
        <f t="shared" si="1"/>
        <v>0.1481</v>
      </c>
      <c r="F127" s="54">
        <f t="shared" si="2"/>
        <v>2011</v>
      </c>
      <c r="G127" s="54">
        <f t="shared" si="3"/>
        <v>6</v>
      </c>
      <c r="H127" s="58" t="s">
        <v>343</v>
      </c>
      <c r="I127" s="59">
        <v>40695.0</v>
      </c>
      <c r="J127" s="60" t="s">
        <v>344</v>
      </c>
      <c r="K127" s="60" t="s">
        <v>162</v>
      </c>
      <c r="L127" s="60" t="s">
        <v>346</v>
      </c>
      <c r="M127" s="60" t="s">
        <v>347</v>
      </c>
      <c r="N127" s="60">
        <v>14.81</v>
      </c>
      <c r="O127" s="60" t="s">
        <v>348</v>
      </c>
    </row>
    <row r="128">
      <c r="D128" s="54">
        <f>E128*'Measure conversion'!$C$2</f>
        <v>0.157</v>
      </c>
      <c r="E128" s="54">
        <f t="shared" si="1"/>
        <v>0.157</v>
      </c>
      <c r="F128" s="54">
        <f t="shared" si="2"/>
        <v>2011</v>
      </c>
      <c r="G128" s="54">
        <f t="shared" si="3"/>
        <v>7</v>
      </c>
      <c r="H128" s="58" t="s">
        <v>343</v>
      </c>
      <c r="I128" s="59">
        <v>40725.0</v>
      </c>
      <c r="J128" s="60" t="s">
        <v>344</v>
      </c>
      <c r="K128" s="60" t="s">
        <v>162</v>
      </c>
      <c r="L128" s="60" t="s">
        <v>346</v>
      </c>
      <c r="M128" s="60" t="s">
        <v>347</v>
      </c>
      <c r="N128" s="60">
        <v>15.7</v>
      </c>
      <c r="O128" s="60" t="s">
        <v>348</v>
      </c>
    </row>
    <row r="129">
      <c r="D129" s="54">
        <f>E129*'Measure conversion'!$C$2</f>
        <v>0.1515</v>
      </c>
      <c r="E129" s="54">
        <f t="shared" si="1"/>
        <v>0.1515</v>
      </c>
      <c r="F129" s="54">
        <f t="shared" si="2"/>
        <v>2011</v>
      </c>
      <c r="G129" s="54">
        <f t="shared" si="3"/>
        <v>8</v>
      </c>
      <c r="H129" s="58" t="s">
        <v>343</v>
      </c>
      <c r="I129" s="59">
        <v>40756.0</v>
      </c>
      <c r="J129" s="60" t="s">
        <v>344</v>
      </c>
      <c r="K129" s="60" t="s">
        <v>162</v>
      </c>
      <c r="L129" s="60" t="s">
        <v>346</v>
      </c>
      <c r="M129" s="60" t="s">
        <v>347</v>
      </c>
      <c r="N129" s="60">
        <v>15.15</v>
      </c>
      <c r="O129" s="60" t="s">
        <v>348</v>
      </c>
    </row>
    <row r="130">
      <c r="D130" s="54">
        <f>E130*'Measure conversion'!$C$2</f>
        <v>0.148</v>
      </c>
      <c r="E130" s="54">
        <f t="shared" si="1"/>
        <v>0.148</v>
      </c>
      <c r="F130" s="54">
        <f t="shared" si="2"/>
        <v>2011</v>
      </c>
      <c r="G130" s="54">
        <f t="shared" si="3"/>
        <v>9</v>
      </c>
      <c r="H130" s="58" t="s">
        <v>343</v>
      </c>
      <c r="I130" s="59">
        <v>40787.0</v>
      </c>
      <c r="J130" s="60" t="s">
        <v>344</v>
      </c>
      <c r="K130" s="60" t="s">
        <v>162</v>
      </c>
      <c r="L130" s="60" t="s">
        <v>346</v>
      </c>
      <c r="M130" s="60" t="s">
        <v>347</v>
      </c>
      <c r="N130" s="60">
        <v>14.8</v>
      </c>
      <c r="O130" s="60" t="s">
        <v>348</v>
      </c>
    </row>
    <row r="131">
      <c r="D131" s="54">
        <f>E131*'Measure conversion'!$C$2</f>
        <v>0.1416</v>
      </c>
      <c r="E131" s="54">
        <f t="shared" si="1"/>
        <v>0.1416</v>
      </c>
      <c r="F131" s="54">
        <f t="shared" si="2"/>
        <v>2011</v>
      </c>
      <c r="G131" s="54">
        <f t="shared" si="3"/>
        <v>10</v>
      </c>
      <c r="H131" s="58" t="s">
        <v>343</v>
      </c>
      <c r="I131" s="61">
        <v>40817.0</v>
      </c>
      <c r="J131" s="60" t="s">
        <v>344</v>
      </c>
      <c r="K131" s="60" t="s">
        <v>162</v>
      </c>
      <c r="L131" s="60" t="s">
        <v>346</v>
      </c>
      <c r="M131" s="60" t="s">
        <v>347</v>
      </c>
      <c r="N131" s="60">
        <v>14.16</v>
      </c>
      <c r="O131" s="60" t="s">
        <v>348</v>
      </c>
    </row>
    <row r="132">
      <c r="D132" s="54">
        <f>E132*'Measure conversion'!$C$2</f>
        <v>0.1487</v>
      </c>
      <c r="E132" s="54">
        <f t="shared" si="1"/>
        <v>0.1487</v>
      </c>
      <c r="F132" s="54">
        <f t="shared" si="2"/>
        <v>2011</v>
      </c>
      <c r="G132" s="54">
        <f t="shared" si="3"/>
        <v>11</v>
      </c>
      <c r="H132" s="58" t="s">
        <v>343</v>
      </c>
      <c r="I132" s="61">
        <v>40848.0</v>
      </c>
      <c r="J132" s="60" t="s">
        <v>344</v>
      </c>
      <c r="K132" s="60" t="s">
        <v>162</v>
      </c>
      <c r="L132" s="60" t="s">
        <v>346</v>
      </c>
      <c r="M132" s="60" t="s">
        <v>347</v>
      </c>
      <c r="N132" s="60">
        <v>14.87</v>
      </c>
      <c r="O132" s="60" t="s">
        <v>348</v>
      </c>
    </row>
    <row r="133">
      <c r="D133" s="54">
        <f>E133*'Measure conversion'!$C$2</f>
        <v>0.1478</v>
      </c>
      <c r="E133" s="54">
        <f t="shared" si="1"/>
        <v>0.1478</v>
      </c>
      <c r="F133" s="54">
        <f t="shared" si="2"/>
        <v>2011</v>
      </c>
      <c r="G133" s="54">
        <f t="shared" si="3"/>
        <v>12</v>
      </c>
      <c r="H133" s="58" t="s">
        <v>343</v>
      </c>
      <c r="I133" s="61">
        <v>40878.0</v>
      </c>
      <c r="J133" s="60" t="s">
        <v>344</v>
      </c>
      <c r="K133" s="60" t="s">
        <v>162</v>
      </c>
      <c r="L133" s="60" t="s">
        <v>346</v>
      </c>
      <c r="M133" s="60" t="s">
        <v>347</v>
      </c>
      <c r="N133" s="60">
        <v>14.78</v>
      </c>
      <c r="O133" s="60" t="s">
        <v>348</v>
      </c>
    </row>
    <row r="134">
      <c r="D134" s="54">
        <f>E134*'Measure conversion'!$C$2</f>
        <v>0.1529</v>
      </c>
      <c r="E134" s="54">
        <f t="shared" si="1"/>
        <v>0.1529</v>
      </c>
      <c r="F134" s="54">
        <f t="shared" si="2"/>
        <v>2012</v>
      </c>
      <c r="G134" s="54">
        <f t="shared" si="3"/>
        <v>1</v>
      </c>
      <c r="H134" s="58" t="s">
        <v>343</v>
      </c>
      <c r="I134" s="59">
        <v>40909.0</v>
      </c>
      <c r="J134" s="60" t="s">
        <v>344</v>
      </c>
      <c r="K134" s="60" t="s">
        <v>162</v>
      </c>
      <c r="L134" s="60" t="s">
        <v>346</v>
      </c>
      <c r="M134" s="60" t="s">
        <v>347</v>
      </c>
      <c r="N134" s="60">
        <v>15.29</v>
      </c>
      <c r="O134" s="60" t="s">
        <v>348</v>
      </c>
    </row>
    <row r="135">
      <c r="D135" s="54">
        <f>E135*'Measure conversion'!$C$2</f>
        <v>0.1456</v>
      </c>
      <c r="E135" s="54">
        <f t="shared" si="1"/>
        <v>0.1456</v>
      </c>
      <c r="F135" s="54">
        <f t="shared" si="2"/>
        <v>2012</v>
      </c>
      <c r="G135" s="54">
        <f t="shared" si="3"/>
        <v>2</v>
      </c>
      <c r="H135" s="58" t="s">
        <v>343</v>
      </c>
      <c r="I135" s="59">
        <v>40940.0</v>
      </c>
      <c r="J135" s="60" t="s">
        <v>344</v>
      </c>
      <c r="K135" s="60" t="s">
        <v>162</v>
      </c>
      <c r="L135" s="60" t="s">
        <v>346</v>
      </c>
      <c r="M135" s="60" t="s">
        <v>347</v>
      </c>
      <c r="N135" s="60">
        <v>14.56</v>
      </c>
      <c r="O135" s="60" t="s">
        <v>348</v>
      </c>
    </row>
    <row r="136">
      <c r="D136" s="54">
        <f>E136*'Measure conversion'!$C$2</f>
        <v>0.147</v>
      </c>
      <c r="E136" s="54">
        <f t="shared" si="1"/>
        <v>0.147</v>
      </c>
      <c r="F136" s="54">
        <f t="shared" si="2"/>
        <v>2012</v>
      </c>
      <c r="G136" s="54">
        <f t="shared" si="3"/>
        <v>3</v>
      </c>
      <c r="H136" s="58" t="s">
        <v>343</v>
      </c>
      <c r="I136" s="59">
        <v>40969.0</v>
      </c>
      <c r="J136" s="60" t="s">
        <v>344</v>
      </c>
      <c r="K136" s="60" t="s">
        <v>162</v>
      </c>
      <c r="L136" s="60" t="s">
        <v>346</v>
      </c>
      <c r="M136" s="60" t="s">
        <v>347</v>
      </c>
      <c r="N136" s="60">
        <v>14.7</v>
      </c>
      <c r="O136" s="60" t="s">
        <v>348</v>
      </c>
    </row>
    <row r="137">
      <c r="D137" s="54">
        <f>E137*'Measure conversion'!$C$2</f>
        <v>0.1466</v>
      </c>
      <c r="E137" s="54">
        <f t="shared" si="1"/>
        <v>0.1466</v>
      </c>
      <c r="F137" s="54">
        <f t="shared" si="2"/>
        <v>2012</v>
      </c>
      <c r="G137" s="54">
        <f t="shared" si="3"/>
        <v>4</v>
      </c>
      <c r="H137" s="58" t="s">
        <v>343</v>
      </c>
      <c r="I137" s="59">
        <v>41000.0</v>
      </c>
      <c r="J137" s="60" t="s">
        <v>344</v>
      </c>
      <c r="K137" s="60" t="s">
        <v>162</v>
      </c>
      <c r="L137" s="60" t="s">
        <v>346</v>
      </c>
      <c r="M137" s="60" t="s">
        <v>347</v>
      </c>
      <c r="N137" s="60">
        <v>14.66</v>
      </c>
      <c r="O137" s="60" t="s">
        <v>348</v>
      </c>
    </row>
    <row r="138">
      <c r="D138" s="54">
        <f>E138*'Measure conversion'!$C$2</f>
        <v>0.1502</v>
      </c>
      <c r="E138" s="54">
        <f t="shared" si="1"/>
        <v>0.1502</v>
      </c>
      <c r="F138" s="54">
        <f t="shared" si="2"/>
        <v>2012</v>
      </c>
      <c r="G138" s="54">
        <f t="shared" si="3"/>
        <v>5</v>
      </c>
      <c r="H138" s="58" t="s">
        <v>343</v>
      </c>
      <c r="I138" s="59">
        <v>41030.0</v>
      </c>
      <c r="J138" s="60" t="s">
        <v>344</v>
      </c>
      <c r="K138" s="60" t="s">
        <v>162</v>
      </c>
      <c r="L138" s="60" t="s">
        <v>346</v>
      </c>
      <c r="M138" s="60" t="s">
        <v>347</v>
      </c>
      <c r="N138" s="60">
        <v>15.02</v>
      </c>
      <c r="O138" s="60" t="s">
        <v>348</v>
      </c>
    </row>
    <row r="139">
      <c r="D139" s="54">
        <f>E139*'Measure conversion'!$C$2</f>
        <v>0.1592</v>
      </c>
      <c r="E139" s="54">
        <f t="shared" si="1"/>
        <v>0.1592</v>
      </c>
      <c r="F139" s="54">
        <f t="shared" si="2"/>
        <v>2012</v>
      </c>
      <c r="G139" s="54">
        <f t="shared" si="3"/>
        <v>6</v>
      </c>
      <c r="H139" s="58" t="s">
        <v>343</v>
      </c>
      <c r="I139" s="59">
        <v>41061.0</v>
      </c>
      <c r="J139" s="60" t="s">
        <v>344</v>
      </c>
      <c r="K139" s="60" t="s">
        <v>162</v>
      </c>
      <c r="L139" s="60" t="s">
        <v>346</v>
      </c>
      <c r="M139" s="60" t="s">
        <v>347</v>
      </c>
      <c r="N139" s="60">
        <v>15.92</v>
      </c>
      <c r="O139" s="60" t="s">
        <v>348</v>
      </c>
    </row>
    <row r="140">
      <c r="D140" s="54">
        <f>E140*'Measure conversion'!$C$2</f>
        <v>0.1522</v>
      </c>
      <c r="E140" s="54">
        <f t="shared" si="1"/>
        <v>0.1522</v>
      </c>
      <c r="F140" s="54">
        <f t="shared" si="2"/>
        <v>2012</v>
      </c>
      <c r="G140" s="54">
        <f t="shared" si="3"/>
        <v>7</v>
      </c>
      <c r="H140" s="58" t="s">
        <v>343</v>
      </c>
      <c r="I140" s="59">
        <v>41091.0</v>
      </c>
      <c r="J140" s="60" t="s">
        <v>344</v>
      </c>
      <c r="K140" s="60" t="s">
        <v>162</v>
      </c>
      <c r="L140" s="60" t="s">
        <v>346</v>
      </c>
      <c r="M140" s="60" t="s">
        <v>347</v>
      </c>
      <c r="N140" s="60">
        <v>15.22</v>
      </c>
      <c r="O140" s="60" t="s">
        <v>348</v>
      </c>
    </row>
    <row r="141">
      <c r="D141" s="54">
        <f>E141*'Measure conversion'!$C$2</f>
        <v>0.1646</v>
      </c>
      <c r="E141" s="54">
        <f t="shared" si="1"/>
        <v>0.1646</v>
      </c>
      <c r="F141" s="54">
        <f t="shared" si="2"/>
        <v>2012</v>
      </c>
      <c r="G141" s="54">
        <f t="shared" si="3"/>
        <v>8</v>
      </c>
      <c r="H141" s="58" t="s">
        <v>343</v>
      </c>
      <c r="I141" s="59">
        <v>41122.0</v>
      </c>
      <c r="J141" s="60" t="s">
        <v>344</v>
      </c>
      <c r="K141" s="60" t="s">
        <v>162</v>
      </c>
      <c r="L141" s="60" t="s">
        <v>346</v>
      </c>
      <c r="M141" s="60" t="s">
        <v>347</v>
      </c>
      <c r="N141" s="60">
        <v>16.46</v>
      </c>
      <c r="O141" s="60" t="s">
        <v>348</v>
      </c>
    </row>
    <row r="142">
      <c r="D142" s="54">
        <f>E142*'Measure conversion'!$C$2</f>
        <v>0.1682</v>
      </c>
      <c r="E142" s="54">
        <f t="shared" si="1"/>
        <v>0.1682</v>
      </c>
      <c r="F142" s="54">
        <f t="shared" si="2"/>
        <v>2012</v>
      </c>
      <c r="G142" s="54">
        <f t="shared" si="3"/>
        <v>9</v>
      </c>
      <c r="H142" s="58" t="s">
        <v>343</v>
      </c>
      <c r="I142" s="59">
        <v>41153.0</v>
      </c>
      <c r="J142" s="60" t="s">
        <v>344</v>
      </c>
      <c r="K142" s="60" t="s">
        <v>162</v>
      </c>
      <c r="L142" s="60" t="s">
        <v>346</v>
      </c>
      <c r="M142" s="60" t="s">
        <v>347</v>
      </c>
      <c r="N142" s="60">
        <v>16.82</v>
      </c>
      <c r="O142" s="60" t="s">
        <v>348</v>
      </c>
    </row>
    <row r="143">
      <c r="D143" s="54">
        <f>E143*'Measure conversion'!$C$2</f>
        <v>0.1422</v>
      </c>
      <c r="E143" s="54">
        <f t="shared" si="1"/>
        <v>0.1422</v>
      </c>
      <c r="F143" s="54">
        <f t="shared" si="2"/>
        <v>2012</v>
      </c>
      <c r="G143" s="54">
        <f t="shared" si="3"/>
        <v>10</v>
      </c>
      <c r="H143" s="58" t="s">
        <v>343</v>
      </c>
      <c r="I143" s="61">
        <v>41183.0</v>
      </c>
      <c r="J143" s="60" t="s">
        <v>344</v>
      </c>
      <c r="K143" s="60" t="s">
        <v>162</v>
      </c>
      <c r="L143" s="60" t="s">
        <v>346</v>
      </c>
      <c r="M143" s="60" t="s">
        <v>347</v>
      </c>
      <c r="N143" s="60">
        <v>14.22</v>
      </c>
      <c r="O143" s="60" t="s">
        <v>348</v>
      </c>
    </row>
    <row r="144">
      <c r="D144" s="54">
        <f>E144*'Measure conversion'!$C$2</f>
        <v>0.1488</v>
      </c>
      <c r="E144" s="54">
        <f t="shared" si="1"/>
        <v>0.1488</v>
      </c>
      <c r="F144" s="54">
        <f t="shared" si="2"/>
        <v>2012</v>
      </c>
      <c r="G144" s="54">
        <f t="shared" si="3"/>
        <v>11</v>
      </c>
      <c r="H144" s="58" t="s">
        <v>343</v>
      </c>
      <c r="I144" s="61">
        <v>41214.0</v>
      </c>
      <c r="J144" s="60" t="s">
        <v>344</v>
      </c>
      <c r="K144" s="60" t="s">
        <v>162</v>
      </c>
      <c r="L144" s="60" t="s">
        <v>346</v>
      </c>
      <c r="M144" s="60" t="s">
        <v>347</v>
      </c>
      <c r="N144" s="60">
        <v>14.88</v>
      </c>
      <c r="O144" s="60" t="s">
        <v>348</v>
      </c>
    </row>
    <row r="145">
      <c r="D145" s="54">
        <f>E145*'Measure conversion'!$C$2</f>
        <v>0.1549</v>
      </c>
      <c r="E145" s="54">
        <f t="shared" si="1"/>
        <v>0.1549</v>
      </c>
      <c r="F145" s="54">
        <f t="shared" si="2"/>
        <v>2012</v>
      </c>
      <c r="G145" s="54">
        <f t="shared" si="3"/>
        <v>12</v>
      </c>
      <c r="H145" s="58" t="s">
        <v>343</v>
      </c>
      <c r="I145" s="61">
        <v>41244.0</v>
      </c>
      <c r="J145" s="60" t="s">
        <v>344</v>
      </c>
      <c r="K145" s="60" t="s">
        <v>162</v>
      </c>
      <c r="L145" s="60" t="s">
        <v>346</v>
      </c>
      <c r="M145" s="60" t="s">
        <v>347</v>
      </c>
      <c r="N145" s="60">
        <v>15.49</v>
      </c>
      <c r="O145" s="60" t="s">
        <v>348</v>
      </c>
    </row>
    <row r="146">
      <c r="D146" s="54">
        <f>E146*'Measure conversion'!$C$2</f>
        <v>0.1616</v>
      </c>
      <c r="E146" s="54">
        <f t="shared" si="1"/>
        <v>0.1616</v>
      </c>
      <c r="F146" s="54">
        <f t="shared" si="2"/>
        <v>2013</v>
      </c>
      <c r="G146" s="54">
        <f t="shared" si="3"/>
        <v>1</v>
      </c>
      <c r="H146" s="58" t="s">
        <v>343</v>
      </c>
      <c r="I146" s="59">
        <v>41275.0</v>
      </c>
      <c r="J146" s="60" t="s">
        <v>344</v>
      </c>
      <c r="K146" s="60" t="s">
        <v>162</v>
      </c>
      <c r="L146" s="60" t="s">
        <v>346</v>
      </c>
      <c r="M146" s="60" t="s">
        <v>347</v>
      </c>
      <c r="N146" s="60">
        <v>16.16</v>
      </c>
      <c r="O146" s="60" t="s">
        <v>348</v>
      </c>
    </row>
    <row r="147">
      <c r="D147" s="54">
        <f>E147*'Measure conversion'!$C$2</f>
        <v>0.1531</v>
      </c>
      <c r="E147" s="54">
        <f t="shared" si="1"/>
        <v>0.1531</v>
      </c>
      <c r="F147" s="54">
        <f t="shared" si="2"/>
        <v>2013</v>
      </c>
      <c r="G147" s="54">
        <f t="shared" si="3"/>
        <v>2</v>
      </c>
      <c r="H147" s="58" t="s">
        <v>343</v>
      </c>
      <c r="I147" s="59">
        <v>41306.0</v>
      </c>
      <c r="J147" s="60" t="s">
        <v>344</v>
      </c>
      <c r="K147" s="60" t="s">
        <v>162</v>
      </c>
      <c r="L147" s="60" t="s">
        <v>346</v>
      </c>
      <c r="M147" s="60" t="s">
        <v>347</v>
      </c>
      <c r="N147" s="60">
        <v>15.31</v>
      </c>
      <c r="O147" s="60" t="s">
        <v>348</v>
      </c>
    </row>
    <row r="148">
      <c r="D148" s="54">
        <f>E148*'Measure conversion'!$C$2</f>
        <v>0.1525</v>
      </c>
      <c r="E148" s="54">
        <f t="shared" si="1"/>
        <v>0.1525</v>
      </c>
      <c r="F148" s="54">
        <f t="shared" si="2"/>
        <v>2013</v>
      </c>
      <c r="G148" s="54">
        <f t="shared" si="3"/>
        <v>3</v>
      </c>
      <c r="H148" s="58" t="s">
        <v>343</v>
      </c>
      <c r="I148" s="59">
        <v>41334.0</v>
      </c>
      <c r="J148" s="60" t="s">
        <v>344</v>
      </c>
      <c r="K148" s="60" t="s">
        <v>162</v>
      </c>
      <c r="L148" s="60" t="s">
        <v>346</v>
      </c>
      <c r="M148" s="60" t="s">
        <v>347</v>
      </c>
      <c r="N148" s="60">
        <v>15.25</v>
      </c>
      <c r="O148" s="60" t="s">
        <v>348</v>
      </c>
    </row>
    <row r="149">
      <c r="D149" s="54">
        <f>E149*'Measure conversion'!$C$2</f>
        <v>0.1528</v>
      </c>
      <c r="E149" s="54">
        <f t="shared" si="1"/>
        <v>0.1528</v>
      </c>
      <c r="F149" s="54">
        <f t="shared" si="2"/>
        <v>2013</v>
      </c>
      <c r="G149" s="54">
        <f t="shared" si="3"/>
        <v>4</v>
      </c>
      <c r="H149" s="58" t="s">
        <v>343</v>
      </c>
      <c r="I149" s="59">
        <v>41365.0</v>
      </c>
      <c r="J149" s="60" t="s">
        <v>344</v>
      </c>
      <c r="K149" s="60" t="s">
        <v>162</v>
      </c>
      <c r="L149" s="60" t="s">
        <v>346</v>
      </c>
      <c r="M149" s="60" t="s">
        <v>347</v>
      </c>
      <c r="N149" s="60">
        <v>15.28</v>
      </c>
      <c r="O149" s="60" t="s">
        <v>348</v>
      </c>
    </row>
    <row r="150">
      <c r="D150" s="54">
        <f>E150*'Measure conversion'!$C$2</f>
        <v>0.1592</v>
      </c>
      <c r="E150" s="54">
        <f t="shared" si="1"/>
        <v>0.1592</v>
      </c>
      <c r="F150" s="54">
        <f t="shared" si="2"/>
        <v>2013</v>
      </c>
      <c r="G150" s="54">
        <f t="shared" si="3"/>
        <v>5</v>
      </c>
      <c r="H150" s="58" t="s">
        <v>343</v>
      </c>
      <c r="I150" s="59">
        <v>41395.0</v>
      </c>
      <c r="J150" s="60" t="s">
        <v>344</v>
      </c>
      <c r="K150" s="60" t="s">
        <v>162</v>
      </c>
      <c r="L150" s="60" t="s">
        <v>346</v>
      </c>
      <c r="M150" s="60" t="s">
        <v>347</v>
      </c>
      <c r="N150" s="60">
        <v>15.92</v>
      </c>
      <c r="O150" s="60" t="s">
        <v>348</v>
      </c>
    </row>
    <row r="151">
      <c r="D151" s="54">
        <f>E151*'Measure conversion'!$C$2</f>
        <v>0.1713</v>
      </c>
      <c r="E151" s="54">
        <f t="shared" si="1"/>
        <v>0.1713</v>
      </c>
      <c r="F151" s="54">
        <f t="shared" si="2"/>
        <v>2013</v>
      </c>
      <c r="G151" s="54">
        <f t="shared" si="3"/>
        <v>6</v>
      </c>
      <c r="H151" s="58" t="s">
        <v>343</v>
      </c>
      <c r="I151" s="59">
        <v>41426.0</v>
      </c>
      <c r="J151" s="60" t="s">
        <v>344</v>
      </c>
      <c r="K151" s="60" t="s">
        <v>162</v>
      </c>
      <c r="L151" s="60" t="s">
        <v>346</v>
      </c>
      <c r="M151" s="60" t="s">
        <v>347</v>
      </c>
      <c r="N151" s="60">
        <v>17.13</v>
      </c>
      <c r="O151" s="60" t="s">
        <v>348</v>
      </c>
    </row>
    <row r="152">
      <c r="D152" s="54">
        <f>E152*'Measure conversion'!$C$2</f>
        <v>0.1683</v>
      </c>
      <c r="E152" s="54">
        <f t="shared" si="1"/>
        <v>0.1683</v>
      </c>
      <c r="F152" s="54">
        <f t="shared" si="2"/>
        <v>2013</v>
      </c>
      <c r="G152" s="54">
        <f t="shared" si="3"/>
        <v>7</v>
      </c>
      <c r="H152" s="58" t="s">
        <v>343</v>
      </c>
      <c r="I152" s="59">
        <v>41456.0</v>
      </c>
      <c r="J152" s="60" t="s">
        <v>344</v>
      </c>
      <c r="K152" s="60" t="s">
        <v>162</v>
      </c>
      <c r="L152" s="60" t="s">
        <v>346</v>
      </c>
      <c r="M152" s="60" t="s">
        <v>347</v>
      </c>
      <c r="N152" s="60">
        <v>16.83</v>
      </c>
      <c r="O152" s="60" t="s">
        <v>348</v>
      </c>
    </row>
    <row r="153">
      <c r="D153" s="54">
        <f>E153*'Measure conversion'!$C$2</f>
        <v>0.1632</v>
      </c>
      <c r="E153" s="54">
        <f t="shared" si="1"/>
        <v>0.1632</v>
      </c>
      <c r="F153" s="54">
        <f t="shared" si="2"/>
        <v>2013</v>
      </c>
      <c r="G153" s="54">
        <f t="shared" si="3"/>
        <v>8</v>
      </c>
      <c r="H153" s="58" t="s">
        <v>343</v>
      </c>
      <c r="I153" s="59">
        <v>41487.0</v>
      </c>
      <c r="J153" s="60" t="s">
        <v>344</v>
      </c>
      <c r="K153" s="60" t="s">
        <v>162</v>
      </c>
      <c r="L153" s="60" t="s">
        <v>346</v>
      </c>
      <c r="M153" s="60" t="s">
        <v>347</v>
      </c>
      <c r="N153" s="60">
        <v>16.32</v>
      </c>
      <c r="O153" s="60" t="s">
        <v>348</v>
      </c>
    </row>
    <row r="154">
      <c r="D154" s="54">
        <f>E154*'Measure conversion'!$C$2</f>
        <v>0.1699</v>
      </c>
      <c r="E154" s="54">
        <f t="shared" si="1"/>
        <v>0.1699</v>
      </c>
      <c r="F154" s="54">
        <f t="shared" si="2"/>
        <v>2013</v>
      </c>
      <c r="G154" s="54">
        <f t="shared" si="3"/>
        <v>9</v>
      </c>
      <c r="H154" s="58" t="s">
        <v>343</v>
      </c>
      <c r="I154" s="59">
        <v>41518.0</v>
      </c>
      <c r="J154" s="60" t="s">
        <v>344</v>
      </c>
      <c r="K154" s="60" t="s">
        <v>162</v>
      </c>
      <c r="L154" s="60" t="s">
        <v>346</v>
      </c>
      <c r="M154" s="60" t="s">
        <v>347</v>
      </c>
      <c r="N154" s="60">
        <v>16.99</v>
      </c>
      <c r="O154" s="60" t="s">
        <v>348</v>
      </c>
    </row>
    <row r="155">
      <c r="D155" s="54">
        <f>E155*'Measure conversion'!$C$2</f>
        <v>0.1619</v>
      </c>
      <c r="E155" s="54">
        <f t="shared" si="1"/>
        <v>0.1619</v>
      </c>
      <c r="F155" s="54">
        <f t="shared" si="2"/>
        <v>2013</v>
      </c>
      <c r="G155" s="54">
        <f t="shared" si="3"/>
        <v>10</v>
      </c>
      <c r="H155" s="58" t="s">
        <v>343</v>
      </c>
      <c r="I155" s="61">
        <v>41548.0</v>
      </c>
      <c r="J155" s="60" t="s">
        <v>344</v>
      </c>
      <c r="K155" s="60" t="s">
        <v>162</v>
      </c>
      <c r="L155" s="60" t="s">
        <v>346</v>
      </c>
      <c r="M155" s="60" t="s">
        <v>347</v>
      </c>
      <c r="N155" s="60">
        <v>16.19</v>
      </c>
      <c r="O155" s="60" t="s">
        <v>348</v>
      </c>
    </row>
    <row r="156">
      <c r="D156" s="54">
        <f>E156*'Measure conversion'!$C$2</f>
        <v>0.1653</v>
      </c>
      <c r="E156" s="54">
        <f t="shared" si="1"/>
        <v>0.1653</v>
      </c>
      <c r="F156" s="54">
        <f t="shared" si="2"/>
        <v>2013</v>
      </c>
      <c r="G156" s="54">
        <f t="shared" si="3"/>
        <v>11</v>
      </c>
      <c r="H156" s="58" t="s">
        <v>343</v>
      </c>
      <c r="I156" s="61">
        <v>41579.0</v>
      </c>
      <c r="J156" s="60" t="s">
        <v>344</v>
      </c>
      <c r="K156" s="60" t="s">
        <v>162</v>
      </c>
      <c r="L156" s="60" t="s">
        <v>346</v>
      </c>
      <c r="M156" s="60" t="s">
        <v>347</v>
      </c>
      <c r="N156" s="60">
        <v>16.53</v>
      </c>
      <c r="O156" s="60" t="s">
        <v>348</v>
      </c>
    </row>
    <row r="157">
      <c r="D157" s="54">
        <f>E157*'Measure conversion'!$C$2</f>
        <v>0.1622</v>
      </c>
      <c r="E157" s="54">
        <f t="shared" si="1"/>
        <v>0.1622</v>
      </c>
      <c r="F157" s="54">
        <f t="shared" si="2"/>
        <v>2013</v>
      </c>
      <c r="G157" s="54">
        <f t="shared" si="3"/>
        <v>12</v>
      </c>
      <c r="H157" s="58" t="s">
        <v>343</v>
      </c>
      <c r="I157" s="61">
        <v>41609.0</v>
      </c>
      <c r="J157" s="60" t="s">
        <v>344</v>
      </c>
      <c r="K157" s="60" t="s">
        <v>162</v>
      </c>
      <c r="L157" s="60" t="s">
        <v>346</v>
      </c>
      <c r="M157" s="60" t="s">
        <v>347</v>
      </c>
      <c r="N157" s="60">
        <v>16.22</v>
      </c>
      <c r="O157" s="60" t="s">
        <v>348</v>
      </c>
    </row>
    <row r="158">
      <c r="D158" s="54">
        <f>E158*'Measure conversion'!$C$2</f>
        <v>0.1657</v>
      </c>
      <c r="E158" s="54">
        <f t="shared" si="1"/>
        <v>0.1657</v>
      </c>
      <c r="F158" s="54">
        <f t="shared" si="2"/>
        <v>2014</v>
      </c>
      <c r="G158" s="54">
        <f t="shared" si="3"/>
        <v>1</v>
      </c>
      <c r="H158" s="58" t="s">
        <v>343</v>
      </c>
      <c r="I158" s="59">
        <v>41640.0</v>
      </c>
      <c r="J158" s="60" t="s">
        <v>344</v>
      </c>
      <c r="K158" s="60" t="s">
        <v>162</v>
      </c>
      <c r="L158" s="60" t="s">
        <v>346</v>
      </c>
      <c r="M158" s="60" t="s">
        <v>347</v>
      </c>
      <c r="N158" s="60">
        <v>16.57</v>
      </c>
      <c r="O158" s="60" t="s">
        <v>348</v>
      </c>
    </row>
    <row r="159">
      <c r="D159" s="54">
        <f>E159*'Measure conversion'!$C$2</f>
        <v>0.1611</v>
      </c>
      <c r="E159" s="54">
        <f t="shared" si="1"/>
        <v>0.1611</v>
      </c>
      <c r="F159" s="54">
        <f t="shared" si="2"/>
        <v>2014</v>
      </c>
      <c r="G159" s="54">
        <f t="shared" si="3"/>
        <v>2</v>
      </c>
      <c r="H159" s="58" t="s">
        <v>343</v>
      </c>
      <c r="I159" s="59">
        <v>41671.0</v>
      </c>
      <c r="J159" s="60" t="s">
        <v>344</v>
      </c>
      <c r="K159" s="60" t="s">
        <v>162</v>
      </c>
      <c r="L159" s="60" t="s">
        <v>346</v>
      </c>
      <c r="M159" s="60" t="s">
        <v>347</v>
      </c>
      <c r="N159" s="60">
        <v>16.11</v>
      </c>
      <c r="O159" s="60" t="s">
        <v>348</v>
      </c>
    </row>
    <row r="160">
      <c r="D160" s="54">
        <f>E160*'Measure conversion'!$C$2</f>
        <v>0.1586</v>
      </c>
      <c r="E160" s="54">
        <f t="shared" si="1"/>
        <v>0.1586</v>
      </c>
      <c r="F160" s="54">
        <f t="shared" si="2"/>
        <v>2014</v>
      </c>
      <c r="G160" s="54">
        <f t="shared" si="3"/>
        <v>3</v>
      </c>
      <c r="H160" s="58" t="s">
        <v>343</v>
      </c>
      <c r="I160" s="59">
        <v>41699.0</v>
      </c>
      <c r="J160" s="60" t="s">
        <v>344</v>
      </c>
      <c r="K160" s="60" t="s">
        <v>162</v>
      </c>
      <c r="L160" s="60" t="s">
        <v>346</v>
      </c>
      <c r="M160" s="60" t="s">
        <v>347</v>
      </c>
      <c r="N160" s="60">
        <v>15.86</v>
      </c>
      <c r="O160" s="60" t="s">
        <v>348</v>
      </c>
    </row>
    <row r="161">
      <c r="D161" s="54">
        <f>E161*'Measure conversion'!$C$2</f>
        <v>0.1012</v>
      </c>
      <c r="E161" s="54">
        <f t="shared" si="1"/>
        <v>0.1012</v>
      </c>
      <c r="F161" s="54">
        <f t="shared" si="2"/>
        <v>2014</v>
      </c>
      <c r="G161" s="54">
        <f t="shared" si="3"/>
        <v>4</v>
      </c>
      <c r="H161" s="58" t="s">
        <v>343</v>
      </c>
      <c r="I161" s="59">
        <v>41730.0</v>
      </c>
      <c r="J161" s="60" t="s">
        <v>344</v>
      </c>
      <c r="K161" s="60" t="s">
        <v>162</v>
      </c>
      <c r="L161" s="60" t="s">
        <v>346</v>
      </c>
      <c r="M161" s="60" t="s">
        <v>347</v>
      </c>
      <c r="N161" s="60">
        <v>10.12</v>
      </c>
      <c r="O161" s="60" t="s">
        <v>348</v>
      </c>
    </row>
    <row r="162">
      <c r="D162" s="54">
        <f>E162*'Measure conversion'!$C$2</f>
        <v>0.1646</v>
      </c>
      <c r="E162" s="54">
        <f t="shared" si="1"/>
        <v>0.1646</v>
      </c>
      <c r="F162" s="54">
        <f t="shared" si="2"/>
        <v>2014</v>
      </c>
      <c r="G162" s="54">
        <f t="shared" si="3"/>
        <v>5</v>
      </c>
      <c r="H162" s="58" t="s">
        <v>343</v>
      </c>
      <c r="I162" s="59">
        <v>41760.0</v>
      </c>
      <c r="J162" s="60" t="s">
        <v>344</v>
      </c>
      <c r="K162" s="60" t="s">
        <v>162</v>
      </c>
      <c r="L162" s="60" t="s">
        <v>346</v>
      </c>
      <c r="M162" s="60" t="s">
        <v>347</v>
      </c>
      <c r="N162" s="60">
        <v>16.46</v>
      </c>
      <c r="O162" s="60" t="s">
        <v>348</v>
      </c>
    </row>
    <row r="163">
      <c r="D163" s="54">
        <f>E163*'Measure conversion'!$C$2</f>
        <v>0.169</v>
      </c>
      <c r="E163" s="54">
        <f t="shared" si="1"/>
        <v>0.169</v>
      </c>
      <c r="F163" s="54">
        <f t="shared" si="2"/>
        <v>2014</v>
      </c>
      <c r="G163" s="54">
        <f t="shared" si="3"/>
        <v>6</v>
      </c>
      <c r="H163" s="58" t="s">
        <v>343</v>
      </c>
      <c r="I163" s="59">
        <v>41791.0</v>
      </c>
      <c r="J163" s="60" t="s">
        <v>344</v>
      </c>
      <c r="K163" s="60" t="s">
        <v>162</v>
      </c>
      <c r="L163" s="60" t="s">
        <v>346</v>
      </c>
      <c r="M163" s="60" t="s">
        <v>347</v>
      </c>
      <c r="N163" s="60">
        <v>16.9</v>
      </c>
      <c r="O163" s="60" t="s">
        <v>348</v>
      </c>
    </row>
    <row r="164">
      <c r="D164" s="54">
        <f>E164*'Measure conversion'!$C$2</f>
        <v>0.1763</v>
      </c>
      <c r="E164" s="54">
        <f t="shared" si="1"/>
        <v>0.1763</v>
      </c>
      <c r="F164" s="54">
        <f t="shared" si="2"/>
        <v>2014</v>
      </c>
      <c r="G164" s="54">
        <f t="shared" si="3"/>
        <v>7</v>
      </c>
      <c r="H164" s="58" t="s">
        <v>343</v>
      </c>
      <c r="I164" s="59">
        <v>41821.0</v>
      </c>
      <c r="J164" s="60" t="s">
        <v>344</v>
      </c>
      <c r="K164" s="60" t="s">
        <v>162</v>
      </c>
      <c r="L164" s="60" t="s">
        <v>346</v>
      </c>
      <c r="M164" s="60" t="s">
        <v>347</v>
      </c>
      <c r="N164" s="60">
        <v>17.63</v>
      </c>
      <c r="O164" s="60" t="s">
        <v>348</v>
      </c>
    </row>
    <row r="165">
      <c r="D165" s="54">
        <f>E165*'Measure conversion'!$C$2</f>
        <v>0.1807</v>
      </c>
      <c r="E165" s="54">
        <f t="shared" si="1"/>
        <v>0.1807</v>
      </c>
      <c r="F165" s="54">
        <f t="shared" si="2"/>
        <v>2014</v>
      </c>
      <c r="G165" s="54">
        <f t="shared" si="3"/>
        <v>8</v>
      </c>
      <c r="H165" s="58" t="s">
        <v>343</v>
      </c>
      <c r="I165" s="59">
        <v>41852.0</v>
      </c>
      <c r="J165" s="60" t="s">
        <v>344</v>
      </c>
      <c r="K165" s="60" t="s">
        <v>162</v>
      </c>
      <c r="L165" s="60" t="s">
        <v>346</v>
      </c>
      <c r="M165" s="60" t="s">
        <v>347</v>
      </c>
      <c r="N165" s="60">
        <v>18.07</v>
      </c>
      <c r="O165" s="60" t="s">
        <v>348</v>
      </c>
    </row>
    <row r="166">
      <c r="D166" s="54">
        <f>E166*'Measure conversion'!$C$2</f>
        <v>0.1797</v>
      </c>
      <c r="E166" s="54">
        <f t="shared" si="1"/>
        <v>0.1797</v>
      </c>
      <c r="F166" s="54">
        <f t="shared" si="2"/>
        <v>2014</v>
      </c>
      <c r="G166" s="54">
        <f t="shared" si="3"/>
        <v>9</v>
      </c>
      <c r="H166" s="58" t="s">
        <v>343</v>
      </c>
      <c r="I166" s="59">
        <v>41883.0</v>
      </c>
      <c r="J166" s="60" t="s">
        <v>344</v>
      </c>
      <c r="K166" s="60" t="s">
        <v>162</v>
      </c>
      <c r="L166" s="60" t="s">
        <v>346</v>
      </c>
      <c r="M166" s="60" t="s">
        <v>347</v>
      </c>
      <c r="N166" s="60">
        <v>17.97</v>
      </c>
      <c r="O166" s="60" t="s">
        <v>348</v>
      </c>
    </row>
    <row r="167">
      <c r="D167" s="54">
        <f>E167*'Measure conversion'!$C$2</f>
        <v>0.1335</v>
      </c>
      <c r="E167" s="54">
        <f t="shared" si="1"/>
        <v>0.1335</v>
      </c>
      <c r="F167" s="54">
        <f t="shared" si="2"/>
        <v>2014</v>
      </c>
      <c r="G167" s="54">
        <f t="shared" si="3"/>
        <v>10</v>
      </c>
      <c r="H167" s="58" t="s">
        <v>343</v>
      </c>
      <c r="I167" s="61">
        <v>41913.0</v>
      </c>
      <c r="J167" s="60" t="s">
        <v>344</v>
      </c>
      <c r="K167" s="60" t="s">
        <v>162</v>
      </c>
      <c r="L167" s="60" t="s">
        <v>346</v>
      </c>
      <c r="M167" s="60" t="s">
        <v>347</v>
      </c>
      <c r="N167" s="60">
        <v>13.35</v>
      </c>
      <c r="O167" s="60" t="s">
        <v>348</v>
      </c>
    </row>
    <row r="168">
      <c r="D168" s="54">
        <f>E168*'Measure conversion'!$C$2</f>
        <v>0.17</v>
      </c>
      <c r="E168" s="54">
        <f t="shared" si="1"/>
        <v>0.17</v>
      </c>
      <c r="F168" s="54">
        <f t="shared" si="2"/>
        <v>2014</v>
      </c>
      <c r="G168" s="54">
        <f t="shared" si="3"/>
        <v>11</v>
      </c>
      <c r="H168" s="58" t="s">
        <v>343</v>
      </c>
      <c r="I168" s="61">
        <v>41944.0</v>
      </c>
      <c r="J168" s="60" t="s">
        <v>344</v>
      </c>
      <c r="K168" s="60" t="s">
        <v>162</v>
      </c>
      <c r="L168" s="60" t="s">
        <v>346</v>
      </c>
      <c r="M168" s="60" t="s">
        <v>347</v>
      </c>
      <c r="N168" s="60">
        <v>17.0</v>
      </c>
      <c r="O168" s="60" t="s">
        <v>348</v>
      </c>
    </row>
    <row r="169">
      <c r="D169" s="54">
        <f>E169*'Measure conversion'!$C$2</f>
        <v>0.1703</v>
      </c>
      <c r="E169" s="54">
        <f t="shared" si="1"/>
        <v>0.1703</v>
      </c>
      <c r="F169" s="54">
        <f t="shared" si="2"/>
        <v>2014</v>
      </c>
      <c r="G169" s="54">
        <f t="shared" si="3"/>
        <v>12</v>
      </c>
      <c r="H169" s="58" t="s">
        <v>343</v>
      </c>
      <c r="I169" s="61">
        <v>41974.0</v>
      </c>
      <c r="J169" s="60" t="s">
        <v>344</v>
      </c>
      <c r="K169" s="60" t="s">
        <v>162</v>
      </c>
      <c r="L169" s="60" t="s">
        <v>346</v>
      </c>
      <c r="M169" s="60" t="s">
        <v>347</v>
      </c>
      <c r="N169" s="60">
        <v>17.03</v>
      </c>
      <c r="O169" s="60" t="s">
        <v>348</v>
      </c>
    </row>
    <row r="170">
      <c r="D170" s="54">
        <f>E170*'Measure conversion'!$C$2</f>
        <v>0.174</v>
      </c>
      <c r="E170" s="54">
        <f t="shared" si="1"/>
        <v>0.174</v>
      </c>
      <c r="F170" s="54">
        <f t="shared" si="2"/>
        <v>2015</v>
      </c>
      <c r="G170" s="54">
        <f t="shared" si="3"/>
        <v>1</v>
      </c>
      <c r="H170" s="58" t="s">
        <v>343</v>
      </c>
      <c r="I170" s="59">
        <v>42005.0</v>
      </c>
      <c r="J170" s="60" t="s">
        <v>344</v>
      </c>
      <c r="K170" s="60" t="s">
        <v>162</v>
      </c>
      <c r="L170" s="60" t="s">
        <v>346</v>
      </c>
      <c r="M170" s="60" t="s">
        <v>347</v>
      </c>
      <c r="N170" s="60">
        <v>17.4</v>
      </c>
      <c r="O170" s="60" t="s">
        <v>348</v>
      </c>
    </row>
    <row r="171">
      <c r="D171" s="54">
        <f>E171*'Measure conversion'!$C$2</f>
        <v>0.1713</v>
      </c>
      <c r="E171" s="54">
        <f t="shared" si="1"/>
        <v>0.1713</v>
      </c>
      <c r="F171" s="54">
        <f t="shared" si="2"/>
        <v>2015</v>
      </c>
      <c r="G171" s="54">
        <f t="shared" si="3"/>
        <v>2</v>
      </c>
      <c r="H171" s="58" t="s">
        <v>343</v>
      </c>
      <c r="I171" s="59">
        <v>42036.0</v>
      </c>
      <c r="J171" s="60" t="s">
        <v>344</v>
      </c>
      <c r="K171" s="60" t="s">
        <v>162</v>
      </c>
      <c r="L171" s="60" t="s">
        <v>346</v>
      </c>
      <c r="M171" s="60" t="s">
        <v>347</v>
      </c>
      <c r="N171" s="60">
        <v>17.13</v>
      </c>
      <c r="O171" s="60" t="s">
        <v>348</v>
      </c>
    </row>
    <row r="172">
      <c r="D172" s="54">
        <f>E172*'Measure conversion'!$C$2</f>
        <v>0.1701</v>
      </c>
      <c r="E172" s="54">
        <f t="shared" si="1"/>
        <v>0.1701</v>
      </c>
      <c r="F172" s="54">
        <f t="shared" si="2"/>
        <v>2015</v>
      </c>
      <c r="G172" s="54">
        <f t="shared" si="3"/>
        <v>3</v>
      </c>
      <c r="H172" s="58" t="s">
        <v>343</v>
      </c>
      <c r="I172" s="59">
        <v>42064.0</v>
      </c>
      <c r="J172" s="60" t="s">
        <v>344</v>
      </c>
      <c r="K172" s="60" t="s">
        <v>162</v>
      </c>
      <c r="L172" s="60" t="s">
        <v>346</v>
      </c>
      <c r="M172" s="60" t="s">
        <v>347</v>
      </c>
      <c r="N172" s="60">
        <v>17.01</v>
      </c>
      <c r="O172" s="60" t="s">
        <v>348</v>
      </c>
    </row>
    <row r="173">
      <c r="D173" s="54">
        <f>E173*'Measure conversion'!$C$2</f>
        <v>0.1245</v>
      </c>
      <c r="E173" s="54">
        <f t="shared" si="1"/>
        <v>0.1245</v>
      </c>
      <c r="F173" s="54">
        <f t="shared" si="2"/>
        <v>2015</v>
      </c>
      <c r="G173" s="54">
        <f t="shared" si="3"/>
        <v>4</v>
      </c>
      <c r="H173" s="58" t="s">
        <v>343</v>
      </c>
      <c r="I173" s="59">
        <v>42095.0</v>
      </c>
      <c r="J173" s="60" t="s">
        <v>344</v>
      </c>
      <c r="K173" s="60" t="s">
        <v>162</v>
      </c>
      <c r="L173" s="60" t="s">
        <v>346</v>
      </c>
      <c r="M173" s="60" t="s">
        <v>347</v>
      </c>
      <c r="N173" s="60">
        <v>12.45</v>
      </c>
      <c r="O173" s="60" t="s">
        <v>348</v>
      </c>
    </row>
    <row r="174">
      <c r="D174" s="54">
        <f>E174*'Measure conversion'!$C$2</f>
        <v>0.1731</v>
      </c>
      <c r="E174" s="54">
        <f t="shared" si="1"/>
        <v>0.1731</v>
      </c>
      <c r="F174" s="54">
        <f t="shared" si="2"/>
        <v>2015</v>
      </c>
      <c r="G174" s="54">
        <f t="shared" si="3"/>
        <v>5</v>
      </c>
      <c r="H174" s="58" t="s">
        <v>343</v>
      </c>
      <c r="I174" s="59">
        <v>42125.0</v>
      </c>
      <c r="J174" s="60" t="s">
        <v>344</v>
      </c>
      <c r="K174" s="60" t="s">
        <v>162</v>
      </c>
      <c r="L174" s="60" t="s">
        <v>346</v>
      </c>
      <c r="M174" s="60" t="s">
        <v>347</v>
      </c>
      <c r="N174" s="60">
        <v>17.31</v>
      </c>
      <c r="O174" s="60" t="s">
        <v>348</v>
      </c>
    </row>
    <row r="175">
      <c r="D175" s="54">
        <f>E175*'Measure conversion'!$C$2</f>
        <v>0.1719</v>
      </c>
      <c r="E175" s="54">
        <f t="shared" si="1"/>
        <v>0.1719</v>
      </c>
      <c r="F175" s="54">
        <f t="shared" si="2"/>
        <v>2015</v>
      </c>
      <c r="G175" s="54">
        <f t="shared" si="3"/>
        <v>6</v>
      </c>
      <c r="H175" s="58" t="s">
        <v>343</v>
      </c>
      <c r="I175" s="59">
        <v>42156.0</v>
      </c>
      <c r="J175" s="60" t="s">
        <v>344</v>
      </c>
      <c r="K175" s="60" t="s">
        <v>162</v>
      </c>
      <c r="L175" s="60" t="s">
        <v>346</v>
      </c>
      <c r="M175" s="60" t="s">
        <v>347</v>
      </c>
      <c r="N175" s="60">
        <v>17.19</v>
      </c>
      <c r="O175" s="60" t="s">
        <v>348</v>
      </c>
    </row>
    <row r="176">
      <c r="D176" s="54">
        <f>E176*'Measure conversion'!$C$2</f>
        <v>0.1796</v>
      </c>
      <c r="E176" s="54">
        <f t="shared" si="1"/>
        <v>0.1796</v>
      </c>
      <c r="F176" s="54">
        <f t="shared" si="2"/>
        <v>2015</v>
      </c>
      <c r="G176" s="54">
        <f t="shared" si="3"/>
        <v>7</v>
      </c>
      <c r="H176" s="58" t="s">
        <v>343</v>
      </c>
      <c r="I176" s="59">
        <v>42186.0</v>
      </c>
      <c r="J176" s="60" t="s">
        <v>344</v>
      </c>
      <c r="K176" s="60" t="s">
        <v>162</v>
      </c>
      <c r="L176" s="60" t="s">
        <v>346</v>
      </c>
      <c r="M176" s="60" t="s">
        <v>347</v>
      </c>
      <c r="N176" s="60">
        <v>17.96</v>
      </c>
      <c r="O176" s="60" t="s">
        <v>348</v>
      </c>
    </row>
    <row r="177">
      <c r="D177" s="54">
        <f>E177*'Measure conversion'!$C$2</f>
        <v>0.182</v>
      </c>
      <c r="E177" s="54">
        <f t="shared" si="1"/>
        <v>0.182</v>
      </c>
      <c r="F177" s="54">
        <f t="shared" si="2"/>
        <v>2015</v>
      </c>
      <c r="G177" s="54">
        <f t="shared" si="3"/>
        <v>8</v>
      </c>
      <c r="H177" s="58" t="s">
        <v>343</v>
      </c>
      <c r="I177" s="59">
        <v>42217.0</v>
      </c>
      <c r="J177" s="60" t="s">
        <v>344</v>
      </c>
      <c r="K177" s="60" t="s">
        <v>162</v>
      </c>
      <c r="L177" s="60" t="s">
        <v>346</v>
      </c>
      <c r="M177" s="60" t="s">
        <v>347</v>
      </c>
      <c r="N177" s="60">
        <v>18.2</v>
      </c>
      <c r="O177" s="60" t="s">
        <v>348</v>
      </c>
    </row>
    <row r="178">
      <c r="D178" s="54">
        <f>E178*'Measure conversion'!$C$2</f>
        <v>0.1835</v>
      </c>
      <c r="E178" s="54">
        <f t="shared" si="1"/>
        <v>0.1835</v>
      </c>
      <c r="F178" s="54">
        <f t="shared" si="2"/>
        <v>2015</v>
      </c>
      <c r="G178" s="54">
        <f t="shared" si="3"/>
        <v>9</v>
      </c>
      <c r="H178" s="58" t="s">
        <v>343</v>
      </c>
      <c r="I178" s="59">
        <v>42248.0</v>
      </c>
      <c r="J178" s="60" t="s">
        <v>344</v>
      </c>
      <c r="K178" s="60" t="s">
        <v>162</v>
      </c>
      <c r="L178" s="60" t="s">
        <v>346</v>
      </c>
      <c r="M178" s="60" t="s">
        <v>347</v>
      </c>
      <c r="N178" s="60">
        <v>18.35</v>
      </c>
      <c r="O178" s="60" t="s">
        <v>348</v>
      </c>
    </row>
    <row r="179">
      <c r="D179" s="54">
        <f>E179*'Measure conversion'!$C$2</f>
        <v>0.1496</v>
      </c>
      <c r="E179" s="54">
        <f t="shared" si="1"/>
        <v>0.1496</v>
      </c>
      <c r="F179" s="54">
        <f t="shared" si="2"/>
        <v>2015</v>
      </c>
      <c r="G179" s="54">
        <f t="shared" si="3"/>
        <v>10</v>
      </c>
      <c r="H179" s="58" t="s">
        <v>343</v>
      </c>
      <c r="I179" s="61">
        <v>42278.0</v>
      </c>
      <c r="J179" s="60" t="s">
        <v>344</v>
      </c>
      <c r="K179" s="60" t="s">
        <v>162</v>
      </c>
      <c r="L179" s="60" t="s">
        <v>346</v>
      </c>
      <c r="M179" s="60" t="s">
        <v>347</v>
      </c>
      <c r="N179" s="60">
        <v>14.96</v>
      </c>
      <c r="O179" s="60" t="s">
        <v>348</v>
      </c>
    </row>
    <row r="180">
      <c r="D180" s="54">
        <f>E180*'Measure conversion'!$C$2</f>
        <v>0.1733</v>
      </c>
      <c r="E180" s="54">
        <f t="shared" si="1"/>
        <v>0.1733</v>
      </c>
      <c r="F180" s="54">
        <f t="shared" si="2"/>
        <v>2015</v>
      </c>
      <c r="G180" s="54">
        <f t="shared" si="3"/>
        <v>11</v>
      </c>
      <c r="H180" s="58" t="s">
        <v>343</v>
      </c>
      <c r="I180" s="61">
        <v>42309.0</v>
      </c>
      <c r="J180" s="60" t="s">
        <v>344</v>
      </c>
      <c r="K180" s="60" t="s">
        <v>162</v>
      </c>
      <c r="L180" s="60" t="s">
        <v>346</v>
      </c>
      <c r="M180" s="60" t="s">
        <v>347</v>
      </c>
      <c r="N180" s="60">
        <v>17.33</v>
      </c>
      <c r="O180" s="60" t="s">
        <v>348</v>
      </c>
    </row>
    <row r="181">
      <c r="D181" s="54">
        <f>E181*'Measure conversion'!$C$2</f>
        <v>0.1729</v>
      </c>
      <c r="E181" s="54">
        <f t="shared" si="1"/>
        <v>0.1729</v>
      </c>
      <c r="F181" s="54">
        <f t="shared" si="2"/>
        <v>2015</v>
      </c>
      <c r="G181" s="54">
        <f t="shared" si="3"/>
        <v>12</v>
      </c>
      <c r="H181" s="58" t="s">
        <v>343</v>
      </c>
      <c r="I181" s="61">
        <v>42339.0</v>
      </c>
      <c r="J181" s="60" t="s">
        <v>344</v>
      </c>
      <c r="K181" s="60" t="s">
        <v>162</v>
      </c>
      <c r="L181" s="60" t="s">
        <v>346</v>
      </c>
      <c r="M181" s="60" t="s">
        <v>347</v>
      </c>
      <c r="N181" s="60">
        <v>17.29</v>
      </c>
      <c r="O181" s="60" t="s">
        <v>348</v>
      </c>
    </row>
    <row r="182">
      <c r="D182" s="54">
        <f>E182*'Measure conversion'!$C$2</f>
        <v>0.1777</v>
      </c>
      <c r="E182" s="54">
        <f t="shared" si="1"/>
        <v>0.1777</v>
      </c>
      <c r="F182" s="54">
        <f t="shared" si="2"/>
        <v>2016</v>
      </c>
      <c r="G182" s="54">
        <f t="shared" si="3"/>
        <v>1</v>
      </c>
      <c r="H182" s="58" t="s">
        <v>343</v>
      </c>
      <c r="I182" s="59">
        <v>42370.0</v>
      </c>
      <c r="J182" s="60" t="s">
        <v>344</v>
      </c>
      <c r="K182" s="60" t="s">
        <v>162</v>
      </c>
      <c r="L182" s="60" t="s">
        <v>346</v>
      </c>
      <c r="M182" s="60" t="s">
        <v>347</v>
      </c>
      <c r="N182" s="60">
        <v>17.77</v>
      </c>
      <c r="O182" s="60" t="s">
        <v>348</v>
      </c>
    </row>
    <row r="183">
      <c r="D183" s="54">
        <f>E183*'Measure conversion'!$C$2</f>
        <v>0.1768</v>
      </c>
      <c r="E183" s="54">
        <f t="shared" si="1"/>
        <v>0.1768</v>
      </c>
      <c r="F183" s="54">
        <f t="shared" si="2"/>
        <v>2016</v>
      </c>
      <c r="G183" s="54">
        <f t="shared" si="3"/>
        <v>2</v>
      </c>
      <c r="H183" s="58" t="s">
        <v>343</v>
      </c>
      <c r="I183" s="59">
        <v>42401.0</v>
      </c>
      <c r="J183" s="60" t="s">
        <v>344</v>
      </c>
      <c r="K183" s="60" t="s">
        <v>162</v>
      </c>
      <c r="L183" s="60" t="s">
        <v>346</v>
      </c>
      <c r="M183" s="60" t="s">
        <v>347</v>
      </c>
      <c r="N183" s="60">
        <v>17.68</v>
      </c>
      <c r="O183" s="60" t="s">
        <v>348</v>
      </c>
    </row>
    <row r="184">
      <c r="D184" s="54">
        <f>E184*'Measure conversion'!$C$2</f>
        <v>0.1765</v>
      </c>
      <c r="E184" s="54">
        <f t="shared" si="1"/>
        <v>0.1765</v>
      </c>
      <c r="F184" s="54">
        <f t="shared" si="2"/>
        <v>2016</v>
      </c>
      <c r="G184" s="54">
        <f t="shared" si="3"/>
        <v>3</v>
      </c>
      <c r="H184" s="58" t="s">
        <v>343</v>
      </c>
      <c r="I184" s="59">
        <v>42430.0</v>
      </c>
      <c r="J184" s="60" t="s">
        <v>344</v>
      </c>
      <c r="K184" s="60" t="s">
        <v>162</v>
      </c>
      <c r="L184" s="60" t="s">
        <v>346</v>
      </c>
      <c r="M184" s="60" t="s">
        <v>347</v>
      </c>
      <c r="N184" s="60">
        <v>17.65</v>
      </c>
      <c r="O184" s="60" t="s">
        <v>348</v>
      </c>
    </row>
    <row r="185">
      <c r="D185" s="54">
        <f>E185*'Measure conversion'!$C$2</f>
        <v>0.1239</v>
      </c>
      <c r="E185" s="54">
        <f t="shared" si="1"/>
        <v>0.1239</v>
      </c>
      <c r="F185" s="54">
        <f t="shared" si="2"/>
        <v>2016</v>
      </c>
      <c r="G185" s="54">
        <f t="shared" si="3"/>
        <v>4</v>
      </c>
      <c r="H185" s="58" t="s">
        <v>343</v>
      </c>
      <c r="I185" s="59">
        <v>42461.0</v>
      </c>
      <c r="J185" s="60" t="s">
        <v>344</v>
      </c>
      <c r="K185" s="60" t="s">
        <v>162</v>
      </c>
      <c r="L185" s="60" t="s">
        <v>346</v>
      </c>
      <c r="M185" s="60" t="s">
        <v>347</v>
      </c>
      <c r="N185" s="60">
        <v>12.39</v>
      </c>
      <c r="O185" s="60" t="s">
        <v>348</v>
      </c>
    </row>
    <row r="186">
      <c r="D186" s="54">
        <f>E186*'Measure conversion'!$C$2</f>
        <v>0.1771</v>
      </c>
      <c r="E186" s="54">
        <f t="shared" si="1"/>
        <v>0.1771</v>
      </c>
      <c r="F186" s="54">
        <f t="shared" si="2"/>
        <v>2016</v>
      </c>
      <c r="G186" s="54">
        <f t="shared" si="3"/>
        <v>5</v>
      </c>
      <c r="H186" s="58" t="s">
        <v>343</v>
      </c>
      <c r="I186" s="59">
        <v>42491.0</v>
      </c>
      <c r="J186" s="60" t="s">
        <v>344</v>
      </c>
      <c r="K186" s="60" t="s">
        <v>162</v>
      </c>
      <c r="L186" s="60" t="s">
        <v>346</v>
      </c>
      <c r="M186" s="60" t="s">
        <v>347</v>
      </c>
      <c r="N186" s="60">
        <v>17.71</v>
      </c>
      <c r="O186" s="60" t="s">
        <v>348</v>
      </c>
    </row>
    <row r="187">
      <c r="D187" s="54">
        <f>E187*'Measure conversion'!$C$2</f>
        <v>0.1809</v>
      </c>
      <c r="E187" s="54">
        <f t="shared" si="1"/>
        <v>0.1809</v>
      </c>
      <c r="F187" s="54">
        <f t="shared" si="2"/>
        <v>2016</v>
      </c>
      <c r="G187" s="54">
        <f t="shared" si="3"/>
        <v>6</v>
      </c>
      <c r="H187" s="58" t="s">
        <v>343</v>
      </c>
      <c r="I187" s="59">
        <v>42522.0</v>
      </c>
      <c r="J187" s="60" t="s">
        <v>344</v>
      </c>
      <c r="K187" s="60" t="s">
        <v>162</v>
      </c>
      <c r="L187" s="60" t="s">
        <v>346</v>
      </c>
      <c r="M187" s="60" t="s">
        <v>347</v>
      </c>
      <c r="N187" s="60">
        <v>18.09</v>
      </c>
      <c r="O187" s="60" t="s">
        <v>348</v>
      </c>
    </row>
    <row r="188">
      <c r="D188" s="54">
        <f>E188*'Measure conversion'!$C$2</f>
        <v>0.1847</v>
      </c>
      <c r="E188" s="54">
        <f t="shared" si="1"/>
        <v>0.1847</v>
      </c>
      <c r="F188" s="54">
        <f t="shared" si="2"/>
        <v>2016</v>
      </c>
      <c r="G188" s="54">
        <f t="shared" si="3"/>
        <v>7</v>
      </c>
      <c r="H188" s="58" t="s">
        <v>343</v>
      </c>
      <c r="I188" s="59">
        <v>42552.0</v>
      </c>
      <c r="J188" s="60" t="s">
        <v>344</v>
      </c>
      <c r="K188" s="60" t="s">
        <v>162</v>
      </c>
      <c r="L188" s="60" t="s">
        <v>346</v>
      </c>
      <c r="M188" s="60" t="s">
        <v>347</v>
      </c>
      <c r="N188" s="60">
        <v>18.47</v>
      </c>
      <c r="O188" s="60" t="s">
        <v>348</v>
      </c>
    </row>
    <row r="189">
      <c r="D189" s="54">
        <f>E189*'Measure conversion'!$C$2</f>
        <v>0.1887</v>
      </c>
      <c r="E189" s="54">
        <f t="shared" si="1"/>
        <v>0.1887</v>
      </c>
      <c r="F189" s="54">
        <f t="shared" si="2"/>
        <v>2016</v>
      </c>
      <c r="G189" s="54">
        <f t="shared" si="3"/>
        <v>8</v>
      </c>
      <c r="H189" s="58" t="s">
        <v>343</v>
      </c>
      <c r="I189" s="59">
        <v>42583.0</v>
      </c>
      <c r="J189" s="60" t="s">
        <v>344</v>
      </c>
      <c r="K189" s="60" t="s">
        <v>162</v>
      </c>
      <c r="L189" s="60" t="s">
        <v>346</v>
      </c>
      <c r="M189" s="60" t="s">
        <v>347</v>
      </c>
      <c r="N189" s="60">
        <v>18.87</v>
      </c>
      <c r="O189" s="60" t="s">
        <v>348</v>
      </c>
    </row>
    <row r="190">
      <c r="D190" s="54">
        <f>E190*'Measure conversion'!$C$2</f>
        <v>0.1822</v>
      </c>
      <c r="E190" s="54">
        <f t="shared" si="1"/>
        <v>0.1822</v>
      </c>
      <c r="F190" s="54">
        <f t="shared" si="2"/>
        <v>2016</v>
      </c>
      <c r="G190" s="54">
        <f t="shared" si="3"/>
        <v>9</v>
      </c>
      <c r="H190" s="58" t="s">
        <v>343</v>
      </c>
      <c r="I190" s="59">
        <v>42614.0</v>
      </c>
      <c r="J190" s="60" t="s">
        <v>344</v>
      </c>
      <c r="K190" s="60" t="s">
        <v>162</v>
      </c>
      <c r="L190" s="60" t="s">
        <v>346</v>
      </c>
      <c r="M190" s="60" t="s">
        <v>347</v>
      </c>
      <c r="N190" s="60">
        <v>18.22</v>
      </c>
      <c r="O190" s="60" t="s">
        <v>348</v>
      </c>
    </row>
    <row r="191">
      <c r="D191" s="54">
        <f>E191*'Measure conversion'!$C$2</f>
        <v>0.1393</v>
      </c>
      <c r="E191" s="54">
        <f t="shared" si="1"/>
        <v>0.1393</v>
      </c>
      <c r="F191" s="54">
        <f t="shared" si="2"/>
        <v>2016</v>
      </c>
      <c r="G191" s="54">
        <f t="shared" si="3"/>
        <v>10</v>
      </c>
      <c r="H191" s="58" t="s">
        <v>343</v>
      </c>
      <c r="I191" s="61">
        <v>42644.0</v>
      </c>
      <c r="J191" s="60" t="s">
        <v>344</v>
      </c>
      <c r="K191" s="60" t="s">
        <v>162</v>
      </c>
      <c r="L191" s="60" t="s">
        <v>346</v>
      </c>
      <c r="M191" s="60" t="s">
        <v>347</v>
      </c>
      <c r="N191" s="60">
        <v>13.93</v>
      </c>
      <c r="O191" s="60" t="s">
        <v>348</v>
      </c>
    </row>
    <row r="192">
      <c r="D192" s="54">
        <f>E192*'Measure conversion'!$C$2</f>
        <v>0.1793</v>
      </c>
      <c r="E192" s="54">
        <f t="shared" si="1"/>
        <v>0.1793</v>
      </c>
      <c r="F192" s="54">
        <f t="shared" si="2"/>
        <v>2016</v>
      </c>
      <c r="G192" s="54">
        <f t="shared" si="3"/>
        <v>11</v>
      </c>
      <c r="H192" s="58" t="s">
        <v>343</v>
      </c>
      <c r="I192" s="61">
        <v>42675.0</v>
      </c>
      <c r="J192" s="60" t="s">
        <v>344</v>
      </c>
      <c r="K192" s="60" t="s">
        <v>162</v>
      </c>
      <c r="L192" s="60" t="s">
        <v>346</v>
      </c>
      <c r="M192" s="60" t="s">
        <v>347</v>
      </c>
      <c r="N192" s="60">
        <v>17.93</v>
      </c>
      <c r="O192" s="60" t="s">
        <v>348</v>
      </c>
    </row>
    <row r="193">
      <c r="D193" s="54">
        <f>E193*'Measure conversion'!$C$2</f>
        <v>0.1816</v>
      </c>
      <c r="E193" s="54">
        <f t="shared" si="1"/>
        <v>0.1816</v>
      </c>
      <c r="F193" s="54">
        <f t="shared" si="2"/>
        <v>2016</v>
      </c>
      <c r="G193" s="54">
        <f t="shared" si="3"/>
        <v>12</v>
      </c>
      <c r="H193" s="58" t="s">
        <v>343</v>
      </c>
      <c r="I193" s="61">
        <v>42705.0</v>
      </c>
      <c r="J193" s="60" t="s">
        <v>344</v>
      </c>
      <c r="K193" s="60" t="s">
        <v>162</v>
      </c>
      <c r="L193" s="60" t="s">
        <v>346</v>
      </c>
      <c r="M193" s="60" t="s">
        <v>347</v>
      </c>
      <c r="N193" s="60">
        <v>18.16</v>
      </c>
      <c r="O193" s="60" t="s">
        <v>348</v>
      </c>
    </row>
    <row r="194">
      <c r="D194" s="54">
        <f>E194*'Measure conversion'!$C$2</f>
        <v>0.1837</v>
      </c>
      <c r="E194" s="54">
        <f t="shared" si="1"/>
        <v>0.1837</v>
      </c>
      <c r="F194" s="54">
        <f t="shared" si="2"/>
        <v>2017</v>
      </c>
      <c r="G194" s="54">
        <f t="shared" si="3"/>
        <v>1</v>
      </c>
      <c r="H194" s="58" t="s">
        <v>343</v>
      </c>
      <c r="I194" s="59">
        <v>42736.0</v>
      </c>
      <c r="J194" s="60" t="s">
        <v>344</v>
      </c>
      <c r="K194" s="60" t="s">
        <v>162</v>
      </c>
      <c r="L194" s="60" t="s">
        <v>346</v>
      </c>
      <c r="M194" s="60" t="s">
        <v>347</v>
      </c>
      <c r="N194" s="60">
        <v>18.37</v>
      </c>
      <c r="O194" s="60" t="s">
        <v>348</v>
      </c>
    </row>
    <row r="195">
      <c r="D195" s="54">
        <f>E195*'Measure conversion'!$C$2</f>
        <v>0.19</v>
      </c>
      <c r="E195" s="54">
        <f t="shared" si="1"/>
        <v>0.19</v>
      </c>
      <c r="F195" s="54">
        <f t="shared" si="2"/>
        <v>2017</v>
      </c>
      <c r="G195" s="54">
        <f t="shared" si="3"/>
        <v>2</v>
      </c>
      <c r="H195" s="58" t="s">
        <v>343</v>
      </c>
      <c r="I195" s="59">
        <v>42767.0</v>
      </c>
      <c r="J195" s="60" t="s">
        <v>344</v>
      </c>
      <c r="K195" s="60" t="s">
        <v>162</v>
      </c>
      <c r="L195" s="60" t="s">
        <v>346</v>
      </c>
      <c r="M195" s="60" t="s">
        <v>347</v>
      </c>
      <c r="N195" s="60">
        <v>19.0</v>
      </c>
      <c r="O195" s="60" t="s">
        <v>348</v>
      </c>
    </row>
    <row r="196">
      <c r="D196" s="54">
        <f>E196*'Measure conversion'!$C$2</f>
        <v>0.1918</v>
      </c>
      <c r="E196" s="54">
        <f t="shared" si="1"/>
        <v>0.1918</v>
      </c>
      <c r="F196" s="54">
        <f t="shared" si="2"/>
        <v>2017</v>
      </c>
      <c r="G196" s="54">
        <f t="shared" si="3"/>
        <v>3</v>
      </c>
      <c r="H196" s="58" t="s">
        <v>343</v>
      </c>
      <c r="I196" s="59">
        <v>42795.0</v>
      </c>
      <c r="J196" s="60" t="s">
        <v>344</v>
      </c>
      <c r="K196" s="60" t="s">
        <v>162</v>
      </c>
      <c r="L196" s="60" t="s">
        <v>346</v>
      </c>
      <c r="M196" s="60" t="s">
        <v>347</v>
      </c>
      <c r="N196" s="60">
        <v>19.18</v>
      </c>
      <c r="O196" s="60" t="s">
        <v>348</v>
      </c>
    </row>
    <row r="197">
      <c r="D197" s="54">
        <f>E197*'Measure conversion'!$C$2</f>
        <v>0.1412</v>
      </c>
      <c r="E197" s="54">
        <f t="shared" si="1"/>
        <v>0.1412</v>
      </c>
      <c r="F197" s="54">
        <f t="shared" si="2"/>
        <v>2017</v>
      </c>
      <c r="G197" s="54">
        <f t="shared" si="3"/>
        <v>4</v>
      </c>
      <c r="H197" s="58" t="s">
        <v>343</v>
      </c>
      <c r="I197" s="59">
        <v>42826.0</v>
      </c>
      <c r="J197" s="60" t="s">
        <v>344</v>
      </c>
      <c r="K197" s="60" t="s">
        <v>162</v>
      </c>
      <c r="L197" s="60" t="s">
        <v>346</v>
      </c>
      <c r="M197" s="60" t="s">
        <v>347</v>
      </c>
      <c r="N197" s="60">
        <v>14.12</v>
      </c>
      <c r="O197" s="60" t="s">
        <v>348</v>
      </c>
    </row>
    <row r="198">
      <c r="D198" s="54">
        <f>E198*'Measure conversion'!$C$2</f>
        <v>0.1806</v>
      </c>
      <c r="E198" s="54">
        <f t="shared" si="1"/>
        <v>0.1806</v>
      </c>
      <c r="F198" s="54">
        <f t="shared" si="2"/>
        <v>2017</v>
      </c>
      <c r="G198" s="54">
        <f t="shared" si="3"/>
        <v>5</v>
      </c>
      <c r="H198" s="58" t="s">
        <v>343</v>
      </c>
      <c r="I198" s="59">
        <v>42856.0</v>
      </c>
      <c r="J198" s="60" t="s">
        <v>344</v>
      </c>
      <c r="K198" s="60" t="s">
        <v>162</v>
      </c>
      <c r="L198" s="60" t="s">
        <v>346</v>
      </c>
      <c r="M198" s="60" t="s">
        <v>347</v>
      </c>
      <c r="N198" s="60">
        <v>18.06</v>
      </c>
      <c r="O198" s="60" t="s">
        <v>348</v>
      </c>
    </row>
    <row r="199">
      <c r="D199" s="54">
        <f>E199*'Measure conversion'!$C$2</f>
        <v>0.1912</v>
      </c>
      <c r="E199" s="54">
        <f t="shared" si="1"/>
        <v>0.1912</v>
      </c>
      <c r="F199" s="54">
        <f t="shared" si="2"/>
        <v>2017</v>
      </c>
      <c r="G199" s="54">
        <f t="shared" si="3"/>
        <v>6</v>
      </c>
      <c r="H199" s="58" t="s">
        <v>343</v>
      </c>
      <c r="I199" s="59">
        <v>42887.0</v>
      </c>
      <c r="J199" s="60" t="s">
        <v>344</v>
      </c>
      <c r="K199" s="60" t="s">
        <v>162</v>
      </c>
      <c r="L199" s="60" t="s">
        <v>346</v>
      </c>
      <c r="M199" s="60" t="s">
        <v>347</v>
      </c>
      <c r="N199" s="60">
        <v>19.12</v>
      </c>
      <c r="O199" s="60" t="s">
        <v>348</v>
      </c>
    </row>
    <row r="200">
      <c r="D200" s="54">
        <f>E200*'Measure conversion'!$C$2</f>
        <v>0.1852</v>
      </c>
      <c r="E200" s="54">
        <f t="shared" si="1"/>
        <v>0.1852</v>
      </c>
      <c r="F200" s="54">
        <f t="shared" si="2"/>
        <v>2017</v>
      </c>
      <c r="G200" s="54">
        <f t="shared" si="3"/>
        <v>7</v>
      </c>
      <c r="H200" s="58" t="s">
        <v>343</v>
      </c>
      <c r="I200" s="59">
        <v>42917.0</v>
      </c>
      <c r="J200" s="60" t="s">
        <v>344</v>
      </c>
      <c r="K200" s="60" t="s">
        <v>162</v>
      </c>
      <c r="L200" s="60" t="s">
        <v>346</v>
      </c>
      <c r="M200" s="60" t="s">
        <v>347</v>
      </c>
      <c r="N200" s="60">
        <v>18.52</v>
      </c>
      <c r="O200" s="60" t="s">
        <v>348</v>
      </c>
    </row>
    <row r="201">
      <c r="D201" s="54">
        <f>E201*'Measure conversion'!$C$2</f>
        <v>0.1916</v>
      </c>
      <c r="E201" s="54">
        <f t="shared" si="1"/>
        <v>0.1916</v>
      </c>
      <c r="F201" s="54">
        <f t="shared" si="2"/>
        <v>2017</v>
      </c>
      <c r="G201" s="54">
        <f t="shared" si="3"/>
        <v>8</v>
      </c>
      <c r="H201" s="58" t="s">
        <v>343</v>
      </c>
      <c r="I201" s="59">
        <v>42948.0</v>
      </c>
      <c r="J201" s="60" t="s">
        <v>344</v>
      </c>
      <c r="K201" s="60" t="s">
        <v>162</v>
      </c>
      <c r="L201" s="60" t="s">
        <v>346</v>
      </c>
      <c r="M201" s="60" t="s">
        <v>347</v>
      </c>
      <c r="N201" s="60">
        <v>19.16</v>
      </c>
      <c r="O201" s="60" t="s">
        <v>348</v>
      </c>
    </row>
    <row r="202">
      <c r="D202" s="54">
        <f>E202*'Measure conversion'!$C$2</f>
        <v>0.1933</v>
      </c>
      <c r="E202" s="54">
        <f t="shared" si="1"/>
        <v>0.1933</v>
      </c>
      <c r="F202" s="54">
        <f t="shared" si="2"/>
        <v>2017</v>
      </c>
      <c r="G202" s="54">
        <f t="shared" si="3"/>
        <v>9</v>
      </c>
      <c r="H202" s="55" t="s">
        <v>343</v>
      </c>
      <c r="I202" s="56">
        <v>42979.0</v>
      </c>
      <c r="J202" s="57" t="s">
        <v>344</v>
      </c>
      <c r="K202" s="57" t="s">
        <v>162</v>
      </c>
      <c r="L202" s="57" t="s">
        <v>346</v>
      </c>
      <c r="M202" s="57" t="s">
        <v>347</v>
      </c>
      <c r="N202" s="57">
        <v>19.33</v>
      </c>
      <c r="O202" s="57" t="s">
        <v>348</v>
      </c>
    </row>
    <row r="203">
      <c r="D203" s="54">
        <f>E203*'Measure conversion'!$C$2</f>
        <v>0.157</v>
      </c>
      <c r="E203" s="54">
        <f t="shared" si="1"/>
        <v>0.157</v>
      </c>
      <c r="F203" s="54">
        <f t="shared" si="2"/>
        <v>2017</v>
      </c>
      <c r="G203" s="54">
        <f t="shared" si="3"/>
        <v>10</v>
      </c>
      <c r="H203" s="58" t="s">
        <v>343</v>
      </c>
      <c r="I203" s="61">
        <v>43009.0</v>
      </c>
      <c r="J203" s="60" t="s">
        <v>344</v>
      </c>
      <c r="K203" s="60" t="s">
        <v>162</v>
      </c>
      <c r="L203" s="60" t="s">
        <v>346</v>
      </c>
      <c r="M203" s="60" t="s">
        <v>347</v>
      </c>
      <c r="N203" s="60">
        <v>15.7</v>
      </c>
      <c r="O203" s="60" t="s">
        <v>348</v>
      </c>
    </row>
    <row r="204">
      <c r="D204" s="54">
        <f>E204*'Measure conversion'!$C$2</f>
        <v>0.1871</v>
      </c>
      <c r="E204" s="54">
        <f t="shared" si="1"/>
        <v>0.1871</v>
      </c>
      <c r="F204" s="54">
        <f t="shared" si="2"/>
        <v>2017</v>
      </c>
      <c r="G204" s="54">
        <f t="shared" si="3"/>
        <v>11</v>
      </c>
      <c r="H204" s="58" t="s">
        <v>343</v>
      </c>
      <c r="I204" s="61">
        <v>43040.0</v>
      </c>
      <c r="J204" s="60" t="s">
        <v>344</v>
      </c>
      <c r="K204" s="60" t="s">
        <v>162</v>
      </c>
      <c r="L204" s="60" t="s">
        <v>346</v>
      </c>
      <c r="M204" s="60" t="s">
        <v>347</v>
      </c>
      <c r="N204" s="60">
        <v>18.71</v>
      </c>
      <c r="O204" s="60" t="s">
        <v>348</v>
      </c>
    </row>
    <row r="205">
      <c r="D205" s="54">
        <f>E205*'Measure conversion'!$C$2</f>
        <v>0.1862</v>
      </c>
      <c r="E205" s="54">
        <f t="shared" si="1"/>
        <v>0.1862</v>
      </c>
      <c r="F205" s="54">
        <f t="shared" si="2"/>
        <v>2017</v>
      </c>
      <c r="G205" s="54">
        <f t="shared" si="3"/>
        <v>12</v>
      </c>
      <c r="H205" s="58" t="s">
        <v>343</v>
      </c>
      <c r="I205" s="61">
        <v>43070.0</v>
      </c>
      <c r="J205" s="60" t="s">
        <v>344</v>
      </c>
      <c r="K205" s="60" t="s">
        <v>162</v>
      </c>
      <c r="L205" s="60" t="s">
        <v>346</v>
      </c>
      <c r="M205" s="60" t="s">
        <v>347</v>
      </c>
      <c r="N205" s="60">
        <v>18.62</v>
      </c>
      <c r="O205" s="60" t="s">
        <v>348</v>
      </c>
    </row>
    <row r="206">
      <c r="D206" s="54">
        <f>E206*'Measure conversion'!$C$2</f>
        <v>0.191</v>
      </c>
      <c r="E206" s="54">
        <f t="shared" si="1"/>
        <v>0.191</v>
      </c>
      <c r="F206" s="54">
        <f t="shared" si="2"/>
        <v>2018</v>
      </c>
      <c r="G206" s="54">
        <f t="shared" si="3"/>
        <v>1</v>
      </c>
      <c r="H206" s="58" t="s">
        <v>343</v>
      </c>
      <c r="I206" s="59">
        <v>43101.0</v>
      </c>
      <c r="J206" s="60" t="s">
        <v>344</v>
      </c>
      <c r="K206" s="60" t="s">
        <v>162</v>
      </c>
      <c r="L206" s="60" t="s">
        <v>346</v>
      </c>
      <c r="M206" s="60" t="s">
        <v>347</v>
      </c>
      <c r="N206" s="60">
        <v>19.1</v>
      </c>
      <c r="O206" s="60" t="s">
        <v>348</v>
      </c>
    </row>
    <row r="207">
      <c r="D207" s="54">
        <f>E207*'Measure conversion'!$C$2</f>
        <v>0.191</v>
      </c>
      <c r="E207" s="54">
        <f t="shared" si="1"/>
        <v>0.191</v>
      </c>
      <c r="F207" s="54">
        <f t="shared" si="2"/>
        <v>2018</v>
      </c>
      <c r="G207" s="54">
        <f t="shared" si="3"/>
        <v>2</v>
      </c>
      <c r="H207" s="58" t="s">
        <v>343</v>
      </c>
      <c r="I207" s="59">
        <v>43132.0</v>
      </c>
      <c r="J207" s="60" t="s">
        <v>344</v>
      </c>
      <c r="K207" s="60" t="s">
        <v>162</v>
      </c>
      <c r="L207" s="60" t="s">
        <v>346</v>
      </c>
      <c r="M207" s="60" t="s">
        <v>347</v>
      </c>
      <c r="N207" s="60">
        <v>19.1</v>
      </c>
      <c r="O207" s="60" t="s">
        <v>348</v>
      </c>
    </row>
    <row r="208">
      <c r="D208" s="54">
        <f>E208*'Measure conversion'!$C$2</f>
        <v>0.1844</v>
      </c>
      <c r="E208" s="54">
        <f t="shared" si="1"/>
        <v>0.1844</v>
      </c>
      <c r="F208" s="54">
        <f t="shared" si="2"/>
        <v>2018</v>
      </c>
      <c r="G208" s="54">
        <f t="shared" si="3"/>
        <v>3</v>
      </c>
      <c r="H208" s="58" t="s">
        <v>343</v>
      </c>
      <c r="I208" s="59">
        <v>43160.0</v>
      </c>
      <c r="J208" s="60" t="s">
        <v>344</v>
      </c>
      <c r="K208" s="60" t="s">
        <v>162</v>
      </c>
      <c r="L208" s="60" t="s">
        <v>346</v>
      </c>
      <c r="M208" s="60" t="s">
        <v>347</v>
      </c>
      <c r="N208" s="60">
        <v>18.44</v>
      </c>
      <c r="O208" s="60" t="s">
        <v>348</v>
      </c>
    </row>
    <row r="209">
      <c r="D209" s="54">
        <f>E209*'Measure conversion'!$C$2</f>
        <v>0.1603</v>
      </c>
      <c r="E209" s="54">
        <f t="shared" si="1"/>
        <v>0.1603</v>
      </c>
      <c r="F209" s="54">
        <f t="shared" si="2"/>
        <v>2018</v>
      </c>
      <c r="G209" s="54">
        <f t="shared" si="3"/>
        <v>4</v>
      </c>
      <c r="H209" s="58" t="s">
        <v>343</v>
      </c>
      <c r="I209" s="59">
        <v>43191.0</v>
      </c>
      <c r="J209" s="60" t="s">
        <v>344</v>
      </c>
      <c r="K209" s="60" t="s">
        <v>162</v>
      </c>
      <c r="L209" s="60" t="s">
        <v>346</v>
      </c>
      <c r="M209" s="60" t="s">
        <v>347</v>
      </c>
      <c r="N209" s="60">
        <v>16.03</v>
      </c>
      <c r="O209" s="60" t="s">
        <v>348</v>
      </c>
    </row>
    <row r="210">
      <c r="D210" s="54">
        <f>E210*'Measure conversion'!$C$2</f>
        <v>0.1885</v>
      </c>
      <c r="E210" s="54">
        <f t="shared" si="1"/>
        <v>0.1885</v>
      </c>
      <c r="F210" s="54">
        <f t="shared" si="2"/>
        <v>2018</v>
      </c>
      <c r="G210" s="54">
        <f t="shared" si="3"/>
        <v>5</v>
      </c>
      <c r="H210" s="58" t="s">
        <v>343</v>
      </c>
      <c r="I210" s="59">
        <v>43221.0</v>
      </c>
      <c r="J210" s="60" t="s">
        <v>344</v>
      </c>
      <c r="K210" s="60" t="s">
        <v>162</v>
      </c>
      <c r="L210" s="60" t="s">
        <v>346</v>
      </c>
      <c r="M210" s="60" t="s">
        <v>347</v>
      </c>
      <c r="N210" s="60">
        <v>18.85</v>
      </c>
      <c r="O210" s="60" t="s">
        <v>348</v>
      </c>
    </row>
    <row r="211">
      <c r="D211" s="54">
        <f>E211*'Measure conversion'!$C$2</f>
        <v>0.1981</v>
      </c>
      <c r="E211" s="54">
        <f t="shared" si="1"/>
        <v>0.1981</v>
      </c>
      <c r="F211" s="54">
        <f t="shared" si="2"/>
        <v>2018</v>
      </c>
      <c r="G211" s="54">
        <f t="shared" si="3"/>
        <v>6</v>
      </c>
      <c r="H211" s="58" t="s">
        <v>343</v>
      </c>
      <c r="I211" s="59">
        <v>43252.0</v>
      </c>
      <c r="J211" s="60" t="s">
        <v>344</v>
      </c>
      <c r="K211" s="60" t="s">
        <v>162</v>
      </c>
      <c r="L211" s="60" t="s">
        <v>346</v>
      </c>
      <c r="M211" s="60" t="s">
        <v>347</v>
      </c>
      <c r="N211" s="60">
        <v>19.81</v>
      </c>
      <c r="O211" s="60" t="s">
        <v>348</v>
      </c>
    </row>
    <row r="212">
      <c r="D212" s="54">
        <f>E212*'Measure conversion'!$C$2</f>
        <v>0.1959</v>
      </c>
      <c r="E212" s="54">
        <f t="shared" si="1"/>
        <v>0.1959</v>
      </c>
      <c r="F212" s="54">
        <f t="shared" si="2"/>
        <v>2018</v>
      </c>
      <c r="G212" s="54">
        <f t="shared" si="3"/>
        <v>7</v>
      </c>
      <c r="H212" s="58" t="s">
        <v>343</v>
      </c>
      <c r="I212" s="59">
        <v>43282.0</v>
      </c>
      <c r="J212" s="60" t="s">
        <v>344</v>
      </c>
      <c r="K212" s="60" t="s">
        <v>162</v>
      </c>
      <c r="L212" s="60" t="s">
        <v>346</v>
      </c>
      <c r="M212" s="60" t="s">
        <v>347</v>
      </c>
      <c r="N212" s="60">
        <v>19.59</v>
      </c>
      <c r="O212" s="60" t="s">
        <v>348</v>
      </c>
    </row>
    <row r="213">
      <c r="D213" s="54">
        <f>E213*'Measure conversion'!$C$2</f>
        <v>0.1985</v>
      </c>
      <c r="E213" s="54">
        <f t="shared" si="1"/>
        <v>0.1985</v>
      </c>
      <c r="F213" s="54">
        <f t="shared" si="2"/>
        <v>2018</v>
      </c>
      <c r="G213" s="54">
        <f t="shared" si="3"/>
        <v>8</v>
      </c>
      <c r="H213" s="58" t="s">
        <v>343</v>
      </c>
      <c r="I213" s="59">
        <v>43313.0</v>
      </c>
      <c r="J213" s="60" t="s">
        <v>344</v>
      </c>
      <c r="K213" s="60" t="s">
        <v>162</v>
      </c>
      <c r="L213" s="60" t="s">
        <v>346</v>
      </c>
      <c r="M213" s="60" t="s">
        <v>347</v>
      </c>
      <c r="N213" s="60">
        <v>19.85</v>
      </c>
      <c r="O213" s="60" t="s">
        <v>348</v>
      </c>
    </row>
    <row r="214">
      <c r="D214" s="54">
        <f>E214*'Measure conversion'!$C$2</f>
        <v>0.1931</v>
      </c>
      <c r="E214" s="54">
        <f t="shared" si="1"/>
        <v>0.1931</v>
      </c>
      <c r="F214" s="54">
        <f t="shared" si="2"/>
        <v>2018</v>
      </c>
      <c r="G214" s="54">
        <f t="shared" si="3"/>
        <v>9</v>
      </c>
      <c r="H214" s="58" t="s">
        <v>343</v>
      </c>
      <c r="I214" s="59">
        <v>43344.0</v>
      </c>
      <c r="J214" s="60" t="s">
        <v>344</v>
      </c>
      <c r="K214" s="60" t="s">
        <v>162</v>
      </c>
      <c r="L214" s="60" t="s">
        <v>346</v>
      </c>
      <c r="M214" s="60" t="s">
        <v>347</v>
      </c>
      <c r="N214" s="60">
        <v>19.31</v>
      </c>
      <c r="O214" s="60" t="s">
        <v>348</v>
      </c>
    </row>
    <row r="215">
      <c r="D215" s="54">
        <f>E215*'Measure conversion'!$C$2</f>
        <v>0.1566</v>
      </c>
      <c r="E215" s="54">
        <f t="shared" si="1"/>
        <v>0.1566</v>
      </c>
      <c r="F215" s="54">
        <f t="shared" si="2"/>
        <v>2018</v>
      </c>
      <c r="G215" s="54">
        <f t="shared" si="3"/>
        <v>10</v>
      </c>
      <c r="H215" s="58" t="s">
        <v>343</v>
      </c>
      <c r="I215" s="61">
        <v>43374.0</v>
      </c>
      <c r="J215" s="60" t="s">
        <v>344</v>
      </c>
      <c r="K215" s="60" t="s">
        <v>162</v>
      </c>
      <c r="L215" s="60" t="s">
        <v>346</v>
      </c>
      <c r="M215" s="60" t="s">
        <v>347</v>
      </c>
      <c r="N215" s="60">
        <v>15.66</v>
      </c>
      <c r="O215" s="60" t="s">
        <v>348</v>
      </c>
    </row>
    <row r="216">
      <c r="D216" s="54">
        <f>E216*'Measure conversion'!$C$2</f>
        <v>0.1951</v>
      </c>
      <c r="E216" s="54">
        <f t="shared" si="1"/>
        <v>0.1951</v>
      </c>
      <c r="F216" s="54">
        <f t="shared" si="2"/>
        <v>2018</v>
      </c>
      <c r="G216" s="54">
        <f t="shared" si="3"/>
        <v>11</v>
      </c>
      <c r="H216" s="58" t="s">
        <v>343</v>
      </c>
      <c r="I216" s="61">
        <v>43405.0</v>
      </c>
      <c r="J216" s="60" t="s">
        <v>344</v>
      </c>
      <c r="K216" s="60" t="s">
        <v>162</v>
      </c>
      <c r="L216" s="60" t="s">
        <v>346</v>
      </c>
      <c r="M216" s="60" t="s">
        <v>347</v>
      </c>
      <c r="N216" s="60">
        <v>19.51</v>
      </c>
      <c r="O216" s="60" t="s">
        <v>348</v>
      </c>
    </row>
    <row r="217">
      <c r="D217" s="54">
        <f>E217*'Measure conversion'!$C$2</f>
        <v>0.1945</v>
      </c>
      <c r="E217" s="54">
        <f t="shared" si="1"/>
        <v>0.1945</v>
      </c>
      <c r="F217" s="54">
        <f t="shared" si="2"/>
        <v>2018</v>
      </c>
      <c r="G217" s="54">
        <f t="shared" si="3"/>
        <v>12</v>
      </c>
      <c r="H217" s="58" t="s">
        <v>343</v>
      </c>
      <c r="I217" s="61">
        <v>43435.0</v>
      </c>
      <c r="J217" s="60" t="s">
        <v>344</v>
      </c>
      <c r="K217" s="60" t="s">
        <v>162</v>
      </c>
      <c r="L217" s="60" t="s">
        <v>346</v>
      </c>
      <c r="M217" s="60" t="s">
        <v>347</v>
      </c>
      <c r="N217" s="60">
        <v>19.45</v>
      </c>
      <c r="O217" s="60" t="s">
        <v>348</v>
      </c>
    </row>
    <row r="218">
      <c r="D218" s="54">
        <f>E218*'Measure conversion'!$C$2</f>
        <v>0.1831</v>
      </c>
      <c r="E218" s="54">
        <f t="shared" si="1"/>
        <v>0.1831</v>
      </c>
      <c r="F218" s="54">
        <f t="shared" si="2"/>
        <v>2019</v>
      </c>
      <c r="G218" s="54">
        <f t="shared" si="3"/>
        <v>1</v>
      </c>
      <c r="H218" s="58" t="s">
        <v>343</v>
      </c>
      <c r="I218" s="59">
        <v>43466.0</v>
      </c>
      <c r="J218" s="60" t="s">
        <v>344</v>
      </c>
      <c r="K218" s="60" t="s">
        <v>162</v>
      </c>
      <c r="L218" s="60" t="s">
        <v>346</v>
      </c>
      <c r="M218" s="60" t="s">
        <v>347</v>
      </c>
      <c r="N218" s="60">
        <v>18.31</v>
      </c>
      <c r="O218" s="60" t="s">
        <v>348</v>
      </c>
    </row>
    <row r="219">
      <c r="D219" s="54">
        <f>E219*'Measure conversion'!$C$2</f>
        <v>0.1979</v>
      </c>
      <c r="E219" s="54">
        <f t="shared" si="1"/>
        <v>0.1979</v>
      </c>
      <c r="F219" s="54">
        <f t="shared" si="2"/>
        <v>2019</v>
      </c>
      <c r="G219" s="54">
        <f t="shared" si="3"/>
        <v>2</v>
      </c>
      <c r="H219" s="58" t="s">
        <v>343</v>
      </c>
      <c r="I219" s="59">
        <v>43497.0</v>
      </c>
      <c r="J219" s="60" t="s">
        <v>344</v>
      </c>
      <c r="K219" s="60" t="s">
        <v>162</v>
      </c>
      <c r="L219" s="60" t="s">
        <v>346</v>
      </c>
      <c r="M219" s="60" t="s">
        <v>347</v>
      </c>
      <c r="N219" s="60">
        <v>19.79</v>
      </c>
      <c r="O219" s="60" t="s">
        <v>348</v>
      </c>
    </row>
    <row r="220">
      <c r="D220" s="54">
        <f>E220*'Measure conversion'!$C$2</f>
        <v>0.1926</v>
      </c>
      <c r="E220" s="54">
        <f t="shared" si="1"/>
        <v>0.1926</v>
      </c>
      <c r="F220" s="54">
        <f t="shared" si="2"/>
        <v>2019</v>
      </c>
      <c r="G220" s="54">
        <f t="shared" si="3"/>
        <v>3</v>
      </c>
      <c r="H220" s="58" t="s">
        <v>343</v>
      </c>
      <c r="I220" s="59">
        <v>43525.0</v>
      </c>
      <c r="J220" s="60" t="s">
        <v>344</v>
      </c>
      <c r="K220" s="60" t="s">
        <v>162</v>
      </c>
      <c r="L220" s="60" t="s">
        <v>346</v>
      </c>
      <c r="M220" s="60" t="s">
        <v>347</v>
      </c>
      <c r="N220" s="60">
        <v>19.26</v>
      </c>
      <c r="O220" s="60" t="s">
        <v>348</v>
      </c>
    </row>
    <row r="221">
      <c r="D221" s="54">
        <f>E221*'Measure conversion'!$C$2</f>
        <v>0.1797</v>
      </c>
      <c r="E221" s="54">
        <f t="shared" si="1"/>
        <v>0.1797</v>
      </c>
      <c r="F221" s="54">
        <f t="shared" si="2"/>
        <v>2019</v>
      </c>
      <c r="G221" s="54">
        <f t="shared" si="3"/>
        <v>4</v>
      </c>
      <c r="H221" s="58" t="s">
        <v>343</v>
      </c>
      <c r="I221" s="59">
        <v>43556.0</v>
      </c>
      <c r="J221" s="60" t="s">
        <v>344</v>
      </c>
      <c r="K221" s="60" t="s">
        <v>162</v>
      </c>
      <c r="L221" s="60" t="s">
        <v>346</v>
      </c>
      <c r="M221" s="60" t="s">
        <v>347</v>
      </c>
      <c r="N221" s="60">
        <v>17.97</v>
      </c>
      <c r="O221" s="60" t="s">
        <v>348</v>
      </c>
    </row>
    <row r="222">
      <c r="D222" s="54">
        <f>E222*'Measure conversion'!$C$2</f>
        <v>0.1882</v>
      </c>
      <c r="E222" s="54">
        <f t="shared" si="1"/>
        <v>0.1882</v>
      </c>
      <c r="F222" s="54">
        <f t="shared" si="2"/>
        <v>2019</v>
      </c>
      <c r="G222" s="54">
        <f t="shared" si="3"/>
        <v>5</v>
      </c>
      <c r="H222" s="58" t="s">
        <v>343</v>
      </c>
      <c r="I222" s="59">
        <v>43586.0</v>
      </c>
      <c r="J222" s="60" t="s">
        <v>344</v>
      </c>
      <c r="K222" s="60" t="s">
        <v>162</v>
      </c>
      <c r="L222" s="60" t="s">
        <v>346</v>
      </c>
      <c r="M222" s="60" t="s">
        <v>347</v>
      </c>
      <c r="N222" s="60">
        <v>18.82</v>
      </c>
      <c r="O222" s="60" t="s">
        <v>348</v>
      </c>
    </row>
    <row r="223">
      <c r="D223" s="54">
        <f>E223*'Measure conversion'!$C$2</f>
        <v>0.2077</v>
      </c>
      <c r="E223" s="54">
        <f t="shared" si="1"/>
        <v>0.2077</v>
      </c>
      <c r="F223" s="54">
        <f t="shared" si="2"/>
        <v>2019</v>
      </c>
      <c r="G223" s="54">
        <f t="shared" si="3"/>
        <v>6</v>
      </c>
      <c r="H223" s="58" t="s">
        <v>343</v>
      </c>
      <c r="I223" s="59">
        <v>43617.0</v>
      </c>
      <c r="J223" s="60" t="s">
        <v>344</v>
      </c>
      <c r="K223" s="60" t="s">
        <v>162</v>
      </c>
      <c r="L223" s="60" t="s">
        <v>346</v>
      </c>
      <c r="M223" s="60" t="s">
        <v>347</v>
      </c>
      <c r="N223" s="60">
        <v>20.77</v>
      </c>
      <c r="O223" s="60" t="s">
        <v>348</v>
      </c>
    </row>
    <row r="224">
      <c r="D224" s="54">
        <f>E224*'Measure conversion'!$C$2</f>
        <v>0.1988</v>
      </c>
      <c r="E224" s="54">
        <f t="shared" si="1"/>
        <v>0.1988</v>
      </c>
      <c r="F224" s="54">
        <f t="shared" si="2"/>
        <v>2019</v>
      </c>
      <c r="G224" s="54">
        <f t="shared" si="3"/>
        <v>7</v>
      </c>
      <c r="H224" s="58" t="s">
        <v>343</v>
      </c>
      <c r="I224" s="59">
        <v>43647.0</v>
      </c>
      <c r="J224" s="60" t="s">
        <v>344</v>
      </c>
      <c r="K224" s="60" t="s">
        <v>162</v>
      </c>
      <c r="L224" s="60" t="s">
        <v>346</v>
      </c>
      <c r="M224" s="60" t="s">
        <v>347</v>
      </c>
      <c r="N224" s="60">
        <v>19.88</v>
      </c>
      <c r="O224" s="60" t="s">
        <v>348</v>
      </c>
    </row>
    <row r="225">
      <c r="D225" s="54">
        <f>E225*'Measure conversion'!$C$2</f>
        <v>0.1978</v>
      </c>
      <c r="E225" s="54">
        <f t="shared" si="1"/>
        <v>0.1978</v>
      </c>
      <c r="F225" s="54">
        <f t="shared" si="2"/>
        <v>2019</v>
      </c>
      <c r="G225" s="54">
        <f t="shared" si="3"/>
        <v>8</v>
      </c>
      <c r="H225" s="58" t="s">
        <v>343</v>
      </c>
      <c r="I225" s="59">
        <v>43678.0</v>
      </c>
      <c r="J225" s="60" t="s">
        <v>344</v>
      </c>
      <c r="K225" s="60" t="s">
        <v>162</v>
      </c>
      <c r="L225" s="60" t="s">
        <v>346</v>
      </c>
      <c r="M225" s="60" t="s">
        <v>347</v>
      </c>
      <c r="N225" s="60">
        <v>19.78</v>
      </c>
      <c r="O225" s="60" t="s">
        <v>348</v>
      </c>
    </row>
    <row r="226">
      <c r="D226" s="54">
        <f>E226*'Measure conversion'!$C$2</f>
        <v>0.2065</v>
      </c>
      <c r="E226" s="54">
        <f t="shared" si="1"/>
        <v>0.2065</v>
      </c>
      <c r="F226" s="54">
        <f t="shared" si="2"/>
        <v>2019</v>
      </c>
      <c r="G226" s="54">
        <f t="shared" si="3"/>
        <v>9</v>
      </c>
      <c r="H226" s="58" t="s">
        <v>343</v>
      </c>
      <c r="I226" s="59">
        <v>43709.0</v>
      </c>
      <c r="J226" s="60" t="s">
        <v>344</v>
      </c>
      <c r="K226" s="60" t="s">
        <v>162</v>
      </c>
      <c r="L226" s="60" t="s">
        <v>346</v>
      </c>
      <c r="M226" s="60" t="s">
        <v>347</v>
      </c>
      <c r="N226" s="60">
        <v>20.65</v>
      </c>
      <c r="O226" s="60" t="s">
        <v>348</v>
      </c>
    </row>
    <row r="227">
      <c r="D227" s="54">
        <f>E227*'Measure conversion'!$C$2</f>
        <v>0.149</v>
      </c>
      <c r="E227" s="54">
        <f t="shared" si="1"/>
        <v>0.149</v>
      </c>
      <c r="F227" s="54">
        <f t="shared" si="2"/>
        <v>2019</v>
      </c>
      <c r="G227" s="54">
        <f t="shared" si="3"/>
        <v>10</v>
      </c>
      <c r="H227" s="58" t="s">
        <v>343</v>
      </c>
      <c r="I227" s="61">
        <v>43739.0</v>
      </c>
      <c r="J227" s="60" t="s">
        <v>344</v>
      </c>
      <c r="K227" s="60" t="s">
        <v>162</v>
      </c>
      <c r="L227" s="60" t="s">
        <v>346</v>
      </c>
      <c r="M227" s="60" t="s">
        <v>347</v>
      </c>
      <c r="N227" s="60">
        <v>14.9</v>
      </c>
      <c r="O227" s="60" t="s">
        <v>348</v>
      </c>
    </row>
    <row r="228">
      <c r="D228" s="54">
        <f>E228*'Measure conversion'!$C$2</f>
        <v>0.2011</v>
      </c>
      <c r="E228" s="54">
        <f t="shared" si="1"/>
        <v>0.2011</v>
      </c>
      <c r="F228" s="54">
        <f t="shared" si="2"/>
        <v>2019</v>
      </c>
      <c r="G228" s="54">
        <f t="shared" si="3"/>
        <v>11</v>
      </c>
      <c r="H228" s="58" t="s">
        <v>343</v>
      </c>
      <c r="I228" s="61">
        <v>43770.0</v>
      </c>
      <c r="J228" s="60" t="s">
        <v>344</v>
      </c>
      <c r="K228" s="60" t="s">
        <v>162</v>
      </c>
      <c r="L228" s="60" t="s">
        <v>346</v>
      </c>
      <c r="M228" s="60" t="s">
        <v>347</v>
      </c>
      <c r="N228" s="60">
        <v>20.11</v>
      </c>
      <c r="O228" s="60" t="s">
        <v>348</v>
      </c>
    </row>
    <row r="229">
      <c r="D229" s="54">
        <f>E229*'Measure conversion'!$C$2</f>
        <v>0.1915</v>
      </c>
      <c r="E229" s="54">
        <f t="shared" si="1"/>
        <v>0.1915</v>
      </c>
      <c r="F229" s="54">
        <f t="shared" si="2"/>
        <v>2019</v>
      </c>
      <c r="G229" s="54">
        <f t="shared" si="3"/>
        <v>12</v>
      </c>
      <c r="H229" s="58" t="s">
        <v>343</v>
      </c>
      <c r="I229" s="61">
        <v>43800.0</v>
      </c>
      <c r="J229" s="60" t="s">
        <v>344</v>
      </c>
      <c r="K229" s="60" t="s">
        <v>162</v>
      </c>
      <c r="L229" s="60" t="s">
        <v>346</v>
      </c>
      <c r="M229" s="60" t="s">
        <v>347</v>
      </c>
      <c r="N229" s="60">
        <v>19.15</v>
      </c>
      <c r="O229" s="60" t="s">
        <v>348</v>
      </c>
    </row>
    <row r="230">
      <c r="D230" s="54">
        <f>E230*'Measure conversion'!$C$2</f>
        <v>0.1991</v>
      </c>
      <c r="E230" s="54">
        <f t="shared" si="1"/>
        <v>0.1991</v>
      </c>
      <c r="F230" s="54">
        <f t="shared" si="2"/>
        <v>2020</v>
      </c>
      <c r="G230" s="54">
        <f t="shared" si="3"/>
        <v>1</v>
      </c>
      <c r="H230" s="58" t="s">
        <v>343</v>
      </c>
      <c r="I230" s="59">
        <v>43831.0</v>
      </c>
      <c r="J230" s="60" t="s">
        <v>344</v>
      </c>
      <c r="K230" s="60" t="s">
        <v>162</v>
      </c>
      <c r="L230" s="60" t="s">
        <v>346</v>
      </c>
      <c r="M230" s="60" t="s">
        <v>347</v>
      </c>
      <c r="N230" s="60">
        <v>19.91</v>
      </c>
      <c r="O230" s="60" t="s">
        <v>348</v>
      </c>
    </row>
    <row r="231">
      <c r="D231" s="54">
        <f>E231*'Measure conversion'!$C$2</f>
        <v>0.2167</v>
      </c>
      <c r="E231" s="54">
        <f t="shared" si="1"/>
        <v>0.2167</v>
      </c>
      <c r="F231" s="54">
        <f t="shared" si="2"/>
        <v>2020</v>
      </c>
      <c r="G231" s="54">
        <f t="shared" si="3"/>
        <v>2</v>
      </c>
      <c r="H231" s="58" t="s">
        <v>343</v>
      </c>
      <c r="I231" s="59">
        <v>43862.0</v>
      </c>
      <c r="J231" s="60" t="s">
        <v>344</v>
      </c>
      <c r="K231" s="60" t="s">
        <v>162</v>
      </c>
      <c r="L231" s="60" t="s">
        <v>346</v>
      </c>
      <c r="M231" s="60" t="s">
        <v>347</v>
      </c>
      <c r="N231" s="60">
        <v>21.67</v>
      </c>
      <c r="O231" s="60" t="s">
        <v>348</v>
      </c>
    </row>
    <row r="232">
      <c r="D232" s="54">
        <f>E232*'Measure conversion'!$C$2</f>
        <v>0.2033</v>
      </c>
      <c r="E232" s="54">
        <f t="shared" si="1"/>
        <v>0.2033</v>
      </c>
      <c r="F232" s="54">
        <f t="shared" si="2"/>
        <v>2020</v>
      </c>
      <c r="G232" s="54">
        <f t="shared" si="3"/>
        <v>3</v>
      </c>
      <c r="H232" s="58" t="s">
        <v>343</v>
      </c>
      <c r="I232" s="59">
        <v>43891.0</v>
      </c>
      <c r="J232" s="60" t="s">
        <v>344</v>
      </c>
      <c r="K232" s="60" t="s">
        <v>162</v>
      </c>
      <c r="L232" s="60" t="s">
        <v>346</v>
      </c>
      <c r="M232" s="60" t="s">
        <v>347</v>
      </c>
      <c r="N232" s="60">
        <v>20.33</v>
      </c>
      <c r="O232" s="60" t="s">
        <v>348</v>
      </c>
    </row>
    <row r="233">
      <c r="D233" s="54">
        <f>E233*'Measure conversion'!$C$2</f>
        <v>0.2043</v>
      </c>
      <c r="E233" s="54">
        <f t="shared" si="1"/>
        <v>0.2043</v>
      </c>
      <c r="F233" s="54">
        <f t="shared" si="2"/>
        <v>2020</v>
      </c>
      <c r="G233" s="54">
        <f t="shared" si="3"/>
        <v>4</v>
      </c>
      <c r="H233" s="58" t="s">
        <v>343</v>
      </c>
      <c r="I233" s="59">
        <v>43922.0</v>
      </c>
      <c r="J233" s="60" t="s">
        <v>344</v>
      </c>
      <c r="K233" s="60" t="s">
        <v>162</v>
      </c>
      <c r="L233" s="60" t="s">
        <v>346</v>
      </c>
      <c r="M233" s="60" t="s">
        <v>347</v>
      </c>
      <c r="N233" s="60">
        <v>20.43</v>
      </c>
      <c r="O233" s="60" t="s">
        <v>348</v>
      </c>
    </row>
    <row r="234">
      <c r="D234" s="54">
        <f>E234*'Measure conversion'!$C$2</f>
        <v>0.1861</v>
      </c>
      <c r="E234" s="54">
        <f t="shared" si="1"/>
        <v>0.1861</v>
      </c>
      <c r="F234" s="54">
        <f t="shared" si="2"/>
        <v>2020</v>
      </c>
      <c r="G234" s="54">
        <f t="shared" si="3"/>
        <v>5</v>
      </c>
      <c r="H234" s="58" t="s">
        <v>343</v>
      </c>
      <c r="I234" s="59">
        <v>43952.0</v>
      </c>
      <c r="J234" s="60" t="s">
        <v>344</v>
      </c>
      <c r="K234" s="60" t="s">
        <v>162</v>
      </c>
      <c r="L234" s="60" t="s">
        <v>346</v>
      </c>
      <c r="M234" s="60" t="s">
        <v>347</v>
      </c>
      <c r="N234" s="60">
        <v>18.61</v>
      </c>
      <c r="O234" s="60" t="s">
        <v>348</v>
      </c>
    </row>
    <row r="235">
      <c r="D235" s="54">
        <f>E235*'Measure conversion'!$C$2</f>
        <v>0.1971</v>
      </c>
      <c r="E235" s="54">
        <f t="shared" si="1"/>
        <v>0.1971</v>
      </c>
      <c r="F235" s="54">
        <f t="shared" si="2"/>
        <v>2020</v>
      </c>
      <c r="G235" s="54">
        <f t="shared" si="3"/>
        <v>6</v>
      </c>
      <c r="H235" s="58" t="s">
        <v>343</v>
      </c>
      <c r="I235" s="59">
        <v>43983.0</v>
      </c>
      <c r="J235" s="60" t="s">
        <v>344</v>
      </c>
      <c r="K235" s="60" t="s">
        <v>162</v>
      </c>
      <c r="L235" s="60" t="s">
        <v>346</v>
      </c>
      <c r="M235" s="60" t="s">
        <v>347</v>
      </c>
      <c r="N235" s="60">
        <v>19.71</v>
      </c>
      <c r="O235" s="60" t="s">
        <v>348</v>
      </c>
    </row>
    <row r="236">
      <c r="D236" s="54">
        <f>E236*'Measure conversion'!$C$2</f>
        <v>0.2003</v>
      </c>
      <c r="E236" s="54">
        <f t="shared" si="1"/>
        <v>0.2003</v>
      </c>
      <c r="F236" s="54">
        <f t="shared" si="2"/>
        <v>2020</v>
      </c>
      <c r="G236" s="54">
        <f t="shared" si="3"/>
        <v>7</v>
      </c>
      <c r="H236" s="58" t="s">
        <v>343</v>
      </c>
      <c r="I236" s="59">
        <v>44013.0</v>
      </c>
      <c r="J236" s="60" t="s">
        <v>344</v>
      </c>
      <c r="K236" s="60" t="s">
        <v>162</v>
      </c>
      <c r="L236" s="60" t="s">
        <v>346</v>
      </c>
      <c r="M236" s="60" t="s">
        <v>347</v>
      </c>
      <c r="N236" s="60">
        <v>20.03</v>
      </c>
      <c r="O236" s="60" t="s">
        <v>348</v>
      </c>
    </row>
    <row r="237">
      <c r="D237" s="54">
        <f>E237*'Measure conversion'!$C$2</f>
        <v>0.2069</v>
      </c>
      <c r="E237" s="54">
        <f t="shared" si="1"/>
        <v>0.2069</v>
      </c>
      <c r="F237" s="54">
        <f t="shared" si="2"/>
        <v>2020</v>
      </c>
      <c r="G237" s="54">
        <f t="shared" si="3"/>
        <v>8</v>
      </c>
      <c r="H237" s="58" t="s">
        <v>343</v>
      </c>
      <c r="I237" s="59">
        <v>44044.0</v>
      </c>
      <c r="J237" s="60" t="s">
        <v>344</v>
      </c>
      <c r="K237" s="60" t="s">
        <v>162</v>
      </c>
      <c r="L237" s="60" t="s">
        <v>346</v>
      </c>
      <c r="M237" s="60" t="s">
        <v>347</v>
      </c>
      <c r="N237" s="60">
        <v>20.69</v>
      </c>
      <c r="O237" s="60" t="s">
        <v>348</v>
      </c>
    </row>
    <row r="238">
      <c r="D238" s="54">
        <f>E238*'Measure conversion'!$C$2</f>
        <v>0.2116</v>
      </c>
      <c r="E238" s="54">
        <f t="shared" si="1"/>
        <v>0.2116</v>
      </c>
      <c r="F238" s="54">
        <f t="shared" si="2"/>
        <v>2020</v>
      </c>
      <c r="G238" s="54">
        <f t="shared" si="3"/>
        <v>9</v>
      </c>
      <c r="H238" s="58" t="s">
        <v>343</v>
      </c>
      <c r="I238" s="59">
        <v>44075.0</v>
      </c>
      <c r="J238" s="60" t="s">
        <v>344</v>
      </c>
      <c r="K238" s="60" t="s">
        <v>162</v>
      </c>
      <c r="L238" s="60" t="s">
        <v>346</v>
      </c>
      <c r="M238" s="60" t="s">
        <v>347</v>
      </c>
      <c r="N238" s="60">
        <v>21.16</v>
      </c>
      <c r="O238" s="60" t="s">
        <v>348</v>
      </c>
    </row>
    <row r="239">
      <c r="D239" s="54">
        <f>E239*'Measure conversion'!$C$2</f>
        <v>0.2078</v>
      </c>
      <c r="E239" s="54">
        <f t="shared" si="1"/>
        <v>0.2078</v>
      </c>
      <c r="F239" s="54">
        <f t="shared" si="2"/>
        <v>2020</v>
      </c>
      <c r="G239" s="54">
        <f t="shared" si="3"/>
        <v>10</v>
      </c>
      <c r="H239" s="58" t="s">
        <v>343</v>
      </c>
      <c r="I239" s="61">
        <v>44105.0</v>
      </c>
      <c r="J239" s="60" t="s">
        <v>344</v>
      </c>
      <c r="K239" s="60" t="s">
        <v>162</v>
      </c>
      <c r="L239" s="60" t="s">
        <v>346</v>
      </c>
      <c r="M239" s="60" t="s">
        <v>347</v>
      </c>
      <c r="N239" s="60">
        <v>20.78</v>
      </c>
      <c r="O239" s="60" t="s">
        <v>348</v>
      </c>
    </row>
    <row r="240">
      <c r="D240" s="54">
        <f>E240*'Measure conversion'!$C$2</f>
        <v>0.222</v>
      </c>
      <c r="E240" s="54">
        <f t="shared" si="1"/>
        <v>0.222</v>
      </c>
      <c r="F240" s="54">
        <f t="shared" si="2"/>
        <v>2020</v>
      </c>
      <c r="G240" s="54">
        <f t="shared" si="3"/>
        <v>11</v>
      </c>
      <c r="H240" s="58" t="s">
        <v>343</v>
      </c>
      <c r="I240" s="61">
        <v>44136.0</v>
      </c>
      <c r="J240" s="60" t="s">
        <v>344</v>
      </c>
      <c r="K240" s="60" t="s">
        <v>162</v>
      </c>
      <c r="L240" s="60" t="s">
        <v>346</v>
      </c>
      <c r="M240" s="60" t="s">
        <v>347</v>
      </c>
      <c r="N240" s="60">
        <v>22.2</v>
      </c>
      <c r="O240" s="60" t="s">
        <v>348</v>
      </c>
    </row>
    <row r="241">
      <c r="D241" s="54">
        <f>E241*'Measure conversion'!$C$2</f>
        <v>0.2042</v>
      </c>
      <c r="E241" s="54">
        <f t="shared" si="1"/>
        <v>0.2042</v>
      </c>
      <c r="F241" s="54">
        <f t="shared" si="2"/>
        <v>2020</v>
      </c>
      <c r="G241" s="54">
        <f t="shared" si="3"/>
        <v>12</v>
      </c>
      <c r="H241" s="58" t="s">
        <v>343</v>
      </c>
      <c r="I241" s="61">
        <v>44166.0</v>
      </c>
      <c r="J241" s="60" t="s">
        <v>344</v>
      </c>
      <c r="K241" s="60" t="s">
        <v>162</v>
      </c>
      <c r="L241" s="60" t="s">
        <v>346</v>
      </c>
      <c r="M241" s="60" t="s">
        <v>347</v>
      </c>
      <c r="N241" s="60">
        <v>20.42</v>
      </c>
      <c r="O241" s="60" t="s">
        <v>348</v>
      </c>
    </row>
    <row r="242">
      <c r="D242" s="54">
        <f>E242*'Measure conversion'!$C$2</f>
        <v>0.2145</v>
      </c>
      <c r="E242" s="54">
        <f t="shared" si="1"/>
        <v>0.2145</v>
      </c>
      <c r="F242" s="54">
        <f t="shared" si="2"/>
        <v>2021</v>
      </c>
      <c r="G242" s="54">
        <f t="shared" si="3"/>
        <v>1</v>
      </c>
      <c r="H242" s="58" t="s">
        <v>343</v>
      </c>
      <c r="I242" s="59">
        <v>44197.0</v>
      </c>
      <c r="J242" s="60" t="s">
        <v>344</v>
      </c>
      <c r="K242" s="60" t="s">
        <v>162</v>
      </c>
      <c r="L242" s="60" t="s">
        <v>346</v>
      </c>
      <c r="M242" s="60" t="s">
        <v>347</v>
      </c>
      <c r="N242" s="60">
        <v>21.45</v>
      </c>
      <c r="O242" s="60" t="s">
        <v>348</v>
      </c>
    </row>
    <row r="243">
      <c r="D243" s="54">
        <f>E243*'Measure conversion'!$C$2</f>
        <v>0.225</v>
      </c>
      <c r="E243" s="54">
        <f t="shared" si="1"/>
        <v>0.225</v>
      </c>
      <c r="F243" s="54">
        <f t="shared" si="2"/>
        <v>2021</v>
      </c>
      <c r="G243" s="54">
        <f t="shared" si="3"/>
        <v>2</v>
      </c>
      <c r="H243" s="58" t="s">
        <v>343</v>
      </c>
      <c r="I243" s="59">
        <v>44228.0</v>
      </c>
      <c r="J243" s="60" t="s">
        <v>344</v>
      </c>
      <c r="K243" s="60" t="s">
        <v>162</v>
      </c>
      <c r="L243" s="60" t="s">
        <v>346</v>
      </c>
      <c r="M243" s="60" t="s">
        <v>347</v>
      </c>
      <c r="N243" s="60">
        <v>22.5</v>
      </c>
      <c r="O243" s="60" t="s">
        <v>348</v>
      </c>
    </row>
    <row r="244">
      <c r="D244" s="54">
        <f>E244*'Measure conversion'!$C$2</f>
        <v>0.2204</v>
      </c>
      <c r="E244" s="54">
        <f t="shared" si="1"/>
        <v>0.2204</v>
      </c>
      <c r="F244" s="54">
        <f t="shared" si="2"/>
        <v>2021</v>
      </c>
      <c r="G244" s="54">
        <f t="shared" si="3"/>
        <v>3</v>
      </c>
      <c r="H244" s="58" t="s">
        <v>343</v>
      </c>
      <c r="I244" s="59">
        <v>44256.0</v>
      </c>
      <c r="J244" s="60" t="s">
        <v>344</v>
      </c>
      <c r="K244" s="60" t="s">
        <v>162</v>
      </c>
      <c r="L244" s="60" t="s">
        <v>346</v>
      </c>
      <c r="M244" s="60" t="s">
        <v>347</v>
      </c>
      <c r="N244" s="60">
        <v>22.04</v>
      </c>
      <c r="O244" s="60" t="s">
        <v>348</v>
      </c>
    </row>
    <row r="245">
      <c r="D245" s="54">
        <f>E245*'Measure conversion'!$C$2</f>
        <v>0.2337</v>
      </c>
      <c r="E245" s="54">
        <f t="shared" si="1"/>
        <v>0.2337</v>
      </c>
      <c r="F245" s="54">
        <f t="shared" si="2"/>
        <v>2021</v>
      </c>
      <c r="G245" s="54">
        <f t="shared" si="3"/>
        <v>4</v>
      </c>
      <c r="H245" s="58" t="s">
        <v>343</v>
      </c>
      <c r="I245" s="59">
        <v>44287.0</v>
      </c>
      <c r="J245" s="60" t="s">
        <v>344</v>
      </c>
      <c r="K245" s="60" t="s">
        <v>162</v>
      </c>
      <c r="L245" s="60" t="s">
        <v>346</v>
      </c>
      <c r="M245" s="60" t="s">
        <v>347</v>
      </c>
      <c r="N245" s="60">
        <v>23.37</v>
      </c>
      <c r="O245" s="60" t="s">
        <v>348</v>
      </c>
    </row>
    <row r="246">
      <c r="D246" s="54">
        <f>E246*'Measure conversion'!$C$2</f>
        <v>0.2274</v>
      </c>
      <c r="E246" s="54">
        <f t="shared" si="1"/>
        <v>0.2274</v>
      </c>
      <c r="F246" s="54">
        <f t="shared" si="2"/>
        <v>2021</v>
      </c>
      <c r="G246" s="54">
        <f t="shared" si="3"/>
        <v>5</v>
      </c>
      <c r="H246" s="58" t="s">
        <v>343</v>
      </c>
      <c r="I246" s="59">
        <v>44317.0</v>
      </c>
      <c r="J246" s="60" t="s">
        <v>344</v>
      </c>
      <c r="K246" s="60" t="s">
        <v>162</v>
      </c>
      <c r="L246" s="60" t="s">
        <v>346</v>
      </c>
      <c r="M246" s="60" t="s">
        <v>347</v>
      </c>
      <c r="N246" s="60">
        <v>22.74</v>
      </c>
      <c r="O246" s="60" t="s">
        <v>348</v>
      </c>
    </row>
    <row r="247">
      <c r="D247" s="54">
        <f>E247*'Measure conversion'!$C$2</f>
        <v>0.2313</v>
      </c>
      <c r="E247" s="54">
        <f t="shared" si="1"/>
        <v>0.2313</v>
      </c>
      <c r="F247" s="54">
        <f t="shared" si="2"/>
        <v>2021</v>
      </c>
      <c r="G247" s="54">
        <f t="shared" si="3"/>
        <v>6</v>
      </c>
      <c r="H247" s="58" t="s">
        <v>343</v>
      </c>
      <c r="I247" s="59">
        <v>44348.0</v>
      </c>
      <c r="J247" s="60" t="s">
        <v>344</v>
      </c>
      <c r="K247" s="60" t="s">
        <v>162</v>
      </c>
      <c r="L247" s="60" t="s">
        <v>346</v>
      </c>
      <c r="M247" s="60" t="s">
        <v>347</v>
      </c>
      <c r="N247" s="60">
        <v>23.13</v>
      </c>
      <c r="O247" s="60" t="s">
        <v>348</v>
      </c>
    </row>
    <row r="248">
      <c r="D248" s="54">
        <f>E248*'Measure conversion'!$C$2</f>
        <v>0.2249</v>
      </c>
      <c r="E248" s="54">
        <f t="shared" si="1"/>
        <v>0.2249</v>
      </c>
      <c r="F248" s="54">
        <f t="shared" si="2"/>
        <v>2021</v>
      </c>
      <c r="G248" s="54">
        <f t="shared" si="3"/>
        <v>7</v>
      </c>
      <c r="H248" s="58" t="s">
        <v>343</v>
      </c>
      <c r="I248" s="59">
        <v>44378.0</v>
      </c>
      <c r="J248" s="60" t="s">
        <v>344</v>
      </c>
      <c r="K248" s="60" t="s">
        <v>162</v>
      </c>
      <c r="L248" s="60" t="s">
        <v>346</v>
      </c>
      <c r="M248" s="60" t="s">
        <v>347</v>
      </c>
      <c r="N248" s="60">
        <v>22.49</v>
      </c>
      <c r="O248" s="60" t="s">
        <v>348</v>
      </c>
    </row>
    <row r="249">
      <c r="D249" s="54">
        <f>E249*'Measure conversion'!$C$2</f>
        <v>0.2339</v>
      </c>
      <c r="E249" s="54">
        <f t="shared" si="1"/>
        <v>0.2339</v>
      </c>
      <c r="F249" s="54">
        <f t="shared" si="2"/>
        <v>2021</v>
      </c>
      <c r="G249" s="54">
        <f t="shared" si="3"/>
        <v>8</v>
      </c>
      <c r="H249" s="58" t="s">
        <v>343</v>
      </c>
      <c r="I249" s="59">
        <v>44409.0</v>
      </c>
      <c r="J249" s="60" t="s">
        <v>344</v>
      </c>
      <c r="K249" s="60" t="s">
        <v>162</v>
      </c>
      <c r="L249" s="60" t="s">
        <v>346</v>
      </c>
      <c r="M249" s="60" t="s">
        <v>347</v>
      </c>
      <c r="N249" s="60">
        <v>23.39</v>
      </c>
      <c r="O249" s="60" t="s">
        <v>348</v>
      </c>
    </row>
    <row r="250">
      <c r="D250" s="54">
        <f>E250*'Measure conversion'!$C$2</f>
        <v>0.2349</v>
      </c>
      <c r="E250" s="54">
        <f t="shared" si="1"/>
        <v>0.2349</v>
      </c>
      <c r="F250" s="54">
        <f t="shared" si="2"/>
        <v>2021</v>
      </c>
      <c r="G250" s="54">
        <f t="shared" si="3"/>
        <v>9</v>
      </c>
      <c r="H250" s="58" t="s">
        <v>343</v>
      </c>
      <c r="I250" s="59">
        <v>44440.0</v>
      </c>
      <c r="J250" s="60" t="s">
        <v>344</v>
      </c>
      <c r="K250" s="60" t="s">
        <v>162</v>
      </c>
      <c r="L250" s="60" t="s">
        <v>346</v>
      </c>
      <c r="M250" s="60" t="s">
        <v>347</v>
      </c>
      <c r="N250" s="60">
        <v>23.49</v>
      </c>
      <c r="O250" s="60" t="s">
        <v>348</v>
      </c>
    </row>
    <row r="251">
      <c r="D251" s="54">
        <f>E251*'Measure conversion'!$C$2</f>
        <v>0.2202</v>
      </c>
      <c r="E251" s="54">
        <f t="shared" si="1"/>
        <v>0.2202</v>
      </c>
      <c r="F251" s="54">
        <f t="shared" si="2"/>
        <v>2021</v>
      </c>
      <c r="G251" s="54">
        <f t="shared" si="3"/>
        <v>10</v>
      </c>
      <c r="H251" s="58" t="s">
        <v>343</v>
      </c>
      <c r="I251" s="61">
        <v>44470.0</v>
      </c>
      <c r="J251" s="60" t="s">
        <v>344</v>
      </c>
      <c r="K251" s="60" t="s">
        <v>162</v>
      </c>
      <c r="L251" s="60" t="s">
        <v>346</v>
      </c>
      <c r="M251" s="60" t="s">
        <v>347</v>
      </c>
      <c r="N251" s="60">
        <v>22.02</v>
      </c>
      <c r="O251" s="60" t="s">
        <v>348</v>
      </c>
    </row>
    <row r="252">
      <c r="D252" s="54">
        <f>E252*'Measure conversion'!$C$2</f>
        <v>0.2387</v>
      </c>
      <c r="E252" s="54">
        <f t="shared" si="1"/>
        <v>0.2387</v>
      </c>
      <c r="F252" s="54">
        <f t="shared" si="2"/>
        <v>2021</v>
      </c>
      <c r="G252" s="54">
        <f t="shared" si="3"/>
        <v>11</v>
      </c>
      <c r="H252" s="58" t="s">
        <v>343</v>
      </c>
      <c r="I252" s="61">
        <v>44501.0</v>
      </c>
      <c r="J252" s="60" t="s">
        <v>344</v>
      </c>
      <c r="K252" s="60" t="s">
        <v>162</v>
      </c>
      <c r="L252" s="60" t="s">
        <v>346</v>
      </c>
      <c r="M252" s="60" t="s">
        <v>347</v>
      </c>
      <c r="N252" s="60">
        <v>23.87</v>
      </c>
      <c r="O252" s="60" t="s">
        <v>348</v>
      </c>
    </row>
    <row r="253">
      <c r="D253" s="54">
        <f>E253*'Measure conversion'!$C$2</f>
        <v>0.2338</v>
      </c>
      <c r="E253" s="54">
        <f t="shared" si="1"/>
        <v>0.2338</v>
      </c>
      <c r="F253" s="54">
        <f t="shared" si="2"/>
        <v>2021</v>
      </c>
      <c r="G253" s="54">
        <f t="shared" si="3"/>
        <v>12</v>
      </c>
      <c r="H253" s="58" t="s">
        <v>343</v>
      </c>
      <c r="I253" s="61">
        <v>44531.0</v>
      </c>
      <c r="J253" s="60" t="s">
        <v>344</v>
      </c>
      <c r="K253" s="60" t="s">
        <v>162</v>
      </c>
      <c r="L253" s="60" t="s">
        <v>346</v>
      </c>
      <c r="M253" s="60" t="s">
        <v>347</v>
      </c>
      <c r="N253" s="60">
        <v>23.38</v>
      </c>
      <c r="O253" s="60" t="s">
        <v>348</v>
      </c>
    </row>
    <row r="254">
      <c r="D254" s="54">
        <f>E254*'Measure conversion'!$C$2</f>
        <v>0.2307</v>
      </c>
      <c r="E254" s="54">
        <f t="shared" si="1"/>
        <v>0.2307</v>
      </c>
      <c r="F254" s="54">
        <f t="shared" si="2"/>
        <v>2022</v>
      </c>
      <c r="G254" s="54">
        <f t="shared" si="3"/>
        <v>1</v>
      </c>
      <c r="H254" s="58" t="s">
        <v>343</v>
      </c>
      <c r="I254" s="59">
        <v>44562.0</v>
      </c>
      <c r="J254" s="60" t="s">
        <v>344</v>
      </c>
      <c r="K254" s="60" t="s">
        <v>162</v>
      </c>
      <c r="L254" s="60" t="s">
        <v>346</v>
      </c>
      <c r="M254" s="60" t="s">
        <v>347</v>
      </c>
      <c r="N254" s="60">
        <v>23.07</v>
      </c>
      <c r="O254" s="60" t="s">
        <v>348</v>
      </c>
    </row>
    <row r="255">
      <c r="D255" s="54">
        <f>E255*'Measure conversion'!$C$2</f>
        <v>0.2534</v>
      </c>
      <c r="E255" s="54">
        <f t="shared" si="1"/>
        <v>0.2534</v>
      </c>
      <c r="F255" s="54">
        <f t="shared" si="2"/>
        <v>2022</v>
      </c>
      <c r="G255" s="54">
        <f t="shared" si="3"/>
        <v>2</v>
      </c>
      <c r="H255" s="58" t="s">
        <v>343</v>
      </c>
      <c r="I255" s="59">
        <v>44593.0</v>
      </c>
      <c r="J255" s="60" t="s">
        <v>344</v>
      </c>
      <c r="K255" s="60" t="s">
        <v>162</v>
      </c>
      <c r="L255" s="60" t="s">
        <v>346</v>
      </c>
      <c r="M255" s="60" t="s">
        <v>347</v>
      </c>
      <c r="N255" s="60">
        <v>25.34</v>
      </c>
      <c r="O255" s="60" t="s">
        <v>348</v>
      </c>
    </row>
    <row r="256">
      <c r="D256" s="54">
        <f>E256*'Measure conversion'!$C$2</f>
        <v>0.2637</v>
      </c>
      <c r="E256" s="54">
        <f t="shared" si="1"/>
        <v>0.2637</v>
      </c>
      <c r="F256" s="54">
        <f t="shared" si="2"/>
        <v>2022</v>
      </c>
      <c r="G256" s="54">
        <f t="shared" si="3"/>
        <v>3</v>
      </c>
      <c r="H256" s="58" t="s">
        <v>343</v>
      </c>
      <c r="I256" s="59">
        <v>44621.0</v>
      </c>
      <c r="J256" s="60" t="s">
        <v>344</v>
      </c>
      <c r="K256" s="60" t="s">
        <v>162</v>
      </c>
      <c r="L256" s="60" t="s">
        <v>346</v>
      </c>
      <c r="M256" s="60" t="s">
        <v>347</v>
      </c>
      <c r="N256" s="60">
        <v>26.37</v>
      </c>
      <c r="O256" s="60" t="s">
        <v>348</v>
      </c>
    </row>
    <row r="257">
      <c r="D257" s="54">
        <f>E257*'Measure conversion'!$C$2</f>
        <v>0.2328</v>
      </c>
      <c r="E257" s="54">
        <f t="shared" si="1"/>
        <v>0.2328</v>
      </c>
      <c r="F257" s="54">
        <f t="shared" si="2"/>
        <v>2022</v>
      </c>
      <c r="G257" s="54">
        <f t="shared" si="3"/>
        <v>4</v>
      </c>
      <c r="H257" s="58" t="s">
        <v>343</v>
      </c>
      <c r="I257" s="59">
        <v>44652.0</v>
      </c>
      <c r="J257" s="60" t="s">
        <v>344</v>
      </c>
      <c r="K257" s="60" t="s">
        <v>162</v>
      </c>
      <c r="L257" s="60" t="s">
        <v>346</v>
      </c>
      <c r="M257" s="60" t="s">
        <v>347</v>
      </c>
      <c r="N257" s="60">
        <v>23.28</v>
      </c>
      <c r="O257" s="60" t="s">
        <v>348</v>
      </c>
    </row>
    <row r="258">
      <c r="D258" s="54">
        <f>E258*'Measure conversion'!$C$2</f>
        <v>0.2721</v>
      </c>
      <c r="E258" s="54">
        <f t="shared" si="1"/>
        <v>0.2721</v>
      </c>
      <c r="F258" s="54">
        <f t="shared" si="2"/>
        <v>2022</v>
      </c>
      <c r="G258" s="54">
        <f t="shared" si="3"/>
        <v>5</v>
      </c>
      <c r="H258" s="58" t="s">
        <v>343</v>
      </c>
      <c r="I258" s="59">
        <v>44682.0</v>
      </c>
      <c r="J258" s="60" t="s">
        <v>344</v>
      </c>
      <c r="K258" s="60" t="s">
        <v>162</v>
      </c>
      <c r="L258" s="60" t="s">
        <v>346</v>
      </c>
      <c r="M258" s="60" t="s">
        <v>347</v>
      </c>
      <c r="N258" s="60">
        <v>27.21</v>
      </c>
      <c r="O258" s="60" t="s">
        <v>348</v>
      </c>
    </row>
    <row r="259">
      <c r="D259" s="54">
        <f>E259*'Measure conversion'!$C$2</f>
        <v>0.2816</v>
      </c>
      <c r="E259" s="54">
        <f t="shared" si="1"/>
        <v>0.2816</v>
      </c>
      <c r="F259" s="54">
        <f t="shared" si="2"/>
        <v>2022</v>
      </c>
      <c r="G259" s="54">
        <f t="shared" si="3"/>
        <v>6</v>
      </c>
      <c r="H259" s="58" t="s">
        <v>343</v>
      </c>
      <c r="I259" s="59">
        <v>44713.0</v>
      </c>
      <c r="J259" s="60" t="s">
        <v>344</v>
      </c>
      <c r="K259" s="60" t="s">
        <v>162</v>
      </c>
      <c r="L259" s="60" t="s">
        <v>346</v>
      </c>
      <c r="M259" s="60" t="s">
        <v>347</v>
      </c>
      <c r="N259" s="60">
        <v>28.16</v>
      </c>
      <c r="O259" s="60" t="s">
        <v>348</v>
      </c>
    </row>
    <row r="260">
      <c r="D260" s="54">
        <f>E260*'Measure conversion'!$C$2</f>
        <v>0.2618</v>
      </c>
      <c r="E260" s="54">
        <f t="shared" si="1"/>
        <v>0.2618</v>
      </c>
      <c r="F260" s="54">
        <f t="shared" si="2"/>
        <v>2022</v>
      </c>
      <c r="G260" s="54">
        <f t="shared" si="3"/>
        <v>7</v>
      </c>
      <c r="H260" s="58" t="s">
        <v>343</v>
      </c>
      <c r="I260" s="59">
        <v>44743.0</v>
      </c>
      <c r="J260" s="60" t="s">
        <v>344</v>
      </c>
      <c r="K260" s="60" t="s">
        <v>162</v>
      </c>
      <c r="L260" s="60" t="s">
        <v>346</v>
      </c>
      <c r="M260" s="60" t="s">
        <v>347</v>
      </c>
      <c r="N260" s="60">
        <v>26.18</v>
      </c>
      <c r="O260" s="60" t="s">
        <v>348</v>
      </c>
    </row>
    <row r="261">
      <c r="D261" s="54">
        <f>E261*'Measure conversion'!$C$2</f>
        <v>0.2649</v>
      </c>
      <c r="E261" s="54">
        <f t="shared" si="1"/>
        <v>0.2649</v>
      </c>
      <c r="F261" s="54">
        <f t="shared" si="2"/>
        <v>2022</v>
      </c>
      <c r="G261" s="54">
        <f t="shared" si="3"/>
        <v>8</v>
      </c>
      <c r="H261" s="58" t="s">
        <v>343</v>
      </c>
      <c r="I261" s="59">
        <v>44774.0</v>
      </c>
      <c r="J261" s="60" t="s">
        <v>344</v>
      </c>
      <c r="K261" s="60" t="s">
        <v>162</v>
      </c>
      <c r="L261" s="60" t="s">
        <v>346</v>
      </c>
      <c r="M261" s="60" t="s">
        <v>347</v>
      </c>
      <c r="N261" s="60">
        <v>26.49</v>
      </c>
      <c r="O261" s="60" t="s">
        <v>348</v>
      </c>
    </row>
    <row r="262">
      <c r="D262" s="54">
        <f>E262*'Measure conversion'!$C$2</f>
        <v>0.2596</v>
      </c>
      <c r="E262" s="54">
        <f t="shared" si="1"/>
        <v>0.2596</v>
      </c>
      <c r="F262" s="54">
        <f t="shared" si="2"/>
        <v>2022</v>
      </c>
      <c r="G262" s="54">
        <f t="shared" si="3"/>
        <v>9</v>
      </c>
      <c r="H262" s="58" t="s">
        <v>343</v>
      </c>
      <c r="I262" s="59">
        <v>44805.0</v>
      </c>
      <c r="J262" s="60" t="s">
        <v>344</v>
      </c>
      <c r="K262" s="60" t="s">
        <v>162</v>
      </c>
      <c r="L262" s="60" t="s">
        <v>346</v>
      </c>
      <c r="M262" s="60" t="s">
        <v>347</v>
      </c>
      <c r="N262" s="60">
        <v>25.96</v>
      </c>
      <c r="O262" s="60" t="s">
        <v>348</v>
      </c>
    </row>
    <row r="263">
      <c r="D263" s="54">
        <f>E263*'Measure conversion'!$C$2</f>
        <v>0.2576</v>
      </c>
      <c r="E263" s="54">
        <f t="shared" si="1"/>
        <v>0.2576</v>
      </c>
      <c r="F263" s="54">
        <f t="shared" si="2"/>
        <v>2022</v>
      </c>
      <c r="G263" s="54">
        <f t="shared" si="3"/>
        <v>10</v>
      </c>
      <c r="H263" s="58" t="s">
        <v>343</v>
      </c>
      <c r="I263" s="61">
        <v>44835.0</v>
      </c>
      <c r="J263" s="60" t="s">
        <v>344</v>
      </c>
      <c r="K263" s="60" t="s">
        <v>162</v>
      </c>
      <c r="L263" s="60" t="s">
        <v>346</v>
      </c>
      <c r="M263" s="60" t="s">
        <v>347</v>
      </c>
      <c r="N263" s="60">
        <v>25.76</v>
      </c>
      <c r="O263" s="60" t="s">
        <v>348</v>
      </c>
    </row>
    <row r="264">
      <c r="D264" s="54">
        <f>E264*'Measure conversion'!$C$2</f>
        <v>0.2552</v>
      </c>
      <c r="E264" s="54">
        <f t="shared" si="1"/>
        <v>0.2552</v>
      </c>
      <c r="F264" s="54">
        <f t="shared" si="2"/>
        <v>2022</v>
      </c>
      <c r="G264" s="54">
        <f t="shared" si="3"/>
        <v>11</v>
      </c>
      <c r="H264" s="58" t="s">
        <v>343</v>
      </c>
      <c r="I264" s="61">
        <v>44866.0</v>
      </c>
      <c r="J264" s="60" t="s">
        <v>344</v>
      </c>
      <c r="K264" s="60" t="s">
        <v>162</v>
      </c>
      <c r="L264" s="60" t="s">
        <v>346</v>
      </c>
      <c r="M264" s="60" t="s">
        <v>347</v>
      </c>
      <c r="N264" s="60">
        <v>25.52</v>
      </c>
      <c r="O264" s="60" t="s">
        <v>348</v>
      </c>
    </row>
    <row r="265">
      <c r="D265" s="54">
        <f>E265*'Measure conversion'!$C$2</f>
        <v>0.2604</v>
      </c>
      <c r="E265" s="54">
        <f t="shared" si="1"/>
        <v>0.2604</v>
      </c>
      <c r="F265" s="54">
        <f t="shared" si="2"/>
        <v>2022</v>
      </c>
      <c r="G265" s="54">
        <f t="shared" si="3"/>
        <v>12</v>
      </c>
      <c r="H265" s="58" t="s">
        <v>343</v>
      </c>
      <c r="I265" s="61">
        <v>44896.0</v>
      </c>
      <c r="J265" s="60" t="s">
        <v>344</v>
      </c>
      <c r="K265" s="60" t="s">
        <v>162</v>
      </c>
      <c r="L265" s="60" t="s">
        <v>346</v>
      </c>
      <c r="M265" s="60" t="s">
        <v>347</v>
      </c>
      <c r="N265" s="60">
        <v>26.04</v>
      </c>
      <c r="O265" s="60" t="s">
        <v>348</v>
      </c>
    </row>
    <row r="266">
      <c r="D266" s="54">
        <f>E266*'Measure conversion'!$C$2</f>
        <v>0.2647</v>
      </c>
      <c r="E266" s="54">
        <f t="shared" si="1"/>
        <v>0.2647</v>
      </c>
      <c r="F266" s="54">
        <f t="shared" si="2"/>
        <v>2023</v>
      </c>
      <c r="G266" s="54">
        <f t="shared" si="3"/>
        <v>1</v>
      </c>
      <c r="H266" s="58" t="s">
        <v>343</v>
      </c>
      <c r="I266" s="59">
        <v>44927.0</v>
      </c>
      <c r="J266" s="60" t="s">
        <v>344</v>
      </c>
      <c r="K266" s="60" t="s">
        <v>162</v>
      </c>
      <c r="L266" s="60" t="s">
        <v>346</v>
      </c>
      <c r="M266" s="60" t="s">
        <v>347</v>
      </c>
      <c r="N266" s="60">
        <v>26.47</v>
      </c>
      <c r="O266" s="60" t="s">
        <v>348</v>
      </c>
    </row>
    <row r="267">
      <c r="D267" s="54">
        <f>E267*'Measure conversion'!$C$2</f>
        <v>0.2725</v>
      </c>
      <c r="E267" s="54">
        <f t="shared" si="1"/>
        <v>0.2725</v>
      </c>
      <c r="F267" s="54">
        <f t="shared" si="2"/>
        <v>2023</v>
      </c>
      <c r="G267" s="54">
        <f t="shared" si="3"/>
        <v>2</v>
      </c>
      <c r="H267" s="58" t="s">
        <v>343</v>
      </c>
      <c r="I267" s="59">
        <v>44958.0</v>
      </c>
      <c r="J267" s="60" t="s">
        <v>344</v>
      </c>
      <c r="K267" s="60" t="s">
        <v>162</v>
      </c>
      <c r="L267" s="60" t="s">
        <v>346</v>
      </c>
      <c r="M267" s="60" t="s">
        <v>347</v>
      </c>
      <c r="N267" s="60">
        <v>27.25</v>
      </c>
      <c r="O267" s="60" t="s">
        <v>348</v>
      </c>
    </row>
    <row r="268">
      <c r="D268" s="54">
        <f>E268*'Measure conversion'!$C$2</f>
        <v>0.3039</v>
      </c>
      <c r="E268" s="54">
        <f t="shared" si="1"/>
        <v>0.3039</v>
      </c>
      <c r="F268" s="54">
        <f t="shared" si="2"/>
        <v>2023</v>
      </c>
      <c r="G268" s="54">
        <f t="shared" si="3"/>
        <v>3</v>
      </c>
      <c r="H268" s="58" t="s">
        <v>343</v>
      </c>
      <c r="I268" s="59">
        <v>44986.0</v>
      </c>
      <c r="J268" s="60" t="s">
        <v>344</v>
      </c>
      <c r="K268" s="60" t="s">
        <v>162</v>
      </c>
      <c r="L268" s="60" t="s">
        <v>346</v>
      </c>
      <c r="M268" s="60" t="s">
        <v>347</v>
      </c>
      <c r="N268" s="60">
        <v>30.39</v>
      </c>
      <c r="O268" s="60" t="s">
        <v>348</v>
      </c>
    </row>
    <row r="269">
      <c r="D269" s="54">
        <f>E269*'Measure conversion'!$C$2</f>
        <v>0.297</v>
      </c>
      <c r="E269" s="54">
        <f t="shared" si="1"/>
        <v>0.297</v>
      </c>
      <c r="F269" s="54">
        <f t="shared" si="2"/>
        <v>2023</v>
      </c>
      <c r="G269" s="54">
        <f t="shared" si="3"/>
        <v>4</v>
      </c>
      <c r="H269" s="58" t="s">
        <v>343</v>
      </c>
      <c r="I269" s="59">
        <v>45017.0</v>
      </c>
      <c r="J269" s="60" t="s">
        <v>344</v>
      </c>
      <c r="K269" s="60" t="s">
        <v>162</v>
      </c>
      <c r="L269" s="60" t="s">
        <v>346</v>
      </c>
      <c r="M269" s="60" t="s">
        <v>347</v>
      </c>
      <c r="N269" s="60">
        <v>29.7</v>
      </c>
      <c r="O269" s="60" t="s">
        <v>348</v>
      </c>
    </row>
    <row r="270">
      <c r="D270" s="54">
        <f>E270*'Measure conversion'!$C$2</f>
        <v>0.2982</v>
      </c>
      <c r="E270" s="54">
        <f t="shared" si="1"/>
        <v>0.2982</v>
      </c>
      <c r="F270" s="54">
        <f t="shared" si="2"/>
        <v>2023</v>
      </c>
      <c r="G270" s="54">
        <f t="shared" si="3"/>
        <v>5</v>
      </c>
      <c r="H270" s="58" t="s">
        <v>343</v>
      </c>
      <c r="I270" s="59">
        <v>45047.0</v>
      </c>
      <c r="J270" s="60" t="s">
        <v>344</v>
      </c>
      <c r="K270" s="60" t="s">
        <v>162</v>
      </c>
      <c r="L270" s="60" t="s">
        <v>346</v>
      </c>
      <c r="M270" s="60" t="s">
        <v>347</v>
      </c>
      <c r="N270" s="60">
        <v>29.82</v>
      </c>
      <c r="O270" s="60" t="s">
        <v>348</v>
      </c>
    </row>
    <row r="271">
      <c r="D271" s="54">
        <f>E271*'Measure conversion'!$C$2</f>
        <v>0.3124</v>
      </c>
      <c r="E271" s="54">
        <f t="shared" si="1"/>
        <v>0.3124</v>
      </c>
      <c r="F271" s="54">
        <f t="shared" si="2"/>
        <v>2023</v>
      </c>
      <c r="G271" s="54">
        <f t="shared" si="3"/>
        <v>6</v>
      </c>
      <c r="H271" s="58" t="s">
        <v>343</v>
      </c>
      <c r="I271" s="59">
        <v>45078.0</v>
      </c>
      <c r="J271" s="60" t="s">
        <v>344</v>
      </c>
      <c r="K271" s="60" t="s">
        <v>162</v>
      </c>
      <c r="L271" s="60" t="s">
        <v>346</v>
      </c>
      <c r="M271" s="60" t="s">
        <v>347</v>
      </c>
      <c r="N271" s="60">
        <v>31.24</v>
      </c>
      <c r="O271" s="60" t="s">
        <v>348</v>
      </c>
    </row>
    <row r="272">
      <c r="D272" s="54">
        <f>E272*'Measure conversion'!$C$2</f>
        <v>0.2946</v>
      </c>
      <c r="E272" s="54">
        <f t="shared" si="1"/>
        <v>0.2946</v>
      </c>
      <c r="F272" s="54">
        <f t="shared" si="2"/>
        <v>2023</v>
      </c>
      <c r="G272" s="54">
        <f t="shared" si="3"/>
        <v>7</v>
      </c>
      <c r="H272" s="58" t="s">
        <v>343</v>
      </c>
      <c r="I272" s="59">
        <v>45108.0</v>
      </c>
      <c r="J272" s="60" t="s">
        <v>344</v>
      </c>
      <c r="K272" s="60" t="s">
        <v>162</v>
      </c>
      <c r="L272" s="60" t="s">
        <v>346</v>
      </c>
      <c r="M272" s="60" t="s">
        <v>347</v>
      </c>
      <c r="N272" s="60">
        <v>29.46</v>
      </c>
      <c r="O272" s="60" t="s">
        <v>348</v>
      </c>
    </row>
    <row r="273">
      <c r="D273" s="54">
        <f>E273*'Measure conversion'!$C$2</f>
        <v>0.2997</v>
      </c>
      <c r="E273" s="54">
        <f t="shared" si="1"/>
        <v>0.2997</v>
      </c>
      <c r="F273" s="54">
        <f t="shared" si="2"/>
        <v>2023</v>
      </c>
      <c r="G273" s="54">
        <f t="shared" si="3"/>
        <v>8</v>
      </c>
      <c r="H273" s="58" t="s">
        <v>343</v>
      </c>
      <c r="I273" s="59">
        <v>45139.0</v>
      </c>
      <c r="J273" s="60" t="s">
        <v>344</v>
      </c>
      <c r="K273" s="60" t="s">
        <v>162</v>
      </c>
      <c r="L273" s="60" t="s">
        <v>346</v>
      </c>
      <c r="M273" s="60" t="s">
        <v>347</v>
      </c>
      <c r="N273" s="60">
        <v>29.97</v>
      </c>
      <c r="O273" s="60" t="s">
        <v>348</v>
      </c>
    </row>
    <row r="274">
      <c r="D274" s="54">
        <f>E274*'Measure conversion'!$C$2</f>
        <v>0.3001</v>
      </c>
      <c r="E274" s="54">
        <f t="shared" si="1"/>
        <v>0.3001</v>
      </c>
      <c r="F274" s="54">
        <f t="shared" si="2"/>
        <v>2023</v>
      </c>
      <c r="G274" s="54">
        <f t="shared" si="3"/>
        <v>9</v>
      </c>
      <c r="H274" s="58" t="s">
        <v>343</v>
      </c>
      <c r="I274" s="59">
        <v>45170.0</v>
      </c>
      <c r="J274" s="60" t="s">
        <v>344</v>
      </c>
      <c r="K274" s="60" t="s">
        <v>162</v>
      </c>
      <c r="L274" s="60" t="s">
        <v>346</v>
      </c>
      <c r="M274" s="60" t="s">
        <v>347</v>
      </c>
      <c r="N274" s="60">
        <v>30.01</v>
      </c>
      <c r="O274" s="60" t="s">
        <v>348</v>
      </c>
    </row>
    <row r="275">
      <c r="D275" s="54">
        <f>E275*'Measure conversion'!$C$2</f>
        <v>0.3178</v>
      </c>
      <c r="E275" s="54">
        <f t="shared" si="1"/>
        <v>0.3178</v>
      </c>
      <c r="F275" s="54">
        <f t="shared" si="2"/>
        <v>2023</v>
      </c>
      <c r="G275" s="54">
        <f t="shared" si="3"/>
        <v>10</v>
      </c>
      <c r="H275" s="58" t="s">
        <v>343</v>
      </c>
      <c r="I275" s="61">
        <v>45200.0</v>
      </c>
      <c r="J275" s="60" t="s">
        <v>344</v>
      </c>
      <c r="K275" s="60" t="s">
        <v>162</v>
      </c>
      <c r="L275" s="60" t="s">
        <v>346</v>
      </c>
      <c r="M275" s="60" t="s">
        <v>347</v>
      </c>
      <c r="N275" s="60">
        <v>31.78</v>
      </c>
      <c r="O275" s="60" t="s">
        <v>348</v>
      </c>
    </row>
    <row r="276">
      <c r="D276" s="54">
        <f>E276*'Measure conversion'!$C$2</f>
        <v>0.2954</v>
      </c>
      <c r="E276" s="54">
        <f t="shared" si="1"/>
        <v>0.2954</v>
      </c>
      <c r="F276" s="54">
        <f t="shared" si="2"/>
        <v>2023</v>
      </c>
      <c r="G276" s="54">
        <f t="shared" si="3"/>
        <v>11</v>
      </c>
      <c r="H276" s="58" t="s">
        <v>343</v>
      </c>
      <c r="I276" s="61">
        <v>45231.0</v>
      </c>
      <c r="J276" s="60" t="s">
        <v>344</v>
      </c>
      <c r="K276" s="60" t="s">
        <v>162</v>
      </c>
      <c r="L276" s="60" t="s">
        <v>346</v>
      </c>
      <c r="M276" s="60" t="s">
        <v>347</v>
      </c>
      <c r="N276" s="60">
        <v>29.54</v>
      </c>
      <c r="O276" s="60" t="s">
        <v>348</v>
      </c>
    </row>
    <row r="277">
      <c r="D277" s="54">
        <f>E277*'Measure conversion'!$C$2</f>
        <v>0.2912</v>
      </c>
      <c r="E277" s="54">
        <f t="shared" si="1"/>
        <v>0.2912</v>
      </c>
      <c r="F277" s="54">
        <f t="shared" si="2"/>
        <v>2023</v>
      </c>
      <c r="G277" s="54">
        <f t="shared" si="3"/>
        <v>12</v>
      </c>
      <c r="H277" s="58" t="s">
        <v>343</v>
      </c>
      <c r="I277" s="61">
        <v>45261.0</v>
      </c>
      <c r="J277" s="60" t="s">
        <v>344</v>
      </c>
      <c r="K277" s="60" t="s">
        <v>162</v>
      </c>
      <c r="L277" s="60" t="s">
        <v>346</v>
      </c>
      <c r="M277" s="60" t="s">
        <v>347</v>
      </c>
      <c r="N277" s="60">
        <v>29.12</v>
      </c>
      <c r="O277" s="60" t="s">
        <v>348</v>
      </c>
    </row>
    <row r="278">
      <c r="D278" s="54">
        <f>E278*'Measure conversion'!$C$2</f>
        <v>0.2949</v>
      </c>
      <c r="E278" s="54">
        <f t="shared" si="1"/>
        <v>0.2949</v>
      </c>
      <c r="F278" s="54">
        <f t="shared" si="2"/>
        <v>2024</v>
      </c>
      <c r="G278" s="54">
        <f t="shared" si="3"/>
        <v>1</v>
      </c>
      <c r="H278" s="58" t="s">
        <v>343</v>
      </c>
      <c r="I278" s="59">
        <v>45292.0</v>
      </c>
      <c r="J278" s="60" t="s">
        <v>344</v>
      </c>
      <c r="K278" s="60" t="s">
        <v>162</v>
      </c>
      <c r="L278" s="60" t="s">
        <v>346</v>
      </c>
      <c r="M278" s="60" t="s">
        <v>347</v>
      </c>
      <c r="N278" s="60">
        <v>29.49</v>
      </c>
      <c r="O278" s="60" t="s">
        <v>348</v>
      </c>
    </row>
    <row r="279">
      <c r="D279" s="54">
        <f>E279*'Measure conversion'!$C$2</f>
        <v>0.3124</v>
      </c>
      <c r="E279" s="54">
        <f t="shared" si="1"/>
        <v>0.3124</v>
      </c>
      <c r="F279" s="54">
        <f t="shared" si="2"/>
        <v>2024</v>
      </c>
      <c r="G279" s="54">
        <f t="shared" si="3"/>
        <v>2</v>
      </c>
      <c r="H279" s="58" t="s">
        <v>343</v>
      </c>
      <c r="I279" s="59">
        <v>45323.0</v>
      </c>
      <c r="J279" s="60" t="s">
        <v>344</v>
      </c>
      <c r="K279" s="60" t="s">
        <v>162</v>
      </c>
      <c r="L279" s="60" t="s">
        <v>346</v>
      </c>
      <c r="M279" s="60" t="s">
        <v>347</v>
      </c>
      <c r="N279" s="60">
        <v>31.24</v>
      </c>
      <c r="O279" s="60" t="s">
        <v>348</v>
      </c>
    </row>
    <row r="280">
      <c r="D280" s="54">
        <f>E280*'Measure conversion'!$C$2</f>
        <v>0.3248</v>
      </c>
      <c r="E280" s="54">
        <f t="shared" si="1"/>
        <v>0.3248</v>
      </c>
      <c r="F280" s="54">
        <f t="shared" si="2"/>
        <v>2024</v>
      </c>
      <c r="G280" s="54">
        <f t="shared" si="3"/>
        <v>3</v>
      </c>
      <c r="H280" s="58" t="s">
        <v>343</v>
      </c>
      <c r="I280" s="59">
        <v>45352.0</v>
      </c>
      <c r="J280" s="60" t="s">
        <v>344</v>
      </c>
      <c r="K280" s="60" t="s">
        <v>162</v>
      </c>
      <c r="L280" s="60" t="s">
        <v>346</v>
      </c>
      <c r="M280" s="60" t="s">
        <v>347</v>
      </c>
      <c r="N280" s="60">
        <v>32.48</v>
      </c>
      <c r="O280" s="60" t="s">
        <v>348</v>
      </c>
    </row>
    <row r="281">
      <c r="D281" s="54">
        <f>E281*'Measure conversion'!$C$2</f>
        <v>0.3426</v>
      </c>
      <c r="E281" s="54">
        <f t="shared" si="1"/>
        <v>0.3426</v>
      </c>
      <c r="F281" s="54">
        <f t="shared" si="2"/>
        <v>2024</v>
      </c>
      <c r="G281" s="54">
        <f t="shared" si="3"/>
        <v>4</v>
      </c>
      <c r="H281" s="58" t="s">
        <v>343</v>
      </c>
      <c r="I281" s="59">
        <v>45383.0</v>
      </c>
      <c r="J281" s="60" t="s">
        <v>344</v>
      </c>
      <c r="K281" s="60" t="s">
        <v>162</v>
      </c>
      <c r="L281" s="60" t="s">
        <v>346</v>
      </c>
      <c r="M281" s="60" t="s">
        <v>347</v>
      </c>
      <c r="N281" s="60">
        <v>34.26</v>
      </c>
      <c r="O281" s="60" t="s">
        <v>348</v>
      </c>
    </row>
    <row r="282">
      <c r="D282" s="54">
        <f>E282*'Measure conversion'!$C$2</f>
        <v>0.343</v>
      </c>
      <c r="E282" s="54">
        <f t="shared" si="1"/>
        <v>0.343</v>
      </c>
      <c r="F282" s="54">
        <f t="shared" si="2"/>
        <v>2024</v>
      </c>
      <c r="G282" s="54">
        <f t="shared" si="3"/>
        <v>5</v>
      </c>
      <c r="H282" s="58" t="s">
        <v>343</v>
      </c>
      <c r="I282" s="59">
        <v>45413.0</v>
      </c>
      <c r="J282" s="60" t="s">
        <v>344</v>
      </c>
      <c r="K282" s="60" t="s">
        <v>162</v>
      </c>
      <c r="L282" s="60" t="s">
        <v>346</v>
      </c>
      <c r="M282" s="60" t="s">
        <v>347</v>
      </c>
      <c r="N282" s="60">
        <v>34.3</v>
      </c>
      <c r="O282" s="60" t="s">
        <v>348</v>
      </c>
    </row>
    <row r="283">
      <c r="D283" s="54">
        <f>E283*'Measure conversion'!$C$2</f>
        <v>0.3299</v>
      </c>
      <c r="E283" s="54">
        <f t="shared" si="1"/>
        <v>0.3299</v>
      </c>
      <c r="F283" s="54">
        <f t="shared" si="2"/>
        <v>2024</v>
      </c>
      <c r="G283" s="54">
        <f t="shared" si="3"/>
        <v>6</v>
      </c>
      <c r="H283" s="58" t="s">
        <v>343</v>
      </c>
      <c r="I283" s="59">
        <v>45444.0</v>
      </c>
      <c r="J283" s="60" t="s">
        <v>344</v>
      </c>
      <c r="K283" s="60" t="s">
        <v>162</v>
      </c>
      <c r="L283" s="60" t="s">
        <v>346</v>
      </c>
      <c r="M283" s="60" t="s">
        <v>347</v>
      </c>
      <c r="N283" s="60">
        <v>32.99</v>
      </c>
      <c r="O283" s="60" t="s">
        <v>348</v>
      </c>
    </row>
    <row r="284">
      <c r="D284" s="54">
        <f>E284*'Measure conversion'!$C$2</f>
        <v>0.3255</v>
      </c>
      <c r="E284" s="54">
        <f t="shared" si="1"/>
        <v>0.3255</v>
      </c>
      <c r="F284" s="54">
        <f t="shared" si="2"/>
        <v>2024</v>
      </c>
      <c r="G284" s="54">
        <f t="shared" si="3"/>
        <v>7</v>
      </c>
      <c r="H284" s="58" t="s">
        <v>343</v>
      </c>
      <c r="I284" s="59">
        <v>45474.0</v>
      </c>
      <c r="J284" s="60" t="s">
        <v>344</v>
      </c>
      <c r="K284" s="60" t="s">
        <v>162</v>
      </c>
      <c r="L284" s="60" t="s">
        <v>346</v>
      </c>
      <c r="M284" s="60" t="s">
        <v>347</v>
      </c>
      <c r="N284" s="60">
        <v>32.55</v>
      </c>
      <c r="O284" s="60" t="s">
        <v>348</v>
      </c>
    </row>
    <row r="285">
      <c r="D285" s="54">
        <f>E285*'Measure conversion'!$C$2</f>
        <v>0.3105</v>
      </c>
      <c r="E285" s="54">
        <f t="shared" si="1"/>
        <v>0.3105</v>
      </c>
      <c r="F285" s="54">
        <f t="shared" si="2"/>
        <v>2024</v>
      </c>
      <c r="G285" s="54">
        <f t="shared" si="3"/>
        <v>8</v>
      </c>
      <c r="H285" s="58" t="s">
        <v>343</v>
      </c>
      <c r="I285" s="59">
        <v>45505.0</v>
      </c>
      <c r="J285" s="60" t="s">
        <v>344</v>
      </c>
      <c r="K285" s="60" t="s">
        <v>162</v>
      </c>
      <c r="L285" s="60" t="s">
        <v>346</v>
      </c>
      <c r="M285" s="60" t="s">
        <v>347</v>
      </c>
      <c r="N285" s="60">
        <v>31.05</v>
      </c>
      <c r="O285" s="60" t="s">
        <v>348</v>
      </c>
    </row>
    <row r="286">
      <c r="D286" s="54">
        <f>E286*'Measure conversion'!$C$2</f>
        <v>0.3164</v>
      </c>
      <c r="E286" s="54">
        <f t="shared" si="1"/>
        <v>0.3164</v>
      </c>
      <c r="F286" s="54">
        <f t="shared" si="2"/>
        <v>2024</v>
      </c>
      <c r="G286" s="54">
        <f t="shared" si="3"/>
        <v>9</v>
      </c>
      <c r="H286" s="58" t="s">
        <v>343</v>
      </c>
      <c r="I286" s="59">
        <v>45536.0</v>
      </c>
      <c r="J286" s="60" t="s">
        <v>344</v>
      </c>
      <c r="K286" s="60" t="s">
        <v>162</v>
      </c>
      <c r="L286" s="60" t="s">
        <v>346</v>
      </c>
      <c r="M286" s="60" t="s">
        <v>347</v>
      </c>
      <c r="N286" s="60">
        <v>31.64</v>
      </c>
      <c r="O286" s="60" t="s">
        <v>348</v>
      </c>
    </row>
    <row r="287">
      <c r="D287" s="54">
        <f>E287*'Measure conversion'!$C$2</f>
        <v>0.3022</v>
      </c>
      <c r="E287" s="54">
        <f t="shared" si="1"/>
        <v>0.3022</v>
      </c>
      <c r="F287" s="54">
        <f t="shared" si="2"/>
        <v>2024</v>
      </c>
      <c r="G287" s="54">
        <f t="shared" si="3"/>
        <v>10</v>
      </c>
      <c r="H287" s="58" t="s">
        <v>343</v>
      </c>
      <c r="I287" s="61">
        <v>45566.0</v>
      </c>
      <c r="J287" s="60" t="s">
        <v>344</v>
      </c>
      <c r="K287" s="60" t="s">
        <v>162</v>
      </c>
      <c r="L287" s="60" t="s">
        <v>346</v>
      </c>
      <c r="M287" s="60" t="s">
        <v>347</v>
      </c>
      <c r="N287" s="60">
        <v>30.22</v>
      </c>
      <c r="O287" s="60" t="s">
        <v>348</v>
      </c>
    </row>
  </sheetData>
  <autoFilter ref="$E$1:$O$287">
    <sortState ref="E1:O287">
      <sortCondition ref="I1:I287"/>
    </sortState>
  </autoFilter>
  <hyperlinks>
    <hyperlink r:id="rId1" ref="B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4" t="s">
        <v>68</v>
      </c>
      <c r="B1" s="30" t="s">
        <v>412</v>
      </c>
    </row>
    <row r="4">
      <c r="A4" s="4" t="s">
        <v>416</v>
      </c>
      <c r="B4" s="6">
        <f>5.4+1.2+1.4</f>
        <v>8</v>
      </c>
      <c r="C4" s="4" t="s">
        <v>418</v>
      </c>
      <c r="D4" s="6">
        <f t="shared" ref="D4:D6" si="1">B4/$B$6</f>
        <v>1.333333333</v>
      </c>
    </row>
    <row r="5">
      <c r="A5" s="4" t="s">
        <v>419</v>
      </c>
      <c r="B5" s="6">
        <f>5.4+1.2+2.8</f>
        <v>9.4</v>
      </c>
      <c r="C5" s="4" t="s">
        <v>418</v>
      </c>
      <c r="D5" s="6">
        <f t="shared" si="1"/>
        <v>1.566666667</v>
      </c>
    </row>
    <row r="6">
      <c r="A6" s="4" t="s">
        <v>200</v>
      </c>
      <c r="B6" s="4">
        <v>6.0</v>
      </c>
      <c r="C6" s="4" t="s">
        <v>418</v>
      </c>
      <c r="D6" s="6">
        <f t="shared" si="1"/>
        <v>1</v>
      </c>
    </row>
    <row r="8">
      <c r="A8" s="4" t="s">
        <v>421</v>
      </c>
      <c r="B8" s="30" t="s">
        <v>422</v>
      </c>
    </row>
    <row r="9">
      <c r="B9" s="4" t="s">
        <v>418</v>
      </c>
      <c r="C9" s="4" t="s">
        <v>28</v>
      </c>
      <c r="D9" s="4" t="s">
        <v>425</v>
      </c>
    </row>
    <row r="10">
      <c r="A10" s="4" t="s">
        <v>426</v>
      </c>
      <c r="B10" s="4">
        <v>14.0</v>
      </c>
      <c r="C10" s="6">
        <f t="shared" ref="C10:C11" si="2">B10*1000</f>
        <v>14000</v>
      </c>
      <c r="D10" s="6">
        <f>C10*'Measure conversion'!$C$3</f>
        <v>14000</v>
      </c>
    </row>
    <row r="11">
      <c r="A11" s="4" t="s">
        <v>427</v>
      </c>
      <c r="B11" s="4">
        <v>10.0</v>
      </c>
      <c r="C11" s="6">
        <f t="shared" si="2"/>
        <v>10000</v>
      </c>
      <c r="D11" s="6">
        <f>C11*'Measure conversion'!$C$3</f>
        <v>10000</v>
      </c>
    </row>
  </sheetData>
  <hyperlinks>
    <hyperlink r:id="rId1" ref="B1"/>
    <hyperlink r:id="rId2" ref="B8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31.63"/>
    <col customWidth="1" min="3" max="3" width="20.38"/>
    <col customWidth="1" min="4" max="4" width="18.88"/>
    <col customWidth="1" min="5" max="5" width="19.75"/>
  </cols>
  <sheetData>
    <row r="1">
      <c r="A1" s="1" t="s">
        <v>63</v>
      </c>
      <c r="B1" s="4" t="s">
        <v>8</v>
      </c>
      <c r="C1" s="4" t="s">
        <v>438</v>
      </c>
      <c r="D1" s="4" t="s">
        <v>439</v>
      </c>
      <c r="E1" s="4" t="s">
        <v>440</v>
      </c>
    </row>
    <row r="2">
      <c r="A2" s="1" t="s">
        <v>68</v>
      </c>
      <c r="B2" s="36"/>
      <c r="C2" s="6">
        <f>B5/1000</f>
        <v>0.092</v>
      </c>
      <c r="D2" s="38">
        <f> C2/B9</f>
        <v>0.3311735061</v>
      </c>
      <c r="E2" s="6">
        <f>D2*'Measure conversion'!C3</f>
        <v>0.3311735061</v>
      </c>
    </row>
    <row r="3">
      <c r="A3" s="1" t="s">
        <v>85</v>
      </c>
      <c r="B3" s="4" t="s">
        <v>439</v>
      </c>
    </row>
    <row r="5">
      <c r="A5" s="1" t="s">
        <v>443</v>
      </c>
      <c r="B5" s="4">
        <v>92.0</v>
      </c>
    </row>
    <row r="6">
      <c r="A6" s="1" t="s">
        <v>68</v>
      </c>
      <c r="B6" s="15" t="s">
        <v>422</v>
      </c>
    </row>
    <row r="7">
      <c r="A7" s="1"/>
      <c r="B7" s="4" t="s">
        <v>445</v>
      </c>
    </row>
    <row r="9">
      <c r="A9" s="1" t="s">
        <v>446</v>
      </c>
      <c r="B9" s="4">
        <v>0.2778</v>
      </c>
    </row>
  </sheetData>
  <hyperlinks>
    <hyperlink r:id="rId1" ref="B6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  <col customWidth="1" min="4" max="4" width="9.0"/>
    <col customWidth="1" min="5" max="6" width="37.88"/>
    <col customWidth="1" min="7" max="7" width="37.38"/>
    <col customWidth="1" min="11" max="11" width="9.38"/>
    <col customWidth="1" min="12" max="13" width="37.13"/>
    <col customWidth="1" min="14" max="14" width="36.5"/>
    <col customWidth="1" min="15" max="15" width="32.88"/>
  </cols>
  <sheetData>
    <row r="1">
      <c r="A1" s="1" t="s">
        <v>63</v>
      </c>
      <c r="B1" s="4" t="s">
        <v>8</v>
      </c>
      <c r="D1" s="62" t="s">
        <v>0</v>
      </c>
      <c r="E1" s="62" t="s">
        <v>485</v>
      </c>
      <c r="F1" s="62" t="s">
        <v>486</v>
      </c>
      <c r="G1" s="62" t="s">
        <v>487</v>
      </c>
      <c r="H1" s="1" t="s">
        <v>489</v>
      </c>
      <c r="J1" s="42" t="s">
        <v>490</v>
      </c>
      <c r="K1" s="42" t="s">
        <v>232</v>
      </c>
      <c r="L1" s="63" t="s">
        <v>491</v>
      </c>
      <c r="M1" s="4" t="s">
        <v>17</v>
      </c>
      <c r="N1" s="4" t="s">
        <v>492</v>
      </c>
      <c r="O1" s="4" t="s">
        <v>493</v>
      </c>
    </row>
    <row r="2">
      <c r="A2" s="1"/>
      <c r="B2" s="36"/>
      <c r="D2" s="7">
        <v>2000.0</v>
      </c>
      <c r="E2" s="7">
        <v>0.267348258</v>
      </c>
      <c r="F2" s="7">
        <v>0.57492</v>
      </c>
      <c r="G2" s="7">
        <v>0.34922</v>
      </c>
      <c r="J2" s="42" t="s">
        <v>162</v>
      </c>
      <c r="K2" s="44">
        <v>36892.0</v>
      </c>
      <c r="L2" s="64">
        <v>343.27</v>
      </c>
      <c r="M2" s="6">
        <f t="shared" ref="M2:M287" si="1">YEAR(K2)</f>
        <v>2001</v>
      </c>
      <c r="N2" s="6">
        <f t="shared" ref="N2:N287" si="2">L2/1000</f>
        <v>0.34327</v>
      </c>
      <c r="O2" s="6">
        <f>N2*'Measure conversion'!$C$3</f>
        <v>0.34327</v>
      </c>
    </row>
    <row r="3">
      <c r="A3" s="1" t="s">
        <v>85</v>
      </c>
      <c r="B3" s="4" t="s">
        <v>439</v>
      </c>
      <c r="D3" s="7">
        <v>2001.0</v>
      </c>
      <c r="E3" s="7">
        <v>0.310544688</v>
      </c>
      <c r="F3" s="7">
        <v>0.68422</v>
      </c>
      <c r="G3" s="7">
        <v>0.42216</v>
      </c>
      <c r="H3" s="6">
        <f t="shared" ref="H3:H24" si="3">AVERAGEIF($M$2:$M$287,D3,$N$2:$N$287)</f>
        <v>0.3110216667</v>
      </c>
      <c r="J3" s="42" t="s">
        <v>162</v>
      </c>
      <c r="K3" s="44">
        <v>36893.0</v>
      </c>
      <c r="L3" s="64">
        <v>343.56</v>
      </c>
      <c r="M3" s="6">
        <f t="shared" si="1"/>
        <v>2001</v>
      </c>
      <c r="N3" s="6">
        <f t="shared" si="2"/>
        <v>0.34356</v>
      </c>
      <c r="O3" s="6">
        <f>N3*'Measure conversion'!$C$3</f>
        <v>0.34356</v>
      </c>
    </row>
    <row r="4">
      <c r="A4" s="4" t="s">
        <v>497</v>
      </c>
      <c r="B4" s="30" t="s">
        <v>498</v>
      </c>
      <c r="D4" s="7">
        <v>2002.0</v>
      </c>
      <c r="E4" s="7">
        <v>0.265361238</v>
      </c>
      <c r="F4" s="7">
        <v>0.57941</v>
      </c>
      <c r="G4" s="7">
        <v>0.37608</v>
      </c>
      <c r="H4" s="6">
        <f t="shared" si="3"/>
        <v>0.2739208333</v>
      </c>
      <c r="J4" s="42" t="s">
        <v>162</v>
      </c>
      <c r="K4" s="44">
        <v>36894.0</v>
      </c>
      <c r="L4" s="64">
        <v>325.11</v>
      </c>
      <c r="M4" s="6">
        <f t="shared" si="1"/>
        <v>2001</v>
      </c>
      <c r="N4" s="6">
        <f t="shared" si="2"/>
        <v>0.32511</v>
      </c>
      <c r="O4" s="6">
        <f>N4*'Measure conversion'!$C$3</f>
        <v>0.32511</v>
      </c>
    </row>
    <row r="5">
      <c r="A5" s="4" t="s">
        <v>351</v>
      </c>
      <c r="B5" s="6">
        <f>AVERAGE(O2:O287)</f>
        <v>0.2719659441</v>
      </c>
      <c r="D5" s="7">
        <v>2003.0</v>
      </c>
      <c r="E5" s="7">
        <v>0.246699805</v>
      </c>
      <c r="F5" s="7">
        <v>0.65317</v>
      </c>
      <c r="G5" s="7">
        <v>0.3837</v>
      </c>
      <c r="H5" s="6">
        <f t="shared" si="3"/>
        <v>0.2688366667</v>
      </c>
      <c r="J5" s="42" t="s">
        <v>162</v>
      </c>
      <c r="K5" s="44">
        <v>36895.0</v>
      </c>
      <c r="L5" s="64">
        <v>320.78</v>
      </c>
      <c r="M5" s="6">
        <f t="shared" si="1"/>
        <v>2001</v>
      </c>
      <c r="N5" s="6">
        <f t="shared" si="2"/>
        <v>0.32078</v>
      </c>
      <c r="O5" s="6">
        <f>N5*'Measure conversion'!$C$3</f>
        <v>0.32078</v>
      </c>
    </row>
    <row r="6">
      <c r="D6" s="7">
        <v>2004.0</v>
      </c>
      <c r="E6" s="7">
        <v>0.246505683</v>
      </c>
      <c r="F6" s="7">
        <v>0.6356</v>
      </c>
      <c r="G6" s="7">
        <v>0.37997</v>
      </c>
      <c r="H6" s="6">
        <f t="shared" si="3"/>
        <v>0.2899258333</v>
      </c>
      <c r="J6" s="42" t="s">
        <v>162</v>
      </c>
      <c r="K6" s="44">
        <v>36896.0</v>
      </c>
      <c r="L6" s="64">
        <v>318.55</v>
      </c>
      <c r="M6" s="6">
        <f t="shared" si="1"/>
        <v>2001</v>
      </c>
      <c r="N6" s="6">
        <f t="shared" si="2"/>
        <v>0.31855</v>
      </c>
      <c r="O6" s="6">
        <f>N6*'Measure conversion'!$C$3</f>
        <v>0.31855</v>
      </c>
    </row>
    <row r="7">
      <c r="D7" s="7">
        <v>2005.0</v>
      </c>
      <c r="E7" s="7">
        <v>0.222087615</v>
      </c>
      <c r="F7" s="7">
        <v>0.62625</v>
      </c>
      <c r="G7" s="7">
        <v>0.35598</v>
      </c>
      <c r="H7" s="6">
        <f t="shared" si="3"/>
        <v>0.2656133333</v>
      </c>
      <c r="J7" s="42" t="s">
        <v>162</v>
      </c>
      <c r="K7" s="44">
        <v>36897.0</v>
      </c>
      <c r="L7" s="64">
        <v>288.45</v>
      </c>
      <c r="M7" s="6">
        <f t="shared" si="1"/>
        <v>2001</v>
      </c>
      <c r="N7" s="6">
        <f t="shared" si="2"/>
        <v>0.28845</v>
      </c>
      <c r="O7" s="6">
        <f>N7*'Measure conversion'!$C$3</f>
        <v>0.28845</v>
      </c>
    </row>
    <row r="8">
      <c r="D8" s="7">
        <v>2006.0</v>
      </c>
      <c r="E8" s="7">
        <v>0.227091677</v>
      </c>
      <c r="F8" s="7">
        <v>0.59664</v>
      </c>
      <c r="G8" s="7">
        <v>0.33608</v>
      </c>
      <c r="H8" s="6">
        <f t="shared" si="3"/>
        <v>0.2725791667</v>
      </c>
      <c r="J8" s="42" t="s">
        <v>162</v>
      </c>
      <c r="K8" s="44">
        <v>36898.0</v>
      </c>
      <c r="L8" s="64">
        <v>301.22</v>
      </c>
      <c r="M8" s="6">
        <f t="shared" si="1"/>
        <v>2001</v>
      </c>
      <c r="N8" s="6">
        <f t="shared" si="2"/>
        <v>0.30122</v>
      </c>
      <c r="O8" s="6">
        <f>N8*'Measure conversion'!$C$3</f>
        <v>0.30122</v>
      </c>
    </row>
    <row r="9">
      <c r="D9" s="7">
        <v>2007.0</v>
      </c>
      <c r="E9" s="7">
        <v>0.253283062</v>
      </c>
      <c r="F9" s="7">
        <v>0.56564</v>
      </c>
      <c r="G9" s="7">
        <v>0.35679</v>
      </c>
      <c r="H9" s="6">
        <f t="shared" si="3"/>
        <v>0.3008241667</v>
      </c>
      <c r="J9" s="42" t="s">
        <v>162</v>
      </c>
      <c r="K9" s="44">
        <v>36899.0</v>
      </c>
      <c r="L9" s="64">
        <v>308.37</v>
      </c>
      <c r="M9" s="6">
        <f t="shared" si="1"/>
        <v>2001</v>
      </c>
      <c r="N9" s="6">
        <f t="shared" si="2"/>
        <v>0.30837</v>
      </c>
      <c r="O9" s="6">
        <f>N9*'Measure conversion'!$C$3</f>
        <v>0.30837</v>
      </c>
    </row>
    <row r="10">
      <c r="D10" s="7">
        <v>2008.0</v>
      </c>
      <c r="E10" s="7">
        <v>0.257995655</v>
      </c>
      <c r="F10" s="7">
        <v>0.58245</v>
      </c>
      <c r="G10" s="7">
        <v>0.37143</v>
      </c>
      <c r="H10" s="6">
        <f t="shared" si="3"/>
        <v>0.3160708333</v>
      </c>
      <c r="J10" s="42" t="s">
        <v>162</v>
      </c>
      <c r="K10" s="44">
        <v>36900.0</v>
      </c>
      <c r="L10" s="64">
        <v>304.42</v>
      </c>
      <c r="M10" s="6">
        <f t="shared" si="1"/>
        <v>2001</v>
      </c>
      <c r="N10" s="6">
        <f t="shared" si="2"/>
        <v>0.30442</v>
      </c>
      <c r="O10" s="6">
        <f>N10*'Measure conversion'!$C$3</f>
        <v>0.30442</v>
      </c>
    </row>
    <row r="11">
      <c r="D11" s="7">
        <v>2009.0</v>
      </c>
      <c r="E11" s="7">
        <v>0.255425919</v>
      </c>
      <c r="F11" s="7">
        <v>0.48114</v>
      </c>
      <c r="G11" s="7">
        <v>0.32853</v>
      </c>
      <c r="H11" s="6">
        <f t="shared" si="3"/>
        <v>0.304845</v>
      </c>
      <c r="J11" s="42" t="s">
        <v>162</v>
      </c>
      <c r="K11" s="44">
        <v>36901.0</v>
      </c>
      <c r="L11" s="64">
        <v>304.42</v>
      </c>
      <c r="M11" s="6">
        <f t="shared" si="1"/>
        <v>2001</v>
      </c>
      <c r="N11" s="6">
        <f t="shared" si="2"/>
        <v>0.30442</v>
      </c>
      <c r="O11" s="6">
        <f>N11*'Measure conversion'!$C$3</f>
        <v>0.30442</v>
      </c>
    </row>
    <row r="12">
      <c r="D12" s="7">
        <v>2010.0</v>
      </c>
      <c r="E12" s="7">
        <v>0.225475916</v>
      </c>
      <c r="F12" s="7">
        <v>0.45405</v>
      </c>
      <c r="G12" s="7">
        <v>0.29786</v>
      </c>
      <c r="H12" s="6">
        <f t="shared" si="3"/>
        <v>0.2923616667</v>
      </c>
      <c r="J12" s="42" t="s">
        <v>162</v>
      </c>
      <c r="K12" s="44">
        <v>36902.0</v>
      </c>
      <c r="L12" s="64">
        <v>288.81</v>
      </c>
      <c r="M12" s="6">
        <f t="shared" si="1"/>
        <v>2001</v>
      </c>
      <c r="N12" s="6">
        <f t="shared" si="2"/>
        <v>0.28881</v>
      </c>
      <c r="O12" s="6">
        <f>N12*'Measure conversion'!$C$3</f>
        <v>0.28881</v>
      </c>
    </row>
    <row r="13">
      <c r="D13" s="7">
        <v>2011.0</v>
      </c>
      <c r="E13" s="7">
        <v>0.209479579</v>
      </c>
      <c r="F13" s="7">
        <v>0.46666</v>
      </c>
      <c r="G13" s="7">
        <v>0.29414</v>
      </c>
      <c r="H13" s="6">
        <f t="shared" si="3"/>
        <v>0.2507333333</v>
      </c>
      <c r="J13" s="42" t="s">
        <v>162</v>
      </c>
      <c r="K13" s="44">
        <v>36903.0</v>
      </c>
      <c r="L13" s="64">
        <v>285.3</v>
      </c>
      <c r="M13" s="6">
        <f t="shared" si="1"/>
        <v>2001</v>
      </c>
      <c r="N13" s="6">
        <f t="shared" si="2"/>
        <v>0.2853</v>
      </c>
      <c r="O13" s="6">
        <f>N13*'Measure conversion'!$C$3</f>
        <v>0.2853</v>
      </c>
    </row>
    <row r="14">
      <c r="D14" s="7">
        <v>2012.0</v>
      </c>
      <c r="E14" s="7">
        <v>0.271698698</v>
      </c>
      <c r="F14" s="7">
        <v>0.4343</v>
      </c>
      <c r="G14" s="7">
        <v>0.32627</v>
      </c>
      <c r="H14" s="6">
        <f t="shared" si="3"/>
        <v>0.321975</v>
      </c>
      <c r="J14" s="42" t="s">
        <v>162</v>
      </c>
      <c r="K14" s="44">
        <v>37257.0</v>
      </c>
      <c r="L14" s="64">
        <v>263.15</v>
      </c>
      <c r="M14" s="6">
        <f t="shared" si="1"/>
        <v>2002</v>
      </c>
      <c r="N14" s="6">
        <f t="shared" si="2"/>
        <v>0.26315</v>
      </c>
      <c r="O14" s="6">
        <f>N14*'Measure conversion'!$C$3</f>
        <v>0.26315</v>
      </c>
    </row>
    <row r="15">
      <c r="D15" s="7">
        <v>2013.0</v>
      </c>
      <c r="E15" s="7">
        <v>0.265679895</v>
      </c>
      <c r="F15" s="7">
        <v>0.38979</v>
      </c>
      <c r="G15" s="7">
        <v>0.3073</v>
      </c>
      <c r="H15" s="6">
        <f t="shared" si="3"/>
        <v>0.318405</v>
      </c>
      <c r="J15" s="42" t="s">
        <v>162</v>
      </c>
      <c r="K15" s="44">
        <v>37258.0</v>
      </c>
      <c r="L15" s="64">
        <v>266.65</v>
      </c>
      <c r="M15" s="6">
        <f t="shared" si="1"/>
        <v>2002</v>
      </c>
      <c r="N15" s="6">
        <f t="shared" si="2"/>
        <v>0.26665</v>
      </c>
      <c r="O15" s="6">
        <f>N15*'Measure conversion'!$C$3</f>
        <v>0.26665</v>
      </c>
    </row>
    <row r="16">
      <c r="D16" s="7">
        <v>2014.0</v>
      </c>
      <c r="E16" s="7">
        <v>0.261641436</v>
      </c>
      <c r="F16" s="7">
        <v>0.35071</v>
      </c>
      <c r="G16" s="7">
        <v>0.29186</v>
      </c>
      <c r="H16" s="6">
        <f t="shared" si="3"/>
        <v>0.3173616667</v>
      </c>
      <c r="J16" s="42" t="s">
        <v>162</v>
      </c>
      <c r="K16" s="44">
        <v>37259.0</v>
      </c>
      <c r="L16" s="64">
        <v>276.42</v>
      </c>
      <c r="M16" s="6">
        <f t="shared" si="1"/>
        <v>2002</v>
      </c>
      <c r="N16" s="6">
        <f t="shared" si="2"/>
        <v>0.27642</v>
      </c>
      <c r="O16" s="6">
        <f>N16*'Measure conversion'!$C$3</f>
        <v>0.27642</v>
      </c>
    </row>
    <row r="17">
      <c r="D17" s="7">
        <v>2015.0</v>
      </c>
      <c r="E17" s="7">
        <v>0.257094279</v>
      </c>
      <c r="F17" s="7">
        <v>0.32648</v>
      </c>
      <c r="G17" s="7">
        <v>0.28055</v>
      </c>
      <c r="H17" s="6">
        <f t="shared" si="3"/>
        <v>0.3066975</v>
      </c>
      <c r="J17" s="42" t="s">
        <v>162</v>
      </c>
      <c r="K17" s="44">
        <v>37260.0</v>
      </c>
      <c r="L17" s="64">
        <v>234.76</v>
      </c>
      <c r="M17" s="6">
        <f t="shared" si="1"/>
        <v>2002</v>
      </c>
      <c r="N17" s="6">
        <f t="shared" si="2"/>
        <v>0.23476</v>
      </c>
      <c r="O17" s="6">
        <f>N17*'Measure conversion'!$C$3</f>
        <v>0.23476</v>
      </c>
    </row>
    <row r="18">
      <c r="D18" s="7">
        <v>2016.0</v>
      </c>
      <c r="E18" s="7">
        <v>0.21408037</v>
      </c>
      <c r="F18" s="7">
        <v>0.26367</v>
      </c>
      <c r="G18" s="7">
        <v>0.23021</v>
      </c>
      <c r="H18" s="6">
        <f t="shared" si="3"/>
        <v>0.2595016667</v>
      </c>
      <c r="J18" s="42" t="s">
        <v>162</v>
      </c>
      <c r="K18" s="44">
        <v>37261.0</v>
      </c>
      <c r="L18" s="64">
        <v>237.88</v>
      </c>
      <c r="M18" s="6">
        <f t="shared" si="1"/>
        <v>2002</v>
      </c>
      <c r="N18" s="6">
        <f t="shared" si="2"/>
        <v>0.23788</v>
      </c>
      <c r="O18" s="6">
        <f>N18*'Measure conversion'!$C$3</f>
        <v>0.23788</v>
      </c>
    </row>
    <row r="19">
      <c r="D19" s="7">
        <v>2017.0</v>
      </c>
      <c r="E19" s="7">
        <v>0.185584962</v>
      </c>
      <c r="F19" s="7">
        <v>0.252</v>
      </c>
      <c r="G19" s="7">
        <v>0.20577</v>
      </c>
      <c r="H19" s="6">
        <f t="shared" si="3"/>
        <v>0.2293741667</v>
      </c>
      <c r="J19" s="42" t="s">
        <v>162</v>
      </c>
      <c r="K19" s="44">
        <v>37262.0</v>
      </c>
      <c r="L19" s="64">
        <v>275.19</v>
      </c>
      <c r="M19" s="6">
        <f t="shared" si="1"/>
        <v>2002</v>
      </c>
      <c r="N19" s="6">
        <f t="shared" si="2"/>
        <v>0.27519</v>
      </c>
      <c r="O19" s="6">
        <f>N19*'Measure conversion'!$C$3</f>
        <v>0.27519</v>
      </c>
    </row>
    <row r="20">
      <c r="D20" s="7">
        <v>2018.0</v>
      </c>
      <c r="E20" s="7">
        <v>0.193616475</v>
      </c>
      <c r="F20" s="7">
        <v>0.24776</v>
      </c>
      <c r="G20" s="7">
        <v>0.21105</v>
      </c>
      <c r="H20" s="6">
        <f t="shared" si="3"/>
        <v>0.2428075</v>
      </c>
      <c r="J20" s="42" t="s">
        <v>162</v>
      </c>
      <c r="K20" s="44">
        <v>37263.0</v>
      </c>
      <c r="L20" s="64">
        <v>292.84</v>
      </c>
      <c r="M20" s="6">
        <f t="shared" si="1"/>
        <v>2002</v>
      </c>
      <c r="N20" s="6">
        <f t="shared" si="2"/>
        <v>0.29284</v>
      </c>
      <c r="O20" s="6">
        <f>N20*'Measure conversion'!$C$3</f>
        <v>0.29284</v>
      </c>
    </row>
    <row r="21">
      <c r="D21" s="7">
        <v>2019.0</v>
      </c>
      <c r="E21" s="7">
        <v>0.177662785</v>
      </c>
      <c r="F21" s="7">
        <v>0.24611</v>
      </c>
      <c r="G21" s="7">
        <v>0.19743</v>
      </c>
      <c r="H21" s="6">
        <f t="shared" si="3"/>
        <v>0.2284016667</v>
      </c>
      <c r="J21" s="42" t="s">
        <v>162</v>
      </c>
      <c r="K21" s="44">
        <v>37264.0</v>
      </c>
      <c r="L21" s="64">
        <v>288.59</v>
      </c>
      <c r="M21" s="6">
        <f t="shared" si="1"/>
        <v>2002</v>
      </c>
      <c r="N21" s="6">
        <f t="shared" si="2"/>
        <v>0.28859</v>
      </c>
      <c r="O21" s="6">
        <f>N21*'Measure conversion'!$C$3</f>
        <v>0.28859</v>
      </c>
    </row>
    <row r="22">
      <c r="D22" s="7">
        <v>2020.0</v>
      </c>
      <c r="E22" s="7">
        <v>0.19389895</v>
      </c>
      <c r="F22" s="7">
        <v>0.1957</v>
      </c>
      <c r="G22" s="7">
        <v>0.19446</v>
      </c>
      <c r="H22" s="6">
        <f t="shared" si="3"/>
        <v>0.2456841667</v>
      </c>
      <c r="J22" s="42" t="s">
        <v>162</v>
      </c>
      <c r="K22" s="44">
        <v>37265.0</v>
      </c>
      <c r="L22" s="64">
        <v>293.74</v>
      </c>
      <c r="M22" s="6">
        <f t="shared" si="1"/>
        <v>2002</v>
      </c>
      <c r="N22" s="6">
        <f t="shared" si="2"/>
        <v>0.29374</v>
      </c>
      <c r="O22" s="6">
        <f>N22*'Measure conversion'!$C$3</f>
        <v>0.29374</v>
      </c>
    </row>
    <row r="23">
      <c r="D23" s="7">
        <v>2021.0</v>
      </c>
      <c r="E23" s="7">
        <v>0.194574338</v>
      </c>
      <c r="F23" s="7">
        <v>0.2141</v>
      </c>
      <c r="G23" s="7">
        <v>0.20039</v>
      </c>
      <c r="H23" s="6">
        <f t="shared" si="3"/>
        <v>0.25039</v>
      </c>
      <c r="J23" s="42" t="s">
        <v>162</v>
      </c>
      <c r="K23" s="44">
        <v>37266.0</v>
      </c>
      <c r="L23" s="64">
        <v>280.99</v>
      </c>
      <c r="M23" s="6">
        <f t="shared" si="1"/>
        <v>2002</v>
      </c>
      <c r="N23" s="6">
        <f t="shared" si="2"/>
        <v>0.28099</v>
      </c>
      <c r="O23" s="6">
        <f>N23*'Measure conversion'!$C$3</f>
        <v>0.28099</v>
      </c>
    </row>
    <row r="24">
      <c r="D24" s="7">
        <v>2022.0</v>
      </c>
      <c r="E24" s="7">
        <v>0.184754437</v>
      </c>
      <c r="F24" s="7">
        <v>0.19261</v>
      </c>
      <c r="G24" s="7">
        <v>0.18699</v>
      </c>
      <c r="H24" s="6">
        <f t="shared" si="3"/>
        <v>0.2369475</v>
      </c>
      <c r="J24" s="42" t="s">
        <v>162</v>
      </c>
      <c r="K24" s="44">
        <v>37267.0</v>
      </c>
      <c r="L24" s="64">
        <v>292.66</v>
      </c>
      <c r="M24" s="6">
        <f t="shared" si="1"/>
        <v>2002</v>
      </c>
      <c r="N24" s="6">
        <f t="shared" si="2"/>
        <v>0.29266</v>
      </c>
      <c r="O24" s="6">
        <f>N24*'Measure conversion'!$C$3</f>
        <v>0.29266</v>
      </c>
    </row>
    <row r="25">
      <c r="J25" s="42" t="s">
        <v>162</v>
      </c>
      <c r="K25" s="44">
        <v>37268.0</v>
      </c>
      <c r="L25" s="64">
        <v>284.18</v>
      </c>
      <c r="M25" s="6">
        <f t="shared" si="1"/>
        <v>2002</v>
      </c>
      <c r="N25" s="6">
        <f t="shared" si="2"/>
        <v>0.28418</v>
      </c>
      <c r="O25" s="6">
        <f>N25*'Measure conversion'!$C$3</f>
        <v>0.28418</v>
      </c>
    </row>
    <row r="26">
      <c r="J26" s="42" t="s">
        <v>162</v>
      </c>
      <c r="K26" s="44">
        <v>37622.0</v>
      </c>
      <c r="L26" s="64">
        <v>277.34</v>
      </c>
      <c r="M26" s="6">
        <f t="shared" si="1"/>
        <v>2003</v>
      </c>
      <c r="N26" s="6">
        <f t="shared" si="2"/>
        <v>0.27734</v>
      </c>
      <c r="O26" s="6">
        <f>N26*'Measure conversion'!$C$3</f>
        <v>0.27734</v>
      </c>
    </row>
    <row r="27">
      <c r="J27" s="42" t="s">
        <v>162</v>
      </c>
      <c r="K27" s="44">
        <v>37623.0</v>
      </c>
      <c r="L27" s="64">
        <v>286.5</v>
      </c>
      <c r="M27" s="6">
        <f t="shared" si="1"/>
        <v>2003</v>
      </c>
      <c r="N27" s="6">
        <f t="shared" si="2"/>
        <v>0.2865</v>
      </c>
      <c r="O27" s="6">
        <f>N27*'Measure conversion'!$C$3</f>
        <v>0.2865</v>
      </c>
    </row>
    <row r="28">
      <c r="J28" s="42" t="s">
        <v>162</v>
      </c>
      <c r="K28" s="44">
        <v>37624.0</v>
      </c>
      <c r="L28" s="64">
        <v>275.97</v>
      </c>
      <c r="M28" s="6">
        <f t="shared" si="1"/>
        <v>2003</v>
      </c>
      <c r="N28" s="6">
        <f t="shared" si="2"/>
        <v>0.27597</v>
      </c>
      <c r="O28" s="6">
        <f>N28*'Measure conversion'!$C$3</f>
        <v>0.27597</v>
      </c>
    </row>
    <row r="29">
      <c r="J29" s="42" t="s">
        <v>162</v>
      </c>
      <c r="K29" s="44">
        <v>37625.0</v>
      </c>
      <c r="L29" s="64">
        <v>239.11</v>
      </c>
      <c r="M29" s="6">
        <f t="shared" si="1"/>
        <v>2003</v>
      </c>
      <c r="N29" s="6">
        <f t="shared" si="2"/>
        <v>0.23911</v>
      </c>
      <c r="O29" s="6">
        <f>N29*'Measure conversion'!$C$3</f>
        <v>0.23911</v>
      </c>
    </row>
    <row r="30">
      <c r="J30" s="42" t="s">
        <v>162</v>
      </c>
      <c r="K30" s="44">
        <v>37626.0</v>
      </c>
      <c r="L30" s="64">
        <v>207.08</v>
      </c>
      <c r="M30" s="6">
        <f t="shared" si="1"/>
        <v>2003</v>
      </c>
      <c r="N30" s="6">
        <f t="shared" si="2"/>
        <v>0.20708</v>
      </c>
      <c r="O30" s="6">
        <f>N30*'Measure conversion'!$C$3</f>
        <v>0.20708</v>
      </c>
    </row>
    <row r="31">
      <c r="J31" s="42" t="s">
        <v>162</v>
      </c>
      <c r="K31" s="44">
        <v>37627.0</v>
      </c>
      <c r="L31" s="64">
        <v>228.22</v>
      </c>
      <c r="M31" s="6">
        <f t="shared" si="1"/>
        <v>2003</v>
      </c>
      <c r="N31" s="6">
        <f t="shared" si="2"/>
        <v>0.22822</v>
      </c>
      <c r="O31" s="6">
        <f>N31*'Measure conversion'!$C$3</f>
        <v>0.22822</v>
      </c>
    </row>
    <row r="32">
      <c r="J32" s="42" t="s">
        <v>162</v>
      </c>
      <c r="K32" s="44">
        <v>37628.0</v>
      </c>
      <c r="L32" s="64">
        <v>286.68</v>
      </c>
      <c r="M32" s="6">
        <f t="shared" si="1"/>
        <v>2003</v>
      </c>
      <c r="N32" s="6">
        <f t="shared" si="2"/>
        <v>0.28668</v>
      </c>
      <c r="O32" s="6">
        <f>N32*'Measure conversion'!$C$3</f>
        <v>0.28668</v>
      </c>
    </row>
    <row r="33">
      <c r="J33" s="42" t="s">
        <v>162</v>
      </c>
      <c r="K33" s="44">
        <v>37629.0</v>
      </c>
      <c r="L33" s="64">
        <v>288.47</v>
      </c>
      <c r="M33" s="6">
        <f t="shared" si="1"/>
        <v>2003</v>
      </c>
      <c r="N33" s="6">
        <f t="shared" si="2"/>
        <v>0.28847</v>
      </c>
      <c r="O33" s="6">
        <f>N33*'Measure conversion'!$C$3</f>
        <v>0.28847</v>
      </c>
    </row>
    <row r="34">
      <c r="J34" s="42" t="s">
        <v>162</v>
      </c>
      <c r="K34" s="44">
        <v>37630.0</v>
      </c>
      <c r="L34" s="64">
        <v>292.5</v>
      </c>
      <c r="M34" s="6">
        <f t="shared" si="1"/>
        <v>2003</v>
      </c>
      <c r="N34" s="6">
        <f t="shared" si="2"/>
        <v>0.2925</v>
      </c>
      <c r="O34" s="6">
        <f>N34*'Measure conversion'!$C$3</f>
        <v>0.2925</v>
      </c>
    </row>
    <row r="35">
      <c r="J35" s="42" t="s">
        <v>162</v>
      </c>
      <c r="K35" s="44">
        <v>37631.0</v>
      </c>
      <c r="L35" s="64">
        <v>294.8</v>
      </c>
      <c r="M35" s="6">
        <f t="shared" si="1"/>
        <v>2003</v>
      </c>
      <c r="N35" s="6">
        <f t="shared" si="2"/>
        <v>0.2948</v>
      </c>
      <c r="O35" s="6">
        <f>N35*'Measure conversion'!$C$3</f>
        <v>0.2948</v>
      </c>
    </row>
    <row r="36">
      <c r="J36" s="42" t="s">
        <v>162</v>
      </c>
      <c r="K36" s="44">
        <v>37632.0</v>
      </c>
      <c r="L36" s="64">
        <v>279.97</v>
      </c>
      <c r="M36" s="6">
        <f t="shared" si="1"/>
        <v>2003</v>
      </c>
      <c r="N36" s="6">
        <f t="shared" si="2"/>
        <v>0.27997</v>
      </c>
      <c r="O36" s="6">
        <f>N36*'Measure conversion'!$C$3</f>
        <v>0.27997</v>
      </c>
    </row>
    <row r="37">
      <c r="J37" s="42" t="s">
        <v>162</v>
      </c>
      <c r="K37" s="44">
        <v>37633.0</v>
      </c>
      <c r="L37" s="64">
        <v>269.4</v>
      </c>
      <c r="M37" s="6">
        <f t="shared" si="1"/>
        <v>2003</v>
      </c>
      <c r="N37" s="6">
        <f t="shared" si="2"/>
        <v>0.2694</v>
      </c>
      <c r="O37" s="6">
        <f>N37*'Measure conversion'!$C$3</f>
        <v>0.2694</v>
      </c>
    </row>
    <row r="38">
      <c r="J38" s="42" t="s">
        <v>162</v>
      </c>
      <c r="K38" s="44">
        <v>37987.0</v>
      </c>
      <c r="L38" s="64">
        <v>271.65</v>
      </c>
      <c r="M38" s="6">
        <f t="shared" si="1"/>
        <v>2004</v>
      </c>
      <c r="N38" s="6">
        <f t="shared" si="2"/>
        <v>0.27165</v>
      </c>
      <c r="O38" s="6">
        <f>N38*'Measure conversion'!$C$3</f>
        <v>0.27165</v>
      </c>
    </row>
    <row r="39">
      <c r="J39" s="42" t="s">
        <v>162</v>
      </c>
      <c r="K39" s="44">
        <v>37988.0</v>
      </c>
      <c r="L39" s="64">
        <v>287.67</v>
      </c>
      <c r="M39" s="6">
        <f t="shared" si="1"/>
        <v>2004</v>
      </c>
      <c r="N39" s="6">
        <f t="shared" si="2"/>
        <v>0.28767</v>
      </c>
      <c r="O39" s="6">
        <f>N39*'Measure conversion'!$C$3</f>
        <v>0.28767</v>
      </c>
    </row>
    <row r="40">
      <c r="J40" s="42" t="s">
        <v>162</v>
      </c>
      <c r="K40" s="44">
        <v>37989.0</v>
      </c>
      <c r="L40" s="64">
        <v>281.65</v>
      </c>
      <c r="M40" s="6">
        <f t="shared" si="1"/>
        <v>2004</v>
      </c>
      <c r="N40" s="6">
        <f t="shared" si="2"/>
        <v>0.28165</v>
      </c>
      <c r="O40" s="6">
        <f>N40*'Measure conversion'!$C$3</f>
        <v>0.28165</v>
      </c>
    </row>
    <row r="41">
      <c r="J41" s="42" t="s">
        <v>162</v>
      </c>
      <c r="K41" s="44">
        <v>37990.0</v>
      </c>
      <c r="L41" s="64">
        <v>274.46</v>
      </c>
      <c r="M41" s="6">
        <f t="shared" si="1"/>
        <v>2004</v>
      </c>
      <c r="N41" s="6">
        <f t="shared" si="2"/>
        <v>0.27446</v>
      </c>
      <c r="O41" s="6">
        <f>N41*'Measure conversion'!$C$3</f>
        <v>0.27446</v>
      </c>
    </row>
    <row r="42">
      <c r="J42" s="42" t="s">
        <v>162</v>
      </c>
      <c r="K42" s="44">
        <v>37991.0</v>
      </c>
      <c r="L42" s="64">
        <v>262.21</v>
      </c>
      <c r="M42" s="6">
        <f t="shared" si="1"/>
        <v>2004</v>
      </c>
      <c r="N42" s="6">
        <f t="shared" si="2"/>
        <v>0.26221</v>
      </c>
      <c r="O42" s="6">
        <f>N42*'Measure conversion'!$C$3</f>
        <v>0.26221</v>
      </c>
    </row>
    <row r="43">
      <c r="J43" s="42" t="s">
        <v>162</v>
      </c>
      <c r="K43" s="44">
        <v>37992.0</v>
      </c>
      <c r="L43" s="64">
        <v>253.34</v>
      </c>
      <c r="M43" s="6">
        <f t="shared" si="1"/>
        <v>2004</v>
      </c>
      <c r="N43" s="6">
        <f t="shared" si="2"/>
        <v>0.25334</v>
      </c>
      <c r="O43" s="6">
        <f>N43*'Measure conversion'!$C$3</f>
        <v>0.25334</v>
      </c>
    </row>
    <row r="44">
      <c r="J44" s="42" t="s">
        <v>162</v>
      </c>
      <c r="K44" s="44">
        <v>37993.0</v>
      </c>
      <c r="L44" s="64">
        <v>287.38</v>
      </c>
      <c r="M44" s="6">
        <f t="shared" si="1"/>
        <v>2004</v>
      </c>
      <c r="N44" s="6">
        <f t="shared" si="2"/>
        <v>0.28738</v>
      </c>
      <c r="O44" s="6">
        <f>N44*'Measure conversion'!$C$3</f>
        <v>0.28738</v>
      </c>
    </row>
    <row r="45">
      <c r="J45" s="42" t="s">
        <v>162</v>
      </c>
      <c r="K45" s="44">
        <v>37994.0</v>
      </c>
      <c r="L45" s="64">
        <v>294.01</v>
      </c>
      <c r="M45" s="6">
        <f t="shared" si="1"/>
        <v>2004</v>
      </c>
      <c r="N45" s="6">
        <f t="shared" si="2"/>
        <v>0.29401</v>
      </c>
      <c r="O45" s="6">
        <f>N45*'Measure conversion'!$C$3</f>
        <v>0.29401</v>
      </c>
    </row>
    <row r="46">
      <c r="J46" s="42" t="s">
        <v>162</v>
      </c>
      <c r="K46" s="44">
        <v>37995.0</v>
      </c>
      <c r="L46" s="64">
        <v>305.01</v>
      </c>
      <c r="M46" s="6">
        <f t="shared" si="1"/>
        <v>2004</v>
      </c>
      <c r="N46" s="6">
        <f t="shared" si="2"/>
        <v>0.30501</v>
      </c>
      <c r="O46" s="6">
        <f>N46*'Measure conversion'!$C$3</f>
        <v>0.30501</v>
      </c>
    </row>
    <row r="47">
      <c r="J47" s="42" t="s">
        <v>162</v>
      </c>
      <c r="K47" s="44">
        <v>37996.0</v>
      </c>
      <c r="L47" s="64">
        <v>311.42</v>
      </c>
      <c r="M47" s="6">
        <f t="shared" si="1"/>
        <v>2004</v>
      </c>
      <c r="N47" s="6">
        <f t="shared" si="2"/>
        <v>0.31142</v>
      </c>
      <c r="O47" s="6">
        <f>N47*'Measure conversion'!$C$3</f>
        <v>0.31142</v>
      </c>
    </row>
    <row r="48">
      <c r="J48" s="42" t="s">
        <v>162</v>
      </c>
      <c r="K48" s="44">
        <v>37997.0</v>
      </c>
      <c r="L48" s="64">
        <v>334.47</v>
      </c>
      <c r="M48" s="6">
        <f t="shared" si="1"/>
        <v>2004</v>
      </c>
      <c r="N48" s="6">
        <f t="shared" si="2"/>
        <v>0.33447</v>
      </c>
      <c r="O48" s="6">
        <f>N48*'Measure conversion'!$C$3</f>
        <v>0.33447</v>
      </c>
    </row>
    <row r="49">
      <c r="J49" s="42" t="s">
        <v>162</v>
      </c>
      <c r="K49" s="44">
        <v>37998.0</v>
      </c>
      <c r="L49" s="64">
        <v>315.84</v>
      </c>
      <c r="M49" s="6">
        <f t="shared" si="1"/>
        <v>2004</v>
      </c>
      <c r="N49" s="6">
        <f t="shared" si="2"/>
        <v>0.31584</v>
      </c>
      <c r="O49" s="6">
        <f>N49*'Measure conversion'!$C$3</f>
        <v>0.31584</v>
      </c>
    </row>
    <row r="50">
      <c r="J50" s="42" t="s">
        <v>162</v>
      </c>
      <c r="K50" s="44">
        <v>38353.0</v>
      </c>
      <c r="L50" s="64">
        <v>277.02</v>
      </c>
      <c r="M50" s="6">
        <f t="shared" si="1"/>
        <v>2005</v>
      </c>
      <c r="N50" s="6">
        <f t="shared" si="2"/>
        <v>0.27702</v>
      </c>
      <c r="O50" s="6">
        <f>N50*'Measure conversion'!$C$3</f>
        <v>0.27702</v>
      </c>
    </row>
    <row r="51">
      <c r="J51" s="42" t="s">
        <v>162</v>
      </c>
      <c r="K51" s="44">
        <v>38354.0</v>
      </c>
      <c r="L51" s="64">
        <v>271.01</v>
      </c>
      <c r="M51" s="6">
        <f t="shared" si="1"/>
        <v>2005</v>
      </c>
      <c r="N51" s="6">
        <f t="shared" si="2"/>
        <v>0.27101</v>
      </c>
      <c r="O51" s="6">
        <f>N51*'Measure conversion'!$C$3</f>
        <v>0.27101</v>
      </c>
    </row>
    <row r="52">
      <c r="J52" s="42" t="s">
        <v>162</v>
      </c>
      <c r="K52" s="44">
        <v>38355.0</v>
      </c>
      <c r="L52" s="64">
        <v>253.31</v>
      </c>
      <c r="M52" s="6">
        <f t="shared" si="1"/>
        <v>2005</v>
      </c>
      <c r="N52" s="6">
        <f t="shared" si="2"/>
        <v>0.25331</v>
      </c>
      <c r="O52" s="6">
        <f>N52*'Measure conversion'!$C$3</f>
        <v>0.25331</v>
      </c>
    </row>
    <row r="53">
      <c r="J53" s="42" t="s">
        <v>162</v>
      </c>
      <c r="K53" s="44">
        <v>38356.0</v>
      </c>
      <c r="L53" s="64">
        <v>231.9</v>
      </c>
      <c r="M53" s="6">
        <f t="shared" si="1"/>
        <v>2005</v>
      </c>
      <c r="N53" s="6">
        <f t="shared" si="2"/>
        <v>0.2319</v>
      </c>
      <c r="O53" s="6">
        <f>N53*'Measure conversion'!$C$3</f>
        <v>0.2319</v>
      </c>
    </row>
    <row r="54">
      <c r="J54" s="42" t="s">
        <v>162</v>
      </c>
      <c r="K54" s="44">
        <v>38357.0</v>
      </c>
      <c r="L54" s="64">
        <v>217.71</v>
      </c>
      <c r="M54" s="6">
        <f t="shared" si="1"/>
        <v>2005</v>
      </c>
      <c r="N54" s="6">
        <f t="shared" si="2"/>
        <v>0.21771</v>
      </c>
      <c r="O54" s="6">
        <f>N54*'Measure conversion'!$C$3</f>
        <v>0.21771</v>
      </c>
    </row>
    <row r="55">
      <c r="J55" s="42" t="s">
        <v>162</v>
      </c>
      <c r="K55" s="44">
        <v>38358.0</v>
      </c>
      <c r="L55" s="64">
        <v>225.48</v>
      </c>
      <c r="M55" s="6">
        <f t="shared" si="1"/>
        <v>2005</v>
      </c>
      <c r="N55" s="6">
        <f t="shared" si="2"/>
        <v>0.22548</v>
      </c>
      <c r="O55" s="6">
        <f>N55*'Measure conversion'!$C$3</f>
        <v>0.22548</v>
      </c>
    </row>
    <row r="56">
      <c r="J56" s="42" t="s">
        <v>162</v>
      </c>
      <c r="K56" s="44">
        <v>38359.0</v>
      </c>
      <c r="L56" s="64">
        <v>283.17</v>
      </c>
      <c r="M56" s="6">
        <f t="shared" si="1"/>
        <v>2005</v>
      </c>
      <c r="N56" s="6">
        <f t="shared" si="2"/>
        <v>0.28317</v>
      </c>
      <c r="O56" s="6">
        <f>N56*'Measure conversion'!$C$3</f>
        <v>0.28317</v>
      </c>
    </row>
    <row r="57">
      <c r="J57" s="42" t="s">
        <v>162</v>
      </c>
      <c r="K57" s="44">
        <v>38360.0</v>
      </c>
      <c r="L57" s="64">
        <v>297.61</v>
      </c>
      <c r="M57" s="6">
        <f t="shared" si="1"/>
        <v>2005</v>
      </c>
      <c r="N57" s="6">
        <f t="shared" si="2"/>
        <v>0.29761</v>
      </c>
      <c r="O57" s="6">
        <f>N57*'Measure conversion'!$C$3</f>
        <v>0.29761</v>
      </c>
    </row>
    <row r="58">
      <c r="J58" s="42" t="s">
        <v>162</v>
      </c>
      <c r="K58" s="44">
        <v>38361.0</v>
      </c>
      <c r="L58" s="64">
        <v>280.21</v>
      </c>
      <c r="M58" s="6">
        <f t="shared" si="1"/>
        <v>2005</v>
      </c>
      <c r="N58" s="6">
        <f t="shared" si="2"/>
        <v>0.28021</v>
      </c>
      <c r="O58" s="6">
        <f>N58*'Measure conversion'!$C$3</f>
        <v>0.28021</v>
      </c>
    </row>
    <row r="59">
      <c r="J59" s="42" t="s">
        <v>162</v>
      </c>
      <c r="K59" s="44">
        <v>38362.0</v>
      </c>
      <c r="L59" s="64">
        <v>274.67</v>
      </c>
      <c r="M59" s="6">
        <f t="shared" si="1"/>
        <v>2005</v>
      </c>
      <c r="N59" s="6">
        <f t="shared" si="2"/>
        <v>0.27467</v>
      </c>
      <c r="O59" s="6">
        <f>N59*'Measure conversion'!$C$3</f>
        <v>0.27467</v>
      </c>
    </row>
    <row r="60">
      <c r="J60" s="42" t="s">
        <v>162</v>
      </c>
      <c r="K60" s="44">
        <v>38363.0</v>
      </c>
      <c r="L60" s="64">
        <v>296.37</v>
      </c>
      <c r="M60" s="6">
        <f t="shared" si="1"/>
        <v>2005</v>
      </c>
      <c r="N60" s="6">
        <f t="shared" si="2"/>
        <v>0.29637</v>
      </c>
      <c r="O60" s="6">
        <f>N60*'Measure conversion'!$C$3</f>
        <v>0.29637</v>
      </c>
    </row>
    <row r="61">
      <c r="J61" s="42" t="s">
        <v>162</v>
      </c>
      <c r="K61" s="44">
        <v>38364.0</v>
      </c>
      <c r="L61" s="64">
        <v>278.9</v>
      </c>
      <c r="M61" s="6">
        <f t="shared" si="1"/>
        <v>2005</v>
      </c>
      <c r="N61" s="6">
        <f t="shared" si="2"/>
        <v>0.2789</v>
      </c>
      <c r="O61" s="6">
        <f>N61*'Measure conversion'!$C$3</f>
        <v>0.2789</v>
      </c>
    </row>
    <row r="62">
      <c r="J62" s="42" t="s">
        <v>162</v>
      </c>
      <c r="K62" s="44">
        <v>38718.0</v>
      </c>
      <c r="L62" s="64">
        <v>245.55</v>
      </c>
      <c r="M62" s="6">
        <f t="shared" si="1"/>
        <v>2006</v>
      </c>
      <c r="N62" s="6">
        <f t="shared" si="2"/>
        <v>0.24555</v>
      </c>
      <c r="O62" s="6">
        <f>N62*'Measure conversion'!$C$3</f>
        <v>0.24555</v>
      </c>
    </row>
    <row r="63">
      <c r="J63" s="42" t="s">
        <v>162</v>
      </c>
      <c r="K63" s="44">
        <v>38719.0</v>
      </c>
      <c r="L63" s="64">
        <v>256.96</v>
      </c>
      <c r="M63" s="6">
        <f t="shared" si="1"/>
        <v>2006</v>
      </c>
      <c r="N63" s="6">
        <f t="shared" si="2"/>
        <v>0.25696</v>
      </c>
      <c r="O63" s="6">
        <f>N63*'Measure conversion'!$C$3</f>
        <v>0.25696</v>
      </c>
    </row>
    <row r="64">
      <c r="J64" s="42" t="s">
        <v>162</v>
      </c>
      <c r="K64" s="44">
        <v>38720.0</v>
      </c>
      <c r="L64" s="64">
        <v>244.76</v>
      </c>
      <c r="M64" s="6">
        <f t="shared" si="1"/>
        <v>2006</v>
      </c>
      <c r="N64" s="6">
        <f t="shared" si="2"/>
        <v>0.24476</v>
      </c>
      <c r="O64" s="6">
        <f>N64*'Measure conversion'!$C$3</f>
        <v>0.24476</v>
      </c>
    </row>
    <row r="65">
      <c r="J65" s="42" t="s">
        <v>162</v>
      </c>
      <c r="K65" s="44">
        <v>38721.0</v>
      </c>
      <c r="L65" s="64">
        <v>230.79</v>
      </c>
      <c r="M65" s="6">
        <f t="shared" si="1"/>
        <v>2006</v>
      </c>
      <c r="N65" s="6">
        <f t="shared" si="2"/>
        <v>0.23079</v>
      </c>
      <c r="O65" s="6">
        <f>N65*'Measure conversion'!$C$3</f>
        <v>0.23079</v>
      </c>
    </row>
    <row r="66">
      <c r="J66" s="42" t="s">
        <v>162</v>
      </c>
      <c r="K66" s="44">
        <v>38722.0</v>
      </c>
      <c r="L66" s="64">
        <v>234.36</v>
      </c>
      <c r="M66" s="6">
        <f t="shared" si="1"/>
        <v>2006</v>
      </c>
      <c r="N66" s="6">
        <f t="shared" si="2"/>
        <v>0.23436</v>
      </c>
      <c r="O66" s="6">
        <f>N66*'Measure conversion'!$C$3</f>
        <v>0.23436</v>
      </c>
    </row>
    <row r="67">
      <c r="J67" s="42" t="s">
        <v>162</v>
      </c>
      <c r="K67" s="44">
        <v>38723.0</v>
      </c>
      <c r="L67" s="64">
        <v>247.19</v>
      </c>
      <c r="M67" s="6">
        <f t="shared" si="1"/>
        <v>2006</v>
      </c>
      <c r="N67" s="6">
        <f t="shared" si="2"/>
        <v>0.24719</v>
      </c>
      <c r="O67" s="6">
        <f>N67*'Measure conversion'!$C$3</f>
        <v>0.24719</v>
      </c>
    </row>
    <row r="68">
      <c r="J68" s="42" t="s">
        <v>162</v>
      </c>
      <c r="K68" s="44">
        <v>38724.0</v>
      </c>
      <c r="L68" s="64">
        <v>301.16</v>
      </c>
      <c r="M68" s="6">
        <f t="shared" si="1"/>
        <v>2006</v>
      </c>
      <c r="N68" s="6">
        <f t="shared" si="2"/>
        <v>0.30116</v>
      </c>
      <c r="O68" s="6">
        <f>N68*'Measure conversion'!$C$3</f>
        <v>0.30116</v>
      </c>
    </row>
    <row r="69">
      <c r="J69" s="42" t="s">
        <v>162</v>
      </c>
      <c r="K69" s="44">
        <v>38725.0</v>
      </c>
      <c r="L69" s="64">
        <v>289.87</v>
      </c>
      <c r="M69" s="6">
        <f t="shared" si="1"/>
        <v>2006</v>
      </c>
      <c r="N69" s="6">
        <f t="shared" si="2"/>
        <v>0.28987</v>
      </c>
      <c r="O69" s="6">
        <f>N69*'Measure conversion'!$C$3</f>
        <v>0.28987</v>
      </c>
    </row>
    <row r="70">
      <c r="J70" s="42" t="s">
        <v>162</v>
      </c>
      <c r="K70" s="44">
        <v>38726.0</v>
      </c>
      <c r="L70" s="64">
        <v>300.93</v>
      </c>
      <c r="M70" s="6">
        <f t="shared" si="1"/>
        <v>2006</v>
      </c>
      <c r="N70" s="6">
        <f t="shared" si="2"/>
        <v>0.30093</v>
      </c>
      <c r="O70" s="6">
        <f>N70*'Measure conversion'!$C$3</f>
        <v>0.30093</v>
      </c>
    </row>
    <row r="71">
      <c r="J71" s="42" t="s">
        <v>162</v>
      </c>
      <c r="K71" s="44">
        <v>38727.0</v>
      </c>
      <c r="L71" s="64">
        <v>304.3</v>
      </c>
      <c r="M71" s="6">
        <f t="shared" si="1"/>
        <v>2006</v>
      </c>
      <c r="N71" s="6">
        <f t="shared" si="2"/>
        <v>0.3043</v>
      </c>
      <c r="O71" s="6">
        <f>N71*'Measure conversion'!$C$3</f>
        <v>0.3043</v>
      </c>
    </row>
    <row r="72">
      <c r="J72" s="42" t="s">
        <v>162</v>
      </c>
      <c r="K72" s="44">
        <v>38728.0</v>
      </c>
      <c r="L72" s="64">
        <v>307.78</v>
      </c>
      <c r="M72" s="6">
        <f t="shared" si="1"/>
        <v>2006</v>
      </c>
      <c r="N72" s="6">
        <f t="shared" si="2"/>
        <v>0.30778</v>
      </c>
      <c r="O72" s="6">
        <f>N72*'Measure conversion'!$C$3</f>
        <v>0.30778</v>
      </c>
    </row>
    <row r="73">
      <c r="J73" s="42" t="s">
        <v>162</v>
      </c>
      <c r="K73" s="44">
        <v>38729.0</v>
      </c>
      <c r="L73" s="64">
        <v>307.3</v>
      </c>
      <c r="M73" s="6">
        <f t="shared" si="1"/>
        <v>2006</v>
      </c>
      <c r="N73" s="6">
        <f t="shared" si="2"/>
        <v>0.3073</v>
      </c>
      <c r="O73" s="6">
        <f>N73*'Measure conversion'!$C$3</f>
        <v>0.3073</v>
      </c>
    </row>
    <row r="74">
      <c r="J74" s="42" t="s">
        <v>162</v>
      </c>
      <c r="K74" s="44">
        <v>39083.0</v>
      </c>
      <c r="L74" s="64">
        <v>288.72</v>
      </c>
      <c r="M74" s="6">
        <f t="shared" si="1"/>
        <v>2007</v>
      </c>
      <c r="N74" s="6">
        <f t="shared" si="2"/>
        <v>0.28872</v>
      </c>
      <c r="O74" s="6">
        <f>N74*'Measure conversion'!$C$3</f>
        <v>0.28872</v>
      </c>
    </row>
    <row r="75">
      <c r="J75" s="42" t="s">
        <v>162</v>
      </c>
      <c r="K75" s="44">
        <v>39084.0</v>
      </c>
      <c r="L75" s="64">
        <v>289.62</v>
      </c>
      <c r="M75" s="6">
        <f t="shared" si="1"/>
        <v>2007</v>
      </c>
      <c r="N75" s="6">
        <f t="shared" si="2"/>
        <v>0.28962</v>
      </c>
      <c r="O75" s="6">
        <f>N75*'Measure conversion'!$C$3</f>
        <v>0.28962</v>
      </c>
    </row>
    <row r="76">
      <c r="J76" s="42" t="s">
        <v>162</v>
      </c>
      <c r="K76" s="44">
        <v>39085.0</v>
      </c>
      <c r="L76" s="64">
        <v>262.48</v>
      </c>
      <c r="M76" s="6">
        <f t="shared" si="1"/>
        <v>2007</v>
      </c>
      <c r="N76" s="6">
        <f t="shared" si="2"/>
        <v>0.26248</v>
      </c>
      <c r="O76" s="6">
        <f>N76*'Measure conversion'!$C$3</f>
        <v>0.26248</v>
      </c>
    </row>
    <row r="77">
      <c r="J77" s="42" t="s">
        <v>162</v>
      </c>
      <c r="K77" s="44">
        <v>39086.0</v>
      </c>
      <c r="L77" s="64">
        <v>266.14</v>
      </c>
      <c r="M77" s="6">
        <f t="shared" si="1"/>
        <v>2007</v>
      </c>
      <c r="N77" s="6">
        <f t="shared" si="2"/>
        <v>0.26614</v>
      </c>
      <c r="O77" s="6">
        <f>N77*'Measure conversion'!$C$3</f>
        <v>0.26614</v>
      </c>
    </row>
    <row r="78">
      <c r="J78" s="42" t="s">
        <v>162</v>
      </c>
      <c r="K78" s="44">
        <v>39087.0</v>
      </c>
      <c r="L78" s="64">
        <v>275.3</v>
      </c>
      <c r="M78" s="6">
        <f t="shared" si="1"/>
        <v>2007</v>
      </c>
      <c r="N78" s="6">
        <f t="shared" si="2"/>
        <v>0.2753</v>
      </c>
      <c r="O78" s="6">
        <f>N78*'Measure conversion'!$C$3</f>
        <v>0.2753</v>
      </c>
    </row>
    <row r="79">
      <c r="J79" s="42" t="s">
        <v>162</v>
      </c>
      <c r="K79" s="44">
        <v>39088.0</v>
      </c>
      <c r="L79" s="64">
        <v>288.99</v>
      </c>
      <c r="M79" s="6">
        <f t="shared" si="1"/>
        <v>2007</v>
      </c>
      <c r="N79" s="6">
        <f t="shared" si="2"/>
        <v>0.28899</v>
      </c>
      <c r="O79" s="6">
        <f>N79*'Measure conversion'!$C$3</f>
        <v>0.28899</v>
      </c>
    </row>
    <row r="80">
      <c r="J80" s="42" t="s">
        <v>162</v>
      </c>
      <c r="K80" s="44">
        <v>39089.0</v>
      </c>
      <c r="L80" s="64">
        <v>304.34</v>
      </c>
      <c r="M80" s="6">
        <f t="shared" si="1"/>
        <v>2007</v>
      </c>
      <c r="N80" s="6">
        <f t="shared" si="2"/>
        <v>0.30434</v>
      </c>
      <c r="O80" s="6">
        <f>N80*'Measure conversion'!$C$3</f>
        <v>0.30434</v>
      </c>
    </row>
    <row r="81">
      <c r="J81" s="42" t="s">
        <v>162</v>
      </c>
      <c r="K81" s="44">
        <v>39090.0</v>
      </c>
      <c r="L81" s="64">
        <v>325.78</v>
      </c>
      <c r="M81" s="6">
        <f t="shared" si="1"/>
        <v>2007</v>
      </c>
      <c r="N81" s="6">
        <f t="shared" si="2"/>
        <v>0.32578</v>
      </c>
      <c r="O81" s="6">
        <f>N81*'Measure conversion'!$C$3</f>
        <v>0.32578</v>
      </c>
    </row>
    <row r="82">
      <c r="J82" s="42" t="s">
        <v>162</v>
      </c>
      <c r="K82" s="44">
        <v>39091.0</v>
      </c>
      <c r="L82" s="64">
        <v>313.51</v>
      </c>
      <c r="M82" s="6">
        <f t="shared" si="1"/>
        <v>2007</v>
      </c>
      <c r="N82" s="6">
        <f t="shared" si="2"/>
        <v>0.31351</v>
      </c>
      <c r="O82" s="6">
        <f>N82*'Measure conversion'!$C$3</f>
        <v>0.31351</v>
      </c>
    </row>
    <row r="83">
      <c r="J83" s="42" t="s">
        <v>162</v>
      </c>
      <c r="K83" s="44">
        <v>39092.0</v>
      </c>
      <c r="L83" s="64">
        <v>326.61</v>
      </c>
      <c r="M83" s="6">
        <f t="shared" si="1"/>
        <v>2007</v>
      </c>
      <c r="N83" s="6">
        <f t="shared" si="2"/>
        <v>0.32661</v>
      </c>
      <c r="O83" s="6">
        <f>N83*'Measure conversion'!$C$3</f>
        <v>0.32661</v>
      </c>
    </row>
    <row r="84">
      <c r="J84" s="42" t="s">
        <v>162</v>
      </c>
      <c r="K84" s="44">
        <v>39093.0</v>
      </c>
      <c r="L84" s="64">
        <v>322.61</v>
      </c>
      <c r="M84" s="6">
        <f t="shared" si="1"/>
        <v>2007</v>
      </c>
      <c r="N84" s="6">
        <f t="shared" si="2"/>
        <v>0.32261</v>
      </c>
      <c r="O84" s="6">
        <f>N84*'Measure conversion'!$C$3</f>
        <v>0.32261</v>
      </c>
    </row>
    <row r="85">
      <c r="J85" s="42" t="s">
        <v>162</v>
      </c>
      <c r="K85" s="44">
        <v>39094.0</v>
      </c>
      <c r="L85" s="64">
        <v>345.79</v>
      </c>
      <c r="M85" s="6">
        <f t="shared" si="1"/>
        <v>2007</v>
      </c>
      <c r="N85" s="6">
        <f t="shared" si="2"/>
        <v>0.34579</v>
      </c>
      <c r="O85" s="6">
        <f>N85*'Measure conversion'!$C$3</f>
        <v>0.34579</v>
      </c>
    </row>
    <row r="86">
      <c r="J86" s="42" t="s">
        <v>162</v>
      </c>
      <c r="K86" s="44">
        <v>39448.0</v>
      </c>
      <c r="L86" s="64">
        <v>333.93</v>
      </c>
      <c r="M86" s="6">
        <f t="shared" si="1"/>
        <v>2008</v>
      </c>
      <c r="N86" s="6">
        <f t="shared" si="2"/>
        <v>0.33393</v>
      </c>
      <c r="O86" s="6">
        <f>N86*'Measure conversion'!$C$3</f>
        <v>0.33393</v>
      </c>
    </row>
    <row r="87">
      <c r="J87" s="42" t="s">
        <v>162</v>
      </c>
      <c r="K87" s="44">
        <v>39449.0</v>
      </c>
      <c r="L87" s="64">
        <v>329.3</v>
      </c>
      <c r="M87" s="6">
        <f t="shared" si="1"/>
        <v>2008</v>
      </c>
      <c r="N87" s="6">
        <f t="shared" si="2"/>
        <v>0.3293</v>
      </c>
      <c r="O87" s="6">
        <f>N87*'Measure conversion'!$C$3</f>
        <v>0.3293</v>
      </c>
    </row>
    <row r="88">
      <c r="J88" s="42" t="s">
        <v>162</v>
      </c>
      <c r="K88" s="44">
        <v>39450.0</v>
      </c>
      <c r="L88" s="64">
        <v>311.98</v>
      </c>
      <c r="M88" s="6">
        <f t="shared" si="1"/>
        <v>2008</v>
      </c>
      <c r="N88" s="6">
        <f t="shared" si="2"/>
        <v>0.31198</v>
      </c>
      <c r="O88" s="6">
        <f>N88*'Measure conversion'!$C$3</f>
        <v>0.31198</v>
      </c>
    </row>
    <row r="89">
      <c r="J89" s="42" t="s">
        <v>162</v>
      </c>
      <c r="K89" s="44">
        <v>39451.0</v>
      </c>
      <c r="L89" s="64">
        <v>304.16</v>
      </c>
      <c r="M89" s="6">
        <f t="shared" si="1"/>
        <v>2008</v>
      </c>
      <c r="N89" s="6">
        <f t="shared" si="2"/>
        <v>0.30416</v>
      </c>
      <c r="O89" s="6">
        <f>N89*'Measure conversion'!$C$3</f>
        <v>0.30416</v>
      </c>
    </row>
    <row r="90">
      <c r="J90" s="42" t="s">
        <v>162</v>
      </c>
      <c r="K90" s="44">
        <v>39452.0</v>
      </c>
      <c r="L90" s="64">
        <v>260.81</v>
      </c>
      <c r="M90" s="6">
        <f t="shared" si="1"/>
        <v>2008</v>
      </c>
      <c r="N90" s="6">
        <f t="shared" si="2"/>
        <v>0.26081</v>
      </c>
      <c r="O90" s="6">
        <f>N90*'Measure conversion'!$C$3</f>
        <v>0.26081</v>
      </c>
    </row>
    <row r="91">
      <c r="J91" s="42" t="s">
        <v>162</v>
      </c>
      <c r="K91" s="44">
        <v>39453.0</v>
      </c>
      <c r="L91" s="64">
        <v>274.98</v>
      </c>
      <c r="M91" s="6">
        <f t="shared" si="1"/>
        <v>2008</v>
      </c>
      <c r="N91" s="6">
        <f t="shared" si="2"/>
        <v>0.27498</v>
      </c>
      <c r="O91" s="6">
        <f>N91*'Measure conversion'!$C$3</f>
        <v>0.27498</v>
      </c>
    </row>
    <row r="92">
      <c r="J92" s="42" t="s">
        <v>162</v>
      </c>
      <c r="K92" s="44">
        <v>39454.0</v>
      </c>
      <c r="L92" s="64">
        <v>290.04</v>
      </c>
      <c r="M92" s="6">
        <f t="shared" si="1"/>
        <v>2008</v>
      </c>
      <c r="N92" s="6">
        <f t="shared" si="2"/>
        <v>0.29004</v>
      </c>
      <c r="O92" s="6">
        <f>N92*'Measure conversion'!$C$3</f>
        <v>0.29004</v>
      </c>
    </row>
    <row r="93">
      <c r="J93" s="42" t="s">
        <v>162</v>
      </c>
      <c r="K93" s="44">
        <v>39455.0</v>
      </c>
      <c r="L93" s="64">
        <v>312.59</v>
      </c>
      <c r="M93" s="6">
        <f t="shared" si="1"/>
        <v>2008</v>
      </c>
      <c r="N93" s="6">
        <f t="shared" si="2"/>
        <v>0.31259</v>
      </c>
      <c r="O93" s="6">
        <f>N93*'Measure conversion'!$C$3</f>
        <v>0.31259</v>
      </c>
    </row>
    <row r="94">
      <c r="J94" s="42" t="s">
        <v>162</v>
      </c>
      <c r="K94" s="44">
        <v>39456.0</v>
      </c>
      <c r="L94" s="64">
        <v>336.79</v>
      </c>
      <c r="M94" s="6">
        <f t="shared" si="1"/>
        <v>2008</v>
      </c>
      <c r="N94" s="6">
        <f t="shared" si="2"/>
        <v>0.33679</v>
      </c>
      <c r="O94" s="6">
        <f>N94*'Measure conversion'!$C$3</f>
        <v>0.33679</v>
      </c>
    </row>
    <row r="95">
      <c r="J95" s="42" t="s">
        <v>162</v>
      </c>
      <c r="K95" s="44">
        <v>39457.0</v>
      </c>
      <c r="L95" s="64">
        <v>344.94</v>
      </c>
      <c r="M95" s="6">
        <f t="shared" si="1"/>
        <v>2008</v>
      </c>
      <c r="N95" s="6">
        <f t="shared" si="2"/>
        <v>0.34494</v>
      </c>
      <c r="O95" s="6">
        <f>N95*'Measure conversion'!$C$3</f>
        <v>0.34494</v>
      </c>
    </row>
    <row r="96">
      <c r="J96" s="42" t="s">
        <v>162</v>
      </c>
      <c r="K96" s="44">
        <v>39458.0</v>
      </c>
      <c r="L96" s="64">
        <v>345.16</v>
      </c>
      <c r="M96" s="6">
        <f t="shared" si="1"/>
        <v>2008</v>
      </c>
      <c r="N96" s="6">
        <f t="shared" si="2"/>
        <v>0.34516</v>
      </c>
      <c r="O96" s="6">
        <f>N96*'Measure conversion'!$C$3</f>
        <v>0.34516</v>
      </c>
    </row>
    <row r="97">
      <c r="J97" s="42" t="s">
        <v>162</v>
      </c>
      <c r="K97" s="44">
        <v>39459.0</v>
      </c>
      <c r="L97" s="64">
        <v>348.17</v>
      </c>
      <c r="M97" s="6">
        <f t="shared" si="1"/>
        <v>2008</v>
      </c>
      <c r="N97" s="6">
        <f t="shared" si="2"/>
        <v>0.34817</v>
      </c>
      <c r="O97" s="6">
        <f>N97*'Measure conversion'!$C$3</f>
        <v>0.34817</v>
      </c>
    </row>
    <row r="98">
      <c r="J98" s="42" t="s">
        <v>162</v>
      </c>
      <c r="K98" s="44">
        <v>39814.0</v>
      </c>
      <c r="L98" s="64">
        <v>344.08</v>
      </c>
      <c r="M98" s="6">
        <f t="shared" si="1"/>
        <v>2009</v>
      </c>
      <c r="N98" s="6">
        <f t="shared" si="2"/>
        <v>0.34408</v>
      </c>
      <c r="O98" s="6">
        <f>N98*'Measure conversion'!$C$3</f>
        <v>0.34408</v>
      </c>
    </row>
    <row r="99">
      <c r="J99" s="42" t="s">
        <v>162</v>
      </c>
      <c r="K99" s="44">
        <v>39815.0</v>
      </c>
      <c r="L99" s="64">
        <v>338.29</v>
      </c>
      <c r="M99" s="6">
        <f t="shared" si="1"/>
        <v>2009</v>
      </c>
      <c r="N99" s="6">
        <f t="shared" si="2"/>
        <v>0.33829</v>
      </c>
      <c r="O99" s="6">
        <f>N99*'Measure conversion'!$C$3</f>
        <v>0.33829</v>
      </c>
    </row>
    <row r="100">
      <c r="J100" s="42" t="s">
        <v>162</v>
      </c>
      <c r="K100" s="44">
        <v>39816.0</v>
      </c>
      <c r="L100" s="64">
        <v>289.4</v>
      </c>
      <c r="M100" s="6">
        <f t="shared" si="1"/>
        <v>2009</v>
      </c>
      <c r="N100" s="6">
        <f t="shared" si="2"/>
        <v>0.2894</v>
      </c>
      <c r="O100" s="6">
        <f>N100*'Measure conversion'!$C$3</f>
        <v>0.2894</v>
      </c>
    </row>
    <row r="101">
      <c r="J101" s="42" t="s">
        <v>162</v>
      </c>
      <c r="K101" s="44">
        <v>39817.0</v>
      </c>
      <c r="L101" s="64">
        <v>252.39</v>
      </c>
      <c r="M101" s="6">
        <f t="shared" si="1"/>
        <v>2009</v>
      </c>
      <c r="N101" s="6">
        <f t="shared" si="2"/>
        <v>0.25239</v>
      </c>
      <c r="O101" s="6">
        <f>N101*'Measure conversion'!$C$3</f>
        <v>0.25239</v>
      </c>
    </row>
    <row r="102">
      <c r="J102" s="42" t="s">
        <v>162</v>
      </c>
      <c r="K102" s="44">
        <v>39818.0</v>
      </c>
      <c r="L102" s="64">
        <v>238.84</v>
      </c>
      <c r="M102" s="6">
        <f t="shared" si="1"/>
        <v>2009</v>
      </c>
      <c r="N102" s="6">
        <f t="shared" si="2"/>
        <v>0.23884</v>
      </c>
      <c r="O102" s="6">
        <f>N102*'Measure conversion'!$C$3</f>
        <v>0.23884</v>
      </c>
    </row>
    <row r="103">
      <c r="J103" s="42" t="s">
        <v>162</v>
      </c>
      <c r="K103" s="44">
        <v>39819.0</v>
      </c>
      <c r="L103" s="64">
        <v>231.89</v>
      </c>
      <c r="M103" s="6">
        <f t="shared" si="1"/>
        <v>2009</v>
      </c>
      <c r="N103" s="6">
        <f t="shared" si="2"/>
        <v>0.23189</v>
      </c>
      <c r="O103" s="6">
        <f>N103*'Measure conversion'!$C$3</f>
        <v>0.23189</v>
      </c>
    </row>
    <row r="104">
      <c r="J104" s="42" t="s">
        <v>162</v>
      </c>
      <c r="K104" s="44">
        <v>39820.0</v>
      </c>
      <c r="L104" s="64">
        <v>293.68</v>
      </c>
      <c r="M104" s="6">
        <f t="shared" si="1"/>
        <v>2009</v>
      </c>
      <c r="N104" s="6">
        <f t="shared" si="2"/>
        <v>0.29368</v>
      </c>
      <c r="O104" s="6">
        <f>N104*'Measure conversion'!$C$3</f>
        <v>0.29368</v>
      </c>
    </row>
    <row r="105">
      <c r="J105" s="42" t="s">
        <v>162</v>
      </c>
      <c r="K105" s="44">
        <v>39821.0</v>
      </c>
      <c r="L105" s="64">
        <v>312.2</v>
      </c>
      <c r="M105" s="6">
        <f t="shared" si="1"/>
        <v>2009</v>
      </c>
      <c r="N105" s="6">
        <f t="shared" si="2"/>
        <v>0.3122</v>
      </c>
      <c r="O105" s="6">
        <f>N105*'Measure conversion'!$C$3</f>
        <v>0.3122</v>
      </c>
    </row>
    <row r="106">
      <c r="J106" s="42" t="s">
        <v>162</v>
      </c>
      <c r="K106" s="44">
        <v>39822.0</v>
      </c>
      <c r="L106" s="64">
        <v>334.45</v>
      </c>
      <c r="M106" s="6">
        <f t="shared" si="1"/>
        <v>2009</v>
      </c>
      <c r="N106" s="6">
        <f t="shared" si="2"/>
        <v>0.33445</v>
      </c>
      <c r="O106" s="6">
        <f>N106*'Measure conversion'!$C$3</f>
        <v>0.33445</v>
      </c>
    </row>
    <row r="107">
      <c r="J107" s="42" t="s">
        <v>162</v>
      </c>
      <c r="K107" s="44">
        <v>39823.0</v>
      </c>
      <c r="L107" s="64">
        <v>339.89</v>
      </c>
      <c r="M107" s="6">
        <f t="shared" si="1"/>
        <v>2009</v>
      </c>
      <c r="N107" s="6">
        <f t="shared" si="2"/>
        <v>0.33989</v>
      </c>
      <c r="O107" s="6">
        <f>N107*'Measure conversion'!$C$3</f>
        <v>0.33989</v>
      </c>
    </row>
    <row r="108">
      <c r="J108" s="42" t="s">
        <v>162</v>
      </c>
      <c r="K108" s="44">
        <v>39824.0</v>
      </c>
      <c r="L108" s="64">
        <v>339.69</v>
      </c>
      <c r="M108" s="6">
        <f t="shared" si="1"/>
        <v>2009</v>
      </c>
      <c r="N108" s="6">
        <f t="shared" si="2"/>
        <v>0.33969</v>
      </c>
      <c r="O108" s="6">
        <f>N108*'Measure conversion'!$C$3</f>
        <v>0.33969</v>
      </c>
    </row>
    <row r="109">
      <c r="J109" s="42" t="s">
        <v>162</v>
      </c>
      <c r="K109" s="44">
        <v>39825.0</v>
      </c>
      <c r="L109" s="64">
        <v>343.34</v>
      </c>
      <c r="M109" s="6">
        <f t="shared" si="1"/>
        <v>2009</v>
      </c>
      <c r="N109" s="6">
        <f t="shared" si="2"/>
        <v>0.34334</v>
      </c>
      <c r="O109" s="6">
        <f>N109*'Measure conversion'!$C$3</f>
        <v>0.34334</v>
      </c>
    </row>
    <row r="110">
      <c r="J110" s="42" t="s">
        <v>162</v>
      </c>
      <c r="K110" s="44">
        <v>40179.0</v>
      </c>
      <c r="L110" s="64">
        <v>341.06</v>
      </c>
      <c r="M110" s="6">
        <f t="shared" si="1"/>
        <v>2010</v>
      </c>
      <c r="N110" s="6">
        <f t="shared" si="2"/>
        <v>0.34106</v>
      </c>
      <c r="O110" s="6">
        <f>N110*'Measure conversion'!$C$3</f>
        <v>0.34106</v>
      </c>
    </row>
    <row r="111">
      <c r="J111" s="42" t="s">
        <v>162</v>
      </c>
      <c r="K111" s="44">
        <v>40180.0</v>
      </c>
      <c r="L111" s="64">
        <v>333.96</v>
      </c>
      <c r="M111" s="6">
        <f t="shared" si="1"/>
        <v>2010</v>
      </c>
      <c r="N111" s="6">
        <f t="shared" si="2"/>
        <v>0.33396</v>
      </c>
      <c r="O111" s="6">
        <f>N111*'Measure conversion'!$C$3</f>
        <v>0.33396</v>
      </c>
    </row>
    <row r="112">
      <c r="J112" s="42" t="s">
        <v>162</v>
      </c>
      <c r="K112" s="44">
        <v>40181.0</v>
      </c>
      <c r="L112" s="64">
        <v>323.25</v>
      </c>
      <c r="M112" s="6">
        <f t="shared" si="1"/>
        <v>2010</v>
      </c>
      <c r="N112" s="6">
        <f t="shared" si="2"/>
        <v>0.32325</v>
      </c>
      <c r="O112" s="6">
        <f>N112*'Measure conversion'!$C$3</f>
        <v>0.32325</v>
      </c>
    </row>
    <row r="113">
      <c r="J113" s="42" t="s">
        <v>162</v>
      </c>
      <c r="K113" s="44">
        <v>40182.0</v>
      </c>
      <c r="L113" s="64">
        <v>287.31</v>
      </c>
      <c r="M113" s="6">
        <f t="shared" si="1"/>
        <v>2010</v>
      </c>
      <c r="N113" s="6">
        <f t="shared" si="2"/>
        <v>0.28731</v>
      </c>
      <c r="O113" s="6">
        <f>N113*'Measure conversion'!$C$3</f>
        <v>0.28731</v>
      </c>
    </row>
    <row r="114">
      <c r="J114" s="42" t="s">
        <v>162</v>
      </c>
      <c r="K114" s="44">
        <v>40183.0</v>
      </c>
      <c r="L114" s="64">
        <v>218.9</v>
      </c>
      <c r="M114" s="6">
        <f t="shared" si="1"/>
        <v>2010</v>
      </c>
      <c r="N114" s="6">
        <f t="shared" si="2"/>
        <v>0.2189</v>
      </c>
      <c r="O114" s="6">
        <f>N114*'Measure conversion'!$C$3</f>
        <v>0.2189</v>
      </c>
    </row>
    <row r="115">
      <c r="J115" s="42" t="s">
        <v>162</v>
      </c>
      <c r="K115" s="44">
        <v>40184.0</v>
      </c>
      <c r="L115" s="64">
        <v>204.85</v>
      </c>
      <c r="M115" s="6">
        <f t="shared" si="1"/>
        <v>2010</v>
      </c>
      <c r="N115" s="6">
        <f t="shared" si="2"/>
        <v>0.20485</v>
      </c>
      <c r="O115" s="6">
        <f>N115*'Measure conversion'!$C$3</f>
        <v>0.20485</v>
      </c>
    </row>
    <row r="116">
      <c r="J116" s="42" t="s">
        <v>162</v>
      </c>
      <c r="K116" s="44">
        <v>40185.0</v>
      </c>
      <c r="L116" s="64">
        <v>257.68</v>
      </c>
      <c r="M116" s="6">
        <f t="shared" si="1"/>
        <v>2010</v>
      </c>
      <c r="N116" s="6">
        <f t="shared" si="2"/>
        <v>0.25768</v>
      </c>
      <c r="O116" s="6">
        <f>N116*'Measure conversion'!$C$3</f>
        <v>0.25768</v>
      </c>
    </row>
    <row r="117">
      <c r="J117" s="42" t="s">
        <v>162</v>
      </c>
      <c r="K117" s="44">
        <v>40186.0</v>
      </c>
      <c r="L117" s="64">
        <v>286.37</v>
      </c>
      <c r="M117" s="6">
        <f t="shared" si="1"/>
        <v>2010</v>
      </c>
      <c r="N117" s="6">
        <f t="shared" si="2"/>
        <v>0.28637</v>
      </c>
      <c r="O117" s="6">
        <f>N117*'Measure conversion'!$C$3</f>
        <v>0.28637</v>
      </c>
    </row>
    <row r="118">
      <c r="J118" s="42" t="s">
        <v>162</v>
      </c>
      <c r="K118" s="44">
        <v>40187.0</v>
      </c>
      <c r="L118" s="64">
        <v>293.73</v>
      </c>
      <c r="M118" s="6">
        <f t="shared" si="1"/>
        <v>2010</v>
      </c>
      <c r="N118" s="6">
        <f t="shared" si="2"/>
        <v>0.29373</v>
      </c>
      <c r="O118" s="6">
        <f>N118*'Measure conversion'!$C$3</f>
        <v>0.29373</v>
      </c>
    </row>
    <row r="119">
      <c r="J119" s="42" t="s">
        <v>162</v>
      </c>
      <c r="K119" s="44">
        <v>40188.0</v>
      </c>
      <c r="L119" s="64">
        <v>345.54</v>
      </c>
      <c r="M119" s="6">
        <f t="shared" si="1"/>
        <v>2010</v>
      </c>
      <c r="N119" s="6">
        <f t="shared" si="2"/>
        <v>0.34554</v>
      </c>
      <c r="O119" s="6">
        <f>N119*'Measure conversion'!$C$3</f>
        <v>0.34554</v>
      </c>
    </row>
    <row r="120">
      <c r="J120" s="42" t="s">
        <v>162</v>
      </c>
      <c r="K120" s="44">
        <v>40189.0</v>
      </c>
      <c r="L120" s="64">
        <v>324.9</v>
      </c>
      <c r="M120" s="6">
        <f t="shared" si="1"/>
        <v>2010</v>
      </c>
      <c r="N120" s="6">
        <f t="shared" si="2"/>
        <v>0.3249</v>
      </c>
      <c r="O120" s="6">
        <f>N120*'Measure conversion'!$C$3</f>
        <v>0.3249</v>
      </c>
    </row>
    <row r="121">
      <c r="J121" s="42" t="s">
        <v>162</v>
      </c>
      <c r="K121" s="44">
        <v>40190.0</v>
      </c>
      <c r="L121" s="64">
        <v>290.79</v>
      </c>
      <c r="M121" s="6">
        <f t="shared" si="1"/>
        <v>2010</v>
      </c>
      <c r="N121" s="6">
        <f t="shared" si="2"/>
        <v>0.29079</v>
      </c>
      <c r="O121" s="6">
        <f>N121*'Measure conversion'!$C$3</f>
        <v>0.29079</v>
      </c>
    </row>
    <row r="122">
      <c r="J122" s="42" t="s">
        <v>162</v>
      </c>
      <c r="K122" s="44">
        <v>40544.0</v>
      </c>
      <c r="L122" s="64">
        <v>274.48</v>
      </c>
      <c r="M122" s="6">
        <f t="shared" si="1"/>
        <v>2011</v>
      </c>
      <c r="N122" s="6">
        <f t="shared" si="2"/>
        <v>0.27448</v>
      </c>
      <c r="O122" s="6">
        <f>N122*'Measure conversion'!$C$3</f>
        <v>0.27448</v>
      </c>
    </row>
    <row r="123">
      <c r="J123" s="42" t="s">
        <v>162</v>
      </c>
      <c r="K123" s="44">
        <v>40545.0</v>
      </c>
      <c r="L123" s="64">
        <v>282.78</v>
      </c>
      <c r="M123" s="6">
        <f t="shared" si="1"/>
        <v>2011</v>
      </c>
      <c r="N123" s="6">
        <f t="shared" si="2"/>
        <v>0.28278</v>
      </c>
      <c r="O123" s="6">
        <f>N123*'Measure conversion'!$C$3</f>
        <v>0.28278</v>
      </c>
    </row>
    <row r="124">
      <c r="J124" s="42" t="s">
        <v>162</v>
      </c>
      <c r="K124" s="44">
        <v>40546.0</v>
      </c>
      <c r="L124" s="64">
        <v>221.55</v>
      </c>
      <c r="M124" s="6">
        <f t="shared" si="1"/>
        <v>2011</v>
      </c>
      <c r="N124" s="6">
        <f t="shared" si="2"/>
        <v>0.22155</v>
      </c>
      <c r="O124" s="6">
        <f>N124*'Measure conversion'!$C$3</f>
        <v>0.22155</v>
      </c>
    </row>
    <row r="125">
      <c r="J125" s="42" t="s">
        <v>162</v>
      </c>
      <c r="K125" s="44">
        <v>40547.0</v>
      </c>
      <c r="L125" s="64">
        <v>192.86</v>
      </c>
      <c r="M125" s="6">
        <f t="shared" si="1"/>
        <v>2011</v>
      </c>
      <c r="N125" s="6">
        <f t="shared" si="2"/>
        <v>0.19286</v>
      </c>
      <c r="O125" s="6">
        <f>N125*'Measure conversion'!$C$3</f>
        <v>0.19286</v>
      </c>
    </row>
    <row r="126">
      <c r="J126" s="42" t="s">
        <v>162</v>
      </c>
      <c r="K126" s="44">
        <v>40548.0</v>
      </c>
      <c r="L126" s="64">
        <v>183.0</v>
      </c>
      <c r="M126" s="6">
        <f t="shared" si="1"/>
        <v>2011</v>
      </c>
      <c r="N126" s="6">
        <f t="shared" si="2"/>
        <v>0.183</v>
      </c>
      <c r="O126" s="6">
        <f>N126*'Measure conversion'!$C$3</f>
        <v>0.183</v>
      </c>
    </row>
    <row r="127">
      <c r="J127" s="42" t="s">
        <v>162</v>
      </c>
      <c r="K127" s="44">
        <v>40549.0</v>
      </c>
      <c r="L127" s="64">
        <v>188.87</v>
      </c>
      <c r="M127" s="6">
        <f t="shared" si="1"/>
        <v>2011</v>
      </c>
      <c r="N127" s="6">
        <f t="shared" si="2"/>
        <v>0.18887</v>
      </c>
      <c r="O127" s="6">
        <f>N127*'Measure conversion'!$C$3</f>
        <v>0.18887</v>
      </c>
    </row>
    <row r="128">
      <c r="J128" s="42" t="s">
        <v>162</v>
      </c>
      <c r="K128" s="44">
        <v>40550.0</v>
      </c>
      <c r="L128" s="64">
        <v>234.11</v>
      </c>
      <c r="M128" s="6">
        <f t="shared" si="1"/>
        <v>2011</v>
      </c>
      <c r="N128" s="6">
        <f t="shared" si="2"/>
        <v>0.23411</v>
      </c>
      <c r="O128" s="6">
        <f>N128*'Measure conversion'!$C$3</f>
        <v>0.23411</v>
      </c>
    </row>
    <row r="129">
      <c r="J129" s="42" t="s">
        <v>162</v>
      </c>
      <c r="K129" s="44">
        <v>40551.0</v>
      </c>
      <c r="L129" s="64">
        <v>267.27</v>
      </c>
      <c r="M129" s="6">
        <f t="shared" si="1"/>
        <v>2011</v>
      </c>
      <c r="N129" s="6">
        <f t="shared" si="2"/>
        <v>0.26727</v>
      </c>
      <c r="O129" s="6">
        <f>N129*'Measure conversion'!$C$3</f>
        <v>0.26727</v>
      </c>
    </row>
    <row r="130">
      <c r="J130" s="42" t="s">
        <v>162</v>
      </c>
      <c r="K130" s="44">
        <v>40552.0</v>
      </c>
      <c r="L130" s="64">
        <v>290.34</v>
      </c>
      <c r="M130" s="6">
        <f t="shared" si="1"/>
        <v>2011</v>
      </c>
      <c r="N130" s="6">
        <f t="shared" si="2"/>
        <v>0.29034</v>
      </c>
      <c r="O130" s="6">
        <f>N130*'Measure conversion'!$C$3</f>
        <v>0.29034</v>
      </c>
    </row>
    <row r="131">
      <c r="J131" s="42" t="s">
        <v>162</v>
      </c>
      <c r="K131" s="44">
        <v>40553.0</v>
      </c>
      <c r="L131" s="64">
        <v>277.72</v>
      </c>
      <c r="M131" s="6">
        <f t="shared" si="1"/>
        <v>2011</v>
      </c>
      <c r="N131" s="6">
        <f t="shared" si="2"/>
        <v>0.27772</v>
      </c>
      <c r="O131" s="6">
        <f>N131*'Measure conversion'!$C$3</f>
        <v>0.27772</v>
      </c>
    </row>
    <row r="132">
      <c r="J132" s="42" t="s">
        <v>162</v>
      </c>
      <c r="K132" s="44">
        <v>40554.0</v>
      </c>
      <c r="L132" s="64">
        <v>281.79</v>
      </c>
      <c r="M132" s="6">
        <f t="shared" si="1"/>
        <v>2011</v>
      </c>
      <c r="N132" s="6">
        <f t="shared" si="2"/>
        <v>0.28179</v>
      </c>
      <c r="O132" s="6">
        <f>N132*'Measure conversion'!$C$3</f>
        <v>0.28179</v>
      </c>
    </row>
    <row r="133">
      <c r="J133" s="42" t="s">
        <v>162</v>
      </c>
      <c r="K133" s="44">
        <v>40555.0</v>
      </c>
      <c r="L133" s="64">
        <v>314.03</v>
      </c>
      <c r="M133" s="6">
        <f t="shared" si="1"/>
        <v>2011</v>
      </c>
      <c r="N133" s="6">
        <f t="shared" si="2"/>
        <v>0.31403</v>
      </c>
      <c r="O133" s="6">
        <f>N133*'Measure conversion'!$C$3</f>
        <v>0.31403</v>
      </c>
    </row>
    <row r="134">
      <c r="J134" s="42" t="s">
        <v>162</v>
      </c>
      <c r="K134" s="44">
        <v>40909.0</v>
      </c>
      <c r="L134" s="64">
        <v>323.02</v>
      </c>
      <c r="M134" s="6">
        <f t="shared" si="1"/>
        <v>2012</v>
      </c>
      <c r="N134" s="6">
        <f t="shared" si="2"/>
        <v>0.32302</v>
      </c>
      <c r="O134" s="6">
        <f>N134*'Measure conversion'!$C$3</f>
        <v>0.32302</v>
      </c>
    </row>
    <row r="135">
      <c r="J135" s="42" t="s">
        <v>162</v>
      </c>
      <c r="K135" s="44">
        <v>40910.0</v>
      </c>
      <c r="L135" s="64">
        <v>348.91</v>
      </c>
      <c r="M135" s="6">
        <f t="shared" si="1"/>
        <v>2012</v>
      </c>
      <c r="N135" s="6">
        <f t="shared" si="2"/>
        <v>0.34891</v>
      </c>
      <c r="O135" s="6">
        <f>N135*'Measure conversion'!$C$3</f>
        <v>0.34891</v>
      </c>
    </row>
    <row r="136">
      <c r="J136" s="42" t="s">
        <v>162</v>
      </c>
      <c r="K136" s="44">
        <v>40911.0</v>
      </c>
      <c r="L136" s="64">
        <v>325.57</v>
      </c>
      <c r="M136" s="6">
        <f t="shared" si="1"/>
        <v>2012</v>
      </c>
      <c r="N136" s="6">
        <f t="shared" si="2"/>
        <v>0.32557</v>
      </c>
      <c r="O136" s="6">
        <f>N136*'Measure conversion'!$C$3</f>
        <v>0.32557</v>
      </c>
    </row>
    <row r="137">
      <c r="J137" s="42" t="s">
        <v>162</v>
      </c>
      <c r="K137" s="44">
        <v>40912.0</v>
      </c>
      <c r="L137" s="64">
        <v>310.26</v>
      </c>
      <c r="M137" s="6">
        <f t="shared" si="1"/>
        <v>2012</v>
      </c>
      <c r="N137" s="6">
        <f t="shared" si="2"/>
        <v>0.31026</v>
      </c>
      <c r="O137" s="6">
        <f>N137*'Measure conversion'!$C$3</f>
        <v>0.31026</v>
      </c>
    </row>
    <row r="138">
      <c r="J138" s="42" t="s">
        <v>162</v>
      </c>
      <c r="K138" s="44">
        <v>40913.0</v>
      </c>
      <c r="L138" s="64">
        <v>281.47</v>
      </c>
      <c r="M138" s="6">
        <f t="shared" si="1"/>
        <v>2012</v>
      </c>
      <c r="N138" s="6">
        <f t="shared" si="2"/>
        <v>0.28147</v>
      </c>
      <c r="O138" s="6">
        <f>N138*'Measure conversion'!$C$3</f>
        <v>0.28147</v>
      </c>
    </row>
    <row r="139">
      <c r="J139" s="42" t="s">
        <v>162</v>
      </c>
      <c r="K139" s="44">
        <v>40914.0</v>
      </c>
      <c r="L139" s="64">
        <v>291.86</v>
      </c>
      <c r="M139" s="6">
        <f t="shared" si="1"/>
        <v>2012</v>
      </c>
      <c r="N139" s="6">
        <f t="shared" si="2"/>
        <v>0.29186</v>
      </c>
      <c r="O139" s="6">
        <f>N139*'Measure conversion'!$C$3</f>
        <v>0.29186</v>
      </c>
    </row>
    <row r="140">
      <c r="J140" s="42" t="s">
        <v>162</v>
      </c>
      <c r="K140" s="44">
        <v>40915.0</v>
      </c>
      <c r="L140" s="64">
        <v>301.43</v>
      </c>
      <c r="M140" s="6">
        <f t="shared" si="1"/>
        <v>2012</v>
      </c>
      <c r="N140" s="6">
        <f t="shared" si="2"/>
        <v>0.30143</v>
      </c>
      <c r="O140" s="6">
        <f>N140*'Measure conversion'!$C$3</f>
        <v>0.30143</v>
      </c>
    </row>
    <row r="141">
      <c r="J141" s="42" t="s">
        <v>162</v>
      </c>
      <c r="K141" s="44">
        <v>40916.0</v>
      </c>
      <c r="L141" s="64">
        <v>333.87</v>
      </c>
      <c r="M141" s="6">
        <f t="shared" si="1"/>
        <v>2012</v>
      </c>
      <c r="N141" s="6">
        <f t="shared" si="2"/>
        <v>0.33387</v>
      </c>
      <c r="O141" s="6">
        <f>N141*'Measure conversion'!$C$3</f>
        <v>0.33387</v>
      </c>
    </row>
    <row r="142">
      <c r="J142" s="42" t="s">
        <v>162</v>
      </c>
      <c r="K142" s="44">
        <v>40917.0</v>
      </c>
      <c r="L142" s="64">
        <v>337.99</v>
      </c>
      <c r="M142" s="6">
        <f t="shared" si="1"/>
        <v>2012</v>
      </c>
      <c r="N142" s="6">
        <f t="shared" si="2"/>
        <v>0.33799</v>
      </c>
      <c r="O142" s="6">
        <f>N142*'Measure conversion'!$C$3</f>
        <v>0.33799</v>
      </c>
    </row>
    <row r="143">
      <c r="J143" s="42" t="s">
        <v>162</v>
      </c>
      <c r="K143" s="44">
        <v>40918.0</v>
      </c>
      <c r="L143" s="64">
        <v>342.53</v>
      </c>
      <c r="M143" s="6">
        <f t="shared" si="1"/>
        <v>2012</v>
      </c>
      <c r="N143" s="6">
        <f t="shared" si="2"/>
        <v>0.34253</v>
      </c>
      <c r="O143" s="6">
        <f>N143*'Measure conversion'!$C$3</f>
        <v>0.34253</v>
      </c>
    </row>
    <row r="144">
      <c r="J144" s="42" t="s">
        <v>162</v>
      </c>
      <c r="K144" s="44">
        <v>40919.0</v>
      </c>
      <c r="L144" s="64">
        <v>343.02</v>
      </c>
      <c r="M144" s="6">
        <f t="shared" si="1"/>
        <v>2012</v>
      </c>
      <c r="N144" s="6">
        <f t="shared" si="2"/>
        <v>0.34302</v>
      </c>
      <c r="O144" s="6">
        <f>N144*'Measure conversion'!$C$3</f>
        <v>0.34302</v>
      </c>
    </row>
    <row r="145">
      <c r="J145" s="42" t="s">
        <v>162</v>
      </c>
      <c r="K145" s="44">
        <v>40920.0</v>
      </c>
      <c r="L145" s="64">
        <v>323.77</v>
      </c>
      <c r="M145" s="6">
        <f t="shared" si="1"/>
        <v>2012</v>
      </c>
      <c r="N145" s="6">
        <f t="shared" si="2"/>
        <v>0.32377</v>
      </c>
      <c r="O145" s="6">
        <f>N145*'Measure conversion'!$C$3</f>
        <v>0.32377</v>
      </c>
    </row>
    <row r="146">
      <c r="J146" s="42" t="s">
        <v>162</v>
      </c>
      <c r="K146" s="44">
        <v>41275.0</v>
      </c>
      <c r="L146" s="64">
        <v>333.38</v>
      </c>
      <c r="M146" s="6">
        <f t="shared" si="1"/>
        <v>2013</v>
      </c>
      <c r="N146" s="6">
        <f t="shared" si="2"/>
        <v>0.33338</v>
      </c>
      <c r="O146" s="6">
        <f>N146*'Measure conversion'!$C$3</f>
        <v>0.33338</v>
      </c>
    </row>
    <row r="147">
      <c r="J147" s="42" t="s">
        <v>162</v>
      </c>
      <c r="K147" s="44">
        <v>41276.0</v>
      </c>
      <c r="L147" s="64">
        <v>344.95</v>
      </c>
      <c r="M147" s="6">
        <f t="shared" si="1"/>
        <v>2013</v>
      </c>
      <c r="N147" s="6">
        <f t="shared" si="2"/>
        <v>0.34495</v>
      </c>
      <c r="O147" s="6">
        <f>N147*'Measure conversion'!$C$3</f>
        <v>0.34495</v>
      </c>
    </row>
    <row r="148">
      <c r="J148" s="42" t="s">
        <v>162</v>
      </c>
      <c r="K148" s="44">
        <v>41277.0</v>
      </c>
      <c r="L148" s="64">
        <v>318.05</v>
      </c>
      <c r="M148" s="6">
        <f t="shared" si="1"/>
        <v>2013</v>
      </c>
      <c r="N148" s="6">
        <f t="shared" si="2"/>
        <v>0.31805</v>
      </c>
      <c r="O148" s="6">
        <f>N148*'Measure conversion'!$C$3</f>
        <v>0.31805</v>
      </c>
    </row>
    <row r="149">
      <c r="J149" s="42" t="s">
        <v>162</v>
      </c>
      <c r="K149" s="44">
        <v>41278.0</v>
      </c>
      <c r="L149" s="64">
        <v>272.59</v>
      </c>
      <c r="M149" s="6">
        <f t="shared" si="1"/>
        <v>2013</v>
      </c>
      <c r="N149" s="6">
        <f t="shared" si="2"/>
        <v>0.27259</v>
      </c>
      <c r="O149" s="6">
        <f>N149*'Measure conversion'!$C$3</f>
        <v>0.27259</v>
      </c>
    </row>
    <row r="150">
      <c r="J150" s="42" t="s">
        <v>162</v>
      </c>
      <c r="K150" s="44">
        <v>41279.0</v>
      </c>
      <c r="L150" s="64">
        <v>265.15</v>
      </c>
      <c r="M150" s="6">
        <f t="shared" si="1"/>
        <v>2013</v>
      </c>
      <c r="N150" s="6">
        <f t="shared" si="2"/>
        <v>0.26515</v>
      </c>
      <c r="O150" s="6">
        <f>N150*'Measure conversion'!$C$3</f>
        <v>0.26515</v>
      </c>
    </row>
    <row r="151">
      <c r="J151" s="42" t="s">
        <v>162</v>
      </c>
      <c r="K151" s="44">
        <v>41280.0</v>
      </c>
      <c r="L151" s="64">
        <v>286.81</v>
      </c>
      <c r="M151" s="6">
        <f t="shared" si="1"/>
        <v>2013</v>
      </c>
      <c r="N151" s="6">
        <f t="shared" si="2"/>
        <v>0.28681</v>
      </c>
      <c r="O151" s="6">
        <f>N151*'Measure conversion'!$C$3</f>
        <v>0.28681</v>
      </c>
    </row>
    <row r="152">
      <c r="J152" s="42" t="s">
        <v>162</v>
      </c>
      <c r="K152" s="44">
        <v>41281.0</v>
      </c>
      <c r="L152" s="64">
        <v>309.03</v>
      </c>
      <c r="M152" s="6">
        <f t="shared" si="1"/>
        <v>2013</v>
      </c>
      <c r="N152" s="6">
        <f t="shared" si="2"/>
        <v>0.30903</v>
      </c>
      <c r="O152" s="6">
        <f>N152*'Measure conversion'!$C$3</f>
        <v>0.30903</v>
      </c>
    </row>
    <row r="153">
      <c r="J153" s="42" t="s">
        <v>162</v>
      </c>
      <c r="K153" s="44">
        <v>41282.0</v>
      </c>
      <c r="L153" s="64">
        <v>318.61</v>
      </c>
      <c r="M153" s="6">
        <f t="shared" si="1"/>
        <v>2013</v>
      </c>
      <c r="N153" s="6">
        <f t="shared" si="2"/>
        <v>0.31861</v>
      </c>
      <c r="O153" s="6">
        <f>N153*'Measure conversion'!$C$3</f>
        <v>0.31861</v>
      </c>
    </row>
    <row r="154">
      <c r="J154" s="42" t="s">
        <v>162</v>
      </c>
      <c r="K154" s="44">
        <v>41283.0</v>
      </c>
      <c r="L154" s="64">
        <v>333.89</v>
      </c>
      <c r="M154" s="6">
        <f t="shared" si="1"/>
        <v>2013</v>
      </c>
      <c r="N154" s="6">
        <f t="shared" si="2"/>
        <v>0.33389</v>
      </c>
      <c r="O154" s="6">
        <f>N154*'Measure conversion'!$C$3</f>
        <v>0.33389</v>
      </c>
    </row>
    <row r="155">
      <c r="J155" s="42" t="s">
        <v>162</v>
      </c>
      <c r="K155" s="44">
        <v>41284.0</v>
      </c>
      <c r="L155" s="64">
        <v>332.83</v>
      </c>
      <c r="M155" s="6">
        <f t="shared" si="1"/>
        <v>2013</v>
      </c>
      <c r="N155" s="6">
        <f t="shared" si="2"/>
        <v>0.33283</v>
      </c>
      <c r="O155" s="6">
        <f>N155*'Measure conversion'!$C$3</f>
        <v>0.33283</v>
      </c>
    </row>
    <row r="156">
      <c r="J156" s="42" t="s">
        <v>162</v>
      </c>
      <c r="K156" s="44">
        <v>41285.0</v>
      </c>
      <c r="L156" s="64">
        <v>345.89</v>
      </c>
      <c r="M156" s="6">
        <f t="shared" si="1"/>
        <v>2013</v>
      </c>
      <c r="N156" s="6">
        <f t="shared" si="2"/>
        <v>0.34589</v>
      </c>
      <c r="O156" s="6">
        <f>N156*'Measure conversion'!$C$3</f>
        <v>0.34589</v>
      </c>
    </row>
    <row r="157">
      <c r="J157" s="42" t="s">
        <v>162</v>
      </c>
      <c r="K157" s="44">
        <v>41286.0</v>
      </c>
      <c r="L157" s="64">
        <v>359.68</v>
      </c>
      <c r="M157" s="6">
        <f t="shared" si="1"/>
        <v>2013</v>
      </c>
      <c r="N157" s="6">
        <f t="shared" si="2"/>
        <v>0.35968</v>
      </c>
      <c r="O157" s="6">
        <f>N157*'Measure conversion'!$C$3</f>
        <v>0.35968</v>
      </c>
    </row>
    <row r="158">
      <c r="J158" s="42" t="s">
        <v>162</v>
      </c>
      <c r="K158" s="44">
        <v>41640.0</v>
      </c>
      <c r="L158" s="64">
        <v>350.02</v>
      </c>
      <c r="M158" s="6">
        <f t="shared" si="1"/>
        <v>2014</v>
      </c>
      <c r="N158" s="6">
        <f t="shared" si="2"/>
        <v>0.35002</v>
      </c>
      <c r="O158" s="6">
        <f>N158*'Measure conversion'!$C$3</f>
        <v>0.35002</v>
      </c>
    </row>
    <row r="159">
      <c r="J159" s="42" t="s">
        <v>162</v>
      </c>
      <c r="K159" s="44">
        <v>41641.0</v>
      </c>
      <c r="L159" s="64">
        <v>358.28</v>
      </c>
      <c r="M159" s="6">
        <f t="shared" si="1"/>
        <v>2014</v>
      </c>
      <c r="N159" s="6">
        <f t="shared" si="2"/>
        <v>0.35828</v>
      </c>
      <c r="O159" s="6">
        <f>N159*'Measure conversion'!$C$3</f>
        <v>0.35828</v>
      </c>
    </row>
    <row r="160">
      <c r="J160" s="42" t="s">
        <v>162</v>
      </c>
      <c r="K160" s="44">
        <v>41642.0</v>
      </c>
      <c r="L160" s="64">
        <v>321.25</v>
      </c>
      <c r="M160" s="6">
        <f t="shared" si="1"/>
        <v>2014</v>
      </c>
      <c r="N160" s="6">
        <f t="shared" si="2"/>
        <v>0.32125</v>
      </c>
      <c r="O160" s="6">
        <f>N160*'Measure conversion'!$C$3</f>
        <v>0.32125</v>
      </c>
    </row>
    <row r="161">
      <c r="J161" s="42" t="s">
        <v>162</v>
      </c>
      <c r="K161" s="44">
        <v>41643.0</v>
      </c>
      <c r="L161" s="64">
        <v>287.18</v>
      </c>
      <c r="M161" s="6">
        <f t="shared" si="1"/>
        <v>2014</v>
      </c>
      <c r="N161" s="6">
        <f t="shared" si="2"/>
        <v>0.28718</v>
      </c>
      <c r="O161" s="6">
        <f>N161*'Measure conversion'!$C$3</f>
        <v>0.28718</v>
      </c>
    </row>
    <row r="162">
      <c r="J162" s="42" t="s">
        <v>162</v>
      </c>
      <c r="K162" s="44">
        <v>41644.0</v>
      </c>
      <c r="L162" s="64">
        <v>265.96</v>
      </c>
      <c r="M162" s="6">
        <f t="shared" si="1"/>
        <v>2014</v>
      </c>
      <c r="N162" s="6">
        <f t="shared" si="2"/>
        <v>0.26596</v>
      </c>
      <c r="O162" s="6">
        <f>N162*'Measure conversion'!$C$3</f>
        <v>0.26596</v>
      </c>
    </row>
    <row r="163">
      <c r="J163" s="42" t="s">
        <v>162</v>
      </c>
      <c r="K163" s="44">
        <v>41645.0</v>
      </c>
      <c r="L163" s="64">
        <v>261.85</v>
      </c>
      <c r="M163" s="6">
        <f t="shared" si="1"/>
        <v>2014</v>
      </c>
      <c r="N163" s="6">
        <f t="shared" si="2"/>
        <v>0.26185</v>
      </c>
      <c r="O163" s="6">
        <f>N163*'Measure conversion'!$C$3</f>
        <v>0.26185</v>
      </c>
    </row>
    <row r="164">
      <c r="J164" s="42" t="s">
        <v>162</v>
      </c>
      <c r="K164" s="44">
        <v>41646.0</v>
      </c>
      <c r="L164" s="64">
        <v>302.56</v>
      </c>
      <c r="M164" s="6">
        <f t="shared" si="1"/>
        <v>2014</v>
      </c>
      <c r="N164" s="6">
        <f t="shared" si="2"/>
        <v>0.30256</v>
      </c>
      <c r="O164" s="6">
        <f>N164*'Measure conversion'!$C$3</f>
        <v>0.30256</v>
      </c>
    </row>
    <row r="165">
      <c r="J165" s="42" t="s">
        <v>162</v>
      </c>
      <c r="K165" s="44">
        <v>41647.0</v>
      </c>
      <c r="L165" s="64">
        <v>317.63</v>
      </c>
      <c r="M165" s="6">
        <f t="shared" si="1"/>
        <v>2014</v>
      </c>
      <c r="N165" s="6">
        <f t="shared" si="2"/>
        <v>0.31763</v>
      </c>
      <c r="O165" s="6">
        <f>N165*'Measure conversion'!$C$3</f>
        <v>0.31763</v>
      </c>
    </row>
    <row r="166">
      <c r="J166" s="42" t="s">
        <v>162</v>
      </c>
      <c r="K166" s="44">
        <v>41648.0</v>
      </c>
      <c r="L166" s="64">
        <v>335.93</v>
      </c>
      <c r="M166" s="6">
        <f t="shared" si="1"/>
        <v>2014</v>
      </c>
      <c r="N166" s="6">
        <f t="shared" si="2"/>
        <v>0.33593</v>
      </c>
      <c r="O166" s="6">
        <f>N166*'Measure conversion'!$C$3</f>
        <v>0.33593</v>
      </c>
    </row>
    <row r="167">
      <c r="J167" s="42" t="s">
        <v>162</v>
      </c>
      <c r="K167" s="44">
        <v>41649.0</v>
      </c>
      <c r="L167" s="64">
        <v>352.23</v>
      </c>
      <c r="M167" s="6">
        <f t="shared" si="1"/>
        <v>2014</v>
      </c>
      <c r="N167" s="6">
        <f t="shared" si="2"/>
        <v>0.35223</v>
      </c>
      <c r="O167" s="6">
        <f>N167*'Measure conversion'!$C$3</f>
        <v>0.35223</v>
      </c>
    </row>
    <row r="168">
      <c r="J168" s="42" t="s">
        <v>162</v>
      </c>
      <c r="K168" s="44">
        <v>41650.0</v>
      </c>
      <c r="L168" s="64">
        <v>322.06</v>
      </c>
      <c r="M168" s="6">
        <f t="shared" si="1"/>
        <v>2014</v>
      </c>
      <c r="N168" s="6">
        <f t="shared" si="2"/>
        <v>0.32206</v>
      </c>
      <c r="O168" s="6">
        <f>N168*'Measure conversion'!$C$3</f>
        <v>0.32206</v>
      </c>
    </row>
    <row r="169">
      <c r="J169" s="42" t="s">
        <v>162</v>
      </c>
      <c r="K169" s="44">
        <v>41651.0</v>
      </c>
      <c r="L169" s="64">
        <v>333.39</v>
      </c>
      <c r="M169" s="6">
        <f t="shared" si="1"/>
        <v>2014</v>
      </c>
      <c r="N169" s="6">
        <f t="shared" si="2"/>
        <v>0.33339</v>
      </c>
      <c r="O169" s="6">
        <f>N169*'Measure conversion'!$C$3</f>
        <v>0.33339</v>
      </c>
    </row>
    <row r="170">
      <c r="J170" s="42" t="s">
        <v>162</v>
      </c>
      <c r="K170" s="44">
        <v>42005.0</v>
      </c>
      <c r="L170" s="64">
        <v>338.42</v>
      </c>
      <c r="M170" s="6">
        <f t="shared" si="1"/>
        <v>2015</v>
      </c>
      <c r="N170" s="6">
        <f t="shared" si="2"/>
        <v>0.33842</v>
      </c>
      <c r="O170" s="6">
        <f>N170*'Measure conversion'!$C$3</f>
        <v>0.33842</v>
      </c>
    </row>
    <row r="171">
      <c r="J171" s="42" t="s">
        <v>162</v>
      </c>
      <c r="K171" s="44">
        <v>42006.0</v>
      </c>
      <c r="L171" s="64">
        <v>294.78</v>
      </c>
      <c r="M171" s="6">
        <f t="shared" si="1"/>
        <v>2015</v>
      </c>
      <c r="N171" s="6">
        <f t="shared" si="2"/>
        <v>0.29478</v>
      </c>
      <c r="O171" s="6">
        <f>N171*'Measure conversion'!$C$3</f>
        <v>0.29478</v>
      </c>
    </row>
    <row r="172">
      <c r="J172" s="42" t="s">
        <v>162</v>
      </c>
      <c r="K172" s="44">
        <v>42007.0</v>
      </c>
      <c r="L172" s="64">
        <v>290.71</v>
      </c>
      <c r="M172" s="6">
        <f t="shared" si="1"/>
        <v>2015</v>
      </c>
      <c r="N172" s="6">
        <f t="shared" si="2"/>
        <v>0.29071</v>
      </c>
      <c r="O172" s="6">
        <f>N172*'Measure conversion'!$C$3</f>
        <v>0.29071</v>
      </c>
    </row>
    <row r="173">
      <c r="J173" s="42" t="s">
        <v>162</v>
      </c>
      <c r="K173" s="44">
        <v>42008.0</v>
      </c>
      <c r="L173" s="64">
        <v>275.24</v>
      </c>
      <c r="M173" s="6">
        <f t="shared" si="1"/>
        <v>2015</v>
      </c>
      <c r="N173" s="6">
        <f t="shared" si="2"/>
        <v>0.27524</v>
      </c>
      <c r="O173" s="6">
        <f>N173*'Measure conversion'!$C$3</f>
        <v>0.27524</v>
      </c>
    </row>
    <row r="174">
      <c r="J174" s="42" t="s">
        <v>162</v>
      </c>
      <c r="K174" s="44">
        <v>42009.0</v>
      </c>
      <c r="L174" s="64">
        <v>257.85</v>
      </c>
      <c r="M174" s="6">
        <f t="shared" si="1"/>
        <v>2015</v>
      </c>
      <c r="N174" s="6">
        <f t="shared" si="2"/>
        <v>0.25785</v>
      </c>
      <c r="O174" s="6">
        <f>N174*'Measure conversion'!$C$3</f>
        <v>0.25785</v>
      </c>
    </row>
    <row r="175">
      <c r="J175" s="42" t="s">
        <v>162</v>
      </c>
      <c r="K175" s="44">
        <v>42010.0</v>
      </c>
      <c r="L175" s="64">
        <v>290.53</v>
      </c>
      <c r="M175" s="6">
        <f t="shared" si="1"/>
        <v>2015</v>
      </c>
      <c r="N175" s="6">
        <f t="shared" si="2"/>
        <v>0.29053</v>
      </c>
      <c r="O175" s="6">
        <f>N175*'Measure conversion'!$C$3</f>
        <v>0.29053</v>
      </c>
    </row>
    <row r="176">
      <c r="J176" s="42" t="s">
        <v>162</v>
      </c>
      <c r="K176" s="44">
        <v>42011.0</v>
      </c>
      <c r="L176" s="64">
        <v>299.92</v>
      </c>
      <c r="M176" s="6">
        <f t="shared" si="1"/>
        <v>2015</v>
      </c>
      <c r="N176" s="6">
        <f t="shared" si="2"/>
        <v>0.29992</v>
      </c>
      <c r="O176" s="6">
        <f>N176*'Measure conversion'!$C$3</f>
        <v>0.29992</v>
      </c>
    </row>
    <row r="177">
      <c r="J177" s="42" t="s">
        <v>162</v>
      </c>
      <c r="K177" s="44">
        <v>42012.0</v>
      </c>
      <c r="L177" s="64">
        <v>307.05</v>
      </c>
      <c r="M177" s="6">
        <f t="shared" si="1"/>
        <v>2015</v>
      </c>
      <c r="N177" s="6">
        <f t="shared" si="2"/>
        <v>0.30705</v>
      </c>
      <c r="O177" s="6">
        <f>N177*'Measure conversion'!$C$3</f>
        <v>0.30705</v>
      </c>
    </row>
    <row r="178">
      <c r="J178" s="42" t="s">
        <v>162</v>
      </c>
      <c r="K178" s="44">
        <v>42013.0</v>
      </c>
      <c r="L178" s="64">
        <v>330.86</v>
      </c>
      <c r="M178" s="6">
        <f t="shared" si="1"/>
        <v>2015</v>
      </c>
      <c r="N178" s="6">
        <f t="shared" si="2"/>
        <v>0.33086</v>
      </c>
      <c r="O178" s="6">
        <f>N178*'Measure conversion'!$C$3</f>
        <v>0.33086</v>
      </c>
    </row>
    <row r="179">
      <c r="J179" s="42" t="s">
        <v>162</v>
      </c>
      <c r="K179" s="44">
        <v>42014.0</v>
      </c>
      <c r="L179" s="64">
        <v>351.31</v>
      </c>
      <c r="M179" s="6">
        <f t="shared" si="1"/>
        <v>2015</v>
      </c>
      <c r="N179" s="6">
        <f t="shared" si="2"/>
        <v>0.35131</v>
      </c>
      <c r="O179" s="6">
        <f>N179*'Measure conversion'!$C$3</f>
        <v>0.35131</v>
      </c>
    </row>
    <row r="180">
      <c r="J180" s="42" t="s">
        <v>162</v>
      </c>
      <c r="K180" s="44">
        <v>42015.0</v>
      </c>
      <c r="L180" s="64">
        <v>323.85</v>
      </c>
      <c r="M180" s="6">
        <f t="shared" si="1"/>
        <v>2015</v>
      </c>
      <c r="N180" s="6">
        <f t="shared" si="2"/>
        <v>0.32385</v>
      </c>
      <c r="O180" s="6">
        <f>N180*'Measure conversion'!$C$3</f>
        <v>0.32385</v>
      </c>
    </row>
    <row r="181">
      <c r="J181" s="42" t="s">
        <v>162</v>
      </c>
      <c r="K181" s="44">
        <v>42016.0</v>
      </c>
      <c r="L181" s="64">
        <v>319.85</v>
      </c>
      <c r="M181" s="6">
        <f t="shared" si="1"/>
        <v>2015</v>
      </c>
      <c r="N181" s="6">
        <f t="shared" si="2"/>
        <v>0.31985</v>
      </c>
      <c r="O181" s="6">
        <f>N181*'Measure conversion'!$C$3</f>
        <v>0.31985</v>
      </c>
    </row>
    <row r="182">
      <c r="J182" s="42" t="s">
        <v>162</v>
      </c>
      <c r="K182" s="44">
        <v>42370.0</v>
      </c>
      <c r="L182" s="64">
        <v>317.98</v>
      </c>
      <c r="M182" s="6">
        <f t="shared" si="1"/>
        <v>2016</v>
      </c>
      <c r="N182" s="6">
        <f t="shared" si="2"/>
        <v>0.31798</v>
      </c>
      <c r="O182" s="6">
        <f>N182*'Measure conversion'!$C$3</f>
        <v>0.31798</v>
      </c>
    </row>
    <row r="183">
      <c r="J183" s="42" t="s">
        <v>162</v>
      </c>
      <c r="K183" s="44">
        <v>42371.0</v>
      </c>
      <c r="L183" s="64">
        <v>280.92</v>
      </c>
      <c r="M183" s="6">
        <f t="shared" si="1"/>
        <v>2016</v>
      </c>
      <c r="N183" s="6">
        <f t="shared" si="2"/>
        <v>0.28092</v>
      </c>
      <c r="O183" s="6">
        <f>N183*'Measure conversion'!$C$3</f>
        <v>0.28092</v>
      </c>
    </row>
    <row r="184">
      <c r="J184" s="42" t="s">
        <v>162</v>
      </c>
      <c r="K184" s="44">
        <v>42372.0</v>
      </c>
      <c r="L184" s="64">
        <v>214.51</v>
      </c>
      <c r="M184" s="6">
        <f t="shared" si="1"/>
        <v>2016</v>
      </c>
      <c r="N184" s="6">
        <f t="shared" si="2"/>
        <v>0.21451</v>
      </c>
      <c r="O184" s="6">
        <f>N184*'Measure conversion'!$C$3</f>
        <v>0.21451</v>
      </c>
    </row>
    <row r="185">
      <c r="J185" s="42" t="s">
        <v>162</v>
      </c>
      <c r="K185" s="44">
        <v>42373.0</v>
      </c>
      <c r="L185" s="64">
        <v>207.49</v>
      </c>
      <c r="M185" s="6">
        <f t="shared" si="1"/>
        <v>2016</v>
      </c>
      <c r="N185" s="6">
        <f t="shared" si="2"/>
        <v>0.20749</v>
      </c>
      <c r="O185" s="6">
        <f>N185*'Measure conversion'!$C$3</f>
        <v>0.20749</v>
      </c>
    </row>
    <row r="186">
      <c r="J186" s="42" t="s">
        <v>162</v>
      </c>
      <c r="K186" s="44">
        <v>42374.0</v>
      </c>
      <c r="L186" s="64">
        <v>210.3</v>
      </c>
      <c r="M186" s="6">
        <f t="shared" si="1"/>
        <v>2016</v>
      </c>
      <c r="N186" s="6">
        <f t="shared" si="2"/>
        <v>0.2103</v>
      </c>
      <c r="O186" s="6">
        <f>N186*'Measure conversion'!$C$3</f>
        <v>0.2103</v>
      </c>
    </row>
    <row r="187">
      <c r="J187" s="42" t="s">
        <v>162</v>
      </c>
      <c r="K187" s="44">
        <v>42375.0</v>
      </c>
      <c r="L187" s="64">
        <v>243.6</v>
      </c>
      <c r="M187" s="6">
        <f t="shared" si="1"/>
        <v>2016</v>
      </c>
      <c r="N187" s="6">
        <f t="shared" si="2"/>
        <v>0.2436</v>
      </c>
      <c r="O187" s="6">
        <f>N187*'Measure conversion'!$C$3</f>
        <v>0.2436</v>
      </c>
    </row>
    <row r="188">
      <c r="J188" s="42" t="s">
        <v>162</v>
      </c>
      <c r="K188" s="44">
        <v>42376.0</v>
      </c>
      <c r="L188" s="64">
        <v>255.38</v>
      </c>
      <c r="M188" s="6">
        <f t="shared" si="1"/>
        <v>2016</v>
      </c>
      <c r="N188" s="6">
        <f t="shared" si="2"/>
        <v>0.25538</v>
      </c>
      <c r="O188" s="6">
        <f>N188*'Measure conversion'!$C$3</f>
        <v>0.25538</v>
      </c>
    </row>
    <row r="189">
      <c r="J189" s="42" t="s">
        <v>162</v>
      </c>
      <c r="K189" s="44">
        <v>42377.0</v>
      </c>
      <c r="L189" s="64">
        <v>276.53</v>
      </c>
      <c r="M189" s="6">
        <f t="shared" si="1"/>
        <v>2016</v>
      </c>
      <c r="N189" s="6">
        <f t="shared" si="2"/>
        <v>0.27653</v>
      </c>
      <c r="O189" s="6">
        <f>N189*'Measure conversion'!$C$3</f>
        <v>0.27653</v>
      </c>
    </row>
    <row r="190">
      <c r="J190" s="42" t="s">
        <v>162</v>
      </c>
      <c r="K190" s="44">
        <v>42378.0</v>
      </c>
      <c r="L190" s="64">
        <v>273.25</v>
      </c>
      <c r="M190" s="6">
        <f t="shared" si="1"/>
        <v>2016</v>
      </c>
      <c r="N190" s="6">
        <f t="shared" si="2"/>
        <v>0.27325</v>
      </c>
      <c r="O190" s="6">
        <f>N190*'Measure conversion'!$C$3</f>
        <v>0.27325</v>
      </c>
    </row>
    <row r="191">
      <c r="J191" s="42" t="s">
        <v>162</v>
      </c>
      <c r="K191" s="44">
        <v>42379.0</v>
      </c>
      <c r="L191" s="64">
        <v>285.97</v>
      </c>
      <c r="M191" s="6">
        <f t="shared" si="1"/>
        <v>2016</v>
      </c>
      <c r="N191" s="6">
        <f t="shared" si="2"/>
        <v>0.28597</v>
      </c>
      <c r="O191" s="6">
        <f>N191*'Measure conversion'!$C$3</f>
        <v>0.28597</v>
      </c>
    </row>
    <row r="192">
      <c r="J192" s="42" t="s">
        <v>162</v>
      </c>
      <c r="K192" s="44">
        <v>42380.0</v>
      </c>
      <c r="L192" s="64">
        <v>272.17</v>
      </c>
      <c r="M192" s="6">
        <f t="shared" si="1"/>
        <v>2016</v>
      </c>
      <c r="N192" s="6">
        <f t="shared" si="2"/>
        <v>0.27217</v>
      </c>
      <c r="O192" s="6">
        <f>N192*'Measure conversion'!$C$3</f>
        <v>0.27217</v>
      </c>
    </row>
    <row r="193">
      <c r="J193" s="42" t="s">
        <v>162</v>
      </c>
      <c r="K193" s="44">
        <v>42381.0</v>
      </c>
      <c r="L193" s="64">
        <v>275.92</v>
      </c>
      <c r="M193" s="6">
        <f t="shared" si="1"/>
        <v>2016</v>
      </c>
      <c r="N193" s="6">
        <f t="shared" si="2"/>
        <v>0.27592</v>
      </c>
      <c r="O193" s="6">
        <f>N193*'Measure conversion'!$C$3</f>
        <v>0.27592</v>
      </c>
    </row>
    <row r="194">
      <c r="J194" s="42" t="s">
        <v>162</v>
      </c>
      <c r="K194" s="44">
        <v>42736.0</v>
      </c>
      <c r="L194" s="64">
        <v>247.62</v>
      </c>
      <c r="M194" s="6">
        <f t="shared" si="1"/>
        <v>2017</v>
      </c>
      <c r="N194" s="6">
        <f t="shared" si="2"/>
        <v>0.24762</v>
      </c>
      <c r="O194" s="6">
        <f>N194*'Measure conversion'!$C$3</f>
        <v>0.24762</v>
      </c>
    </row>
    <row r="195">
      <c r="J195" s="42" t="s">
        <v>162</v>
      </c>
      <c r="K195" s="44">
        <v>42737.0</v>
      </c>
      <c r="L195" s="64">
        <v>223.2</v>
      </c>
      <c r="M195" s="6">
        <f t="shared" si="1"/>
        <v>2017</v>
      </c>
      <c r="N195" s="6">
        <f t="shared" si="2"/>
        <v>0.2232</v>
      </c>
      <c r="O195" s="6">
        <f>N195*'Measure conversion'!$C$3</f>
        <v>0.2232</v>
      </c>
    </row>
    <row r="196">
      <c r="J196" s="42" t="s">
        <v>162</v>
      </c>
      <c r="K196" s="44">
        <v>42738.0</v>
      </c>
      <c r="L196" s="64">
        <v>178.46</v>
      </c>
      <c r="M196" s="6">
        <f t="shared" si="1"/>
        <v>2017</v>
      </c>
      <c r="N196" s="6">
        <f t="shared" si="2"/>
        <v>0.17846</v>
      </c>
      <c r="O196" s="6">
        <f>N196*'Measure conversion'!$C$3</f>
        <v>0.17846</v>
      </c>
    </row>
    <row r="197">
      <c r="J197" s="42" t="s">
        <v>162</v>
      </c>
      <c r="K197" s="44">
        <v>42739.0</v>
      </c>
      <c r="L197" s="64">
        <v>165.91</v>
      </c>
      <c r="M197" s="6">
        <f t="shared" si="1"/>
        <v>2017</v>
      </c>
      <c r="N197" s="6">
        <f t="shared" si="2"/>
        <v>0.16591</v>
      </c>
      <c r="O197" s="6">
        <f>N197*'Measure conversion'!$C$3</f>
        <v>0.16591</v>
      </c>
    </row>
    <row r="198">
      <c r="J198" s="42" t="s">
        <v>162</v>
      </c>
      <c r="K198" s="44">
        <v>42740.0</v>
      </c>
      <c r="L198" s="64">
        <v>175.55</v>
      </c>
      <c r="M198" s="6">
        <f t="shared" si="1"/>
        <v>2017</v>
      </c>
      <c r="N198" s="6">
        <f t="shared" si="2"/>
        <v>0.17555</v>
      </c>
      <c r="O198" s="6">
        <f>N198*'Measure conversion'!$C$3</f>
        <v>0.17555</v>
      </c>
    </row>
    <row r="199">
      <c r="J199" s="42" t="s">
        <v>162</v>
      </c>
      <c r="K199" s="44">
        <v>42741.0</v>
      </c>
      <c r="L199" s="64">
        <v>207.13</v>
      </c>
      <c r="M199" s="6">
        <f t="shared" si="1"/>
        <v>2017</v>
      </c>
      <c r="N199" s="6">
        <f t="shared" si="2"/>
        <v>0.20713</v>
      </c>
      <c r="O199" s="6">
        <f>N199*'Measure conversion'!$C$3</f>
        <v>0.20713</v>
      </c>
    </row>
    <row r="200">
      <c r="J200" s="42" t="s">
        <v>162</v>
      </c>
      <c r="K200" s="44">
        <v>42742.0</v>
      </c>
      <c r="L200" s="64">
        <v>235.59</v>
      </c>
      <c r="M200" s="6">
        <f t="shared" si="1"/>
        <v>2017</v>
      </c>
      <c r="N200" s="6">
        <f t="shared" si="2"/>
        <v>0.23559</v>
      </c>
      <c r="O200" s="6">
        <f>N200*'Measure conversion'!$C$3</f>
        <v>0.23559</v>
      </c>
    </row>
    <row r="201">
      <c r="J201" s="42" t="s">
        <v>162</v>
      </c>
      <c r="K201" s="44">
        <v>42743.0</v>
      </c>
      <c r="L201" s="64">
        <v>254.34</v>
      </c>
      <c r="M201" s="6">
        <f t="shared" si="1"/>
        <v>2017</v>
      </c>
      <c r="N201" s="6">
        <f t="shared" si="2"/>
        <v>0.25434</v>
      </c>
      <c r="O201" s="6">
        <f>N201*'Measure conversion'!$C$3</f>
        <v>0.25434</v>
      </c>
    </row>
    <row r="202">
      <c r="J202" s="42" t="s">
        <v>162</v>
      </c>
      <c r="K202" s="44">
        <v>42744.0</v>
      </c>
      <c r="L202" s="64">
        <v>251.78</v>
      </c>
      <c r="M202" s="6">
        <f t="shared" si="1"/>
        <v>2017</v>
      </c>
      <c r="N202" s="6">
        <f t="shared" si="2"/>
        <v>0.25178</v>
      </c>
      <c r="O202" s="6">
        <f>N202*'Measure conversion'!$C$3</f>
        <v>0.25178</v>
      </c>
    </row>
    <row r="203">
      <c r="J203" s="42" t="s">
        <v>162</v>
      </c>
      <c r="K203" s="44">
        <v>42745.0</v>
      </c>
      <c r="L203" s="64">
        <v>261.86</v>
      </c>
      <c r="M203" s="6">
        <f t="shared" si="1"/>
        <v>2017</v>
      </c>
      <c r="N203" s="6">
        <f t="shared" si="2"/>
        <v>0.26186</v>
      </c>
      <c r="O203" s="6">
        <f>N203*'Measure conversion'!$C$3</f>
        <v>0.26186</v>
      </c>
    </row>
    <row r="204">
      <c r="J204" s="42" t="s">
        <v>162</v>
      </c>
      <c r="K204" s="44">
        <v>42746.0</v>
      </c>
      <c r="L204" s="64">
        <v>271.04</v>
      </c>
      <c r="M204" s="6">
        <f t="shared" si="1"/>
        <v>2017</v>
      </c>
      <c r="N204" s="6">
        <f t="shared" si="2"/>
        <v>0.27104</v>
      </c>
      <c r="O204" s="6">
        <f>N204*'Measure conversion'!$C$3</f>
        <v>0.27104</v>
      </c>
    </row>
    <row r="205">
      <c r="J205" s="42" t="s">
        <v>162</v>
      </c>
      <c r="K205" s="44">
        <v>42747.0</v>
      </c>
      <c r="L205" s="64">
        <v>280.01</v>
      </c>
      <c r="M205" s="6">
        <f t="shared" si="1"/>
        <v>2017</v>
      </c>
      <c r="N205" s="6">
        <f t="shared" si="2"/>
        <v>0.28001</v>
      </c>
      <c r="O205" s="6">
        <f>N205*'Measure conversion'!$C$3</f>
        <v>0.28001</v>
      </c>
    </row>
    <row r="206">
      <c r="J206" s="42" t="s">
        <v>162</v>
      </c>
      <c r="K206" s="44">
        <v>43101.0</v>
      </c>
      <c r="L206" s="64">
        <v>273.08</v>
      </c>
      <c r="M206" s="6">
        <f t="shared" si="1"/>
        <v>2018</v>
      </c>
      <c r="N206" s="6">
        <f t="shared" si="2"/>
        <v>0.27308</v>
      </c>
      <c r="O206" s="6">
        <f>N206*'Measure conversion'!$C$3</f>
        <v>0.27308</v>
      </c>
    </row>
    <row r="207">
      <c r="J207" s="42" t="s">
        <v>162</v>
      </c>
      <c r="K207" s="44">
        <v>43102.0</v>
      </c>
      <c r="L207" s="64">
        <v>260.51</v>
      </c>
      <c r="M207" s="6">
        <f t="shared" si="1"/>
        <v>2018</v>
      </c>
      <c r="N207" s="6">
        <f t="shared" si="2"/>
        <v>0.26051</v>
      </c>
      <c r="O207" s="6">
        <f>N207*'Measure conversion'!$C$3</f>
        <v>0.26051</v>
      </c>
    </row>
    <row r="208">
      <c r="J208" s="42" t="s">
        <v>162</v>
      </c>
      <c r="K208" s="44">
        <v>43103.0</v>
      </c>
      <c r="L208" s="64">
        <v>245.24</v>
      </c>
      <c r="M208" s="6">
        <f t="shared" si="1"/>
        <v>2018</v>
      </c>
      <c r="N208" s="6">
        <f t="shared" si="2"/>
        <v>0.24524</v>
      </c>
      <c r="O208" s="6">
        <f>N208*'Measure conversion'!$C$3</f>
        <v>0.24524</v>
      </c>
    </row>
    <row r="209">
      <c r="J209" s="42" t="s">
        <v>162</v>
      </c>
      <c r="K209" s="44">
        <v>43104.0</v>
      </c>
      <c r="L209" s="64">
        <v>183.29</v>
      </c>
      <c r="M209" s="6">
        <f t="shared" si="1"/>
        <v>2018</v>
      </c>
      <c r="N209" s="6">
        <f t="shared" si="2"/>
        <v>0.18329</v>
      </c>
      <c r="O209" s="6">
        <f>N209*'Measure conversion'!$C$3</f>
        <v>0.18329</v>
      </c>
    </row>
    <row r="210">
      <c r="J210" s="42" t="s">
        <v>162</v>
      </c>
      <c r="K210" s="44">
        <v>43105.0</v>
      </c>
      <c r="L210" s="64">
        <v>163.05</v>
      </c>
      <c r="M210" s="6">
        <f t="shared" si="1"/>
        <v>2018</v>
      </c>
      <c r="N210" s="6">
        <f t="shared" si="2"/>
        <v>0.16305</v>
      </c>
      <c r="O210" s="6">
        <f>N210*'Measure conversion'!$C$3</f>
        <v>0.16305</v>
      </c>
    </row>
    <row r="211">
      <c r="J211" s="42" t="s">
        <v>162</v>
      </c>
      <c r="K211" s="44">
        <v>43106.0</v>
      </c>
      <c r="L211" s="64">
        <v>193.27</v>
      </c>
      <c r="M211" s="6">
        <f t="shared" si="1"/>
        <v>2018</v>
      </c>
      <c r="N211" s="6">
        <f t="shared" si="2"/>
        <v>0.19327</v>
      </c>
      <c r="O211" s="6">
        <f>N211*'Measure conversion'!$C$3</f>
        <v>0.19327</v>
      </c>
    </row>
    <row r="212">
      <c r="J212" s="42" t="s">
        <v>162</v>
      </c>
      <c r="K212" s="44">
        <v>43107.0</v>
      </c>
      <c r="L212" s="64">
        <v>258.83</v>
      </c>
      <c r="M212" s="6">
        <f t="shared" si="1"/>
        <v>2018</v>
      </c>
      <c r="N212" s="6">
        <f t="shared" si="2"/>
        <v>0.25883</v>
      </c>
      <c r="O212" s="6">
        <f>N212*'Measure conversion'!$C$3</f>
        <v>0.25883</v>
      </c>
    </row>
    <row r="213">
      <c r="J213" s="42" t="s">
        <v>162</v>
      </c>
      <c r="K213" s="44">
        <v>43108.0</v>
      </c>
      <c r="L213" s="64">
        <v>253.67</v>
      </c>
      <c r="M213" s="6">
        <f t="shared" si="1"/>
        <v>2018</v>
      </c>
      <c r="N213" s="6">
        <f t="shared" si="2"/>
        <v>0.25367</v>
      </c>
      <c r="O213" s="6">
        <f>N213*'Measure conversion'!$C$3</f>
        <v>0.25367</v>
      </c>
    </row>
    <row r="214">
      <c r="J214" s="42" t="s">
        <v>162</v>
      </c>
      <c r="K214" s="44">
        <v>43109.0</v>
      </c>
      <c r="L214" s="64">
        <v>239.25</v>
      </c>
      <c r="M214" s="6">
        <f t="shared" si="1"/>
        <v>2018</v>
      </c>
      <c r="N214" s="6">
        <f t="shared" si="2"/>
        <v>0.23925</v>
      </c>
      <c r="O214" s="6">
        <f>N214*'Measure conversion'!$C$3</f>
        <v>0.23925</v>
      </c>
    </row>
    <row r="215">
      <c r="J215" s="42" t="s">
        <v>162</v>
      </c>
      <c r="K215" s="44">
        <v>43110.0</v>
      </c>
      <c r="L215" s="64">
        <v>272.3</v>
      </c>
      <c r="M215" s="6">
        <f t="shared" si="1"/>
        <v>2018</v>
      </c>
      <c r="N215" s="6">
        <f t="shared" si="2"/>
        <v>0.2723</v>
      </c>
      <c r="O215" s="6">
        <f>N215*'Measure conversion'!$C$3</f>
        <v>0.2723</v>
      </c>
    </row>
    <row r="216">
      <c r="J216" s="42" t="s">
        <v>162</v>
      </c>
      <c r="K216" s="44">
        <v>43111.0</v>
      </c>
      <c r="L216" s="64">
        <v>282.88</v>
      </c>
      <c r="M216" s="6">
        <f t="shared" si="1"/>
        <v>2018</v>
      </c>
      <c r="N216" s="6">
        <f t="shared" si="2"/>
        <v>0.28288</v>
      </c>
      <c r="O216" s="6">
        <f>N216*'Measure conversion'!$C$3</f>
        <v>0.28288</v>
      </c>
    </row>
    <row r="217">
      <c r="J217" s="42" t="s">
        <v>162</v>
      </c>
      <c r="K217" s="44">
        <v>43112.0</v>
      </c>
      <c r="L217" s="64">
        <v>288.32</v>
      </c>
      <c r="M217" s="6">
        <f t="shared" si="1"/>
        <v>2018</v>
      </c>
      <c r="N217" s="6">
        <f t="shared" si="2"/>
        <v>0.28832</v>
      </c>
      <c r="O217" s="6">
        <f>N217*'Measure conversion'!$C$3</f>
        <v>0.28832</v>
      </c>
    </row>
    <row r="218">
      <c r="J218" s="42" t="s">
        <v>162</v>
      </c>
      <c r="K218" s="44">
        <v>43466.0</v>
      </c>
      <c r="L218" s="64">
        <v>278.0</v>
      </c>
      <c r="M218" s="6">
        <f t="shared" si="1"/>
        <v>2019</v>
      </c>
      <c r="N218" s="6">
        <f t="shared" si="2"/>
        <v>0.278</v>
      </c>
      <c r="O218" s="6">
        <f>N218*'Measure conversion'!$C$3</f>
        <v>0.278</v>
      </c>
    </row>
    <row r="219">
      <c r="J219" s="42" t="s">
        <v>162</v>
      </c>
      <c r="K219" s="44">
        <v>43467.0</v>
      </c>
      <c r="L219" s="64">
        <v>258.32</v>
      </c>
      <c r="M219" s="6">
        <f t="shared" si="1"/>
        <v>2019</v>
      </c>
      <c r="N219" s="6">
        <f t="shared" si="2"/>
        <v>0.25832</v>
      </c>
      <c r="O219" s="6">
        <f>N219*'Measure conversion'!$C$3</f>
        <v>0.25832</v>
      </c>
    </row>
    <row r="220">
      <c r="J220" s="42" t="s">
        <v>162</v>
      </c>
      <c r="K220" s="44">
        <v>43468.0</v>
      </c>
      <c r="L220" s="64">
        <v>201.08</v>
      </c>
      <c r="M220" s="6">
        <f t="shared" si="1"/>
        <v>2019</v>
      </c>
      <c r="N220" s="6">
        <f t="shared" si="2"/>
        <v>0.20108</v>
      </c>
      <c r="O220" s="6">
        <f>N220*'Measure conversion'!$C$3</f>
        <v>0.20108</v>
      </c>
    </row>
    <row r="221">
      <c r="J221" s="42" t="s">
        <v>162</v>
      </c>
      <c r="K221" s="44">
        <v>43469.0</v>
      </c>
      <c r="L221" s="64">
        <v>154.06</v>
      </c>
      <c r="M221" s="6">
        <f t="shared" si="1"/>
        <v>2019</v>
      </c>
      <c r="N221" s="6">
        <f t="shared" si="2"/>
        <v>0.15406</v>
      </c>
      <c r="O221" s="6">
        <f>N221*'Measure conversion'!$C$3</f>
        <v>0.15406</v>
      </c>
    </row>
    <row r="222">
      <c r="J222" s="42" t="s">
        <v>162</v>
      </c>
      <c r="K222" s="44">
        <v>43470.0</v>
      </c>
      <c r="L222" s="64">
        <v>140.01</v>
      </c>
      <c r="M222" s="6">
        <f t="shared" si="1"/>
        <v>2019</v>
      </c>
      <c r="N222" s="6">
        <f t="shared" si="2"/>
        <v>0.14001</v>
      </c>
      <c r="O222" s="6">
        <f>N222*'Measure conversion'!$C$3</f>
        <v>0.14001</v>
      </c>
    </row>
    <row r="223">
      <c r="J223" s="42" t="s">
        <v>162</v>
      </c>
      <c r="K223" s="44">
        <v>43471.0</v>
      </c>
      <c r="L223" s="64">
        <v>162.28</v>
      </c>
      <c r="M223" s="6">
        <f t="shared" si="1"/>
        <v>2019</v>
      </c>
      <c r="N223" s="6">
        <f t="shared" si="2"/>
        <v>0.16228</v>
      </c>
      <c r="O223" s="6">
        <f>N223*'Measure conversion'!$C$3</f>
        <v>0.16228</v>
      </c>
    </row>
    <row r="224">
      <c r="J224" s="42" t="s">
        <v>162</v>
      </c>
      <c r="K224" s="44">
        <v>43472.0</v>
      </c>
      <c r="L224" s="64">
        <v>208.29</v>
      </c>
      <c r="M224" s="6">
        <f t="shared" si="1"/>
        <v>2019</v>
      </c>
      <c r="N224" s="6">
        <f t="shared" si="2"/>
        <v>0.20829</v>
      </c>
      <c r="O224" s="6">
        <f>N224*'Measure conversion'!$C$3</f>
        <v>0.20829</v>
      </c>
    </row>
    <row r="225">
      <c r="J225" s="42" t="s">
        <v>162</v>
      </c>
      <c r="K225" s="44">
        <v>43473.0</v>
      </c>
      <c r="L225" s="64">
        <v>231.23</v>
      </c>
      <c r="M225" s="6">
        <f t="shared" si="1"/>
        <v>2019</v>
      </c>
      <c r="N225" s="6">
        <f t="shared" si="2"/>
        <v>0.23123</v>
      </c>
      <c r="O225" s="6">
        <f>N225*'Measure conversion'!$C$3</f>
        <v>0.23123</v>
      </c>
    </row>
    <row r="226">
      <c r="J226" s="42" t="s">
        <v>162</v>
      </c>
      <c r="K226" s="44">
        <v>43474.0</v>
      </c>
      <c r="L226" s="64">
        <v>240.45</v>
      </c>
      <c r="M226" s="6">
        <f t="shared" si="1"/>
        <v>2019</v>
      </c>
      <c r="N226" s="6">
        <f t="shared" si="2"/>
        <v>0.24045</v>
      </c>
      <c r="O226" s="6">
        <f>N226*'Measure conversion'!$C$3</f>
        <v>0.24045</v>
      </c>
    </row>
    <row r="227">
      <c r="J227" s="42" t="s">
        <v>162</v>
      </c>
      <c r="K227" s="44">
        <v>43475.0</v>
      </c>
      <c r="L227" s="64">
        <v>266.06</v>
      </c>
      <c r="M227" s="6">
        <f t="shared" si="1"/>
        <v>2019</v>
      </c>
      <c r="N227" s="6">
        <f t="shared" si="2"/>
        <v>0.26606</v>
      </c>
      <c r="O227" s="6">
        <f>N227*'Measure conversion'!$C$3</f>
        <v>0.26606</v>
      </c>
    </row>
    <row r="228">
      <c r="J228" s="42" t="s">
        <v>162</v>
      </c>
      <c r="K228" s="44">
        <v>43476.0</v>
      </c>
      <c r="L228" s="64">
        <v>301.22</v>
      </c>
      <c r="M228" s="6">
        <f t="shared" si="1"/>
        <v>2019</v>
      </c>
      <c r="N228" s="6">
        <f t="shared" si="2"/>
        <v>0.30122</v>
      </c>
      <c r="O228" s="6">
        <f>N228*'Measure conversion'!$C$3</f>
        <v>0.30122</v>
      </c>
    </row>
    <row r="229">
      <c r="J229" s="42" t="s">
        <v>162</v>
      </c>
      <c r="K229" s="44">
        <v>43477.0</v>
      </c>
      <c r="L229" s="64">
        <v>299.82</v>
      </c>
      <c r="M229" s="6">
        <f t="shared" si="1"/>
        <v>2019</v>
      </c>
      <c r="N229" s="6">
        <f t="shared" si="2"/>
        <v>0.29982</v>
      </c>
      <c r="O229" s="6">
        <f>N229*'Measure conversion'!$C$3</f>
        <v>0.29982</v>
      </c>
    </row>
    <row r="230">
      <c r="J230" s="42" t="s">
        <v>162</v>
      </c>
      <c r="K230" s="44">
        <v>43831.0</v>
      </c>
      <c r="L230" s="64">
        <v>258.09</v>
      </c>
      <c r="M230" s="6">
        <f t="shared" si="1"/>
        <v>2020</v>
      </c>
      <c r="N230" s="6">
        <f t="shared" si="2"/>
        <v>0.25809</v>
      </c>
      <c r="O230" s="6">
        <f>N230*'Measure conversion'!$C$3</f>
        <v>0.25809</v>
      </c>
    </row>
    <row r="231">
      <c r="J231" s="42" t="s">
        <v>162</v>
      </c>
      <c r="K231" s="44">
        <v>43832.0</v>
      </c>
      <c r="L231" s="64">
        <v>244.07</v>
      </c>
      <c r="M231" s="6">
        <f t="shared" si="1"/>
        <v>2020</v>
      </c>
      <c r="N231" s="6">
        <f t="shared" si="2"/>
        <v>0.24407</v>
      </c>
      <c r="O231" s="6">
        <f>N231*'Measure conversion'!$C$3</f>
        <v>0.24407</v>
      </c>
    </row>
    <row r="232">
      <c r="J232" s="42" t="s">
        <v>162</v>
      </c>
      <c r="K232" s="44">
        <v>43833.0</v>
      </c>
      <c r="L232" s="64">
        <v>240.35</v>
      </c>
      <c r="M232" s="6">
        <f t="shared" si="1"/>
        <v>2020</v>
      </c>
      <c r="N232" s="6">
        <f t="shared" si="2"/>
        <v>0.24035</v>
      </c>
      <c r="O232" s="6">
        <f>N232*'Measure conversion'!$C$3</f>
        <v>0.24035</v>
      </c>
    </row>
    <row r="233">
      <c r="J233" s="42" t="s">
        <v>162</v>
      </c>
      <c r="K233" s="44">
        <v>43834.0</v>
      </c>
      <c r="L233" s="64">
        <v>185.85</v>
      </c>
      <c r="M233" s="6">
        <f t="shared" si="1"/>
        <v>2020</v>
      </c>
      <c r="N233" s="6">
        <f t="shared" si="2"/>
        <v>0.18585</v>
      </c>
      <c r="O233" s="6">
        <f>N233*'Measure conversion'!$C$3</f>
        <v>0.18585</v>
      </c>
    </row>
    <row r="234">
      <c r="J234" s="42" t="s">
        <v>162</v>
      </c>
      <c r="K234" s="44">
        <v>43835.0</v>
      </c>
      <c r="L234" s="64">
        <v>165.49</v>
      </c>
      <c r="M234" s="6">
        <f t="shared" si="1"/>
        <v>2020</v>
      </c>
      <c r="N234" s="6">
        <f t="shared" si="2"/>
        <v>0.16549</v>
      </c>
      <c r="O234" s="6">
        <f>N234*'Measure conversion'!$C$3</f>
        <v>0.16549</v>
      </c>
    </row>
    <row r="235">
      <c r="J235" s="42" t="s">
        <v>162</v>
      </c>
      <c r="K235" s="44">
        <v>43836.0</v>
      </c>
      <c r="L235" s="64">
        <v>195.38</v>
      </c>
      <c r="M235" s="6">
        <f t="shared" si="1"/>
        <v>2020</v>
      </c>
      <c r="N235" s="6">
        <f t="shared" si="2"/>
        <v>0.19538</v>
      </c>
      <c r="O235" s="6">
        <f>N235*'Measure conversion'!$C$3</f>
        <v>0.19538</v>
      </c>
    </row>
    <row r="236">
      <c r="J236" s="42" t="s">
        <v>162</v>
      </c>
      <c r="K236" s="44">
        <v>43837.0</v>
      </c>
      <c r="L236" s="64">
        <v>229.48</v>
      </c>
      <c r="M236" s="6">
        <f t="shared" si="1"/>
        <v>2020</v>
      </c>
      <c r="N236" s="6">
        <f t="shared" si="2"/>
        <v>0.22948</v>
      </c>
      <c r="O236" s="6">
        <f>N236*'Measure conversion'!$C$3</f>
        <v>0.22948</v>
      </c>
    </row>
    <row r="237">
      <c r="J237" s="42" t="s">
        <v>162</v>
      </c>
      <c r="K237" s="44">
        <v>43838.0</v>
      </c>
      <c r="L237" s="64">
        <v>262.02</v>
      </c>
      <c r="M237" s="6">
        <f t="shared" si="1"/>
        <v>2020</v>
      </c>
      <c r="N237" s="6">
        <f t="shared" si="2"/>
        <v>0.26202</v>
      </c>
      <c r="O237" s="6">
        <f>N237*'Measure conversion'!$C$3</f>
        <v>0.26202</v>
      </c>
    </row>
    <row r="238">
      <c r="J238" s="42" t="s">
        <v>162</v>
      </c>
      <c r="K238" s="44">
        <v>43839.0</v>
      </c>
      <c r="L238" s="64">
        <v>271.28</v>
      </c>
      <c r="M238" s="6">
        <f t="shared" si="1"/>
        <v>2020</v>
      </c>
      <c r="N238" s="6">
        <f t="shared" si="2"/>
        <v>0.27128</v>
      </c>
      <c r="O238" s="6">
        <f>N238*'Measure conversion'!$C$3</f>
        <v>0.27128</v>
      </c>
    </row>
    <row r="239">
      <c r="J239" s="42" t="s">
        <v>162</v>
      </c>
      <c r="K239" s="44">
        <v>43840.0</v>
      </c>
      <c r="L239" s="64">
        <v>302.0</v>
      </c>
      <c r="M239" s="6">
        <f t="shared" si="1"/>
        <v>2020</v>
      </c>
      <c r="N239" s="6">
        <f t="shared" si="2"/>
        <v>0.302</v>
      </c>
      <c r="O239" s="6">
        <f>N239*'Measure conversion'!$C$3</f>
        <v>0.302</v>
      </c>
    </row>
    <row r="240">
      <c r="J240" s="42" t="s">
        <v>162</v>
      </c>
      <c r="K240" s="44">
        <v>43841.0</v>
      </c>
      <c r="L240" s="64">
        <v>286.66</v>
      </c>
      <c r="M240" s="6">
        <f t="shared" si="1"/>
        <v>2020</v>
      </c>
      <c r="N240" s="6">
        <f t="shared" si="2"/>
        <v>0.28666</v>
      </c>
      <c r="O240" s="6">
        <f>N240*'Measure conversion'!$C$3</f>
        <v>0.28666</v>
      </c>
    </row>
    <row r="241">
      <c r="J241" s="42" t="s">
        <v>162</v>
      </c>
      <c r="K241" s="44">
        <v>43842.0</v>
      </c>
      <c r="L241" s="64">
        <v>307.54</v>
      </c>
      <c r="M241" s="6">
        <f t="shared" si="1"/>
        <v>2020</v>
      </c>
      <c r="N241" s="6">
        <f t="shared" si="2"/>
        <v>0.30754</v>
      </c>
      <c r="O241" s="6">
        <f>N241*'Measure conversion'!$C$3</f>
        <v>0.30754</v>
      </c>
    </row>
    <row r="242">
      <c r="J242" s="42" t="s">
        <v>162</v>
      </c>
      <c r="K242" s="44">
        <v>44197.0</v>
      </c>
      <c r="L242" s="64">
        <v>275.42</v>
      </c>
      <c r="M242" s="6">
        <f t="shared" si="1"/>
        <v>2021</v>
      </c>
      <c r="N242" s="6">
        <f t="shared" si="2"/>
        <v>0.27542</v>
      </c>
      <c r="O242" s="6">
        <f>N242*'Measure conversion'!$C$3</f>
        <v>0.27542</v>
      </c>
    </row>
    <row r="243">
      <c r="J243" s="42" t="s">
        <v>162</v>
      </c>
      <c r="K243" s="44">
        <v>44198.0</v>
      </c>
      <c r="L243" s="64">
        <v>253.2</v>
      </c>
      <c r="M243" s="6">
        <f t="shared" si="1"/>
        <v>2021</v>
      </c>
      <c r="N243" s="6">
        <f t="shared" si="2"/>
        <v>0.2532</v>
      </c>
      <c r="O243" s="6">
        <f>N243*'Measure conversion'!$C$3</f>
        <v>0.2532</v>
      </c>
    </row>
    <row r="244">
      <c r="J244" s="42" t="s">
        <v>162</v>
      </c>
      <c r="K244" s="44">
        <v>44199.0</v>
      </c>
      <c r="L244" s="64">
        <v>235.78</v>
      </c>
      <c r="M244" s="6">
        <f t="shared" si="1"/>
        <v>2021</v>
      </c>
      <c r="N244" s="6">
        <f t="shared" si="2"/>
        <v>0.23578</v>
      </c>
      <c r="O244" s="6">
        <f>N244*'Measure conversion'!$C$3</f>
        <v>0.23578</v>
      </c>
    </row>
    <row r="245">
      <c r="J245" s="42" t="s">
        <v>162</v>
      </c>
      <c r="K245" s="44">
        <v>44200.0</v>
      </c>
      <c r="L245" s="64">
        <v>207.6</v>
      </c>
      <c r="M245" s="6">
        <f t="shared" si="1"/>
        <v>2021</v>
      </c>
      <c r="N245" s="6">
        <f t="shared" si="2"/>
        <v>0.2076</v>
      </c>
      <c r="O245" s="6">
        <f>N245*'Measure conversion'!$C$3</f>
        <v>0.2076</v>
      </c>
    </row>
    <row r="246">
      <c r="J246" s="42" t="s">
        <v>162</v>
      </c>
      <c r="K246" s="44">
        <v>44201.0</v>
      </c>
      <c r="L246" s="64">
        <v>195.11</v>
      </c>
      <c r="M246" s="6">
        <f t="shared" si="1"/>
        <v>2021</v>
      </c>
      <c r="N246" s="6">
        <f t="shared" si="2"/>
        <v>0.19511</v>
      </c>
      <c r="O246" s="6">
        <f>N246*'Measure conversion'!$C$3</f>
        <v>0.19511</v>
      </c>
    </row>
    <row r="247">
      <c r="J247" s="42" t="s">
        <v>162</v>
      </c>
      <c r="K247" s="44">
        <v>44202.0</v>
      </c>
      <c r="L247" s="64">
        <v>230.65</v>
      </c>
      <c r="M247" s="6">
        <f t="shared" si="1"/>
        <v>2021</v>
      </c>
      <c r="N247" s="6">
        <f t="shared" si="2"/>
        <v>0.23065</v>
      </c>
      <c r="O247" s="6">
        <f>N247*'Measure conversion'!$C$3</f>
        <v>0.23065</v>
      </c>
    </row>
    <row r="248">
      <c r="J248" s="42" t="s">
        <v>162</v>
      </c>
      <c r="K248" s="44">
        <v>44203.0</v>
      </c>
      <c r="L248" s="64">
        <v>267.56</v>
      </c>
      <c r="M248" s="6">
        <f t="shared" si="1"/>
        <v>2021</v>
      </c>
      <c r="N248" s="6">
        <f t="shared" si="2"/>
        <v>0.26756</v>
      </c>
      <c r="O248" s="6">
        <f>N248*'Measure conversion'!$C$3</f>
        <v>0.26756</v>
      </c>
    </row>
    <row r="249">
      <c r="J249" s="42" t="s">
        <v>162</v>
      </c>
      <c r="K249" s="44">
        <v>44204.0</v>
      </c>
      <c r="L249" s="64">
        <v>258.8</v>
      </c>
      <c r="M249" s="6">
        <f t="shared" si="1"/>
        <v>2021</v>
      </c>
      <c r="N249" s="6">
        <f t="shared" si="2"/>
        <v>0.2588</v>
      </c>
      <c r="O249" s="6">
        <f>N249*'Measure conversion'!$C$3</f>
        <v>0.2588</v>
      </c>
    </row>
    <row r="250">
      <c r="J250" s="42" t="s">
        <v>162</v>
      </c>
      <c r="K250" s="44">
        <v>44205.0</v>
      </c>
      <c r="L250" s="64">
        <v>252.55</v>
      </c>
      <c r="M250" s="6">
        <f t="shared" si="1"/>
        <v>2021</v>
      </c>
      <c r="N250" s="6">
        <f t="shared" si="2"/>
        <v>0.25255</v>
      </c>
      <c r="O250" s="6">
        <f>N250*'Measure conversion'!$C$3</f>
        <v>0.25255</v>
      </c>
    </row>
    <row r="251">
      <c r="J251" s="42" t="s">
        <v>162</v>
      </c>
      <c r="K251" s="44">
        <v>44206.0</v>
      </c>
      <c r="L251" s="64">
        <v>269.78</v>
      </c>
      <c r="M251" s="6">
        <f t="shared" si="1"/>
        <v>2021</v>
      </c>
      <c r="N251" s="6">
        <f t="shared" si="2"/>
        <v>0.26978</v>
      </c>
      <c r="O251" s="6">
        <f>N251*'Measure conversion'!$C$3</f>
        <v>0.26978</v>
      </c>
    </row>
    <row r="252">
      <c r="J252" s="42" t="s">
        <v>162</v>
      </c>
      <c r="K252" s="44">
        <v>44207.0</v>
      </c>
      <c r="L252" s="64">
        <v>276.77</v>
      </c>
      <c r="M252" s="6">
        <f t="shared" si="1"/>
        <v>2021</v>
      </c>
      <c r="N252" s="6">
        <f t="shared" si="2"/>
        <v>0.27677</v>
      </c>
      <c r="O252" s="6">
        <f>N252*'Measure conversion'!$C$3</f>
        <v>0.27677</v>
      </c>
    </row>
    <row r="253">
      <c r="J253" s="42" t="s">
        <v>162</v>
      </c>
      <c r="K253" s="44">
        <v>44208.0</v>
      </c>
      <c r="L253" s="64">
        <v>281.46</v>
      </c>
      <c r="M253" s="6">
        <f t="shared" si="1"/>
        <v>2021</v>
      </c>
      <c r="N253" s="6">
        <f t="shared" si="2"/>
        <v>0.28146</v>
      </c>
      <c r="O253" s="6">
        <f>N253*'Measure conversion'!$C$3</f>
        <v>0.28146</v>
      </c>
    </row>
    <row r="254">
      <c r="J254" s="42" t="s">
        <v>162</v>
      </c>
      <c r="K254" s="44">
        <v>44562.0</v>
      </c>
      <c r="L254" s="64">
        <v>259.93</v>
      </c>
      <c r="M254" s="6">
        <f t="shared" si="1"/>
        <v>2022</v>
      </c>
      <c r="N254" s="6">
        <f t="shared" si="2"/>
        <v>0.25993</v>
      </c>
      <c r="O254" s="6">
        <f>N254*'Measure conversion'!$C$3</f>
        <v>0.25993</v>
      </c>
    </row>
    <row r="255">
      <c r="J255" s="42" t="s">
        <v>162</v>
      </c>
      <c r="K255" s="44">
        <v>44563.0</v>
      </c>
      <c r="L255" s="64">
        <v>232.6</v>
      </c>
      <c r="M255" s="6">
        <f t="shared" si="1"/>
        <v>2022</v>
      </c>
      <c r="N255" s="6">
        <f t="shared" si="2"/>
        <v>0.2326</v>
      </c>
      <c r="O255" s="6">
        <f>N255*'Measure conversion'!$C$3</f>
        <v>0.2326</v>
      </c>
    </row>
    <row r="256">
      <c r="J256" s="42" t="s">
        <v>162</v>
      </c>
      <c r="K256" s="44">
        <v>44564.0</v>
      </c>
      <c r="L256" s="64">
        <v>197.95</v>
      </c>
      <c r="M256" s="6">
        <f t="shared" si="1"/>
        <v>2022</v>
      </c>
      <c r="N256" s="6">
        <f t="shared" si="2"/>
        <v>0.19795</v>
      </c>
      <c r="O256" s="6">
        <f>N256*'Measure conversion'!$C$3</f>
        <v>0.19795</v>
      </c>
    </row>
    <row r="257">
      <c r="J257" s="42" t="s">
        <v>162</v>
      </c>
      <c r="K257" s="44">
        <v>44565.0</v>
      </c>
      <c r="L257" s="64">
        <v>195.15</v>
      </c>
      <c r="M257" s="6">
        <f t="shared" si="1"/>
        <v>2022</v>
      </c>
      <c r="N257" s="6">
        <f t="shared" si="2"/>
        <v>0.19515</v>
      </c>
      <c r="O257" s="6">
        <f>N257*'Measure conversion'!$C$3</f>
        <v>0.19515</v>
      </c>
    </row>
    <row r="258">
      <c r="J258" s="42" t="s">
        <v>162</v>
      </c>
      <c r="K258" s="44">
        <v>44566.0</v>
      </c>
      <c r="L258" s="64">
        <v>169.84</v>
      </c>
      <c r="M258" s="6">
        <f t="shared" si="1"/>
        <v>2022</v>
      </c>
      <c r="N258" s="6">
        <f t="shared" si="2"/>
        <v>0.16984</v>
      </c>
      <c r="O258" s="6">
        <f>N258*'Measure conversion'!$C$3</f>
        <v>0.16984</v>
      </c>
    </row>
    <row r="259">
      <c r="J259" s="42" t="s">
        <v>162</v>
      </c>
      <c r="K259" s="44">
        <v>44567.0</v>
      </c>
      <c r="L259" s="64">
        <v>201.8</v>
      </c>
      <c r="M259" s="6">
        <f t="shared" si="1"/>
        <v>2022</v>
      </c>
      <c r="N259" s="6">
        <f t="shared" si="2"/>
        <v>0.2018</v>
      </c>
      <c r="O259" s="6">
        <f>N259*'Measure conversion'!$C$3</f>
        <v>0.2018</v>
      </c>
    </row>
    <row r="260">
      <c r="J260" s="42" t="s">
        <v>162</v>
      </c>
      <c r="K260" s="44">
        <v>44568.0</v>
      </c>
      <c r="L260" s="64">
        <v>227.64</v>
      </c>
      <c r="M260" s="6">
        <f t="shared" si="1"/>
        <v>2022</v>
      </c>
      <c r="N260" s="6">
        <f t="shared" si="2"/>
        <v>0.22764</v>
      </c>
      <c r="O260" s="6">
        <f>N260*'Measure conversion'!$C$3</f>
        <v>0.22764</v>
      </c>
    </row>
    <row r="261">
      <c r="J261" s="42" t="s">
        <v>162</v>
      </c>
      <c r="K261" s="44">
        <v>44569.0</v>
      </c>
      <c r="L261" s="64">
        <v>256.39</v>
      </c>
      <c r="M261" s="6">
        <f t="shared" si="1"/>
        <v>2022</v>
      </c>
      <c r="N261" s="6">
        <f t="shared" si="2"/>
        <v>0.25639</v>
      </c>
      <c r="O261" s="6">
        <f>N261*'Measure conversion'!$C$3</f>
        <v>0.25639</v>
      </c>
    </row>
    <row r="262">
      <c r="J262" s="42" t="s">
        <v>162</v>
      </c>
      <c r="K262" s="44">
        <v>44570.0</v>
      </c>
      <c r="L262" s="64">
        <v>262.79</v>
      </c>
      <c r="M262" s="6">
        <f t="shared" si="1"/>
        <v>2022</v>
      </c>
      <c r="N262" s="6">
        <f t="shared" si="2"/>
        <v>0.26279</v>
      </c>
      <c r="O262" s="6">
        <f>N262*'Measure conversion'!$C$3</f>
        <v>0.26279</v>
      </c>
    </row>
    <row r="263">
      <c r="J263" s="42" t="s">
        <v>162</v>
      </c>
      <c r="K263" s="44">
        <v>44571.0</v>
      </c>
      <c r="L263" s="64">
        <v>270.88</v>
      </c>
      <c r="M263" s="6">
        <f t="shared" si="1"/>
        <v>2022</v>
      </c>
      <c r="N263" s="6">
        <f t="shared" si="2"/>
        <v>0.27088</v>
      </c>
      <c r="O263" s="6">
        <f>N263*'Measure conversion'!$C$3</f>
        <v>0.27088</v>
      </c>
    </row>
    <row r="264">
      <c r="J264" s="42" t="s">
        <v>162</v>
      </c>
      <c r="K264" s="44">
        <v>44572.0</v>
      </c>
      <c r="L264" s="64">
        <v>280.64</v>
      </c>
      <c r="M264" s="6">
        <f t="shared" si="1"/>
        <v>2022</v>
      </c>
      <c r="N264" s="6">
        <f t="shared" si="2"/>
        <v>0.28064</v>
      </c>
      <c r="O264" s="6">
        <f>N264*'Measure conversion'!$C$3</f>
        <v>0.28064</v>
      </c>
    </row>
    <row r="265">
      <c r="J265" s="42" t="s">
        <v>162</v>
      </c>
      <c r="K265" s="44">
        <v>44573.0</v>
      </c>
      <c r="L265" s="64">
        <v>287.76</v>
      </c>
      <c r="M265" s="6">
        <f t="shared" si="1"/>
        <v>2022</v>
      </c>
      <c r="N265" s="6">
        <f t="shared" si="2"/>
        <v>0.28776</v>
      </c>
      <c r="O265" s="6">
        <f>N265*'Measure conversion'!$C$3</f>
        <v>0.28776</v>
      </c>
    </row>
    <row r="266">
      <c r="J266" s="42" t="s">
        <v>162</v>
      </c>
      <c r="K266" s="44">
        <v>44927.0</v>
      </c>
      <c r="L266" s="64">
        <v>249.03</v>
      </c>
      <c r="M266" s="6">
        <f t="shared" si="1"/>
        <v>2023</v>
      </c>
      <c r="N266" s="6">
        <f t="shared" si="2"/>
        <v>0.24903</v>
      </c>
      <c r="O266" s="6">
        <f>N266*'Measure conversion'!$C$3</f>
        <v>0.24903</v>
      </c>
    </row>
    <row r="267">
      <c r="J267" s="42" t="s">
        <v>162</v>
      </c>
      <c r="K267" s="44">
        <v>44928.0</v>
      </c>
      <c r="L267" s="64">
        <v>237.55</v>
      </c>
      <c r="M267" s="6">
        <f t="shared" si="1"/>
        <v>2023</v>
      </c>
      <c r="N267" s="6">
        <f t="shared" si="2"/>
        <v>0.23755</v>
      </c>
      <c r="O267" s="6">
        <f>N267*'Measure conversion'!$C$3</f>
        <v>0.23755</v>
      </c>
    </row>
    <row r="268">
      <c r="J268" s="42" t="s">
        <v>162</v>
      </c>
      <c r="K268" s="44">
        <v>44929.0</v>
      </c>
      <c r="L268" s="64">
        <v>207.4</v>
      </c>
      <c r="M268" s="6">
        <f t="shared" si="1"/>
        <v>2023</v>
      </c>
      <c r="N268" s="6">
        <f t="shared" si="2"/>
        <v>0.2074</v>
      </c>
      <c r="O268" s="6">
        <f>N268*'Measure conversion'!$C$3</f>
        <v>0.2074</v>
      </c>
    </row>
    <row r="269">
      <c r="J269" s="42" t="s">
        <v>162</v>
      </c>
      <c r="K269" s="44">
        <v>44930.0</v>
      </c>
      <c r="L269" s="64">
        <v>170.92</v>
      </c>
      <c r="M269" s="6">
        <f t="shared" si="1"/>
        <v>2023</v>
      </c>
      <c r="N269" s="6">
        <f t="shared" si="2"/>
        <v>0.17092</v>
      </c>
      <c r="O269" s="6">
        <f>N269*'Measure conversion'!$C$3</f>
        <v>0.17092</v>
      </c>
    </row>
    <row r="270">
      <c r="J270" s="42" t="s">
        <v>162</v>
      </c>
      <c r="K270" s="44">
        <v>44931.0</v>
      </c>
      <c r="L270" s="64">
        <v>130.7</v>
      </c>
      <c r="M270" s="6">
        <f t="shared" si="1"/>
        <v>2023</v>
      </c>
      <c r="N270" s="6">
        <f t="shared" si="2"/>
        <v>0.1307</v>
      </c>
      <c r="O270" s="6">
        <f>N270*'Measure conversion'!$C$3</f>
        <v>0.1307</v>
      </c>
    </row>
    <row r="271">
      <c r="J271" s="42" t="s">
        <v>162</v>
      </c>
      <c r="K271" s="44">
        <v>44932.0</v>
      </c>
      <c r="L271" s="64">
        <v>149.78</v>
      </c>
      <c r="M271" s="6">
        <f t="shared" si="1"/>
        <v>2023</v>
      </c>
      <c r="N271" s="6">
        <f t="shared" si="2"/>
        <v>0.14978</v>
      </c>
      <c r="O271" s="6">
        <f>N271*'Measure conversion'!$C$3</f>
        <v>0.14978</v>
      </c>
    </row>
    <row r="272">
      <c r="J272" s="42" t="s">
        <v>162</v>
      </c>
      <c r="K272" s="44">
        <v>44933.0</v>
      </c>
      <c r="L272" s="64">
        <v>229.25</v>
      </c>
      <c r="M272" s="6">
        <f t="shared" si="1"/>
        <v>2023</v>
      </c>
      <c r="N272" s="6">
        <f t="shared" si="2"/>
        <v>0.22925</v>
      </c>
      <c r="O272" s="6">
        <f>N272*'Measure conversion'!$C$3</f>
        <v>0.22925</v>
      </c>
    </row>
    <row r="273">
      <c r="J273" s="42" t="s">
        <v>162</v>
      </c>
      <c r="K273" s="44">
        <v>44934.0</v>
      </c>
      <c r="L273" s="64">
        <v>236.04</v>
      </c>
      <c r="M273" s="6">
        <f t="shared" si="1"/>
        <v>2023</v>
      </c>
      <c r="N273" s="6">
        <f t="shared" si="2"/>
        <v>0.23604</v>
      </c>
      <c r="O273" s="6">
        <f>N273*'Measure conversion'!$C$3</f>
        <v>0.23604</v>
      </c>
    </row>
    <row r="274">
      <c r="J274" s="42" t="s">
        <v>162</v>
      </c>
      <c r="K274" s="44">
        <v>44935.0</v>
      </c>
      <c r="L274" s="64">
        <v>205.83</v>
      </c>
      <c r="M274" s="6">
        <f t="shared" si="1"/>
        <v>2023</v>
      </c>
      <c r="N274" s="6">
        <f t="shared" si="2"/>
        <v>0.20583</v>
      </c>
      <c r="O274" s="6">
        <f>N274*'Measure conversion'!$C$3</f>
        <v>0.20583</v>
      </c>
    </row>
    <row r="275">
      <c r="J275" s="42" t="s">
        <v>162</v>
      </c>
      <c r="K275" s="44">
        <v>44936.0</v>
      </c>
      <c r="L275" s="64">
        <v>249.36</v>
      </c>
      <c r="M275" s="6">
        <f t="shared" si="1"/>
        <v>2023</v>
      </c>
      <c r="N275" s="6">
        <f t="shared" si="2"/>
        <v>0.24936</v>
      </c>
      <c r="O275" s="6">
        <f>N275*'Measure conversion'!$C$3</f>
        <v>0.24936</v>
      </c>
    </row>
    <row r="276">
      <c r="J276" s="42" t="s">
        <v>162</v>
      </c>
      <c r="K276" s="44">
        <v>44937.0</v>
      </c>
      <c r="L276" s="64">
        <v>259.39</v>
      </c>
      <c r="M276" s="6">
        <f t="shared" si="1"/>
        <v>2023</v>
      </c>
      <c r="N276" s="6">
        <f t="shared" si="2"/>
        <v>0.25939</v>
      </c>
      <c r="O276" s="6">
        <f>N276*'Measure conversion'!$C$3</f>
        <v>0.25939</v>
      </c>
    </row>
    <row r="277">
      <c r="J277" s="42" t="s">
        <v>162</v>
      </c>
      <c r="K277" s="44">
        <v>44938.0</v>
      </c>
      <c r="L277" s="64">
        <v>273.67</v>
      </c>
      <c r="M277" s="6">
        <f t="shared" si="1"/>
        <v>2023</v>
      </c>
      <c r="N277" s="6">
        <f t="shared" si="2"/>
        <v>0.27367</v>
      </c>
      <c r="O277" s="6">
        <f>N277*'Measure conversion'!$C$3</f>
        <v>0.27367</v>
      </c>
    </row>
    <row r="278">
      <c r="J278" s="42" t="s">
        <v>162</v>
      </c>
      <c r="K278" s="44">
        <v>45292.0</v>
      </c>
      <c r="L278" s="64">
        <v>269.22</v>
      </c>
      <c r="M278" s="6">
        <f t="shared" si="1"/>
        <v>2024</v>
      </c>
      <c r="N278" s="6">
        <f t="shared" si="2"/>
        <v>0.26922</v>
      </c>
      <c r="O278" s="6">
        <f>N278*'Measure conversion'!$C$3</f>
        <v>0.26922</v>
      </c>
    </row>
    <row r="279">
      <c r="J279" s="42" t="s">
        <v>162</v>
      </c>
      <c r="K279" s="44">
        <v>45293.0</v>
      </c>
      <c r="L279" s="64">
        <v>210.55</v>
      </c>
      <c r="M279" s="6">
        <f t="shared" si="1"/>
        <v>2024</v>
      </c>
      <c r="N279" s="6">
        <f t="shared" si="2"/>
        <v>0.21055</v>
      </c>
      <c r="O279" s="6">
        <f>N279*'Measure conversion'!$C$3</f>
        <v>0.21055</v>
      </c>
    </row>
    <row r="280">
      <c r="J280" s="42" t="s">
        <v>162</v>
      </c>
      <c r="K280" s="44">
        <v>45294.0</v>
      </c>
      <c r="L280" s="64">
        <v>158.74</v>
      </c>
      <c r="M280" s="6">
        <f t="shared" si="1"/>
        <v>2024</v>
      </c>
      <c r="N280" s="6">
        <f t="shared" si="2"/>
        <v>0.15874</v>
      </c>
      <c r="O280" s="6">
        <f>N280*'Measure conversion'!$C$3</f>
        <v>0.15874</v>
      </c>
    </row>
    <row r="281">
      <c r="J281" s="42" t="s">
        <v>162</v>
      </c>
      <c r="K281" s="44">
        <v>45295.0</v>
      </c>
      <c r="L281" s="64">
        <v>145.24</v>
      </c>
      <c r="M281" s="6">
        <f t="shared" si="1"/>
        <v>2024</v>
      </c>
      <c r="N281" s="6">
        <f t="shared" si="2"/>
        <v>0.14524</v>
      </c>
      <c r="O281" s="6">
        <f>N281*'Measure conversion'!$C$3</f>
        <v>0.14524</v>
      </c>
    </row>
    <row r="282">
      <c r="J282" s="42" t="s">
        <v>162</v>
      </c>
      <c r="K282" s="44">
        <v>45296.0</v>
      </c>
      <c r="L282" s="64">
        <v>126.88</v>
      </c>
      <c r="M282" s="6">
        <f t="shared" si="1"/>
        <v>2024</v>
      </c>
      <c r="N282" s="6">
        <f t="shared" si="2"/>
        <v>0.12688</v>
      </c>
      <c r="O282" s="6">
        <f>N282*'Measure conversion'!$C$3</f>
        <v>0.12688</v>
      </c>
    </row>
    <row r="283">
      <c r="J283" s="42" t="s">
        <v>162</v>
      </c>
      <c r="K283" s="44">
        <v>45297.0</v>
      </c>
      <c r="L283" s="64">
        <v>155.86</v>
      </c>
      <c r="M283" s="6">
        <f t="shared" si="1"/>
        <v>2024</v>
      </c>
      <c r="N283" s="6">
        <f t="shared" si="2"/>
        <v>0.15586</v>
      </c>
      <c r="O283" s="6">
        <f>N283*'Measure conversion'!$C$3</f>
        <v>0.15586</v>
      </c>
    </row>
    <row r="284">
      <c r="J284" s="42" t="s">
        <v>162</v>
      </c>
      <c r="K284" s="44">
        <v>45298.0</v>
      </c>
      <c r="L284" s="64">
        <v>220.38</v>
      </c>
      <c r="M284" s="6">
        <f t="shared" si="1"/>
        <v>2024</v>
      </c>
      <c r="N284" s="6">
        <f t="shared" si="2"/>
        <v>0.22038</v>
      </c>
      <c r="O284" s="6">
        <f>N284*'Measure conversion'!$C$3</f>
        <v>0.22038</v>
      </c>
    </row>
    <row r="285">
      <c r="J285" s="42" t="s">
        <v>162</v>
      </c>
      <c r="K285" s="44">
        <v>45299.0</v>
      </c>
      <c r="L285" s="64">
        <v>206.75</v>
      </c>
      <c r="M285" s="6">
        <f t="shared" si="1"/>
        <v>2024</v>
      </c>
      <c r="N285" s="6">
        <f t="shared" si="2"/>
        <v>0.20675</v>
      </c>
      <c r="O285" s="6">
        <f>N285*'Measure conversion'!$C$3</f>
        <v>0.20675</v>
      </c>
    </row>
    <row r="286">
      <c r="J286" s="42" t="s">
        <v>162</v>
      </c>
      <c r="K286" s="44">
        <v>45300.0</v>
      </c>
      <c r="L286" s="64">
        <v>210.49</v>
      </c>
      <c r="M286" s="6">
        <f t="shared" si="1"/>
        <v>2024</v>
      </c>
      <c r="N286" s="6">
        <f t="shared" si="2"/>
        <v>0.21049</v>
      </c>
      <c r="O286" s="6">
        <f>N286*'Measure conversion'!$C$3</f>
        <v>0.21049</v>
      </c>
    </row>
    <row r="287">
      <c r="J287" s="42" t="s">
        <v>162</v>
      </c>
      <c r="K287" s="44">
        <v>45301.0</v>
      </c>
      <c r="L287" s="64">
        <v>227.89</v>
      </c>
      <c r="M287" s="6">
        <f t="shared" si="1"/>
        <v>2024</v>
      </c>
      <c r="N287" s="6">
        <f t="shared" si="2"/>
        <v>0.22789</v>
      </c>
      <c r="O287" s="6">
        <f>N287*'Measure conversion'!$C$3</f>
        <v>0.22789</v>
      </c>
    </row>
  </sheetData>
  <hyperlinks>
    <hyperlink r:id="rId1" ref="B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4.88"/>
    <col customWidth="1" min="3" max="3" width="15.88"/>
    <col customWidth="1" min="4" max="4" width="16.0"/>
  </cols>
  <sheetData>
    <row r="1">
      <c r="A1" s="1" t="s">
        <v>63</v>
      </c>
      <c r="B1" s="4" t="s">
        <v>8</v>
      </c>
    </row>
    <row r="2">
      <c r="A2" s="1" t="s">
        <v>68</v>
      </c>
      <c r="B2" s="36" t="s">
        <v>826</v>
      </c>
    </row>
    <row r="3">
      <c r="A3" s="4" t="s">
        <v>828</v>
      </c>
      <c r="B3" s="4" t="s">
        <v>829</v>
      </c>
    </row>
    <row r="4">
      <c r="A4" s="1" t="s">
        <v>85</v>
      </c>
      <c r="B4" s="4" t="s">
        <v>831</v>
      </c>
    </row>
    <row r="6">
      <c r="B6" s="4" t="s">
        <v>832</v>
      </c>
      <c r="C6" s="4" t="s">
        <v>833</v>
      </c>
      <c r="D6" s="4" t="s">
        <v>835</v>
      </c>
      <c r="E6" s="4" t="s">
        <v>836</v>
      </c>
      <c r="F6" s="4" t="s">
        <v>837</v>
      </c>
      <c r="G6" s="4" t="s">
        <v>839</v>
      </c>
      <c r="H6" s="4" t="s">
        <v>840</v>
      </c>
    </row>
    <row r="7">
      <c r="A7" s="4" t="s">
        <v>841</v>
      </c>
      <c r="B7" s="4">
        <v>1.37</v>
      </c>
      <c r="C7" s="4">
        <f t="shared" ref="C7:C8" si="1">B7*$B$10</f>
        <v>0.3805555556</v>
      </c>
      <c r="D7" s="6">
        <f t="shared" ref="D7:D8" si="2">1/C7</f>
        <v>2.627737226</v>
      </c>
      <c r="E7" s="4">
        <v>0.8</v>
      </c>
      <c r="F7" s="6">
        <f>(D7*(1-E8)-D8*(1-E7))/(E7-E8)</f>
        <v>3.086982968</v>
      </c>
      <c r="G7" s="6">
        <f>F8+E7*(F7-F8)</f>
        <v>2.627737226</v>
      </c>
      <c r="H7" s="6">
        <f>F7*'Measure conversion'!$C$4/'Measure conversion'!$C$5</f>
        <v>3.086982968</v>
      </c>
    </row>
    <row r="8">
      <c r="A8" s="4" t="s">
        <v>854</v>
      </c>
      <c r="B8" s="4">
        <v>2.88</v>
      </c>
      <c r="C8" s="4">
        <f t="shared" si="1"/>
        <v>0.8000000001</v>
      </c>
      <c r="D8" s="6">
        <f t="shared" si="2"/>
        <v>1.25</v>
      </c>
      <c r="E8" s="4">
        <v>0.2</v>
      </c>
      <c r="F8" s="6">
        <f>(D8*E7-D7*E8)/(E7-E8)</f>
        <v>0.7907542578</v>
      </c>
      <c r="G8" s="6">
        <f>F8+E8*(F7-F8)</f>
        <v>1.25</v>
      </c>
      <c r="H8" s="6">
        <f>F8*'Measure conversion'!$C$4/'Measure conversion'!$C$5</f>
        <v>0.7907542578</v>
      </c>
    </row>
    <row r="10">
      <c r="A10" s="4" t="s">
        <v>861</v>
      </c>
      <c r="B10" s="4">
        <v>0.2777777778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4.88"/>
    <col customWidth="1" min="3" max="3" width="15.88"/>
    <col customWidth="1" min="4" max="4" width="16.0"/>
  </cols>
  <sheetData>
    <row r="1">
      <c r="A1" s="1" t="s">
        <v>63</v>
      </c>
      <c r="B1" s="4" t="s">
        <v>8</v>
      </c>
    </row>
    <row r="2">
      <c r="A2" s="1" t="s">
        <v>68</v>
      </c>
      <c r="B2" s="36" t="s">
        <v>826</v>
      </c>
    </row>
    <row r="3">
      <c r="A3" s="4" t="s">
        <v>828</v>
      </c>
      <c r="B3" s="4" t="s">
        <v>829</v>
      </c>
    </row>
    <row r="4">
      <c r="A4" s="1" t="s">
        <v>85</v>
      </c>
      <c r="B4" s="4" t="s">
        <v>831</v>
      </c>
    </row>
    <row r="6">
      <c r="B6" s="4" t="s">
        <v>833</v>
      </c>
      <c r="C6" s="4" t="s">
        <v>835</v>
      </c>
      <c r="D6" s="4" t="s">
        <v>836</v>
      </c>
      <c r="E6" s="4" t="s">
        <v>837</v>
      </c>
      <c r="F6" s="4" t="s">
        <v>839</v>
      </c>
      <c r="G6" s="4" t="s">
        <v>900</v>
      </c>
    </row>
    <row r="7">
      <c r="A7" s="4" t="s">
        <v>841</v>
      </c>
      <c r="B7" s="4">
        <v>0.12</v>
      </c>
      <c r="C7" s="6">
        <f t="shared" ref="C7:C8" si="1">1/B7</f>
        <v>8.333333333</v>
      </c>
      <c r="D7" s="4">
        <v>0.8</v>
      </c>
      <c r="E7" s="6">
        <f>(C7*(1-D8)-C8*(1-D7))/(D7-D8)</f>
        <v>9.733700643</v>
      </c>
      <c r="F7" s="6">
        <f>E8+D7*(E7-E8)</f>
        <v>8.333333333</v>
      </c>
      <c r="G7" s="6">
        <f>E7*'Measure conversion'!$C$4/'Measure conversion'!$C$5</f>
        <v>9.733700643</v>
      </c>
    </row>
    <row r="8">
      <c r="A8" s="4" t="s">
        <v>854</v>
      </c>
      <c r="B8" s="4">
        <v>0.242</v>
      </c>
      <c r="C8" s="6">
        <f t="shared" si="1"/>
        <v>4.132231405</v>
      </c>
      <c r="D8" s="4">
        <v>0.2</v>
      </c>
      <c r="E8" s="6">
        <f>(C8*D7-C7*D8)/(D7-D8)</f>
        <v>2.731864096</v>
      </c>
      <c r="F8" s="6">
        <f>E8+D8*(E7-E8)</f>
        <v>4.132231405</v>
      </c>
      <c r="G8" s="6">
        <f>E8*'Measure conversion'!$C$4/'Measure conversion'!$C$5</f>
        <v>2.731864096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4" max="4" width="15.5"/>
    <col customWidth="1" min="5" max="5" width="13.75"/>
    <col customWidth="1" min="6" max="7" width="16.0"/>
    <col customWidth="1" min="12" max="12" width="42.75"/>
    <col customWidth="1" min="13" max="13" width="43.38"/>
    <col customWidth="1" min="15" max="15" width="14.75"/>
    <col customWidth="1" min="17" max="17" width="19.63"/>
  </cols>
  <sheetData>
    <row r="1">
      <c r="A1" s="4" t="s">
        <v>68</v>
      </c>
      <c r="B1" s="4" t="s">
        <v>84</v>
      </c>
      <c r="E1" s="4" t="s">
        <v>959</v>
      </c>
      <c r="F1" s="4" t="s">
        <v>960</v>
      </c>
      <c r="G1" s="4" t="s">
        <v>962</v>
      </c>
      <c r="H1" s="4" t="s">
        <v>963</v>
      </c>
      <c r="I1" s="4" t="s">
        <v>964</v>
      </c>
      <c r="J1" s="4" t="s">
        <v>966</v>
      </c>
      <c r="K1" s="4" t="s">
        <v>900</v>
      </c>
    </row>
    <row r="2">
      <c r="A2" s="4" t="s">
        <v>968</v>
      </c>
      <c r="B2" s="4" t="s">
        <v>969</v>
      </c>
      <c r="D2" s="4" t="s">
        <v>970</v>
      </c>
      <c r="E2" s="24">
        <v>50000.0</v>
      </c>
      <c r="F2" s="24">
        <f t="shared" ref="F2:F4" si="1">E2/$B$6</f>
        <v>57784.65674</v>
      </c>
      <c r="G2" s="65">
        <v>0.35</v>
      </c>
      <c r="H2" s="10">
        <f t="shared" ref="H2:H4" si="2">F2*(1-G2)</f>
        <v>37560.02688</v>
      </c>
      <c r="I2" s="65">
        <v>0.8</v>
      </c>
      <c r="J2" s="10">
        <f t="shared" ref="J2:J4" si="3">H2/I2</f>
        <v>46950.0336</v>
      </c>
      <c r="K2" s="10">
        <f>J2*'Measure conversion'!$C$2</f>
        <v>46950.0336</v>
      </c>
    </row>
    <row r="3">
      <c r="D3" s="1" t="s">
        <v>196</v>
      </c>
      <c r="E3" s="66">
        <v>34000.0</v>
      </c>
      <c r="F3" s="66">
        <f t="shared" si="1"/>
        <v>39293.56658</v>
      </c>
      <c r="G3" s="67">
        <v>0.26</v>
      </c>
      <c r="H3" s="10">
        <f t="shared" si="2"/>
        <v>29077.23927</v>
      </c>
      <c r="I3" s="67">
        <v>0.5</v>
      </c>
      <c r="J3" s="68">
        <f t="shared" si="3"/>
        <v>58154.47855</v>
      </c>
      <c r="K3" s="10">
        <f>J3*'Measure conversion'!$C$2</f>
        <v>58154.47855</v>
      </c>
    </row>
    <row r="4">
      <c r="D4" s="4" t="s">
        <v>987</v>
      </c>
      <c r="E4" s="24">
        <v>28000.0</v>
      </c>
      <c r="F4" s="24">
        <f t="shared" si="1"/>
        <v>32359.40778</v>
      </c>
      <c r="G4" s="65">
        <v>0.25</v>
      </c>
      <c r="H4" s="10">
        <f t="shared" si="2"/>
        <v>24269.55583</v>
      </c>
      <c r="I4" s="65">
        <v>0.2</v>
      </c>
      <c r="J4" s="10">
        <f t="shared" si="3"/>
        <v>121347.7792</v>
      </c>
      <c r="K4" s="10">
        <f>J4*'Measure conversion'!$C$2</f>
        <v>121347.7792</v>
      </c>
    </row>
    <row r="6">
      <c r="A6" s="4" t="s">
        <v>305</v>
      </c>
      <c r="B6" s="4">
        <v>0.865281595827165</v>
      </c>
      <c r="K6" s="4" t="s">
        <v>993</v>
      </c>
    </row>
    <row r="7">
      <c r="K7" s="4" t="s">
        <v>994</v>
      </c>
    </row>
    <row r="8">
      <c r="K8" s="4" t="s">
        <v>996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25"/>
    <col customWidth="1" min="4" max="4" width="20.25"/>
  </cols>
  <sheetData>
    <row r="1">
      <c r="A1" s="1" t="s">
        <v>63</v>
      </c>
      <c r="B1" s="4" t="s">
        <v>8</v>
      </c>
      <c r="C1" s="4" t="s">
        <v>1057</v>
      </c>
      <c r="D1" s="4" t="s">
        <v>1058</v>
      </c>
      <c r="E1" s="4" t="s">
        <v>1060</v>
      </c>
      <c r="F1" s="4" t="s">
        <v>1061</v>
      </c>
    </row>
    <row r="2">
      <c r="A2" s="1" t="s">
        <v>68</v>
      </c>
      <c r="B2" s="15" t="s">
        <v>1063</v>
      </c>
      <c r="C2" s="4" t="s">
        <v>1073</v>
      </c>
      <c r="D2" s="4">
        <v>12.4</v>
      </c>
      <c r="E2" s="6">
        <f>D2*B8</f>
        <v>414.284</v>
      </c>
      <c r="F2" s="30" t="s">
        <v>1077</v>
      </c>
    </row>
    <row r="3">
      <c r="A3" s="1" t="s">
        <v>85</v>
      </c>
      <c r="B3" s="4" t="s">
        <v>1085</v>
      </c>
      <c r="C3" s="4" t="s">
        <v>1086</v>
      </c>
      <c r="D3" s="4">
        <v>15.8</v>
      </c>
      <c r="E3" s="6">
        <f>D3*B8</f>
        <v>527.878</v>
      </c>
      <c r="F3" s="30" t="s">
        <v>1089</v>
      </c>
    </row>
    <row r="4">
      <c r="C4" s="4" t="s">
        <v>1093</v>
      </c>
      <c r="D4" s="4">
        <v>13.2</v>
      </c>
      <c r="E4" s="6">
        <f>D4*B8</f>
        <v>441.012</v>
      </c>
      <c r="F4" s="30" t="s">
        <v>1095</v>
      </c>
    </row>
    <row r="5">
      <c r="A5" s="4" t="s">
        <v>101</v>
      </c>
      <c r="B5" s="4" t="s">
        <v>1100</v>
      </c>
      <c r="C5" s="4" t="s">
        <v>1101</v>
      </c>
      <c r="D5" s="4">
        <v>14.8</v>
      </c>
      <c r="E5" s="6">
        <f>D5*B8</f>
        <v>494.468</v>
      </c>
      <c r="F5" s="30" t="s">
        <v>1103</v>
      </c>
    </row>
    <row r="6">
      <c r="B6" s="4" t="s">
        <v>1107</v>
      </c>
    </row>
    <row r="8">
      <c r="A8" s="4" t="s">
        <v>1109</v>
      </c>
      <c r="B8" s="4">
        <v>33.41</v>
      </c>
      <c r="D8" s="4" t="s">
        <v>1110</v>
      </c>
      <c r="E8" s="6">
        <f>AVERAGE(E2:E5)</f>
        <v>469.4105</v>
      </c>
    </row>
    <row r="9">
      <c r="D9" s="4" t="s">
        <v>1115</v>
      </c>
      <c r="E9" s="6">
        <f>E8*'Measure conversion'!$C$5</f>
        <v>469.4105</v>
      </c>
    </row>
  </sheetData>
  <hyperlinks>
    <hyperlink r:id="rId1" ref="B2"/>
    <hyperlink r:id="rId2" ref="F2"/>
    <hyperlink r:id="rId3" ref="F3"/>
    <hyperlink r:id="rId4" ref="F4"/>
    <hyperlink r:id="rId5" ref="F5"/>
  </hyperlinks>
  <drawing r:id="rId6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